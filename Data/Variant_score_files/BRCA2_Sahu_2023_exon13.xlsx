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BE4C39CE-B418-CA49-921C-403537D5183E}" xr6:coauthVersionLast="47" xr6:coauthVersionMax="47" xr10:uidLastSave="{00000000-0000-0000-0000-000000000000}"/>
  <bookViews>
    <workbookView xWindow="0" yWindow="500" windowWidth="38280" windowHeight="21100" xr2:uid="{811B77AB-9077-8540-885D-3CED44FB2712}"/>
  </bookViews>
  <sheets>
    <sheet name="Exon13" sheetId="1" r:id="rId1"/>
  </sheets>
  <definedNames>
    <definedName name="_xlnm._FilterDatabase" localSheetId="0" hidden="1">Exon13!$C$1:$C$253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" i="1"/>
</calcChain>
</file>

<file path=xl/sharedStrings.xml><?xml version="1.0" encoding="utf-8"?>
<sst xmlns="http://schemas.openxmlformats.org/spreadsheetml/2006/main" count="970" uniqueCount="453">
  <si>
    <t>c.Nomenclature</t>
  </si>
  <si>
    <t>p.Nomenclature</t>
  </si>
  <si>
    <t>Exon</t>
  </si>
  <si>
    <t>Function score DMSO</t>
  </si>
  <si>
    <t>Function score cisplatin</t>
  </si>
  <si>
    <t>Function score olaparib</t>
  </si>
  <si>
    <t>Global function score</t>
  </si>
  <si>
    <t>PIF</t>
  </si>
  <si>
    <t>Our_classification</t>
  </si>
  <si>
    <t>CADD score</t>
  </si>
  <si>
    <t>BayesDel score</t>
  </si>
  <si>
    <t>PRIOR Grade</t>
  </si>
  <si>
    <t>Previous functional results</t>
  </si>
  <si>
    <t>ClinVar classification</t>
  </si>
  <si>
    <t>NM_000059.4(BRCA2):c.6938-12A&gt;T</t>
  </si>
  <si>
    <t>Functional</t>
  </si>
  <si>
    <t>NM_000059.4(BRCA2):c.6938-12A&gt;C</t>
  </si>
  <si>
    <t>Non-functional</t>
  </si>
  <si>
    <t>NM_000059.4(BRCA2):c.6938-12A&gt;G</t>
  </si>
  <si>
    <t>NM_000059.4(BRCA2):c.6938-11T&gt;C</t>
  </si>
  <si>
    <t>NM_000059.4(BRCA2):c.6938-11T&gt;G</t>
  </si>
  <si>
    <t>NM_000059.4(BRCA2):c.6938-11T&gt;A</t>
  </si>
  <si>
    <t>NM_000059.4(BRCA2):c.6938-10T&gt;C</t>
  </si>
  <si>
    <t>Intermediate</t>
  </si>
  <si>
    <t>NM_000059.4(BRCA2):c.6938-9G&gt;C</t>
  </si>
  <si>
    <t>NM_000059.4(BRCA2):c.6938-9G&gt;T</t>
  </si>
  <si>
    <t>NM_000059.4(BRCA2):c.6938-9G&gt;A</t>
  </si>
  <si>
    <t>NM_000059.4(BRCA2):c.6938-8T&gt;C</t>
  </si>
  <si>
    <t>NM_000059.4(BRCA2):c.6938-7T&gt;C</t>
  </si>
  <si>
    <t>NM_000059.4(BRCA2):c.6938-7T&gt;G</t>
  </si>
  <si>
    <t>NM_000059.4(BRCA2):c.6938-7T&gt;A</t>
  </si>
  <si>
    <t>NM_000059.4(BRCA2):c.6938-6T&gt;C</t>
  </si>
  <si>
    <t>NM_000059.4(BRCA2):c.6938-5C&gt;G</t>
  </si>
  <si>
    <t>NM_000059.4(BRCA2):c.6938-5C&gt;T</t>
  </si>
  <si>
    <t>Conflicting interpretations of pathogenicity</t>
  </si>
  <si>
    <t>NM_000059.4(BRCA2):c.6938-4C&gt;A</t>
  </si>
  <si>
    <t>NM_000059.4(BRCA2):c.6938-4C&gt;T</t>
  </si>
  <si>
    <t>NM_000059.4(BRCA2):c.6938-3T&gt;A</t>
  </si>
  <si>
    <t>Uncertain significance</t>
  </si>
  <si>
    <t>NM_000059.4(BRCA2):c.6938-3T&gt;G</t>
  </si>
  <si>
    <t>NM_000059.4(BRCA2):c.6938-3T&gt;C</t>
  </si>
  <si>
    <t>NM_000059.4(BRCA2):c.6938-2A&gt;T</t>
  </si>
  <si>
    <t>Pathogenic</t>
  </si>
  <si>
    <t>NM_000059.4(BRCA2):c.6938-2A&gt;G</t>
  </si>
  <si>
    <t>NM_000059.4(BRCA2):c.6938-2A&gt;C</t>
  </si>
  <si>
    <t>NM_000059.4(BRCA2):c.6938-1G&gt;T</t>
  </si>
  <si>
    <t>C0</t>
  </si>
  <si>
    <t>Pathogenic/Likely pathogenic</t>
  </si>
  <si>
    <t>NM_000059.4(BRCA2):c.6938-1G&gt;C</t>
  </si>
  <si>
    <t>Likely pathogenic</t>
  </si>
  <si>
    <t>NM_000059.4(BRCA2):c.6938-1G&gt;A</t>
  </si>
  <si>
    <t>NM_000059.4(BRCA2):c.6938G&gt;A</t>
  </si>
  <si>
    <t>p.G2313D</t>
  </si>
  <si>
    <t>NM_000059.4(BRCA2):c.6938G&gt;C</t>
  </si>
  <si>
    <t>p.G2313A</t>
  </si>
  <si>
    <t>NM_000059.4(BRCA2):c.6939C&gt;A</t>
  </si>
  <si>
    <t>p.G2313G</t>
  </si>
  <si>
    <t>NM_000059.4(BRCA2):c.6939C&gt;T</t>
  </si>
  <si>
    <t>NM_000059.4(BRCA2):c.6940A&gt;C</t>
  </si>
  <si>
    <t>p.T2314P</t>
  </si>
  <si>
    <t>NM_000059.4(BRCA2):c.6940A&gt;G</t>
  </si>
  <si>
    <t>p.T2314A</t>
  </si>
  <si>
    <t>NM_000059.4(BRCA2):c.6940A&gt;T</t>
  </si>
  <si>
    <t>p.T2314S</t>
  </si>
  <si>
    <t>NM_000059.4(BRCA2):c.6941C&gt;A</t>
  </si>
  <si>
    <t>p.T2314K</t>
  </si>
  <si>
    <t>NM_000059.4(BRCA2):c.6941C&gt;G</t>
  </si>
  <si>
    <t>p.T2314R</t>
  </si>
  <si>
    <t>NM_000059.4(BRCA2):c.6941C&gt;T</t>
  </si>
  <si>
    <t>p.T2314I</t>
  </si>
  <si>
    <t>NM_000059.4(BRCA2):c.6942A&gt;C</t>
  </si>
  <si>
    <t>p.T2314T</t>
  </si>
  <si>
    <t>NM_000059.4(BRCA2):c.6942A&gt;G</t>
  </si>
  <si>
    <t>Likely benign</t>
  </si>
  <si>
    <t>NM_000059.4(BRCA2):c.6942A&gt;T</t>
  </si>
  <si>
    <t>NM_000059.4(BRCA2):c.6943A&gt;C</t>
  </si>
  <si>
    <t>p.I2315L</t>
  </si>
  <si>
    <t>NM_000059.4(BRCA2):c.6943A&gt;G</t>
  </si>
  <si>
    <t>p.I2315V</t>
  </si>
  <si>
    <t>NM_000059.4(BRCA2):c.6943A&gt;T</t>
  </si>
  <si>
    <t>NM_000059.4(BRCA2):c.6944T&gt;A</t>
  </si>
  <si>
    <t>p.I2315K</t>
  </si>
  <si>
    <t>NM_000059.4(BRCA2):c.6944T&gt;C</t>
  </si>
  <si>
    <t>p.I2315T</t>
  </si>
  <si>
    <t>NM_000059.4(BRCA2):c.6944T&gt;G</t>
  </si>
  <si>
    <t>p.I2315R</t>
  </si>
  <si>
    <t>NM_000059.4(BRCA2):c.6945A&gt;C</t>
  </si>
  <si>
    <t>p.I2315I</t>
  </si>
  <si>
    <t>NM_000059.4(BRCA2):c.6945A&gt;G</t>
  </si>
  <si>
    <t>p.I2315M</t>
  </si>
  <si>
    <t>NM_000059.4(BRCA2):c.6945A&gt;T</t>
  </si>
  <si>
    <t>NM_000059.4(BRCA2):c.6946A&gt;C</t>
  </si>
  <si>
    <t>p.K2316Q</t>
  </si>
  <si>
    <t>NM_000059.4(BRCA2):c.6946A&gt;G</t>
  </si>
  <si>
    <t>p.K2316E</t>
  </si>
  <si>
    <t>NM_000059.4(BRCA2):c.6946A&gt;T</t>
  </si>
  <si>
    <t>p.K2316*</t>
  </si>
  <si>
    <t>NM_000059.4(BRCA2):c.6947A&gt;C</t>
  </si>
  <si>
    <t>p.K2316T</t>
  </si>
  <si>
    <t>NM_000059.4(BRCA2):c.6947A&gt;G</t>
  </si>
  <si>
    <t>p.K2316R</t>
  </si>
  <si>
    <t>NM_000059.4(BRCA2):c.6947A&gt;T</t>
  </si>
  <si>
    <t>p.K2316I</t>
  </si>
  <si>
    <t>NM_000059.4(BRCA2):c.6948A&gt;C</t>
  </si>
  <si>
    <t>p.K2316N</t>
  </si>
  <si>
    <t>NM_000059.4(BRCA2):c.6948A&gt;G</t>
  </si>
  <si>
    <t>p.K2316K</t>
  </si>
  <si>
    <t>NM_000059.4(BRCA2):c.6948A&gt;T</t>
  </si>
  <si>
    <t>NM_000059.4(BRCA2):c.6949G&gt;A</t>
  </si>
  <si>
    <t>p.D2317N</t>
  </si>
  <si>
    <t>NM_000059.4(BRCA2):c.6949G&gt;C</t>
  </si>
  <si>
    <t>p.D2317H</t>
  </si>
  <si>
    <t>NM_000059.4(BRCA2):c.6949G&gt;T</t>
  </si>
  <si>
    <t>p.D2317Y</t>
  </si>
  <si>
    <t>C15</t>
  </si>
  <si>
    <t>NM_000059.4(BRCA2):c.6950A&gt;G</t>
  </si>
  <si>
    <t>p.D2317G</t>
  </si>
  <si>
    <t>NM_000059.4(BRCA2):c.6950A&gt;T</t>
  </si>
  <si>
    <t>p.D2317V</t>
  </si>
  <si>
    <t>NM_000059.4(BRCA2):c.6951T&gt;A</t>
  </si>
  <si>
    <t>p.D2317E</t>
  </si>
  <si>
    <t>NM_000059.4(BRCA2):c.6951T&gt;C</t>
  </si>
  <si>
    <t>p.D2317D</t>
  </si>
  <si>
    <t>NM_000059.4(BRCA2):c.6951T&gt;G</t>
  </si>
  <si>
    <t>NM_000059.4(BRCA2):c.6952C&gt;A</t>
  </si>
  <si>
    <t>p.R2318R</t>
  </si>
  <si>
    <t>NM_000059.4(BRCA2):c.6952C&gt;T</t>
  </si>
  <si>
    <t>p.R2318*</t>
  </si>
  <si>
    <t>Wagner, Genomics (1999)</t>
  </si>
  <si>
    <t>NM_000059.4(BRCA2):c.6953G&gt;A</t>
  </si>
  <si>
    <t>p.R2318Q</t>
  </si>
  <si>
    <t>Ghouil et al., Nat Comm (2021); Parsons et al., Human Mut (2019); Tavtigian et al., Hum Mut (2008)</t>
  </si>
  <si>
    <t>Benign</t>
  </si>
  <si>
    <t>NM_000059.4(BRCA2):c.6953G&gt;C</t>
  </si>
  <si>
    <t>p.R2318P</t>
  </si>
  <si>
    <t>C35</t>
  </si>
  <si>
    <t>NM_000059.4(BRCA2):c.6953G&gt;T</t>
  </si>
  <si>
    <t>p.R2318L</t>
  </si>
  <si>
    <t>NM_000059.4(BRCA2):c.6954A&gt;C</t>
  </si>
  <si>
    <t>NM_000059.4(BRCA2):c.6954A&gt;G</t>
  </si>
  <si>
    <t>NM_000059.4(BRCA2):c.6954A&gt;T</t>
  </si>
  <si>
    <t>NM_000059.4(BRCA2):c.6955A&gt;C</t>
  </si>
  <si>
    <t>p.R2319R</t>
  </si>
  <si>
    <t>NM_000059.4(BRCA2):c.6955A&gt;G</t>
  </si>
  <si>
    <t>p.R2319G</t>
  </si>
  <si>
    <t>NM_000059.4(BRCA2):c.6955A&gt;T</t>
  </si>
  <si>
    <t>p.R2319*</t>
  </si>
  <si>
    <t>NM_000059.4(BRCA2):c.6956G&gt;A</t>
  </si>
  <si>
    <t>p.R2319K</t>
  </si>
  <si>
    <t>NM_000059.4(BRCA2):c.6956G&gt;C</t>
  </si>
  <si>
    <t>p.R2319T</t>
  </si>
  <si>
    <t>Parsons et al., Human Mut (2019);</t>
  </si>
  <si>
    <t>NM_000059.4(BRCA2):c.6956G&gt;T</t>
  </si>
  <si>
    <t>p.R2319I</t>
  </si>
  <si>
    <t>NM_000059.4(BRCA2):c.6957A&gt;C</t>
  </si>
  <si>
    <t>p.R2319S</t>
  </si>
  <si>
    <t>NM_000059.4(BRCA2):c.6957A&gt;G</t>
  </si>
  <si>
    <t>NM_000059.4(BRCA2):c.6957A&gt;T</t>
  </si>
  <si>
    <t>NM_000059.4(BRCA2):c.6958T&gt;A</t>
  </si>
  <si>
    <t>p.L2320M</t>
  </si>
  <si>
    <t>NM_000059.4(BRCA2):c.6958T&gt;C</t>
  </si>
  <si>
    <t>p.L2320L</t>
  </si>
  <si>
    <t>NM_000059.4(BRCA2):c.6958T&gt;G</t>
  </si>
  <si>
    <t>p.L2320V</t>
  </si>
  <si>
    <t>NM_000059.4(BRCA2):c.6959T&gt;A</t>
  </si>
  <si>
    <t>p.L2320*</t>
  </si>
  <si>
    <t>NM_000059.4(BRCA2):c.6959T&gt;C</t>
  </si>
  <si>
    <t>p.L2320S</t>
  </si>
  <si>
    <t>NM_000059.4(BRCA2):c.6959T&gt;G</t>
  </si>
  <si>
    <t>p.L2320W</t>
  </si>
  <si>
    <t>NM_000059.4(BRCA2):c.6960G&gt;A</t>
  </si>
  <si>
    <t>NM_000059.4(BRCA2):c.6960G&gt;C</t>
  </si>
  <si>
    <t>p.L2320F</t>
  </si>
  <si>
    <t>NM_000059.4(BRCA2):c.6960G&gt;T</t>
  </si>
  <si>
    <t>NM_000059.4(BRCA2):c.6961T&gt;A</t>
  </si>
  <si>
    <t>p.F2321I</t>
  </si>
  <si>
    <t>NM_000059.4(BRCA2):c.6961T&gt;C</t>
  </si>
  <si>
    <t>p.F2321L</t>
  </si>
  <si>
    <t>NM_000059.4(BRCA2):c.6961T&gt;G</t>
  </si>
  <si>
    <t>p.F2321V</t>
  </si>
  <si>
    <t>NM_000059.4(BRCA2):c.6962T&gt;A</t>
  </si>
  <si>
    <t>p.F2321Y</t>
  </si>
  <si>
    <t>NM_000059.4(BRCA2):c.6962T&gt;C</t>
  </si>
  <si>
    <t>p.F2321S</t>
  </si>
  <si>
    <t>NM_000059.4(BRCA2):c.6962T&gt;G</t>
  </si>
  <si>
    <t>p.F2321C</t>
  </si>
  <si>
    <t>NM_000059.4(BRCA2):c.6963T&gt;A</t>
  </si>
  <si>
    <t>NM_000059.4(BRCA2):c.6963T&gt;C</t>
  </si>
  <si>
    <t>p.F2321F</t>
  </si>
  <si>
    <t>NM_000059.4(BRCA2):c.6963T&gt;G</t>
  </si>
  <si>
    <t>NM_000059.4(BRCA2):c.6964A&gt;C</t>
  </si>
  <si>
    <t>p.M2322L</t>
  </si>
  <si>
    <t>NM_000059.4(BRCA2):c.6964A&gt;G</t>
  </si>
  <si>
    <t>p.M2322V</t>
  </si>
  <si>
    <t>NM_000059.4(BRCA2):c.6964A&gt;T</t>
  </si>
  <si>
    <t>NM_000059.4(BRCA2):c.6965T&gt;A</t>
  </si>
  <si>
    <t>p.M2322K</t>
  </si>
  <si>
    <t>NM_000059.4(BRCA2):c.6965T&gt;C</t>
  </si>
  <si>
    <t>p.M2322T</t>
  </si>
  <si>
    <t>NM_000059.4(BRCA2):c.6965T&gt;G</t>
  </si>
  <si>
    <t>p.M2322R</t>
  </si>
  <si>
    <t>NM_000059.4(BRCA2):c.6966G&gt;A</t>
  </si>
  <si>
    <t>p.M2322I</t>
  </si>
  <si>
    <t>NM_000059.4(BRCA2):c.6966G&gt;C</t>
  </si>
  <si>
    <t>NM_000059.4(BRCA2):c.6966G&gt;T</t>
  </si>
  <si>
    <t>NM_000059.4(BRCA2):c.6967C&gt;A</t>
  </si>
  <si>
    <t>p.H2323N</t>
  </si>
  <si>
    <t>NM_000059.4(BRCA2):c.6967C&gt;G</t>
  </si>
  <si>
    <t>p.H2323D</t>
  </si>
  <si>
    <t>NM_000059.4(BRCA2):c.6967C&gt;T</t>
  </si>
  <si>
    <t>p.H2323Y</t>
  </si>
  <si>
    <t>NM_000059.4(BRCA2):c.6968A&gt;C</t>
  </si>
  <si>
    <t>p.H2323P</t>
  </si>
  <si>
    <t>NM_000059.4(BRCA2):c.6968A&gt;G</t>
  </si>
  <si>
    <t>p.H2323R</t>
  </si>
  <si>
    <t>NM_000059.4(BRCA2):c.6968A&gt;T</t>
  </si>
  <si>
    <t>p.H2323L</t>
  </si>
  <si>
    <t>NM_000059.4(BRCA2):c.6969T&gt;A</t>
  </si>
  <si>
    <t>p.H2323Q</t>
  </si>
  <si>
    <t>NM_000059.4(BRCA2):c.6969T&gt;C</t>
  </si>
  <si>
    <t>p.H2323H</t>
  </si>
  <si>
    <t>NM_000059.4(BRCA2):c.6969T&gt;G</t>
  </si>
  <si>
    <t>NM_000059.4(BRCA2):c.6970C&gt;A</t>
  </si>
  <si>
    <t>p.H2324N</t>
  </si>
  <si>
    <t>NM_000059.4(BRCA2):c.6970C&gt;G</t>
  </si>
  <si>
    <t>p.H2324D</t>
  </si>
  <si>
    <t>NM_000059.4(BRCA2):c.6970C&gt;T</t>
  </si>
  <si>
    <t>p.H2324Y</t>
  </si>
  <si>
    <t>NM_000059.4(BRCA2):c.6971A&gt;C</t>
  </si>
  <si>
    <t>p.H2324P</t>
  </si>
  <si>
    <t>NM_000059.4(BRCA2):c.6971A&gt;G</t>
  </si>
  <si>
    <t>p.H2324R</t>
  </si>
  <si>
    <t>NM_000059.4(BRCA2):c.6971A&gt;T</t>
  </si>
  <si>
    <t>p.H2324L</t>
  </si>
  <si>
    <t>NM_000059.4(BRCA2):c.6972T&gt;A</t>
  </si>
  <si>
    <t>p.H2324Q</t>
  </si>
  <si>
    <t>NM_000059.4(BRCA2):c.6972T&gt;C</t>
  </si>
  <si>
    <t>p.H2324H</t>
  </si>
  <si>
    <t>NM_000059.4(BRCA2):c.6972T&gt;G</t>
  </si>
  <si>
    <t>NM_000059.4(BRCA2):c.6973G&gt;A</t>
  </si>
  <si>
    <t>p.V2325I</t>
  </si>
  <si>
    <t>NM_000059.4(BRCA2):c.6973G&gt;C</t>
  </si>
  <si>
    <t>p.V2325L</t>
  </si>
  <si>
    <t>NM_000059.4(BRCA2):c.6973G&gt;T</t>
  </si>
  <si>
    <t>p.V2325F</t>
  </si>
  <si>
    <t>NM_000059.4(BRCA2):c.6974T&gt;A</t>
  </si>
  <si>
    <t>p.V2325D</t>
  </si>
  <si>
    <t>NM_000059.4(BRCA2):c.6974T&gt;C</t>
  </si>
  <si>
    <t>p.V2325A</t>
  </si>
  <si>
    <t>NM_000059.4(BRCA2):c.6974T&gt;G</t>
  </si>
  <si>
    <t>p.V2325G</t>
  </si>
  <si>
    <t>NM_000059.4(BRCA2):c.6975T&gt;A</t>
  </si>
  <si>
    <t>p.V2325V</t>
  </si>
  <si>
    <t>NM_000059.4(BRCA2):c.6975T&gt;C</t>
  </si>
  <si>
    <t>NM_000059.4(BRCA2):c.6975T&gt;G</t>
  </si>
  <si>
    <t>NM_000059.4(BRCA2):c.6976T&gt;A</t>
  </si>
  <si>
    <t>p.S2326T</t>
  </si>
  <si>
    <t>NM_000059.4(BRCA2):c.6976T&gt;C</t>
  </si>
  <si>
    <t>p.S2326P</t>
  </si>
  <si>
    <t>NM_000059.4(BRCA2):c.6976T&gt;G</t>
  </si>
  <si>
    <t>p.S2326A</t>
  </si>
  <si>
    <t>NM_000059.4(BRCA2):c.6977C&gt;A</t>
  </si>
  <si>
    <t>p.S2326Y</t>
  </si>
  <si>
    <t>NM_000059.4(BRCA2):c.6977C&gt;G</t>
  </si>
  <si>
    <t>p.S2326C</t>
  </si>
  <si>
    <t>NM_000059.4(BRCA2):c.6977C&gt;T</t>
  </si>
  <si>
    <t>p.S2326F</t>
  </si>
  <si>
    <t>NM_000059.4(BRCA2):c.6978T&gt;A</t>
  </si>
  <si>
    <t>p.S2326S</t>
  </si>
  <si>
    <t>NM_000059.4(BRCA2):c.6978T&gt;C</t>
  </si>
  <si>
    <t>NM_000059.4(BRCA2):c.6978T&gt;G</t>
  </si>
  <si>
    <t>NM_000059.4(BRCA2):c.6979T&gt;A</t>
  </si>
  <si>
    <t>p.L2327I</t>
  </si>
  <si>
    <t>NM_000059.4(BRCA2):c.6979T&gt;C</t>
  </si>
  <si>
    <t>p.L2327L</t>
  </si>
  <si>
    <t>NM_000059.4(BRCA2):c.6979T&gt;G</t>
  </si>
  <si>
    <t>p.L2327V</t>
  </si>
  <si>
    <t>NM_000059.4(BRCA2):c.6980T&gt;A</t>
  </si>
  <si>
    <t>p.L2327*</t>
  </si>
  <si>
    <t>NM_000059.4(BRCA2):c.6980T&gt;C</t>
  </si>
  <si>
    <t>p.L2327S</t>
  </si>
  <si>
    <t>NM_000059.4(BRCA2):c.6980T&gt;G</t>
  </si>
  <si>
    <t>NM_000059.4(BRCA2):c.6981A&gt;C</t>
  </si>
  <si>
    <t>p.L2327F</t>
  </si>
  <si>
    <t>NM_000059.4(BRCA2):c.6981A&gt;G</t>
  </si>
  <si>
    <t>NM_000059.4(BRCA2):c.6981A&gt;T</t>
  </si>
  <si>
    <t>NM_000059.4(BRCA2):c.6982G&gt;A</t>
  </si>
  <si>
    <t>p.E2328K</t>
  </si>
  <si>
    <t>NM_000059.4(BRCA2):c.6982G&gt;C</t>
  </si>
  <si>
    <t>p.E2328Q</t>
  </si>
  <si>
    <t>NM_000059.4(BRCA2):c.6982G&gt;T</t>
  </si>
  <si>
    <t>p.E2328*</t>
  </si>
  <si>
    <t>NM_000059.4(BRCA2):c.6983A&gt;C</t>
  </si>
  <si>
    <t>p.E2328A</t>
  </si>
  <si>
    <t>NM_000059.4(BRCA2):c.6983A&gt;G</t>
  </si>
  <si>
    <t>p.E2328G</t>
  </si>
  <si>
    <t>NM_000059.4(BRCA2):c.6983A&gt;T</t>
  </si>
  <si>
    <t>p.E2328V</t>
  </si>
  <si>
    <t>NM_000059.4(BRCA2):c.6984G&gt;A</t>
  </si>
  <si>
    <t>p.E2328E</t>
  </si>
  <si>
    <t>NM_000059.4(BRCA2):c.6984G&gt;C</t>
  </si>
  <si>
    <t>p.E2328D</t>
  </si>
  <si>
    <t>NM_000059.4(BRCA2):c.6984G&gt;T</t>
  </si>
  <si>
    <t>NM_000059.4(BRCA2):c.6985C&gt;A</t>
  </si>
  <si>
    <t>p.P2329T</t>
  </si>
  <si>
    <t>NM_000059.4(BRCA2):c.6985C&gt;G</t>
  </si>
  <si>
    <t>p.P2329A</t>
  </si>
  <si>
    <t>NM_000059.4(BRCA2):c.6985C&gt;T</t>
  </si>
  <si>
    <t>p.P2329S</t>
  </si>
  <si>
    <t>NM_000059.4(BRCA2):c.6986C&gt;A</t>
  </si>
  <si>
    <t>p.P2329Q</t>
  </si>
  <si>
    <t>NM_000059.4(BRCA2):c.6986C&gt;G</t>
  </si>
  <si>
    <t>p.P2329R</t>
  </si>
  <si>
    <t>NM_000059.4(BRCA2):c.6986C&gt;T</t>
  </si>
  <si>
    <t>p.P2329L</t>
  </si>
  <si>
    <t>Ghouil et al., Nat Comm (2021)</t>
  </si>
  <si>
    <t>NM_000059.4(BRCA2):c.6987G&gt;A</t>
  </si>
  <si>
    <t>p.P2329P</t>
  </si>
  <si>
    <t>NM_000059.4(BRCA2):c.6987G&gt;C</t>
  </si>
  <si>
    <t>NM_000059.4(BRCA2):c.6987G&gt;T</t>
  </si>
  <si>
    <t>NM_000059.4(BRCA2):c.6988A&gt;C</t>
  </si>
  <si>
    <t>p.I2330L</t>
  </si>
  <si>
    <t>NM_000059.4(BRCA2):c.6988A&gt;G</t>
  </si>
  <si>
    <t>p.I2330V</t>
  </si>
  <si>
    <t>NM_000059.4(BRCA2):c.6988A&gt;T</t>
  </si>
  <si>
    <t>p.I2330F</t>
  </si>
  <si>
    <t>NM_000059.4(BRCA2):c.6989T&gt;A</t>
  </si>
  <si>
    <t>p.I2330N</t>
  </si>
  <si>
    <t>NM_000059.4(BRCA2):c.6989T&gt;C</t>
  </si>
  <si>
    <t>p.I2330T</t>
  </si>
  <si>
    <t>NM_000059.4(BRCA2):c.6989T&gt;G</t>
  </si>
  <si>
    <t>p.I2330S</t>
  </si>
  <si>
    <t>NM_000059.4(BRCA2):c.6990T&gt;A</t>
  </si>
  <si>
    <t>p.I2330I</t>
  </si>
  <si>
    <t>NM_000059.4(BRCA2):c.6990T&gt;C</t>
  </si>
  <si>
    <t>NM_000059.4(BRCA2):c.6990T&gt;G</t>
  </si>
  <si>
    <t>p.I2330M</t>
  </si>
  <si>
    <t>NM_000059.4(BRCA2):c.6991A&gt;C</t>
  </si>
  <si>
    <t>p.T2331P</t>
  </si>
  <si>
    <t>NM_000059.4(BRCA2):c.6991A&gt;G</t>
  </si>
  <si>
    <t>p.T2331A</t>
  </si>
  <si>
    <t>Parsons et al., Human Mut (2019)</t>
  </si>
  <si>
    <t>NM_000059.4(BRCA2):c.6991A&gt;T</t>
  </si>
  <si>
    <t>p.T2331S</t>
  </si>
  <si>
    <t>NM_000059.4(BRCA2):c.6992C&gt;A</t>
  </si>
  <si>
    <t>p.T2331K</t>
  </si>
  <si>
    <t>NM_000059.4(BRCA2):c.6992C&gt;G</t>
  </si>
  <si>
    <t>p.T2331R</t>
  </si>
  <si>
    <t>NM_000059.4(BRCA2):c.6992C&gt;T</t>
  </si>
  <si>
    <t>p.T2331I</t>
  </si>
  <si>
    <t>NM_000059.4(BRCA2):c.6994T&gt;A</t>
  </si>
  <si>
    <t>p.C2332S</t>
  </si>
  <si>
    <t>NM_000059.4(BRCA2):c.6994T&gt;C</t>
  </si>
  <si>
    <t>p.C2332R</t>
  </si>
  <si>
    <t>NM_000059.4(BRCA2):c.6994T&gt;G</t>
  </si>
  <si>
    <t>p.C2332G</t>
  </si>
  <si>
    <t>NM_000059.4(BRCA2):c.6995G&gt;A</t>
  </si>
  <si>
    <t>p.C2332Y</t>
  </si>
  <si>
    <t>NM_000059.4(BRCA2):c.6995G&gt;C</t>
  </si>
  <si>
    <t>NM_000059.4(BRCA2):c.6995G&gt;T</t>
  </si>
  <si>
    <t>p.C2332F</t>
  </si>
  <si>
    <t>NM_000059.4(BRCA2):c.6996T&gt;A</t>
  </si>
  <si>
    <t>p.C2332*</t>
  </si>
  <si>
    <t>NM_000059.4(BRCA2):c.6996T&gt;C</t>
  </si>
  <si>
    <t>p.C2332C</t>
  </si>
  <si>
    <t>NM_000059.4(BRCA2):c.6996T&gt;G</t>
  </si>
  <si>
    <t>p.C2332W</t>
  </si>
  <si>
    <t>NM_000059.4(BRCA2):c.6997G&gt;A</t>
  </si>
  <si>
    <t>p.V2333I</t>
  </si>
  <si>
    <t>NM_000059.4(BRCA2):c.6997G&gt;C</t>
  </si>
  <si>
    <t>p.V2333L</t>
  </si>
  <si>
    <t>NM_000059.4(BRCA2):c.6997G&gt;T</t>
  </si>
  <si>
    <t>NM_000059.4(BRCA2):c.6998T&gt;A</t>
  </si>
  <si>
    <t>p.V2333E</t>
  </si>
  <si>
    <t>NM_000059.4(BRCA2):c.6998T&gt;C</t>
  </si>
  <si>
    <t>p.V2333A</t>
  </si>
  <si>
    <t>NM_000059.4(BRCA2):c.6998T&gt;G</t>
  </si>
  <si>
    <t>p.V2333G</t>
  </si>
  <si>
    <t>NM_000059.4(BRCA2):c.6999A&gt;C</t>
  </si>
  <si>
    <t>p.V2333V</t>
  </si>
  <si>
    <t>NM_000059.4(BRCA2):c.6999A&gt;G</t>
  </si>
  <si>
    <t>NM_000059.4(BRCA2):c.6999A&gt;T</t>
  </si>
  <si>
    <t>NM_000059.4(BRCA2):c.7000C&gt;A</t>
  </si>
  <si>
    <t>p.P2334T</t>
  </si>
  <si>
    <t>NM_000059.4(BRCA2):c.7000C&gt;G</t>
  </si>
  <si>
    <t>p.P2334A</t>
  </si>
  <si>
    <t>NM_000059.4(BRCA2):c.7000C&gt;T</t>
  </si>
  <si>
    <t>p.P2334S</t>
  </si>
  <si>
    <t>NM_000059.4(BRCA2):c.7001C&gt;A</t>
  </si>
  <si>
    <t>p.P2334H</t>
  </si>
  <si>
    <t>NM_000059.4(BRCA2):c.7001C&gt;G</t>
  </si>
  <si>
    <t>p.P2334R</t>
  </si>
  <si>
    <t>NM_000059.4(BRCA2):c.7001C&gt;T</t>
  </si>
  <si>
    <t>p.P2334L</t>
  </si>
  <si>
    <t>NM_000059.4(BRCA2):c.7002C&gt;A</t>
  </si>
  <si>
    <t>p.P2334P</t>
  </si>
  <si>
    <t>NM_000059.4(BRCA2):c.7002C&gt;G</t>
  </si>
  <si>
    <t>NM_000059.4(BRCA2):c.7002C&gt;T</t>
  </si>
  <si>
    <t>NM_000059.4(BRCA2):c.7003T&gt;A</t>
  </si>
  <si>
    <t>p.F2335I</t>
  </si>
  <si>
    <t>NM_000059.4(BRCA2):c.7003T&gt;C</t>
  </si>
  <si>
    <t>p.F2335L</t>
  </si>
  <si>
    <t>NM_000059.4(BRCA2):c.7003T&gt;G</t>
  </si>
  <si>
    <t>p.F2335V</t>
  </si>
  <si>
    <t>NM_000059.4(BRCA2):c.7004T&gt;A</t>
  </si>
  <si>
    <t>p.F2335Y</t>
  </si>
  <si>
    <t>NM_000059.4(BRCA2):c.7004T&gt;C</t>
  </si>
  <si>
    <t>p.F2335S</t>
  </si>
  <si>
    <t>NM_000059.4(BRCA2):c.7004T&gt;G</t>
  </si>
  <si>
    <t>p.F2335C</t>
  </si>
  <si>
    <t>NM_000059.4(BRCA2):c.7005T&gt;A</t>
  </si>
  <si>
    <t>NM_000059.4(BRCA2):c.7005T&gt;C</t>
  </si>
  <si>
    <t>p.F2335F</t>
  </si>
  <si>
    <t>NM_000059.4(BRCA2):c.7005T&gt;G</t>
  </si>
  <si>
    <t>NM_000059.4(BRCA2):c.7006C&gt;A</t>
  </si>
  <si>
    <t>p.R2336R</t>
  </si>
  <si>
    <t>NM_000059.4(BRCA2):c.7006C&gt;G</t>
  </si>
  <si>
    <t>p.R2336G</t>
  </si>
  <si>
    <t>NM_000059.4(BRCA2):c.7006C&gt;T</t>
  </si>
  <si>
    <t>p.R2336C</t>
  </si>
  <si>
    <t>NM_000059.4(BRCA2):c.7007G&gt;A</t>
  </si>
  <si>
    <t>p.R2336H</t>
  </si>
  <si>
    <t>Howlett, Science (2002), Biswas et al. NPJ genomic medicine (2020); Machackova, BMC Cancer (2008)</t>
  </si>
  <si>
    <t>NM_000059.4(BRCA2):c.7007G&gt;C</t>
  </si>
  <si>
    <t>p.R2336P</t>
  </si>
  <si>
    <t>Houdayer, Hum Mut (2012); Serova-Sinlinikova, Am J Hum Genet (1997);Biswas et al. NPJ genomic medicine (2020)</t>
  </si>
  <si>
    <t>NM_000059.4(BRCA2):c.7007G&gt;T</t>
  </si>
  <si>
    <t>p.R2336L</t>
  </si>
  <si>
    <t>Kwong, PlosOne (2012);Biswas et al. NPJ genomic medicine (2020)</t>
  </si>
  <si>
    <t>NM_000059.4(BRCA2):c.7007+1G&gt;T</t>
  </si>
  <si>
    <t>Meindl (2002) Int J  Cancer</t>
  </si>
  <si>
    <t>NM_000059.4(BRCA2):c.7007+1G&gt;C</t>
  </si>
  <si>
    <t>Whiley, Hum Mut (2011)</t>
  </si>
  <si>
    <t>NM_000059.4(BRCA2):c.7007+1G&gt;A</t>
  </si>
  <si>
    <t>NM_000059.4(BRCA2):c.7007+2T&gt;C</t>
  </si>
  <si>
    <t>NM_000059.4(BRCA2):c.7007+2T&gt;G</t>
  </si>
  <si>
    <t>NM_000059.4(BRCA2):c.7007+2T&gt;A</t>
  </si>
  <si>
    <t>NM_000059.4(BRCA2):c.7007+3A&gt;G</t>
  </si>
  <si>
    <t>NM_000059.4(BRCA2):c.7007+3A&gt;T</t>
  </si>
  <si>
    <t>NM_000059.4(BRCA2):c.7007+3A&gt;C</t>
  </si>
  <si>
    <t>NM_000059.4(BRCA2):c.7007+4A&gt;T</t>
  </si>
  <si>
    <t>NM_000059.4(BRCA2):c.7007+4A&gt;G</t>
  </si>
  <si>
    <t>NM_000059.4(BRCA2):c.7007+4A&gt;C</t>
  </si>
  <si>
    <t>NM_000059.4(BRCA2):c.7007+5G&gt;T</t>
  </si>
  <si>
    <t>NM_000059.4(BRCA2):c.7007+5G&gt;A</t>
  </si>
  <si>
    <t>NM_000059.4(BRCA2):c.7007+5G&gt;C</t>
  </si>
  <si>
    <t>NM_000059.4(BRCA2):c.7007+6A&gt;T</t>
  </si>
  <si>
    <t>NM_000059.4(BRCA2):c.7007+6A&gt;G</t>
  </si>
  <si>
    <t>NM_000059.4(BRCA2):c.7007+6A&gt;C</t>
  </si>
  <si>
    <t>NM_000059.4(BRCA2):c.7007+7C&gt;T</t>
  </si>
  <si>
    <t>NM_000059.4(BRCA2):c.7007+7C&gt;G</t>
  </si>
  <si>
    <t>NM_000059.4(BRCA2):c.7007+7C&gt;A</t>
  </si>
  <si>
    <t>hgvs_c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</si>
</sst>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16E5-BF91-FE4D-9CC6-45450DA01AD3}">
  <dimension ref="A1:P253"/>
  <sheetViews>
    <sheetView tabSelected="1" zoomScale="157" workbookViewId="0">
      <selection activeCell="C45" sqref="C45"/>
    </sheetView>
  </sheetViews>
  <sheetFormatPr baseColWidth="10" defaultRowHeight="16" x14ac:dyDescent="0.2"/>
  <cols>
    <col min="1" max="2" width="33.1640625" customWidth="1"/>
    <col min="5" max="5" width="16.5" customWidth="1"/>
    <col min="14" max="14" width="26.5" customWidth="1"/>
  </cols>
  <sheetData>
    <row r="1" spans="1:16" s="1" customFormat="1" x14ac:dyDescent="0.2">
      <c r="A1" s="1" t="s">
        <v>0</v>
      </c>
      <c r="B1" s="1" t="s">
        <v>452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/>
    </row>
    <row r="2" spans="1:16" x14ac:dyDescent="0.2">
      <c r="A2" s="3" t="s">
        <v>14</v>
      </c>
      <c r="B2" s="3" t="str">
        <f>MID(A2,20,50)</f>
        <v>c.6938-12A&gt;T</v>
      </c>
      <c r="C2" s="3"/>
      <c r="D2" s="3">
        <v>13.23</v>
      </c>
      <c r="E2" s="3">
        <v>0.72841902000000003</v>
      </c>
      <c r="F2" s="3">
        <v>0.65145220000000004</v>
      </c>
      <c r="G2" s="3">
        <v>0.74001373000000004</v>
      </c>
      <c r="H2" s="3">
        <v>0.68235442000000002</v>
      </c>
      <c r="I2" s="3">
        <v>1.1439000000000001E-17</v>
      </c>
      <c r="J2" s="3" t="s">
        <v>15</v>
      </c>
      <c r="K2" s="3">
        <v>9.4789999999999992</v>
      </c>
      <c r="L2" s="3">
        <v>-0.43317299999999997</v>
      </c>
      <c r="M2" s="3"/>
      <c r="N2" s="3"/>
      <c r="O2" s="3"/>
      <c r="P2" s="3"/>
    </row>
    <row r="3" spans="1:16" x14ac:dyDescent="0.2">
      <c r="A3" s="3" t="s">
        <v>16</v>
      </c>
      <c r="B3" s="3" t="str">
        <f t="shared" ref="B3:B66" si="0">MID(A3,20,50)</f>
        <v>c.6938-12A&gt;C</v>
      </c>
      <c r="C3" s="3"/>
      <c r="D3" s="3">
        <v>13.23</v>
      </c>
      <c r="E3" s="3">
        <v>0.24471314</v>
      </c>
      <c r="F3" s="3">
        <v>0.10736432999999999</v>
      </c>
      <c r="G3" s="3">
        <v>0.33320590999999999</v>
      </c>
      <c r="H3" s="3">
        <v>0.15273858000000001</v>
      </c>
      <c r="I3" s="3">
        <v>1</v>
      </c>
      <c r="J3" s="3" t="s">
        <v>17</v>
      </c>
      <c r="K3" s="3">
        <v>22.9</v>
      </c>
      <c r="L3" s="3">
        <v>-0.41925000000000001</v>
      </c>
      <c r="M3" s="3"/>
      <c r="N3" s="3"/>
      <c r="O3" s="3"/>
      <c r="P3" s="3"/>
    </row>
    <row r="4" spans="1:16" x14ac:dyDescent="0.2">
      <c r="A4" s="3" t="s">
        <v>18</v>
      </c>
      <c r="B4" s="3" t="str">
        <f t="shared" si="0"/>
        <v>c.6938-12A&gt;G</v>
      </c>
      <c r="C4" s="3"/>
      <c r="D4" s="3">
        <v>13.23</v>
      </c>
      <c r="E4" s="3">
        <v>0.77835341000000002</v>
      </c>
      <c r="F4" s="3">
        <v>1.0612062499999999</v>
      </c>
      <c r="G4" s="3">
        <v>0.93480806000000005</v>
      </c>
      <c r="H4" s="3">
        <v>0.93710017999999995</v>
      </c>
      <c r="I4" s="3">
        <v>8.8938000000000007E-71</v>
      </c>
      <c r="J4" s="3" t="s">
        <v>15</v>
      </c>
      <c r="K4" s="3">
        <v>9.0660000000000007</v>
      </c>
      <c r="L4" s="3">
        <v>-0.43317299999999997</v>
      </c>
      <c r="M4" s="3"/>
      <c r="N4" s="3"/>
      <c r="O4" s="3"/>
      <c r="P4" s="3"/>
    </row>
    <row r="5" spans="1:16" x14ac:dyDescent="0.2">
      <c r="A5" s="3" t="s">
        <v>19</v>
      </c>
      <c r="B5" s="3" t="str">
        <f t="shared" si="0"/>
        <v>c.6938-11T&gt;C</v>
      </c>
      <c r="C5" s="3"/>
      <c r="D5" s="3">
        <v>13.23</v>
      </c>
      <c r="E5" s="3">
        <v>1.2837042299999999</v>
      </c>
      <c r="F5" s="3">
        <v>1.1906093499999999</v>
      </c>
      <c r="G5" s="3">
        <v>1.09505118</v>
      </c>
      <c r="H5" s="3">
        <v>1.2642051999999999</v>
      </c>
      <c r="I5" s="3">
        <v>3.1760000000000001E-186</v>
      </c>
      <c r="J5" s="3" t="s">
        <v>15</v>
      </c>
      <c r="K5" s="3">
        <v>14.33</v>
      </c>
      <c r="L5" s="3">
        <v>-0.33571000000000001</v>
      </c>
      <c r="M5" s="3"/>
      <c r="N5" s="3"/>
      <c r="O5" s="3"/>
      <c r="P5" s="3"/>
    </row>
    <row r="6" spans="1:16" x14ac:dyDescent="0.2">
      <c r="A6" s="3" t="s">
        <v>20</v>
      </c>
      <c r="B6" s="3" t="str">
        <f t="shared" si="0"/>
        <v>c.6938-11T&gt;G</v>
      </c>
      <c r="C6" s="3"/>
      <c r="D6" s="3">
        <v>13.23</v>
      </c>
      <c r="E6" s="3">
        <v>1.03211436</v>
      </c>
      <c r="F6" s="3">
        <v>0.76245702999999998</v>
      </c>
      <c r="G6" s="3">
        <v>0.69670650999999995</v>
      </c>
      <c r="H6" s="3">
        <v>0.87286859000000006</v>
      </c>
      <c r="I6" s="3">
        <v>8.1448999999999996E-55</v>
      </c>
      <c r="J6" s="3" t="s">
        <v>15</v>
      </c>
      <c r="K6" s="3">
        <v>11.21</v>
      </c>
      <c r="L6" s="3">
        <v>-0.36355599999999999</v>
      </c>
      <c r="M6" s="3"/>
      <c r="N6" s="3"/>
      <c r="O6" s="3"/>
      <c r="P6" s="3"/>
    </row>
    <row r="7" spans="1:16" x14ac:dyDescent="0.2">
      <c r="A7" s="3" t="s">
        <v>21</v>
      </c>
      <c r="B7" s="3" t="str">
        <f t="shared" si="0"/>
        <v>c.6938-11T&gt;A</v>
      </c>
      <c r="C7" s="3"/>
      <c r="D7" s="3">
        <v>13.23</v>
      </c>
      <c r="E7" s="3">
        <v>-0.1226766</v>
      </c>
      <c r="F7" s="3">
        <v>-0.86878730000000004</v>
      </c>
      <c r="G7" s="3">
        <v>-1.1748666999999999</v>
      </c>
      <c r="H7" s="3">
        <v>-0.73442419999999997</v>
      </c>
      <c r="I7" s="3">
        <v>1</v>
      </c>
      <c r="J7" s="3" t="s">
        <v>17</v>
      </c>
      <c r="K7" s="3">
        <v>23.2</v>
      </c>
      <c r="L7" s="3">
        <v>-0.34963300000000003</v>
      </c>
      <c r="M7" s="3"/>
      <c r="N7" s="3"/>
      <c r="O7" s="3"/>
      <c r="P7" s="3"/>
    </row>
    <row r="8" spans="1:16" x14ac:dyDescent="0.2">
      <c r="A8" s="3" t="s">
        <v>22</v>
      </c>
      <c r="B8" s="3" t="str">
        <f t="shared" si="0"/>
        <v>c.6938-10T&gt;C</v>
      </c>
      <c r="C8" s="3"/>
      <c r="D8" s="3">
        <v>13.23</v>
      </c>
      <c r="E8" s="3">
        <v>0.83907655999999997</v>
      </c>
      <c r="F8" s="3">
        <v>0.35591601</v>
      </c>
      <c r="G8" s="3">
        <v>0.29966728999999998</v>
      </c>
      <c r="H8" s="3">
        <v>0.54376351999999994</v>
      </c>
      <c r="I8" s="3">
        <v>0.85171317000000002</v>
      </c>
      <c r="J8" s="3" t="s">
        <v>23</v>
      </c>
      <c r="K8" s="3">
        <v>0.79100000000000004</v>
      </c>
      <c r="L8" s="3">
        <v>-0.34531699999999999</v>
      </c>
      <c r="M8" s="3"/>
      <c r="N8" s="3"/>
      <c r="O8" s="3"/>
      <c r="P8" s="3"/>
    </row>
    <row r="9" spans="1:16" x14ac:dyDescent="0.2">
      <c r="A9" s="3" t="s">
        <v>24</v>
      </c>
      <c r="B9" s="3" t="str">
        <f t="shared" si="0"/>
        <v>c.6938-9G&gt;C</v>
      </c>
      <c r="C9" s="3"/>
      <c r="D9" s="3">
        <v>13.23</v>
      </c>
      <c r="E9" s="3">
        <v>0.71033354000000004</v>
      </c>
      <c r="F9" s="3">
        <v>0.79916213999999997</v>
      </c>
      <c r="G9" s="3">
        <v>0.74406474</v>
      </c>
      <c r="H9" s="3">
        <v>0.70756284999999997</v>
      </c>
      <c r="I9" s="3">
        <v>9.8836000000000004E-22</v>
      </c>
      <c r="J9" s="3" t="s">
        <v>15</v>
      </c>
      <c r="K9" s="3">
        <v>4.8570000000000002</v>
      </c>
      <c r="L9" s="3">
        <v>-0.24520700000000001</v>
      </c>
      <c r="M9" s="3"/>
      <c r="N9" s="3"/>
      <c r="O9" s="3"/>
      <c r="P9" s="3"/>
    </row>
    <row r="10" spans="1:16" x14ac:dyDescent="0.2">
      <c r="A10" s="3" t="s">
        <v>25</v>
      </c>
      <c r="B10" s="3" t="str">
        <f t="shared" si="0"/>
        <v>c.6938-9G&gt;T</v>
      </c>
      <c r="C10" s="3"/>
      <c r="D10" s="3">
        <v>13.23</v>
      </c>
      <c r="E10" s="3">
        <v>1.01465063</v>
      </c>
      <c r="F10" s="3">
        <v>0.96907226000000002</v>
      </c>
      <c r="G10" s="3">
        <v>1.0620942499999999</v>
      </c>
      <c r="H10" s="3">
        <v>1.01299367</v>
      </c>
      <c r="I10" s="3">
        <v>3.8624000000000002E-93</v>
      </c>
      <c r="J10" s="3" t="s">
        <v>15</v>
      </c>
      <c r="K10" s="3">
        <v>3.782</v>
      </c>
      <c r="L10" s="3">
        <v>-0.28697800000000001</v>
      </c>
      <c r="M10" s="3"/>
      <c r="N10" s="3"/>
      <c r="O10" s="3"/>
      <c r="P10" s="3"/>
    </row>
    <row r="11" spans="1:16" x14ac:dyDescent="0.2">
      <c r="A11" s="3" t="s">
        <v>26</v>
      </c>
      <c r="B11" s="3" t="str">
        <f t="shared" si="0"/>
        <v>c.6938-9G&gt;A</v>
      </c>
      <c r="C11" s="3"/>
      <c r="D11" s="3">
        <v>13.23</v>
      </c>
      <c r="E11" s="3">
        <v>0.94139485999999994</v>
      </c>
      <c r="F11" s="3">
        <v>0.96095463999999997</v>
      </c>
      <c r="G11" s="3">
        <v>0.96015852999999995</v>
      </c>
      <c r="H11" s="3">
        <v>0.94360407999999996</v>
      </c>
      <c r="I11" s="3">
        <v>1.6054E-72</v>
      </c>
      <c r="J11" s="3" t="s">
        <v>15</v>
      </c>
      <c r="K11" s="3">
        <v>3.47</v>
      </c>
      <c r="L11" s="3">
        <v>-0.34963300000000003</v>
      </c>
      <c r="M11" s="3"/>
      <c r="N11" s="3"/>
      <c r="O11" s="3"/>
      <c r="P11" s="3"/>
    </row>
    <row r="12" spans="1:16" x14ac:dyDescent="0.2">
      <c r="A12" s="3" t="s">
        <v>27</v>
      </c>
      <c r="B12" s="3" t="str">
        <f t="shared" si="0"/>
        <v>c.6938-8T&gt;C</v>
      </c>
      <c r="C12" s="3"/>
      <c r="D12" s="3">
        <v>13.23</v>
      </c>
      <c r="E12" s="3">
        <v>0.53280596000000002</v>
      </c>
      <c r="F12" s="3">
        <v>0.49923694000000002</v>
      </c>
      <c r="G12" s="3">
        <v>0.38519772000000002</v>
      </c>
      <c r="H12" s="3">
        <v>0.39294991000000001</v>
      </c>
      <c r="I12" s="3">
        <v>1</v>
      </c>
      <c r="J12" s="3" t="s">
        <v>17</v>
      </c>
      <c r="K12" s="3">
        <v>9.09</v>
      </c>
      <c r="L12" s="3">
        <v>-0.27305400000000002</v>
      </c>
      <c r="M12" s="3"/>
      <c r="N12" s="3"/>
      <c r="O12" s="3"/>
      <c r="P12" s="3"/>
    </row>
    <row r="13" spans="1:16" x14ac:dyDescent="0.2">
      <c r="A13" s="3" t="s">
        <v>28</v>
      </c>
      <c r="B13" s="3" t="str">
        <f t="shared" si="0"/>
        <v>c.6938-7T&gt;C</v>
      </c>
      <c r="C13" s="3"/>
      <c r="D13" s="3">
        <v>13.23</v>
      </c>
      <c r="E13" s="3">
        <v>1.1875306699999999</v>
      </c>
      <c r="F13" s="3">
        <v>0.97297794000000004</v>
      </c>
      <c r="G13" s="3">
        <v>1.2700497900000001</v>
      </c>
      <c r="H13" s="3">
        <v>1.1627915</v>
      </c>
      <c r="I13" s="3">
        <v>1.549E-145</v>
      </c>
      <c r="J13" s="3" t="s">
        <v>15</v>
      </c>
      <c r="K13" s="3">
        <v>13.82</v>
      </c>
      <c r="L13" s="3">
        <v>-0.217361</v>
      </c>
      <c r="M13" s="3"/>
      <c r="N13" s="3"/>
      <c r="O13" s="3"/>
      <c r="P13" s="3"/>
    </row>
    <row r="14" spans="1:16" x14ac:dyDescent="0.2">
      <c r="A14" s="3" t="s">
        <v>29</v>
      </c>
      <c r="B14" s="3" t="str">
        <f t="shared" si="0"/>
        <v>c.6938-7T&gt;G</v>
      </c>
      <c r="C14" s="3"/>
      <c r="D14" s="3">
        <v>13.23</v>
      </c>
      <c r="E14" s="3">
        <v>1.2679012199999999</v>
      </c>
      <c r="F14" s="3">
        <v>1.26197089</v>
      </c>
      <c r="G14" s="3">
        <v>1.26662388</v>
      </c>
      <c r="H14" s="3">
        <v>1.30242569</v>
      </c>
      <c r="I14" s="3">
        <v>1.1939999999999999E-202</v>
      </c>
      <c r="J14" s="3" t="s">
        <v>15</v>
      </c>
      <c r="K14" s="3">
        <v>10.52</v>
      </c>
      <c r="L14" s="3">
        <v>-0.259131</v>
      </c>
      <c r="M14" s="3"/>
      <c r="N14" s="3"/>
      <c r="O14" s="3"/>
      <c r="P14" s="3"/>
    </row>
    <row r="15" spans="1:16" x14ac:dyDescent="0.2">
      <c r="A15" s="3" t="s">
        <v>30</v>
      </c>
      <c r="B15" s="3" t="str">
        <f t="shared" si="0"/>
        <v>c.6938-7T&gt;A</v>
      </c>
      <c r="C15" s="3"/>
      <c r="D15" s="3">
        <v>13.23</v>
      </c>
      <c r="E15" s="3">
        <v>0.35863759000000001</v>
      </c>
      <c r="F15" s="3">
        <v>8.4109130000000004E-2</v>
      </c>
      <c r="G15" s="3">
        <v>-0.32536809999999999</v>
      </c>
      <c r="H15" s="3">
        <v>-2.8117E-2</v>
      </c>
      <c r="I15" s="3">
        <v>1</v>
      </c>
      <c r="J15" s="3" t="s">
        <v>17</v>
      </c>
      <c r="K15" s="3">
        <v>13.28</v>
      </c>
      <c r="L15" s="3">
        <v>-0.23128399999999999</v>
      </c>
      <c r="M15" s="3"/>
      <c r="N15" s="3"/>
      <c r="O15" s="3"/>
      <c r="P15" s="3"/>
    </row>
    <row r="16" spans="1:16" x14ac:dyDescent="0.2">
      <c r="A16" s="3" t="s">
        <v>31</v>
      </c>
      <c r="B16" s="3" t="str">
        <f t="shared" si="0"/>
        <v>c.6938-6T&gt;C</v>
      </c>
      <c r="C16" s="3"/>
      <c r="D16" s="3">
        <v>13.23</v>
      </c>
      <c r="E16" s="3">
        <v>1.1414177999999999</v>
      </c>
      <c r="F16" s="3">
        <v>1.0287901399999999</v>
      </c>
      <c r="G16" s="3">
        <v>1.2842317700000001</v>
      </c>
      <c r="H16" s="3">
        <v>1.15577766</v>
      </c>
      <c r="I16" s="3">
        <v>7.0549999999999998E-143</v>
      </c>
      <c r="J16" s="3" t="s">
        <v>15</v>
      </c>
      <c r="K16" s="3">
        <v>12.1</v>
      </c>
      <c r="L16" s="3">
        <v>-0.210399</v>
      </c>
      <c r="M16" s="3"/>
      <c r="N16" s="3"/>
      <c r="O16" s="3"/>
      <c r="P16" s="3"/>
    </row>
    <row r="17" spans="1:16" x14ac:dyDescent="0.2">
      <c r="A17" s="3" t="s">
        <v>32</v>
      </c>
      <c r="B17" s="3" t="str">
        <f t="shared" si="0"/>
        <v>c.6938-5C&gt;G</v>
      </c>
      <c r="C17" s="3"/>
      <c r="D17" s="3">
        <v>13.23</v>
      </c>
      <c r="E17" s="3">
        <v>-1.8191316</v>
      </c>
      <c r="F17" s="3">
        <v>-1.7633178</v>
      </c>
      <c r="G17" s="3">
        <v>-2.9639801000000001</v>
      </c>
      <c r="H17" s="3">
        <v>-2.6228299000000002</v>
      </c>
      <c r="I17" s="3">
        <v>1</v>
      </c>
      <c r="J17" s="3" t="s">
        <v>17</v>
      </c>
      <c r="K17" s="3">
        <v>8.93</v>
      </c>
      <c r="L17" s="3">
        <v>-0.16166700000000001</v>
      </c>
      <c r="M17" s="3"/>
      <c r="N17" s="3"/>
      <c r="O17" s="3"/>
      <c r="P17" s="3"/>
    </row>
    <row r="18" spans="1:16" x14ac:dyDescent="0.2">
      <c r="A18" s="3" t="s">
        <v>33</v>
      </c>
      <c r="B18" s="3" t="str">
        <f t="shared" si="0"/>
        <v>c.6938-5C&gt;T</v>
      </c>
      <c r="C18" s="3"/>
      <c r="D18" s="3">
        <v>13.23</v>
      </c>
      <c r="E18" s="3">
        <v>0.68076501</v>
      </c>
      <c r="F18" s="3">
        <v>0.52784465999999997</v>
      </c>
      <c r="G18" s="3">
        <v>0.62217507999999999</v>
      </c>
      <c r="H18" s="3">
        <v>0.54417057000000002</v>
      </c>
      <c r="I18" s="3">
        <v>0.83954706999999995</v>
      </c>
      <c r="J18" s="3" t="s">
        <v>23</v>
      </c>
      <c r="K18" s="3">
        <v>5.8259999999999996</v>
      </c>
      <c r="L18" s="3">
        <v>-0.18951399999999999</v>
      </c>
      <c r="M18" s="3"/>
      <c r="N18" s="3"/>
      <c r="O18" s="3" t="s">
        <v>34</v>
      </c>
      <c r="P18" s="3"/>
    </row>
    <row r="19" spans="1:16" x14ac:dyDescent="0.2">
      <c r="A19" s="3" t="s">
        <v>35</v>
      </c>
      <c r="B19" s="3" t="str">
        <f t="shared" si="0"/>
        <v>c.6938-4C&gt;A</v>
      </c>
      <c r="C19" s="3"/>
      <c r="D19" s="3">
        <v>13.23</v>
      </c>
      <c r="E19" s="3">
        <v>0.84546617999999996</v>
      </c>
      <c r="F19" s="3">
        <v>0.73402915999999996</v>
      </c>
      <c r="G19" s="3">
        <v>0.48466271</v>
      </c>
      <c r="H19" s="3">
        <v>0.66308096000000005</v>
      </c>
      <c r="I19" s="3">
        <v>9.7710000000000004E-15</v>
      </c>
      <c r="J19" s="3" t="s">
        <v>15</v>
      </c>
      <c r="K19" s="3">
        <v>4.5529999999999999</v>
      </c>
      <c r="L19" s="3">
        <v>-0.14774399999999999</v>
      </c>
      <c r="M19" s="3"/>
      <c r="N19" s="3"/>
      <c r="O19" s="3"/>
      <c r="P19" s="3"/>
    </row>
    <row r="20" spans="1:16" x14ac:dyDescent="0.2">
      <c r="A20" s="3" t="s">
        <v>36</v>
      </c>
      <c r="B20" s="3" t="str">
        <f t="shared" si="0"/>
        <v>c.6938-4C&gt;T</v>
      </c>
      <c r="C20" s="3"/>
      <c r="D20" s="3">
        <v>13.23</v>
      </c>
      <c r="E20" s="3">
        <v>1.0112272899999999</v>
      </c>
      <c r="F20" s="3">
        <v>0.90010688999999999</v>
      </c>
      <c r="G20" s="3">
        <v>0.99703547999999997</v>
      </c>
      <c r="H20" s="3">
        <v>0.94905229000000002</v>
      </c>
      <c r="I20" s="3">
        <v>5.2499999999999996E-74</v>
      </c>
      <c r="J20" s="3" t="s">
        <v>15</v>
      </c>
      <c r="K20" s="3">
        <v>4.4989999999999997</v>
      </c>
      <c r="L20" s="3">
        <v>-0.14774399999999999</v>
      </c>
      <c r="M20" s="3"/>
      <c r="N20" s="3"/>
      <c r="O20" s="3"/>
      <c r="P20" s="3"/>
    </row>
    <row r="21" spans="1:16" x14ac:dyDescent="0.2">
      <c r="A21" s="3" t="s">
        <v>37</v>
      </c>
      <c r="B21" s="3" t="str">
        <f t="shared" si="0"/>
        <v>c.6938-3T&gt;A</v>
      </c>
      <c r="C21" s="3"/>
      <c r="D21" s="3">
        <v>13.23</v>
      </c>
      <c r="E21" s="3">
        <v>1.2069948800000001</v>
      </c>
      <c r="F21" s="3">
        <v>0.98228026999999996</v>
      </c>
      <c r="G21" s="3">
        <v>0.72548731</v>
      </c>
      <c r="H21" s="3">
        <v>1.03388243</v>
      </c>
      <c r="I21" s="3">
        <v>6.8910000000000001E-100</v>
      </c>
      <c r="J21" s="3" t="s">
        <v>15</v>
      </c>
      <c r="K21" s="3">
        <v>18.62</v>
      </c>
      <c r="L21" s="3">
        <v>-8.5088399999999995E-2</v>
      </c>
      <c r="M21" s="3"/>
      <c r="N21" s="3"/>
      <c r="O21" s="3" t="s">
        <v>38</v>
      </c>
      <c r="P21" s="3"/>
    </row>
    <row r="22" spans="1:16" x14ac:dyDescent="0.2">
      <c r="A22" s="3" t="s">
        <v>39</v>
      </c>
      <c r="B22" s="3" t="str">
        <f t="shared" si="0"/>
        <v>c.6938-3T&gt;G</v>
      </c>
      <c r="C22" s="3"/>
      <c r="D22" s="3">
        <v>13.23</v>
      </c>
      <c r="E22" s="3">
        <v>1.1205300600000001</v>
      </c>
      <c r="F22" s="3">
        <v>1.11954566</v>
      </c>
      <c r="G22" s="3">
        <v>1.04940279</v>
      </c>
      <c r="H22" s="3">
        <v>1.09923807</v>
      </c>
      <c r="I22" s="3">
        <v>3.511E-122</v>
      </c>
      <c r="J22" s="3" t="s">
        <v>15</v>
      </c>
      <c r="K22" s="3">
        <v>13.31</v>
      </c>
      <c r="L22" s="3">
        <v>-0.11293499999999999</v>
      </c>
      <c r="M22" s="3"/>
      <c r="N22" s="3"/>
      <c r="O22" s="3" t="s">
        <v>34</v>
      </c>
      <c r="P22" s="3"/>
    </row>
    <row r="23" spans="1:16" x14ac:dyDescent="0.2">
      <c r="A23" s="3" t="s">
        <v>40</v>
      </c>
      <c r="B23" s="3" t="str">
        <f t="shared" si="0"/>
        <v>c.6938-3T&gt;C</v>
      </c>
      <c r="C23" s="3"/>
      <c r="D23" s="3">
        <v>13.23</v>
      </c>
      <c r="E23" s="3">
        <v>1.2693660000000001E-2</v>
      </c>
      <c r="F23" s="3">
        <v>-0.18512190000000001</v>
      </c>
      <c r="G23" s="3">
        <v>-3.2245243000000001</v>
      </c>
      <c r="H23" s="3">
        <v>-0.58150369999999996</v>
      </c>
      <c r="I23" s="3">
        <v>1</v>
      </c>
      <c r="J23" s="3" t="s">
        <v>17</v>
      </c>
      <c r="K23" s="3">
        <v>23.9</v>
      </c>
      <c r="L23" s="3">
        <v>-9.2050099999999996E-2</v>
      </c>
      <c r="M23" s="3"/>
      <c r="N23" s="3"/>
      <c r="O23" s="3"/>
      <c r="P23" s="3"/>
    </row>
    <row r="24" spans="1:16" x14ac:dyDescent="0.2">
      <c r="A24" s="3" t="s">
        <v>41</v>
      </c>
      <c r="B24" s="3" t="str">
        <f t="shared" si="0"/>
        <v>c.6938-2A&gt;T</v>
      </c>
      <c r="C24" s="3"/>
      <c r="D24" s="3">
        <v>13.23</v>
      </c>
      <c r="E24" s="3">
        <v>0.88611980000000001</v>
      </c>
      <c r="F24" s="3">
        <v>0.72354536999999997</v>
      </c>
      <c r="G24" s="3">
        <v>0.54520972000000001</v>
      </c>
      <c r="H24" s="3">
        <v>0.69402368000000003</v>
      </c>
      <c r="I24" s="3">
        <v>1.6205000000000001E-19</v>
      </c>
      <c r="J24" s="3" t="s">
        <v>15</v>
      </c>
      <c r="K24" s="3">
        <v>33</v>
      </c>
      <c r="L24" s="3">
        <v>0.59019699999999997</v>
      </c>
      <c r="M24" s="3"/>
      <c r="N24" s="3"/>
      <c r="O24" s="3" t="s">
        <v>42</v>
      </c>
      <c r="P24" s="3"/>
    </row>
    <row r="25" spans="1:16" x14ac:dyDescent="0.2">
      <c r="A25" s="3" t="s">
        <v>43</v>
      </c>
      <c r="B25" s="3" t="str">
        <f t="shared" si="0"/>
        <v>c.6938-2A&gt;G</v>
      </c>
      <c r="C25" s="3"/>
      <c r="D25" s="3">
        <v>13.23</v>
      </c>
      <c r="E25" s="3">
        <v>0.44346533999999999</v>
      </c>
      <c r="F25" s="3">
        <v>0.53130763999999997</v>
      </c>
      <c r="G25" s="3">
        <v>0.27546458000000001</v>
      </c>
      <c r="H25" s="3">
        <v>0.31164035000000001</v>
      </c>
      <c r="I25" s="3">
        <v>1</v>
      </c>
      <c r="J25" s="3" t="s">
        <v>17</v>
      </c>
      <c r="K25" s="3">
        <v>33</v>
      </c>
      <c r="L25" s="3">
        <v>0.59019699999999997</v>
      </c>
      <c r="M25" s="3"/>
      <c r="N25" s="3"/>
      <c r="O25" s="3" t="s">
        <v>42</v>
      </c>
      <c r="P25" s="3"/>
    </row>
    <row r="26" spans="1:16" x14ac:dyDescent="0.2">
      <c r="A26" s="3" t="s">
        <v>44</v>
      </c>
      <c r="B26" s="3" t="str">
        <f t="shared" si="0"/>
        <v>c.6938-2A&gt;C</v>
      </c>
      <c r="C26" s="3"/>
      <c r="D26" s="3">
        <v>13.23</v>
      </c>
      <c r="E26" s="3">
        <v>0.58864402999999998</v>
      </c>
      <c r="F26" s="3">
        <v>-1.7036610999999999</v>
      </c>
      <c r="G26" s="3">
        <v>-2.9034475999999998</v>
      </c>
      <c r="H26" s="3">
        <v>-3.8616499999999998E-2</v>
      </c>
      <c r="I26" s="3">
        <v>1</v>
      </c>
      <c r="J26" s="3" t="s">
        <v>17</v>
      </c>
      <c r="K26" s="3">
        <v>33</v>
      </c>
      <c r="L26" s="3">
        <v>0.59019699999999997</v>
      </c>
      <c r="M26" s="3"/>
      <c r="N26" s="3"/>
      <c r="O26" s="3"/>
      <c r="P26" s="3"/>
    </row>
    <row r="27" spans="1:16" x14ac:dyDescent="0.2">
      <c r="A27" s="3" t="s">
        <v>45</v>
      </c>
      <c r="B27" s="3" t="str">
        <f t="shared" si="0"/>
        <v>c.6938-1G&gt;T</v>
      </c>
      <c r="C27" s="3"/>
      <c r="D27" s="3">
        <v>13.23</v>
      </c>
      <c r="E27" s="3">
        <v>-0.34729280000000001</v>
      </c>
      <c r="F27" s="3">
        <v>-0.21818760000000001</v>
      </c>
      <c r="G27" s="3">
        <v>-0.66915270000000004</v>
      </c>
      <c r="H27" s="3">
        <v>-0.63820140000000003</v>
      </c>
      <c r="I27" s="3">
        <v>1</v>
      </c>
      <c r="J27" s="3" t="s">
        <v>17</v>
      </c>
      <c r="K27" s="3">
        <v>34</v>
      </c>
      <c r="L27" s="3">
        <v>0.59019699999999997</v>
      </c>
      <c r="M27" s="3" t="s">
        <v>46</v>
      </c>
      <c r="N27" s="3"/>
      <c r="O27" s="3" t="s">
        <v>47</v>
      </c>
      <c r="P27" s="3"/>
    </row>
    <row r="28" spans="1:16" x14ac:dyDescent="0.2">
      <c r="A28" s="3" t="s">
        <v>48</v>
      </c>
      <c r="B28" s="3" t="str">
        <f t="shared" si="0"/>
        <v>c.6938-1G&gt;C</v>
      </c>
      <c r="C28" s="3"/>
      <c r="D28" s="3">
        <v>13.23</v>
      </c>
      <c r="E28" s="3">
        <v>-0.20046340000000001</v>
      </c>
      <c r="F28" s="3">
        <v>-0.26815630000000001</v>
      </c>
      <c r="G28" s="3">
        <v>0.12240964999999999</v>
      </c>
      <c r="H28" s="3">
        <v>-0.21579499999999999</v>
      </c>
      <c r="I28" s="3">
        <v>1</v>
      </c>
      <c r="J28" s="3" t="s">
        <v>17</v>
      </c>
      <c r="K28" s="3">
        <v>33</v>
      </c>
      <c r="L28" s="3">
        <v>0.59019699999999997</v>
      </c>
      <c r="M28" s="3" t="s">
        <v>46</v>
      </c>
      <c r="N28" s="3"/>
      <c r="O28" s="3" t="s">
        <v>49</v>
      </c>
      <c r="P28" s="3"/>
    </row>
    <row r="29" spans="1:16" x14ac:dyDescent="0.2">
      <c r="A29" s="3" t="s">
        <v>50</v>
      </c>
      <c r="B29" s="3" t="str">
        <f t="shared" si="0"/>
        <v>c.6938-1G&gt;A</v>
      </c>
      <c r="C29" s="3"/>
      <c r="D29" s="3">
        <v>13.23</v>
      </c>
      <c r="E29" s="3">
        <v>0.23962823</v>
      </c>
      <c r="F29" s="3">
        <v>0.18785468</v>
      </c>
      <c r="G29" s="3">
        <v>-6.8446400000000004E-2</v>
      </c>
      <c r="H29" s="3">
        <v>-2.16867E-2</v>
      </c>
      <c r="I29" s="3">
        <v>1</v>
      </c>
      <c r="J29" s="3" t="s">
        <v>17</v>
      </c>
      <c r="K29" s="3">
        <v>33</v>
      </c>
      <c r="L29" s="3">
        <v>0.59019699999999997</v>
      </c>
      <c r="M29" s="3" t="s">
        <v>46</v>
      </c>
      <c r="N29" s="3"/>
      <c r="O29" s="3" t="s">
        <v>49</v>
      </c>
      <c r="P29" s="3"/>
    </row>
    <row r="30" spans="1:16" x14ac:dyDescent="0.2">
      <c r="A30" s="3" t="s">
        <v>51</v>
      </c>
      <c r="B30" s="3" t="str">
        <f t="shared" si="0"/>
        <v>c.6938G&gt;A</v>
      </c>
      <c r="C30" s="3" t="s">
        <v>52</v>
      </c>
      <c r="D30" s="3">
        <v>13.23</v>
      </c>
      <c r="E30" s="3">
        <v>0.51192397000000001</v>
      </c>
      <c r="F30" s="3">
        <v>0.51189675999999995</v>
      </c>
      <c r="G30" s="3">
        <v>0.44704968</v>
      </c>
      <c r="H30" s="3">
        <v>0.38881624999999997</v>
      </c>
      <c r="I30" s="3">
        <v>1</v>
      </c>
      <c r="J30" s="3" t="s">
        <v>17</v>
      </c>
      <c r="K30" s="3">
        <v>32</v>
      </c>
      <c r="L30" s="3">
        <v>0.25603500000000001</v>
      </c>
      <c r="M30" s="3" t="s">
        <v>46</v>
      </c>
      <c r="N30" s="3"/>
      <c r="O30" s="3"/>
      <c r="P30" s="3"/>
    </row>
    <row r="31" spans="1:16" x14ac:dyDescent="0.2">
      <c r="A31" s="3" t="s">
        <v>53</v>
      </c>
      <c r="B31" s="3" t="str">
        <f t="shared" si="0"/>
        <v>c.6938G&gt;C</v>
      </c>
      <c r="C31" s="3" t="s">
        <v>54</v>
      </c>
      <c r="D31" s="3">
        <v>13.23</v>
      </c>
      <c r="E31" s="3">
        <v>0.9100298</v>
      </c>
      <c r="F31" s="3">
        <v>0.73387550999999995</v>
      </c>
      <c r="G31" s="3">
        <v>0.46350398999999998</v>
      </c>
      <c r="H31" s="3">
        <v>0.69389515999999996</v>
      </c>
      <c r="I31" s="3">
        <v>1.6994E-19</v>
      </c>
      <c r="J31" s="3" t="s">
        <v>15</v>
      </c>
      <c r="K31" s="3">
        <v>32</v>
      </c>
      <c r="L31" s="3">
        <v>0.21426500000000001</v>
      </c>
      <c r="M31" s="3" t="s">
        <v>46</v>
      </c>
      <c r="N31" s="3"/>
      <c r="O31" s="3"/>
      <c r="P31" s="3"/>
    </row>
    <row r="32" spans="1:16" x14ac:dyDescent="0.2">
      <c r="A32" s="3" t="s">
        <v>55</v>
      </c>
      <c r="B32" s="3" t="str">
        <f t="shared" si="0"/>
        <v>c.6939C&gt;A</v>
      </c>
      <c r="C32" s="3" t="s">
        <v>56</v>
      </c>
      <c r="D32" s="3">
        <v>13.23</v>
      </c>
      <c r="E32" s="3">
        <v>0.97019637000000003</v>
      </c>
      <c r="F32" s="3">
        <v>0.6102921</v>
      </c>
      <c r="G32" s="3">
        <v>0.81633188999999995</v>
      </c>
      <c r="H32" s="3">
        <v>0.79044566999999999</v>
      </c>
      <c r="I32" s="3">
        <v>6.3651000000000002E-37</v>
      </c>
      <c r="J32" s="3" t="s">
        <v>15</v>
      </c>
      <c r="K32" s="3">
        <v>5.4359999999999999</v>
      </c>
      <c r="L32" s="3">
        <v>-0.16166700000000001</v>
      </c>
      <c r="M32" s="3"/>
      <c r="N32" s="3"/>
      <c r="O32" s="3"/>
      <c r="P32" s="3"/>
    </row>
    <row r="33" spans="1:16" x14ac:dyDescent="0.2">
      <c r="A33" s="3" t="s">
        <v>57</v>
      </c>
      <c r="B33" s="3" t="str">
        <f t="shared" si="0"/>
        <v>c.6939C&gt;T</v>
      </c>
      <c r="C33" s="3" t="s">
        <v>56</v>
      </c>
      <c r="D33" s="3">
        <v>13.23</v>
      </c>
      <c r="E33" s="3">
        <v>0.88014026000000001</v>
      </c>
      <c r="F33" s="3">
        <v>0.77253631</v>
      </c>
      <c r="G33" s="3">
        <v>0.36328070000000001</v>
      </c>
      <c r="H33" s="3">
        <v>0.6688269</v>
      </c>
      <c r="I33" s="3">
        <v>1.3546999999999999E-15</v>
      </c>
      <c r="J33" s="3" t="s">
        <v>15</v>
      </c>
      <c r="K33" s="3">
        <v>7.0170000000000003</v>
      </c>
      <c r="L33" s="3">
        <v>-0.168629</v>
      </c>
      <c r="M33" s="3"/>
      <c r="N33" s="3"/>
      <c r="O33" s="3"/>
      <c r="P33" s="3"/>
    </row>
    <row r="34" spans="1:16" x14ac:dyDescent="0.2">
      <c r="A34" s="3" t="s">
        <v>58</v>
      </c>
      <c r="B34" s="3" t="str">
        <f t="shared" si="0"/>
        <v>c.6940A&gt;C</v>
      </c>
      <c r="C34" s="3" t="s">
        <v>59</v>
      </c>
      <c r="D34" s="3">
        <v>13.23</v>
      </c>
      <c r="E34" s="3">
        <v>1.071642</v>
      </c>
      <c r="F34" s="3">
        <v>0.74712566999999996</v>
      </c>
      <c r="G34" s="3">
        <v>0.73899062999999998</v>
      </c>
      <c r="H34" s="3">
        <v>0.86959259</v>
      </c>
      <c r="I34" s="3">
        <v>4.7347999999999998E-54</v>
      </c>
      <c r="J34" s="3" t="s">
        <v>15</v>
      </c>
      <c r="K34" s="3">
        <v>23.8</v>
      </c>
      <c r="L34" s="3">
        <v>0.179456</v>
      </c>
      <c r="M34" s="3" t="s">
        <v>46</v>
      </c>
      <c r="N34" s="3"/>
      <c r="O34" s="3"/>
      <c r="P34" s="3"/>
    </row>
    <row r="35" spans="1:16" x14ac:dyDescent="0.2">
      <c r="A35" s="3" t="s">
        <v>60</v>
      </c>
      <c r="B35" s="3" t="str">
        <f t="shared" si="0"/>
        <v>c.6940A&gt;G</v>
      </c>
      <c r="C35" s="3" t="s">
        <v>61</v>
      </c>
      <c r="D35" s="3">
        <v>13.23</v>
      </c>
      <c r="E35" s="3">
        <v>0.85615386000000004</v>
      </c>
      <c r="F35" s="3">
        <v>0.79711692999999995</v>
      </c>
      <c r="G35" s="3">
        <v>0.99474969999999996</v>
      </c>
      <c r="H35" s="3">
        <v>0.83725581999999998</v>
      </c>
      <c r="I35" s="3">
        <v>9.6253000000000002E-47</v>
      </c>
      <c r="J35" s="3" t="s">
        <v>15</v>
      </c>
      <c r="K35" s="3">
        <v>23.3</v>
      </c>
      <c r="L35" s="3">
        <v>0.13072400000000001</v>
      </c>
      <c r="M35" s="3" t="s">
        <v>46</v>
      </c>
      <c r="N35" s="3"/>
      <c r="O35" s="3" t="s">
        <v>38</v>
      </c>
      <c r="P35" s="3"/>
    </row>
    <row r="36" spans="1:16" x14ac:dyDescent="0.2">
      <c r="A36" s="3" t="s">
        <v>62</v>
      </c>
      <c r="B36" s="3" t="str">
        <f t="shared" si="0"/>
        <v>c.6940A&gt;T</v>
      </c>
      <c r="C36" s="3" t="s">
        <v>63</v>
      </c>
      <c r="D36" s="3">
        <v>13.23</v>
      </c>
      <c r="E36" s="3">
        <v>0.62137894999999999</v>
      </c>
      <c r="F36" s="3">
        <v>0.51443890999999997</v>
      </c>
      <c r="G36" s="3">
        <v>0.46992318999999999</v>
      </c>
      <c r="H36" s="3">
        <v>0.45214409</v>
      </c>
      <c r="I36" s="3">
        <v>0.99999998999999995</v>
      </c>
      <c r="J36" s="3" t="s">
        <v>17</v>
      </c>
      <c r="K36" s="3">
        <v>23.1</v>
      </c>
      <c r="L36" s="3">
        <v>0.123763</v>
      </c>
      <c r="M36" s="3" t="s">
        <v>46</v>
      </c>
      <c r="N36" s="3"/>
      <c r="O36" s="3"/>
      <c r="P36" s="3"/>
    </row>
    <row r="37" spans="1:16" x14ac:dyDescent="0.2">
      <c r="A37" s="3" t="s">
        <v>64</v>
      </c>
      <c r="B37" s="3" t="str">
        <f t="shared" si="0"/>
        <v>c.6941C&gt;A</v>
      </c>
      <c r="C37" s="3" t="s">
        <v>65</v>
      </c>
      <c r="D37" s="3">
        <v>13.23</v>
      </c>
      <c r="E37" s="3">
        <v>1.2235658899999999</v>
      </c>
      <c r="F37" s="3">
        <v>1.1659656</v>
      </c>
      <c r="G37" s="3">
        <v>1.2731994799999999</v>
      </c>
      <c r="H37" s="3">
        <v>1.22903334</v>
      </c>
      <c r="I37" s="3">
        <v>1.228E-171</v>
      </c>
      <c r="J37" s="3" t="s">
        <v>15</v>
      </c>
      <c r="K37" s="3">
        <v>22.6</v>
      </c>
      <c r="L37" s="3">
        <v>0.144648</v>
      </c>
      <c r="M37" s="3" t="s">
        <v>46</v>
      </c>
      <c r="N37" s="3"/>
      <c r="O37" s="3" t="s">
        <v>38</v>
      </c>
      <c r="P37" s="3"/>
    </row>
    <row r="38" spans="1:16" x14ac:dyDescent="0.2">
      <c r="A38" s="3" t="s">
        <v>66</v>
      </c>
      <c r="B38" s="3" t="str">
        <f t="shared" si="0"/>
        <v>c.6941C&gt;G</v>
      </c>
      <c r="C38" s="3" t="s">
        <v>67</v>
      </c>
      <c r="D38" s="3">
        <v>13.23</v>
      </c>
      <c r="E38" s="3">
        <v>-0.50210659999999996</v>
      </c>
      <c r="F38" s="3">
        <v>-1.7472307</v>
      </c>
      <c r="G38" s="3">
        <v>-1.2305459999999999</v>
      </c>
      <c r="H38" s="3">
        <v>-1.1492952999999999</v>
      </c>
      <c r="I38" s="3">
        <v>1</v>
      </c>
      <c r="J38" s="3" t="s">
        <v>17</v>
      </c>
      <c r="K38" s="3">
        <v>23</v>
      </c>
      <c r="L38" s="3">
        <v>0.15857099999999999</v>
      </c>
      <c r="M38" s="3" t="s">
        <v>46</v>
      </c>
      <c r="N38" s="3"/>
      <c r="O38" s="3"/>
      <c r="P38" s="3"/>
    </row>
    <row r="39" spans="1:16" x14ac:dyDescent="0.2">
      <c r="A39" s="3" t="s">
        <v>68</v>
      </c>
      <c r="B39" s="3" t="str">
        <f t="shared" si="0"/>
        <v>c.6941C&gt;T</v>
      </c>
      <c r="C39" s="3" t="s">
        <v>69</v>
      </c>
      <c r="D39" s="3">
        <v>13.23</v>
      </c>
      <c r="E39" s="3">
        <v>0.6042035</v>
      </c>
      <c r="F39" s="3">
        <v>0.72348097</v>
      </c>
      <c r="G39" s="3">
        <v>0.50272762000000004</v>
      </c>
      <c r="H39" s="3">
        <v>0.53028293000000004</v>
      </c>
      <c r="I39" s="3">
        <v>0.99140463000000001</v>
      </c>
      <c r="J39" s="3" t="s">
        <v>17</v>
      </c>
      <c r="K39" s="3">
        <v>19.88</v>
      </c>
      <c r="L39" s="3">
        <v>9.5915799999999996E-2</v>
      </c>
      <c r="M39" s="3" t="s">
        <v>46</v>
      </c>
      <c r="N39" s="3"/>
      <c r="O39" s="3" t="s">
        <v>38</v>
      </c>
      <c r="P39" s="3"/>
    </row>
    <row r="40" spans="1:16" x14ac:dyDescent="0.2">
      <c r="A40" s="3" t="s">
        <v>70</v>
      </c>
      <c r="B40" s="3" t="str">
        <f t="shared" si="0"/>
        <v>c.6942A&gt;C</v>
      </c>
      <c r="C40" s="3" t="s">
        <v>71</v>
      </c>
      <c r="D40" s="3">
        <v>13.23</v>
      </c>
      <c r="E40" s="3">
        <v>1.1153480099999999</v>
      </c>
      <c r="F40" s="3">
        <v>1.02681303</v>
      </c>
      <c r="G40" s="3">
        <v>1.1499043600000001</v>
      </c>
      <c r="H40" s="3">
        <v>1.08974565</v>
      </c>
      <c r="I40" s="3">
        <v>7.7999999999999998E-119</v>
      </c>
      <c r="J40" s="3" t="s">
        <v>15</v>
      </c>
      <c r="K40" s="3">
        <v>7.59</v>
      </c>
      <c r="L40" s="3">
        <v>-0.28697800000000001</v>
      </c>
      <c r="M40" s="3"/>
      <c r="N40" s="3"/>
      <c r="O40" s="3"/>
      <c r="P40" s="3"/>
    </row>
    <row r="41" spans="1:16" x14ac:dyDescent="0.2">
      <c r="A41" s="3" t="s">
        <v>72</v>
      </c>
      <c r="B41" s="3" t="str">
        <f t="shared" si="0"/>
        <v>c.6942A&gt;G</v>
      </c>
      <c r="C41" s="3" t="s">
        <v>71</v>
      </c>
      <c r="D41" s="3">
        <v>13.23</v>
      </c>
      <c r="E41" s="3">
        <v>0.98715025999999995</v>
      </c>
      <c r="F41" s="3">
        <v>0.94852378999999998</v>
      </c>
      <c r="G41" s="3">
        <v>0.84388722999999999</v>
      </c>
      <c r="H41" s="3">
        <v>0.90533574999999999</v>
      </c>
      <c r="I41" s="3">
        <v>1.2280000000000001E-62</v>
      </c>
      <c r="J41" s="3" t="s">
        <v>15</v>
      </c>
      <c r="K41" s="3">
        <v>7.8739999999999997</v>
      </c>
      <c r="L41" s="3">
        <v>-0.26609300000000002</v>
      </c>
      <c r="M41" s="3"/>
      <c r="N41" s="3"/>
      <c r="O41" s="3" t="s">
        <v>73</v>
      </c>
      <c r="P41" s="3"/>
    </row>
    <row r="42" spans="1:16" x14ac:dyDescent="0.2">
      <c r="A42" s="3" t="s">
        <v>74</v>
      </c>
      <c r="B42" s="3" t="str">
        <f t="shared" si="0"/>
        <v>c.6942A&gt;T</v>
      </c>
      <c r="C42" s="3" t="s">
        <v>71</v>
      </c>
      <c r="D42" s="3">
        <v>13.23</v>
      </c>
      <c r="E42" s="3">
        <v>0.65017460999999999</v>
      </c>
      <c r="F42" s="3">
        <v>0.40634469000000001</v>
      </c>
      <c r="G42" s="3">
        <v>0.86895268999999997</v>
      </c>
      <c r="H42" s="3">
        <v>0.60662251</v>
      </c>
      <c r="I42" s="3">
        <v>5.0546999999999999E-7</v>
      </c>
      <c r="J42" s="3" t="s">
        <v>15</v>
      </c>
      <c r="K42" s="3">
        <v>7.625</v>
      </c>
      <c r="L42" s="3">
        <v>-0.29393900000000001</v>
      </c>
      <c r="M42" s="3"/>
      <c r="N42" s="3"/>
      <c r="O42" s="3" t="s">
        <v>73</v>
      </c>
      <c r="P42" s="3"/>
    </row>
    <row r="43" spans="1:16" x14ac:dyDescent="0.2">
      <c r="A43" s="3" t="s">
        <v>75</v>
      </c>
      <c r="B43" s="3" t="str">
        <f t="shared" si="0"/>
        <v>c.6943A&gt;C</v>
      </c>
      <c r="C43" s="3" t="s">
        <v>76</v>
      </c>
      <c r="D43" s="3">
        <v>13.23</v>
      </c>
      <c r="E43" s="3">
        <v>1.35660124</v>
      </c>
      <c r="F43" s="3">
        <v>1.1994542800000001</v>
      </c>
      <c r="G43" s="3">
        <v>1.5576117599999999</v>
      </c>
      <c r="H43" s="3">
        <v>1.4057601099999999</v>
      </c>
      <c r="I43" s="3">
        <v>4.7889999999999999E-250</v>
      </c>
      <c r="J43" s="3" t="s">
        <v>15</v>
      </c>
      <c r="K43" s="3">
        <v>13.16</v>
      </c>
      <c r="L43" s="3">
        <v>-6.6847699999999996E-2</v>
      </c>
      <c r="M43" s="3" t="s">
        <v>46</v>
      </c>
      <c r="N43" s="3"/>
      <c r="O43" s="3" t="s">
        <v>34</v>
      </c>
      <c r="P43" s="3"/>
    </row>
    <row r="44" spans="1:16" x14ac:dyDescent="0.2">
      <c r="A44" s="3" t="s">
        <v>77</v>
      </c>
      <c r="B44" s="3" t="str">
        <f t="shared" si="0"/>
        <v>c.6943A&gt;G</v>
      </c>
      <c r="C44" s="3" t="s">
        <v>78</v>
      </c>
      <c r="D44" s="3">
        <v>13.23</v>
      </c>
      <c r="E44" s="3">
        <v>1.61716255</v>
      </c>
      <c r="F44" s="3">
        <v>1.58579856</v>
      </c>
      <c r="G44" s="3">
        <v>1.8236774</v>
      </c>
      <c r="H44" s="3">
        <v>1.7466843700000001</v>
      </c>
      <c r="I44" s="3">
        <v>0</v>
      </c>
      <c r="J44" s="3" t="s">
        <v>15</v>
      </c>
      <c r="K44" s="3">
        <v>9.1739999999999995</v>
      </c>
      <c r="L44" s="3">
        <v>-4.3318200000000001E-2</v>
      </c>
      <c r="M44" s="3" t="s">
        <v>46</v>
      </c>
      <c r="N44" s="3"/>
      <c r="O44" s="3" t="s">
        <v>38</v>
      </c>
      <c r="P44" s="3"/>
    </row>
    <row r="45" spans="1:16" x14ac:dyDescent="0.2">
      <c r="A45" s="3" t="s">
        <v>79</v>
      </c>
      <c r="B45" s="3" t="str">
        <f t="shared" si="0"/>
        <v>c.6943A&gt;T</v>
      </c>
      <c r="C45" s="3" t="s">
        <v>76</v>
      </c>
      <c r="D45" s="3">
        <v>13.23</v>
      </c>
      <c r="E45" s="3">
        <v>0.75529206000000004</v>
      </c>
      <c r="F45" s="3">
        <v>0.73590270000000002</v>
      </c>
      <c r="G45" s="3">
        <v>0.49976177999999999</v>
      </c>
      <c r="H45" s="3">
        <v>0.61185054999999999</v>
      </c>
      <c r="I45" s="3">
        <v>1.1070000000000001E-7</v>
      </c>
      <c r="J45" s="3" t="s">
        <v>15</v>
      </c>
      <c r="K45" s="3">
        <v>13.73</v>
      </c>
      <c r="L45" s="3">
        <v>-6.4203300000000005E-2</v>
      </c>
      <c r="M45" s="3" t="s">
        <v>46</v>
      </c>
      <c r="N45" s="3"/>
      <c r="O45" s="3"/>
      <c r="P45" s="3"/>
    </row>
    <row r="46" spans="1:16" x14ac:dyDescent="0.2">
      <c r="A46" s="3" t="s">
        <v>80</v>
      </c>
      <c r="B46" s="3" t="str">
        <f t="shared" si="0"/>
        <v>c.6944T&gt;A</v>
      </c>
      <c r="C46" s="3" t="s">
        <v>81</v>
      </c>
      <c r="D46" s="3">
        <v>13.23</v>
      </c>
      <c r="E46" s="3">
        <v>0.88668639000000005</v>
      </c>
      <c r="F46" s="3">
        <v>0.93656119000000004</v>
      </c>
      <c r="G46" s="3">
        <v>0.80760335000000005</v>
      </c>
      <c r="H46" s="3">
        <v>0.84457709999999997</v>
      </c>
      <c r="I46" s="3">
        <v>2.3249E-48</v>
      </c>
      <c r="J46" s="3" t="s">
        <v>15</v>
      </c>
      <c r="K46" s="3">
        <v>25.1</v>
      </c>
      <c r="L46" s="3">
        <v>8.1992399999999993E-2</v>
      </c>
      <c r="M46" s="3" t="s">
        <v>46</v>
      </c>
      <c r="N46" s="3"/>
      <c r="O46" s="3"/>
      <c r="P46" s="3"/>
    </row>
    <row r="47" spans="1:16" x14ac:dyDescent="0.2">
      <c r="A47" s="3" t="s">
        <v>82</v>
      </c>
      <c r="B47" s="3" t="str">
        <f t="shared" si="0"/>
        <v>c.6944T&gt;C</v>
      </c>
      <c r="C47" s="3" t="s">
        <v>83</v>
      </c>
      <c r="D47" s="3">
        <v>13.23</v>
      </c>
      <c r="E47" s="3">
        <v>0.76586184000000002</v>
      </c>
      <c r="F47" s="3">
        <v>0.63973893000000004</v>
      </c>
      <c r="G47" s="3">
        <v>0.67009598999999997</v>
      </c>
      <c r="H47" s="3">
        <v>0.64057282000000004</v>
      </c>
      <c r="I47" s="3">
        <v>1.6646999999999999E-11</v>
      </c>
      <c r="J47" s="3" t="s">
        <v>15</v>
      </c>
      <c r="K47" s="3">
        <v>23.5</v>
      </c>
      <c r="L47" s="3">
        <v>8.1992399999999993E-2</v>
      </c>
      <c r="M47" s="3" t="s">
        <v>46</v>
      </c>
      <c r="N47" s="3"/>
      <c r="O47" s="3"/>
      <c r="P47" s="3"/>
    </row>
    <row r="48" spans="1:16" x14ac:dyDescent="0.2">
      <c r="A48" s="3" t="s">
        <v>84</v>
      </c>
      <c r="B48" s="3" t="str">
        <f t="shared" si="0"/>
        <v>c.6944T&gt;G</v>
      </c>
      <c r="C48" s="3" t="s">
        <v>85</v>
      </c>
      <c r="D48" s="3">
        <v>13.23</v>
      </c>
      <c r="E48" s="3">
        <v>1.00218418</v>
      </c>
      <c r="F48" s="3">
        <v>0.94097198000000004</v>
      </c>
      <c r="G48" s="3">
        <v>0.79560887999999996</v>
      </c>
      <c r="H48" s="3">
        <v>0.90483926999999997</v>
      </c>
      <c r="I48" s="3">
        <v>1.6303000000000001E-62</v>
      </c>
      <c r="J48" s="3" t="s">
        <v>15</v>
      </c>
      <c r="K48" s="3">
        <v>25.4</v>
      </c>
      <c r="L48" s="3">
        <v>8.8954099999999994E-2</v>
      </c>
      <c r="M48" s="3" t="s">
        <v>46</v>
      </c>
      <c r="N48" s="3"/>
      <c r="O48" s="3"/>
      <c r="P48" s="3"/>
    </row>
    <row r="49" spans="1:16" x14ac:dyDescent="0.2">
      <c r="A49" s="3" t="s">
        <v>86</v>
      </c>
      <c r="B49" s="3" t="str">
        <f t="shared" si="0"/>
        <v>c.6945A&gt;C</v>
      </c>
      <c r="C49" s="3" t="s">
        <v>87</v>
      </c>
      <c r="D49" s="3">
        <v>13.23</v>
      </c>
      <c r="E49" s="3">
        <v>1.00026886</v>
      </c>
      <c r="F49" s="3">
        <v>1.1174063000000001</v>
      </c>
      <c r="G49" s="3">
        <v>0.95063651000000005</v>
      </c>
      <c r="H49" s="3">
        <v>1.0173128</v>
      </c>
      <c r="I49" s="3">
        <v>1.6115000000000001E-94</v>
      </c>
      <c r="J49" s="3" t="s">
        <v>15</v>
      </c>
      <c r="K49" s="3">
        <v>3.9</v>
      </c>
      <c r="L49" s="3">
        <v>-0.33571000000000001</v>
      </c>
      <c r="M49" s="3"/>
      <c r="N49" s="3"/>
      <c r="O49" s="3"/>
      <c r="P49" s="3"/>
    </row>
    <row r="50" spans="1:16" x14ac:dyDescent="0.2">
      <c r="A50" s="3" t="s">
        <v>88</v>
      </c>
      <c r="B50" s="3" t="str">
        <f t="shared" si="0"/>
        <v>c.6945A&gt;G</v>
      </c>
      <c r="C50" s="3" t="s">
        <v>89</v>
      </c>
      <c r="D50" s="3">
        <v>13.23</v>
      </c>
      <c r="E50" s="3">
        <v>0.96448776999999997</v>
      </c>
      <c r="F50" s="3">
        <v>1.0438829300000001</v>
      </c>
      <c r="G50" s="3">
        <v>0.91945849000000002</v>
      </c>
      <c r="H50" s="3">
        <v>0.96040787000000005</v>
      </c>
      <c r="I50" s="3">
        <v>3.5066000000000002E-77</v>
      </c>
      <c r="J50" s="3" t="s">
        <v>15</v>
      </c>
      <c r="K50" s="3">
        <v>6.44</v>
      </c>
      <c r="L50" s="3">
        <v>-5.0279900000000002E-2</v>
      </c>
      <c r="M50" s="3" t="s">
        <v>46</v>
      </c>
      <c r="N50" s="3"/>
      <c r="O50" s="3"/>
      <c r="P50" s="3"/>
    </row>
    <row r="51" spans="1:16" x14ac:dyDescent="0.2">
      <c r="A51" s="3" t="s">
        <v>90</v>
      </c>
      <c r="B51" s="3" t="str">
        <f t="shared" si="0"/>
        <v>c.6945A&gt;T</v>
      </c>
      <c r="C51" s="3" t="s">
        <v>87</v>
      </c>
      <c r="D51" s="3">
        <v>13.23</v>
      </c>
      <c r="E51" s="3">
        <v>0.72942534999999997</v>
      </c>
      <c r="F51" s="3">
        <v>0.85619285000000001</v>
      </c>
      <c r="G51" s="3">
        <v>0.73128468999999996</v>
      </c>
      <c r="H51" s="3">
        <v>0.71968564999999995</v>
      </c>
      <c r="I51" s="3">
        <v>8.8777000000000003E-24</v>
      </c>
      <c r="J51" s="3" t="s">
        <v>15</v>
      </c>
      <c r="K51" s="3">
        <v>4.218</v>
      </c>
      <c r="L51" s="3">
        <v>-0.342671</v>
      </c>
      <c r="M51" s="3"/>
      <c r="N51" s="3"/>
      <c r="O51" s="3"/>
      <c r="P51" s="3"/>
    </row>
    <row r="52" spans="1:16" x14ac:dyDescent="0.2">
      <c r="A52" s="3" t="s">
        <v>91</v>
      </c>
      <c r="B52" s="3" t="str">
        <f t="shared" si="0"/>
        <v>c.6946A&gt;C</v>
      </c>
      <c r="C52" s="3" t="s">
        <v>92</v>
      </c>
      <c r="D52" s="3">
        <v>13.23</v>
      </c>
      <c r="E52" s="3">
        <v>1.3266210700000001</v>
      </c>
      <c r="F52" s="3">
        <v>1.3171773899999999</v>
      </c>
      <c r="G52" s="3">
        <v>1.3279852299999999</v>
      </c>
      <c r="H52" s="3">
        <v>1.3655443700000001</v>
      </c>
      <c r="I52" s="3">
        <v>4.4140000000000002E-231</v>
      </c>
      <c r="J52" s="3" t="s">
        <v>15</v>
      </c>
      <c r="K52" s="3">
        <v>24.9</v>
      </c>
      <c r="L52" s="3">
        <v>0.19338</v>
      </c>
      <c r="M52" s="3" t="s">
        <v>46</v>
      </c>
      <c r="N52" s="3"/>
      <c r="O52" s="3"/>
      <c r="P52" s="3"/>
    </row>
    <row r="53" spans="1:16" x14ac:dyDescent="0.2">
      <c r="A53" s="3" t="s">
        <v>93</v>
      </c>
      <c r="B53" s="3" t="str">
        <f t="shared" si="0"/>
        <v>c.6946A&gt;G</v>
      </c>
      <c r="C53" s="3" t="s">
        <v>94</v>
      </c>
      <c r="D53" s="3">
        <v>13.23</v>
      </c>
      <c r="E53" s="3">
        <v>0.71243624000000005</v>
      </c>
      <c r="F53" s="3">
        <v>0.57424878000000001</v>
      </c>
      <c r="G53" s="3">
        <v>0.40699257999999999</v>
      </c>
      <c r="H53" s="3">
        <v>0.51994302000000003</v>
      </c>
      <c r="I53" s="3">
        <v>0.99902579000000002</v>
      </c>
      <c r="J53" s="3" t="s">
        <v>17</v>
      </c>
      <c r="K53" s="3">
        <v>25.2</v>
      </c>
      <c r="L53" s="3">
        <v>0.23515</v>
      </c>
      <c r="M53" s="3" t="s">
        <v>46</v>
      </c>
      <c r="N53" s="3"/>
      <c r="O53" s="3"/>
      <c r="P53" s="3"/>
    </row>
    <row r="54" spans="1:16" x14ac:dyDescent="0.2">
      <c r="A54" s="3" t="s">
        <v>95</v>
      </c>
      <c r="B54" s="3" t="str">
        <f t="shared" si="0"/>
        <v>c.6946A&gt;T</v>
      </c>
      <c r="C54" s="3" t="s">
        <v>96</v>
      </c>
      <c r="D54" s="3">
        <v>13.23</v>
      </c>
      <c r="E54" s="3">
        <v>0.34218422999999998</v>
      </c>
      <c r="F54" s="3">
        <v>0.11308232</v>
      </c>
      <c r="G54" s="3">
        <v>-0.2490329</v>
      </c>
      <c r="H54" s="3">
        <v>-1.24727E-2</v>
      </c>
      <c r="I54" s="3">
        <v>1</v>
      </c>
      <c r="J54" s="3" t="s">
        <v>17</v>
      </c>
      <c r="K54" s="3">
        <v>41</v>
      </c>
      <c r="L54" s="3">
        <v>0.59019699999999997</v>
      </c>
      <c r="M54" s="3"/>
      <c r="N54" s="3"/>
      <c r="O54" s="3"/>
      <c r="P54" s="3"/>
    </row>
    <row r="55" spans="1:16" x14ac:dyDescent="0.2">
      <c r="A55" s="3" t="s">
        <v>97</v>
      </c>
      <c r="B55" s="3" t="str">
        <f t="shared" si="0"/>
        <v>c.6947A&gt;C</v>
      </c>
      <c r="C55" s="3" t="s">
        <v>98</v>
      </c>
      <c r="D55" s="3">
        <v>13.23</v>
      </c>
      <c r="E55" s="3">
        <v>1.48666684</v>
      </c>
      <c r="F55" s="3">
        <v>1.3844291099999999</v>
      </c>
      <c r="G55" s="3">
        <v>1.55040545</v>
      </c>
      <c r="H55" s="3">
        <v>1.53978299</v>
      </c>
      <c r="I55" s="3">
        <v>0</v>
      </c>
      <c r="J55" s="3" t="s">
        <v>15</v>
      </c>
      <c r="K55" s="3">
        <v>26.5</v>
      </c>
      <c r="L55" s="3">
        <v>0.22122600000000001</v>
      </c>
      <c r="M55" s="3" t="s">
        <v>46</v>
      </c>
      <c r="N55" s="3"/>
      <c r="O55" s="3"/>
      <c r="P55" s="3"/>
    </row>
    <row r="56" spans="1:16" x14ac:dyDescent="0.2">
      <c r="A56" s="3" t="s">
        <v>99</v>
      </c>
      <c r="B56" s="3" t="str">
        <f t="shared" si="0"/>
        <v>c.6947A&gt;G</v>
      </c>
      <c r="C56" s="3" t="s">
        <v>100</v>
      </c>
      <c r="D56" s="3">
        <v>13.23</v>
      </c>
      <c r="E56" s="3">
        <v>0.47013229000000001</v>
      </c>
      <c r="F56" s="3">
        <v>0.48834165000000002</v>
      </c>
      <c r="G56" s="3">
        <v>0.27687753999999998</v>
      </c>
      <c r="H56" s="3">
        <v>0.31911922999999998</v>
      </c>
      <c r="I56" s="3">
        <v>1</v>
      </c>
      <c r="J56" s="3" t="s">
        <v>17</v>
      </c>
      <c r="K56" s="3">
        <v>25.8</v>
      </c>
      <c r="L56" s="3">
        <v>0.16986499999999999</v>
      </c>
      <c r="M56" s="3" t="s">
        <v>46</v>
      </c>
      <c r="N56" s="3"/>
      <c r="O56" s="3"/>
      <c r="P56" s="3"/>
    </row>
    <row r="57" spans="1:16" x14ac:dyDescent="0.2">
      <c r="A57" s="3" t="s">
        <v>101</v>
      </c>
      <c r="B57" s="3" t="str">
        <f t="shared" si="0"/>
        <v>c.6947A&gt;T</v>
      </c>
      <c r="C57" s="3" t="s">
        <v>102</v>
      </c>
      <c r="D57" s="3">
        <v>13.23</v>
      </c>
      <c r="E57" s="3">
        <v>1.0551228500000001</v>
      </c>
      <c r="F57" s="3">
        <v>0.87728636000000004</v>
      </c>
      <c r="G57" s="3">
        <v>0.95091974000000001</v>
      </c>
      <c r="H57" s="3">
        <v>0.96760341999999999</v>
      </c>
      <c r="I57" s="3">
        <v>2.9903999999999999E-79</v>
      </c>
      <c r="J57" s="3" t="s">
        <v>15</v>
      </c>
      <c r="K57" s="3">
        <v>31</v>
      </c>
      <c r="L57" s="3">
        <v>0.228188</v>
      </c>
      <c r="M57" s="3" t="s">
        <v>46</v>
      </c>
      <c r="N57" s="3"/>
      <c r="O57" s="3"/>
      <c r="P57" s="3"/>
    </row>
    <row r="58" spans="1:16" x14ac:dyDescent="0.2">
      <c r="A58" s="3" t="s">
        <v>103</v>
      </c>
      <c r="B58" s="3" t="str">
        <f t="shared" si="0"/>
        <v>c.6948A&gt;C</v>
      </c>
      <c r="C58" s="3" t="s">
        <v>104</v>
      </c>
      <c r="D58" s="3">
        <v>13.23</v>
      </c>
      <c r="E58" s="3">
        <v>0.93709889999999996</v>
      </c>
      <c r="F58" s="3">
        <v>0.93916487999999998</v>
      </c>
      <c r="G58" s="3">
        <v>0.58378098</v>
      </c>
      <c r="H58" s="3">
        <v>0.82401906999999996</v>
      </c>
      <c r="I58" s="3">
        <v>7.0998E-44</v>
      </c>
      <c r="J58" s="3" t="s">
        <v>15</v>
      </c>
      <c r="K58" s="3">
        <v>19.899999999999999</v>
      </c>
      <c r="L58" s="3">
        <v>6.8069000000000005E-2</v>
      </c>
      <c r="M58" s="3" t="s">
        <v>46</v>
      </c>
      <c r="N58" s="3"/>
      <c r="O58" s="3"/>
      <c r="P58" s="3"/>
    </row>
    <row r="59" spans="1:16" x14ac:dyDescent="0.2">
      <c r="A59" s="3" t="s">
        <v>105</v>
      </c>
      <c r="B59" s="3" t="str">
        <f t="shared" si="0"/>
        <v>c.6948A&gt;G</v>
      </c>
      <c r="C59" s="3" t="s">
        <v>106</v>
      </c>
      <c r="D59" s="3">
        <v>13.23</v>
      </c>
      <c r="E59" s="3">
        <v>0.84003298999999998</v>
      </c>
      <c r="F59" s="3">
        <v>0.77103348999999999</v>
      </c>
      <c r="G59" s="3">
        <v>0.83189648000000005</v>
      </c>
      <c r="H59" s="3">
        <v>0.78353448000000003</v>
      </c>
      <c r="I59" s="3">
        <v>1.506E-35</v>
      </c>
      <c r="J59" s="3" t="s">
        <v>15</v>
      </c>
      <c r="K59" s="3">
        <v>7.6</v>
      </c>
      <c r="L59" s="3">
        <v>-0.20343700000000001</v>
      </c>
      <c r="M59" s="3"/>
      <c r="N59" s="3"/>
      <c r="O59" s="3"/>
      <c r="P59" s="3"/>
    </row>
    <row r="60" spans="1:16" x14ac:dyDescent="0.2">
      <c r="A60" s="3" t="s">
        <v>107</v>
      </c>
      <c r="B60" s="3" t="str">
        <f t="shared" si="0"/>
        <v>c.6948A&gt;T</v>
      </c>
      <c r="C60" s="3" t="s">
        <v>104</v>
      </c>
      <c r="D60" s="3">
        <v>13.23</v>
      </c>
      <c r="E60" s="3">
        <v>0.26154601999999999</v>
      </c>
      <c r="F60" s="3">
        <v>0.52134537000000003</v>
      </c>
      <c r="G60" s="3">
        <v>8.1972749999999997E-2</v>
      </c>
      <c r="H60" s="3">
        <v>0.17764277000000001</v>
      </c>
      <c r="I60" s="3">
        <v>1</v>
      </c>
      <c r="J60" s="3" t="s">
        <v>17</v>
      </c>
      <c r="K60" s="3">
        <v>20.7</v>
      </c>
      <c r="L60" s="3">
        <v>6.8069000000000005E-2</v>
      </c>
      <c r="M60" s="3" t="s">
        <v>46</v>
      </c>
      <c r="N60" s="3"/>
      <c r="O60" s="3"/>
      <c r="P60" s="3"/>
    </row>
    <row r="61" spans="1:16" x14ac:dyDescent="0.2">
      <c r="A61" s="3" t="s">
        <v>108</v>
      </c>
      <c r="B61" s="3" t="str">
        <f t="shared" si="0"/>
        <v>c.6949G&gt;A</v>
      </c>
      <c r="C61" s="3" t="s">
        <v>109</v>
      </c>
      <c r="D61" s="3">
        <v>13.23</v>
      </c>
      <c r="E61" s="3">
        <v>0.77961820999999998</v>
      </c>
      <c r="F61" s="3">
        <v>0.50618671000000004</v>
      </c>
      <c r="G61" s="3">
        <v>0.38247189999999998</v>
      </c>
      <c r="H61" s="3">
        <v>0.55451585999999997</v>
      </c>
      <c r="I61" s="3">
        <v>0.31708652999999998</v>
      </c>
      <c r="J61" s="3" t="s">
        <v>23</v>
      </c>
      <c r="K61" s="3">
        <v>30</v>
      </c>
      <c r="L61" s="3">
        <v>0.13072400000000001</v>
      </c>
      <c r="M61" s="3" t="s">
        <v>46</v>
      </c>
      <c r="N61" s="3"/>
      <c r="O61" s="3"/>
      <c r="P61" s="3"/>
    </row>
    <row r="62" spans="1:16" x14ac:dyDescent="0.2">
      <c r="A62" s="3" t="s">
        <v>110</v>
      </c>
      <c r="B62" s="3" t="str">
        <f t="shared" si="0"/>
        <v>c.6949G&gt;C</v>
      </c>
      <c r="C62" s="3" t="s">
        <v>111</v>
      </c>
      <c r="D62" s="3">
        <v>13.23</v>
      </c>
      <c r="E62" s="3">
        <v>1.69872939</v>
      </c>
      <c r="F62" s="3">
        <v>1.3530126899999999</v>
      </c>
      <c r="G62" s="3">
        <v>1.79684891</v>
      </c>
      <c r="H62" s="3">
        <v>1.7505157099999999</v>
      </c>
      <c r="I62" s="3">
        <v>0</v>
      </c>
      <c r="J62" s="3" t="s">
        <v>15</v>
      </c>
      <c r="K62" s="3">
        <v>27.5</v>
      </c>
      <c r="L62" s="3">
        <v>0.26995799999999998</v>
      </c>
      <c r="M62" s="3" t="s">
        <v>46</v>
      </c>
      <c r="N62" s="3"/>
      <c r="O62" s="3"/>
      <c r="P62" s="3"/>
    </row>
    <row r="63" spans="1:16" x14ac:dyDescent="0.2">
      <c r="A63" s="3" t="s">
        <v>112</v>
      </c>
      <c r="B63" s="3" t="str">
        <f t="shared" si="0"/>
        <v>c.6949G&gt;T</v>
      </c>
      <c r="C63" s="3" t="s">
        <v>113</v>
      </c>
      <c r="D63" s="3">
        <v>13.23</v>
      </c>
      <c r="E63" s="3">
        <v>0.10129146999999999</v>
      </c>
      <c r="F63" s="3">
        <v>0.20600890999999999</v>
      </c>
      <c r="G63" s="3">
        <v>-0.72507630000000001</v>
      </c>
      <c r="H63" s="3">
        <v>-0.22472130000000001</v>
      </c>
      <c r="I63" s="3">
        <v>1</v>
      </c>
      <c r="J63" s="3" t="s">
        <v>17</v>
      </c>
      <c r="K63" s="3">
        <v>31</v>
      </c>
      <c r="L63" s="3">
        <v>0.29780499999999999</v>
      </c>
      <c r="M63" s="3" t="s">
        <v>114</v>
      </c>
      <c r="N63" s="3"/>
      <c r="O63" s="3" t="s">
        <v>38</v>
      </c>
      <c r="P63" s="3"/>
    </row>
    <row r="64" spans="1:16" x14ac:dyDescent="0.2">
      <c r="A64" s="3" t="s">
        <v>115</v>
      </c>
      <c r="B64" s="3" t="str">
        <f t="shared" si="0"/>
        <v>c.6950A&gt;G</v>
      </c>
      <c r="C64" s="3" t="s">
        <v>116</v>
      </c>
      <c r="D64" s="3">
        <v>13.23</v>
      </c>
      <c r="E64" s="3">
        <v>0.58610821999999996</v>
      </c>
      <c r="F64" s="3">
        <v>0.52670136000000001</v>
      </c>
      <c r="G64" s="3">
        <v>-0.102642</v>
      </c>
      <c r="H64" s="3">
        <v>0.33167028999999998</v>
      </c>
      <c r="I64" s="3">
        <v>1</v>
      </c>
      <c r="J64" s="3" t="s">
        <v>17</v>
      </c>
      <c r="K64" s="3">
        <v>29</v>
      </c>
      <c r="L64" s="3">
        <v>0.26995799999999998</v>
      </c>
      <c r="M64" s="3" t="s">
        <v>46</v>
      </c>
      <c r="N64" s="3"/>
      <c r="O64" s="3" t="s">
        <v>38</v>
      </c>
      <c r="P64" s="3"/>
    </row>
    <row r="65" spans="1:16" x14ac:dyDescent="0.2">
      <c r="A65" s="3" t="s">
        <v>117</v>
      </c>
      <c r="B65" s="3" t="str">
        <f t="shared" si="0"/>
        <v>c.6950A&gt;T</v>
      </c>
      <c r="C65" s="3" t="s">
        <v>118</v>
      </c>
      <c r="D65" s="3">
        <v>13.23</v>
      </c>
      <c r="E65" s="3">
        <v>0.60338254000000002</v>
      </c>
      <c r="F65" s="3">
        <v>4.4897909999999999E-2</v>
      </c>
      <c r="G65" s="3">
        <v>0.15937088999999999</v>
      </c>
      <c r="H65" s="3">
        <v>0.30194249000000001</v>
      </c>
      <c r="I65" s="3">
        <v>1</v>
      </c>
      <c r="J65" s="3" t="s">
        <v>17</v>
      </c>
      <c r="K65" s="3">
        <v>28.9</v>
      </c>
      <c r="L65" s="3">
        <v>0.30476700000000001</v>
      </c>
      <c r="M65" s="3" t="s">
        <v>114</v>
      </c>
      <c r="N65" s="3"/>
      <c r="O65" s="3"/>
      <c r="P65" s="3"/>
    </row>
    <row r="66" spans="1:16" x14ac:dyDescent="0.2">
      <c r="A66" s="3" t="s">
        <v>119</v>
      </c>
      <c r="B66" s="3" t="str">
        <f t="shared" si="0"/>
        <v>c.6951T&gt;A</v>
      </c>
      <c r="C66" s="3" t="s">
        <v>120</v>
      </c>
      <c r="D66" s="3">
        <v>13.23</v>
      </c>
      <c r="E66" s="3">
        <v>0.90469175999999996</v>
      </c>
      <c r="F66" s="3">
        <v>0.92570823999999996</v>
      </c>
      <c r="G66" s="3">
        <v>0.88503832000000004</v>
      </c>
      <c r="H66" s="3">
        <v>0.91509070999999997</v>
      </c>
      <c r="I66" s="3">
        <v>4.4354000000000003E-65</v>
      </c>
      <c r="J66" s="3" t="s">
        <v>15</v>
      </c>
      <c r="K66" s="3">
        <v>24.1</v>
      </c>
      <c r="L66" s="3">
        <v>0.20730299999999999</v>
      </c>
      <c r="M66" s="3" t="s">
        <v>46</v>
      </c>
      <c r="N66" s="3"/>
      <c r="O66" s="3"/>
      <c r="P66" s="3"/>
    </row>
    <row r="67" spans="1:16" x14ac:dyDescent="0.2">
      <c r="A67" s="3" t="s">
        <v>121</v>
      </c>
      <c r="B67" s="3" t="str">
        <f t="shared" ref="B67:B130" si="1">MID(A67,20,50)</f>
        <v>c.6951T&gt;C</v>
      </c>
      <c r="C67" s="3" t="s">
        <v>122</v>
      </c>
      <c r="D67" s="3">
        <v>13.23</v>
      </c>
      <c r="E67" s="3">
        <v>0.84947676999999999</v>
      </c>
      <c r="F67" s="3">
        <v>0.93271367999999999</v>
      </c>
      <c r="G67" s="3">
        <v>0.59165807999999998</v>
      </c>
      <c r="H67" s="3">
        <v>0.80346883000000002</v>
      </c>
      <c r="I67" s="3">
        <v>1.4508E-39</v>
      </c>
      <c r="J67" s="3" t="s">
        <v>15</v>
      </c>
      <c r="K67" s="3">
        <v>8.6020000000000003</v>
      </c>
      <c r="L67" s="3">
        <v>-0.22432199999999999</v>
      </c>
      <c r="M67" s="3"/>
      <c r="N67" s="3"/>
      <c r="O67" s="3" t="s">
        <v>73</v>
      </c>
      <c r="P67" s="3"/>
    </row>
    <row r="68" spans="1:16" x14ac:dyDescent="0.2">
      <c r="A68" s="3" t="s">
        <v>123</v>
      </c>
      <c r="B68" s="3" t="str">
        <f t="shared" si="1"/>
        <v>c.6951T&gt;G</v>
      </c>
      <c r="C68" s="3" t="s">
        <v>120</v>
      </c>
      <c r="D68" s="3">
        <v>13.23</v>
      </c>
      <c r="E68" s="3">
        <v>1.24588918</v>
      </c>
      <c r="F68" s="3">
        <v>0.86300376999999995</v>
      </c>
      <c r="G68" s="3">
        <v>0.93009174999999999</v>
      </c>
      <c r="H68" s="3">
        <v>1.12256661</v>
      </c>
      <c r="I68" s="3">
        <v>1.4589999999999999E-130</v>
      </c>
      <c r="J68" s="3" t="s">
        <v>15</v>
      </c>
      <c r="K68" s="3">
        <v>24.2</v>
      </c>
      <c r="L68" s="3">
        <v>0.20730299999999999</v>
      </c>
      <c r="M68" s="3" t="s">
        <v>46</v>
      </c>
      <c r="N68" s="3"/>
      <c r="O68" s="3"/>
      <c r="P68" s="3"/>
    </row>
    <row r="69" spans="1:16" x14ac:dyDescent="0.2">
      <c r="A69" s="3" t="s">
        <v>124</v>
      </c>
      <c r="B69" s="3" t="str">
        <f t="shared" si="1"/>
        <v>c.6952C&gt;A</v>
      </c>
      <c r="C69" s="3" t="s">
        <v>125</v>
      </c>
      <c r="D69" s="3">
        <v>13.23</v>
      </c>
      <c r="E69" s="3">
        <v>0.85333579000000004</v>
      </c>
      <c r="F69" s="3">
        <v>0.91214609999999996</v>
      </c>
      <c r="G69" s="3">
        <v>0.58822962999999995</v>
      </c>
      <c r="H69" s="3">
        <v>0.80592549000000002</v>
      </c>
      <c r="I69" s="3">
        <v>4.5229E-40</v>
      </c>
      <c r="J69" s="3" t="s">
        <v>15</v>
      </c>
      <c r="K69" s="3">
        <v>10.28</v>
      </c>
      <c r="L69" s="3">
        <v>-8.5096600000000005E-3</v>
      </c>
      <c r="M69" s="3"/>
      <c r="N69" s="3"/>
      <c r="O69" s="3" t="s">
        <v>73</v>
      </c>
      <c r="P69" s="3"/>
    </row>
    <row r="70" spans="1:16" x14ac:dyDescent="0.2">
      <c r="A70" s="3" t="s">
        <v>126</v>
      </c>
      <c r="B70" s="3" t="str">
        <f t="shared" si="1"/>
        <v>c.6952C&gt;T</v>
      </c>
      <c r="C70" s="3" t="s">
        <v>127</v>
      </c>
      <c r="D70" s="3">
        <v>13.23</v>
      </c>
      <c r="E70" s="3">
        <v>0.14688572</v>
      </c>
      <c r="F70" s="3">
        <v>0.48026823000000002</v>
      </c>
      <c r="G70" s="3">
        <v>0.10063909</v>
      </c>
      <c r="H70" s="3">
        <v>0.16974025000000001</v>
      </c>
      <c r="I70" s="3">
        <v>1</v>
      </c>
      <c r="J70" s="3" t="s">
        <v>17</v>
      </c>
      <c r="K70" s="3">
        <v>41</v>
      </c>
      <c r="L70" s="3">
        <v>0.37728099999999998</v>
      </c>
      <c r="M70" s="3"/>
      <c r="N70" s="3" t="s">
        <v>128</v>
      </c>
      <c r="O70" s="3" t="s">
        <v>42</v>
      </c>
      <c r="P70" s="3"/>
    </row>
    <row r="71" spans="1:16" x14ac:dyDescent="0.2">
      <c r="A71" s="3" t="s">
        <v>129</v>
      </c>
      <c r="B71" s="3" t="str">
        <f t="shared" si="1"/>
        <v>c.6953G&gt;A</v>
      </c>
      <c r="C71" s="3" t="s">
        <v>130</v>
      </c>
      <c r="D71" s="3">
        <v>13.23</v>
      </c>
      <c r="E71" s="3">
        <v>0.35714284000000002</v>
      </c>
      <c r="F71" s="3">
        <v>0.27729987</v>
      </c>
      <c r="G71" s="3">
        <v>-2.9972700000000001E-2</v>
      </c>
      <c r="H71" s="3">
        <v>0.15132794999999999</v>
      </c>
      <c r="I71" s="3">
        <v>1</v>
      </c>
      <c r="J71" s="3" t="s">
        <v>17</v>
      </c>
      <c r="K71" s="3">
        <v>32</v>
      </c>
      <c r="L71" s="3">
        <v>0.25436700000000001</v>
      </c>
      <c r="M71" s="3" t="s">
        <v>46</v>
      </c>
      <c r="N71" s="3" t="s">
        <v>131</v>
      </c>
      <c r="O71" s="3" t="s">
        <v>132</v>
      </c>
      <c r="P71" s="3"/>
    </row>
    <row r="72" spans="1:16" x14ac:dyDescent="0.2">
      <c r="A72" s="3" t="s">
        <v>133</v>
      </c>
      <c r="B72" s="3" t="str">
        <f t="shared" si="1"/>
        <v>c.6953G&gt;C</v>
      </c>
      <c r="C72" s="3" t="s">
        <v>134</v>
      </c>
      <c r="D72" s="3">
        <v>13.23</v>
      </c>
      <c r="E72" s="3">
        <v>0.92786058000000005</v>
      </c>
      <c r="F72" s="3">
        <v>0.79996215000000004</v>
      </c>
      <c r="G72" s="3">
        <v>0.56144556999999995</v>
      </c>
      <c r="H72" s="3">
        <v>0.81039936000000001</v>
      </c>
      <c r="I72" s="3">
        <v>5.3362999999999997E-41</v>
      </c>
      <c r="J72" s="3" t="s">
        <v>15</v>
      </c>
      <c r="K72" s="3">
        <v>32</v>
      </c>
      <c r="L72" s="3">
        <v>0.29780499999999999</v>
      </c>
      <c r="M72" s="3" t="s">
        <v>135</v>
      </c>
      <c r="N72" s="3"/>
      <c r="O72" s="3"/>
      <c r="P72" s="3"/>
    </row>
    <row r="73" spans="1:16" x14ac:dyDescent="0.2">
      <c r="A73" s="3" t="s">
        <v>136</v>
      </c>
      <c r="B73" s="3" t="str">
        <f t="shared" si="1"/>
        <v>c.6953G&gt;T</v>
      </c>
      <c r="C73" s="3" t="s">
        <v>137</v>
      </c>
      <c r="D73" s="3">
        <v>13.23</v>
      </c>
      <c r="E73" s="3">
        <v>0.12678832000000001</v>
      </c>
      <c r="F73" s="3">
        <v>0.10332494</v>
      </c>
      <c r="G73" s="3">
        <v>-0.38202960000000002</v>
      </c>
      <c r="H73" s="3">
        <v>-0.13617770000000001</v>
      </c>
      <c r="I73" s="3">
        <v>1</v>
      </c>
      <c r="J73" s="3" t="s">
        <v>17</v>
      </c>
      <c r="K73" s="3">
        <v>33</v>
      </c>
      <c r="L73" s="3">
        <v>0.26995799999999998</v>
      </c>
      <c r="M73" s="3" t="s">
        <v>135</v>
      </c>
      <c r="N73" s="3"/>
      <c r="O73" s="3"/>
      <c r="P73" s="3"/>
    </row>
    <row r="74" spans="1:16" x14ac:dyDescent="0.2">
      <c r="A74" s="3" t="s">
        <v>138</v>
      </c>
      <c r="B74" s="3" t="str">
        <f t="shared" si="1"/>
        <v>c.6954A&gt;C</v>
      </c>
      <c r="C74" s="3" t="s">
        <v>125</v>
      </c>
      <c r="D74" s="3">
        <v>13.23</v>
      </c>
      <c r="E74" s="3">
        <v>0.35999503999999999</v>
      </c>
      <c r="F74" s="3">
        <v>-0.19257299999999999</v>
      </c>
      <c r="G74" s="3">
        <v>-0.65722579999999997</v>
      </c>
      <c r="H74" s="3">
        <v>-8.9795600000000003E-2</v>
      </c>
      <c r="I74" s="3">
        <v>1</v>
      </c>
      <c r="J74" s="3" t="s">
        <v>17</v>
      </c>
      <c r="K74" s="3">
        <v>13.13</v>
      </c>
      <c r="L74" s="3">
        <v>-0.20343700000000001</v>
      </c>
      <c r="M74" s="3"/>
      <c r="N74" s="3"/>
      <c r="O74" s="3"/>
      <c r="P74" s="3"/>
    </row>
    <row r="75" spans="1:16" x14ac:dyDescent="0.2">
      <c r="A75" s="3" t="s">
        <v>139</v>
      </c>
      <c r="B75" s="3" t="str">
        <f t="shared" si="1"/>
        <v>c.6954A&gt;G</v>
      </c>
      <c r="C75" s="3" t="s">
        <v>125</v>
      </c>
      <c r="D75" s="3">
        <v>13.23</v>
      </c>
      <c r="E75" s="3">
        <v>1.1094301499999999</v>
      </c>
      <c r="F75" s="3">
        <v>1.0546186399999999</v>
      </c>
      <c r="G75" s="3">
        <v>1.0898026199999999</v>
      </c>
      <c r="H75" s="3">
        <v>1.1460495900000001</v>
      </c>
      <c r="I75" s="3">
        <v>3.1820000000000001E-139</v>
      </c>
      <c r="J75" s="3" t="s">
        <v>15</v>
      </c>
      <c r="K75" s="3">
        <v>12.44</v>
      </c>
      <c r="L75" s="3">
        <v>-0.17559</v>
      </c>
      <c r="M75" s="3"/>
      <c r="N75" s="3"/>
      <c r="O75" s="3" t="s">
        <v>73</v>
      </c>
      <c r="P75" s="3"/>
    </row>
    <row r="76" spans="1:16" x14ac:dyDescent="0.2">
      <c r="A76" s="3" t="s">
        <v>140</v>
      </c>
      <c r="B76" s="3" t="str">
        <f t="shared" si="1"/>
        <v>c.6954A&gt;T</v>
      </c>
      <c r="C76" s="3" t="s">
        <v>125</v>
      </c>
      <c r="D76" s="3">
        <v>13.23</v>
      </c>
      <c r="E76" s="3">
        <v>0.95970493000000001</v>
      </c>
      <c r="F76" s="3">
        <v>0.85798901000000005</v>
      </c>
      <c r="G76" s="3">
        <v>7.6594029999999994E-2</v>
      </c>
      <c r="H76" s="3">
        <v>0.76741088000000002</v>
      </c>
      <c r="I76" s="3">
        <v>2.0298E-32</v>
      </c>
      <c r="J76" s="3" t="s">
        <v>15</v>
      </c>
      <c r="K76" s="3">
        <v>14.65</v>
      </c>
      <c r="L76" s="3">
        <v>-0.210399</v>
      </c>
      <c r="M76" s="3"/>
      <c r="N76" s="3"/>
      <c r="O76" s="3"/>
      <c r="P76" s="3"/>
    </row>
    <row r="77" spans="1:16" x14ac:dyDescent="0.2">
      <c r="A77" s="3" t="s">
        <v>141</v>
      </c>
      <c r="B77" s="3" t="str">
        <f t="shared" si="1"/>
        <v>c.6955A&gt;C</v>
      </c>
      <c r="C77" s="3" t="s">
        <v>142</v>
      </c>
      <c r="D77" s="3">
        <v>13.23</v>
      </c>
      <c r="E77" s="3">
        <v>0.96074888000000003</v>
      </c>
      <c r="F77" s="3">
        <v>1.0012156299999999</v>
      </c>
      <c r="G77" s="3">
        <v>0.57949985000000004</v>
      </c>
      <c r="H77" s="3">
        <v>0.89730182999999997</v>
      </c>
      <c r="I77" s="3">
        <v>1.1675E-60</v>
      </c>
      <c r="J77" s="3" t="s">
        <v>15</v>
      </c>
      <c r="K77" s="3">
        <v>10.95</v>
      </c>
      <c r="L77" s="3">
        <v>-0.217361</v>
      </c>
      <c r="M77" s="3"/>
      <c r="N77" s="3"/>
      <c r="O77" s="3"/>
      <c r="P77" s="3"/>
    </row>
    <row r="78" spans="1:16" x14ac:dyDescent="0.2">
      <c r="A78" s="3" t="s">
        <v>143</v>
      </c>
      <c r="B78" s="3" t="str">
        <f t="shared" si="1"/>
        <v>c.6955A&gt;G</v>
      </c>
      <c r="C78" s="3" t="s">
        <v>144</v>
      </c>
      <c r="D78" s="3">
        <v>13.23</v>
      </c>
      <c r="E78" s="3">
        <v>0.80850926000000001</v>
      </c>
      <c r="F78" s="3">
        <v>1.0269341999999999</v>
      </c>
      <c r="G78" s="3">
        <v>0.73573131999999997</v>
      </c>
      <c r="H78" s="3">
        <v>0.87288485999999998</v>
      </c>
      <c r="I78" s="3">
        <v>8.0737999999999994E-55</v>
      </c>
      <c r="J78" s="3" t="s">
        <v>15</v>
      </c>
      <c r="K78" s="3">
        <v>26.2</v>
      </c>
      <c r="L78" s="3">
        <v>0.19338</v>
      </c>
      <c r="M78" s="3" t="s">
        <v>46</v>
      </c>
      <c r="N78" s="3"/>
      <c r="O78" s="3"/>
      <c r="P78" s="3"/>
    </row>
    <row r="79" spans="1:16" x14ac:dyDescent="0.2">
      <c r="A79" s="3" t="s">
        <v>145</v>
      </c>
      <c r="B79" s="3" t="str">
        <f t="shared" si="1"/>
        <v>c.6955A&gt;T</v>
      </c>
      <c r="C79" s="3" t="s">
        <v>146</v>
      </c>
      <c r="D79" s="3">
        <v>13.23</v>
      </c>
      <c r="E79" s="3">
        <v>-0.87817179999999995</v>
      </c>
      <c r="F79" s="3">
        <v>-0.28879009999999999</v>
      </c>
      <c r="G79" s="3">
        <v>-9.3646999999999994E-2</v>
      </c>
      <c r="H79" s="3">
        <v>-0.3652649</v>
      </c>
      <c r="I79" s="3">
        <v>1</v>
      </c>
      <c r="J79" s="3" t="s">
        <v>17</v>
      </c>
      <c r="K79" s="3">
        <v>46</v>
      </c>
      <c r="L79" s="3">
        <v>0.59019699999999997</v>
      </c>
      <c r="M79" s="3"/>
      <c r="N79" s="3"/>
      <c r="O79" s="3"/>
      <c r="P79" s="3"/>
    </row>
    <row r="80" spans="1:16" x14ac:dyDescent="0.2">
      <c r="A80" s="3" t="s">
        <v>147</v>
      </c>
      <c r="B80" s="3" t="str">
        <f t="shared" si="1"/>
        <v>c.6956G&gt;A</v>
      </c>
      <c r="C80" s="3" t="s">
        <v>148</v>
      </c>
      <c r="D80" s="3">
        <v>13.23</v>
      </c>
      <c r="E80" s="3">
        <v>0.71687082000000002</v>
      </c>
      <c r="F80" s="3">
        <v>0.54450955999999995</v>
      </c>
      <c r="G80" s="3">
        <v>0.32744374999999998</v>
      </c>
      <c r="H80" s="3">
        <v>0.52111512999999998</v>
      </c>
      <c r="I80" s="3">
        <v>0.99875860999999999</v>
      </c>
      <c r="J80" s="3" t="s">
        <v>17</v>
      </c>
      <c r="K80" s="3">
        <v>23.3</v>
      </c>
      <c r="L80" s="3">
        <v>8.8954099999999994E-2</v>
      </c>
      <c r="M80" s="3" t="s">
        <v>46</v>
      </c>
      <c r="N80" s="3"/>
      <c r="O80" s="3"/>
      <c r="P80" s="3"/>
    </row>
    <row r="81" spans="1:16" x14ac:dyDescent="0.2">
      <c r="A81" s="3" t="s">
        <v>149</v>
      </c>
      <c r="B81" s="3" t="str">
        <f t="shared" si="1"/>
        <v>c.6956G&gt;C</v>
      </c>
      <c r="C81" s="3" t="s">
        <v>150</v>
      </c>
      <c r="D81" s="3">
        <v>13.23</v>
      </c>
      <c r="E81" s="3">
        <v>0.88925325</v>
      </c>
      <c r="F81" s="3">
        <v>0.52235675999999998</v>
      </c>
      <c r="G81" s="3">
        <v>0.23502169000000001</v>
      </c>
      <c r="H81" s="3">
        <v>0.61976105999999997</v>
      </c>
      <c r="I81" s="3">
        <v>1.0591E-8</v>
      </c>
      <c r="J81" s="3" t="s">
        <v>15</v>
      </c>
      <c r="K81" s="3">
        <v>28.1</v>
      </c>
      <c r="L81" s="3">
        <v>0.19338</v>
      </c>
      <c r="M81" s="3" t="s">
        <v>46</v>
      </c>
      <c r="N81" s="3" t="s">
        <v>151</v>
      </c>
      <c r="O81" s="3" t="s">
        <v>38</v>
      </c>
      <c r="P81" s="3"/>
    </row>
    <row r="82" spans="1:16" x14ac:dyDescent="0.2">
      <c r="A82" s="3" t="s">
        <v>152</v>
      </c>
      <c r="B82" s="3" t="str">
        <f t="shared" si="1"/>
        <v>c.6956G&gt;T</v>
      </c>
      <c r="C82" s="3" t="s">
        <v>153</v>
      </c>
      <c r="D82" s="3">
        <v>13.23</v>
      </c>
      <c r="E82" s="3">
        <v>0.63504037000000002</v>
      </c>
      <c r="F82" s="3">
        <v>0.10276789</v>
      </c>
      <c r="G82" s="3">
        <v>-0.16943910000000001</v>
      </c>
      <c r="H82" s="3">
        <v>0.258577</v>
      </c>
      <c r="I82" s="3">
        <v>1</v>
      </c>
      <c r="J82" s="3" t="s">
        <v>17</v>
      </c>
      <c r="K82" s="3">
        <v>31</v>
      </c>
      <c r="L82" s="3">
        <v>0.20034099999999999</v>
      </c>
      <c r="M82" s="3" t="s">
        <v>46</v>
      </c>
      <c r="N82" s="3"/>
      <c r="O82" s="3"/>
      <c r="P82" s="3"/>
    </row>
    <row r="83" spans="1:16" x14ac:dyDescent="0.2">
      <c r="A83" s="3" t="s">
        <v>154</v>
      </c>
      <c r="B83" s="3" t="str">
        <f t="shared" si="1"/>
        <v>c.6957A&gt;C</v>
      </c>
      <c r="C83" s="3" t="s">
        <v>155</v>
      </c>
      <c r="D83" s="3">
        <v>13.23</v>
      </c>
      <c r="E83" s="3">
        <v>0.85257364999999996</v>
      </c>
      <c r="F83" s="3">
        <v>0.65585238000000001</v>
      </c>
      <c r="G83" s="3">
        <v>0.60597487999999999</v>
      </c>
      <c r="H83" s="3">
        <v>0.70111252000000002</v>
      </c>
      <c r="I83" s="3">
        <v>1.1466E-20</v>
      </c>
      <c r="J83" s="3" t="s">
        <v>15</v>
      </c>
      <c r="K83" s="3">
        <v>23</v>
      </c>
      <c r="L83" s="3">
        <v>0.121126</v>
      </c>
      <c r="M83" s="3" t="s">
        <v>46</v>
      </c>
      <c r="N83" s="3"/>
      <c r="O83" s="3" t="s">
        <v>38</v>
      </c>
      <c r="P83" s="3"/>
    </row>
    <row r="84" spans="1:16" x14ac:dyDescent="0.2">
      <c r="A84" s="3" t="s">
        <v>156</v>
      </c>
      <c r="B84" s="3" t="str">
        <f t="shared" si="1"/>
        <v>c.6957A&gt;G</v>
      </c>
      <c r="C84" s="3" t="s">
        <v>142</v>
      </c>
      <c r="D84" s="3">
        <v>13.23</v>
      </c>
      <c r="E84" s="3">
        <v>0.93968525999999997</v>
      </c>
      <c r="F84" s="3">
        <v>1.0617127200000001</v>
      </c>
      <c r="G84" s="3">
        <v>0.24446265</v>
      </c>
      <c r="H84" s="3">
        <v>0.83530462999999999</v>
      </c>
      <c r="I84" s="3">
        <v>2.5743000000000001E-46</v>
      </c>
      <c r="J84" s="3" t="s">
        <v>15</v>
      </c>
      <c r="K84" s="3">
        <v>9.3460000000000001</v>
      </c>
      <c r="L84" s="3">
        <v>-0.22695899999999999</v>
      </c>
      <c r="M84" s="3"/>
      <c r="N84" s="3"/>
      <c r="O84" s="3" t="s">
        <v>73</v>
      </c>
      <c r="P84" s="3"/>
    </row>
    <row r="85" spans="1:16" x14ac:dyDescent="0.2">
      <c r="A85" s="3" t="s">
        <v>157</v>
      </c>
      <c r="B85" s="3" t="str">
        <f t="shared" si="1"/>
        <v>c.6957A&gt;T</v>
      </c>
      <c r="C85" s="3" t="s">
        <v>155</v>
      </c>
      <c r="D85" s="3">
        <v>13.23</v>
      </c>
      <c r="E85" s="3">
        <v>0.69588501000000003</v>
      </c>
      <c r="F85" s="3">
        <v>0.38084786999999998</v>
      </c>
      <c r="G85" s="3">
        <v>0.21738563999999999</v>
      </c>
      <c r="H85" s="3">
        <v>0.42765209999999998</v>
      </c>
      <c r="I85" s="3">
        <v>1</v>
      </c>
      <c r="J85" s="3" t="s">
        <v>17</v>
      </c>
      <c r="K85" s="3">
        <v>23</v>
      </c>
      <c r="L85" s="3">
        <v>0.123763</v>
      </c>
      <c r="M85" s="3" t="s">
        <v>46</v>
      </c>
      <c r="N85" s="3"/>
      <c r="O85" s="3"/>
      <c r="P85" s="3"/>
    </row>
    <row r="86" spans="1:16" x14ac:dyDescent="0.2">
      <c r="A86" s="3" t="s">
        <v>158</v>
      </c>
      <c r="B86" s="3" t="str">
        <f t="shared" si="1"/>
        <v>c.6958T&gt;A</v>
      </c>
      <c r="C86" s="3" t="s">
        <v>159</v>
      </c>
      <c r="D86" s="3">
        <v>13.23</v>
      </c>
      <c r="E86" s="3">
        <v>1.31783943</v>
      </c>
      <c r="F86" s="3">
        <v>1.23550001</v>
      </c>
      <c r="G86" s="3">
        <v>1.2627270900000001</v>
      </c>
      <c r="H86" s="3">
        <v>1.33016402</v>
      </c>
      <c r="I86" s="3">
        <v>6.062E-215</v>
      </c>
      <c r="J86" s="3" t="s">
        <v>15</v>
      </c>
      <c r="K86" s="3">
        <v>22.7</v>
      </c>
      <c r="L86" s="3">
        <v>3.3260499999999998E-2</v>
      </c>
      <c r="M86" s="3" t="s">
        <v>46</v>
      </c>
      <c r="N86" s="3"/>
      <c r="O86" s="3"/>
      <c r="P86" s="3"/>
    </row>
    <row r="87" spans="1:16" x14ac:dyDescent="0.2">
      <c r="A87" s="3" t="s">
        <v>160</v>
      </c>
      <c r="B87" s="3" t="str">
        <f t="shared" si="1"/>
        <v>c.6958T&gt;C</v>
      </c>
      <c r="C87" s="3" t="s">
        <v>161</v>
      </c>
      <c r="D87" s="3">
        <v>13.23</v>
      </c>
      <c r="E87" s="3">
        <v>1.0528236</v>
      </c>
      <c r="F87" s="3">
        <v>1.07641136</v>
      </c>
      <c r="G87" s="3">
        <v>1.06711366</v>
      </c>
      <c r="H87" s="3">
        <v>1.0776711699999999</v>
      </c>
      <c r="I87" s="3">
        <v>1.247E-114</v>
      </c>
      <c r="J87" s="3" t="s">
        <v>15</v>
      </c>
      <c r="K87" s="3">
        <v>8.577</v>
      </c>
      <c r="L87" s="3">
        <v>-0.210399</v>
      </c>
      <c r="M87" s="3"/>
      <c r="N87" s="3"/>
      <c r="O87" s="3" t="s">
        <v>73</v>
      </c>
      <c r="P87" s="3"/>
    </row>
    <row r="88" spans="1:16" x14ac:dyDescent="0.2">
      <c r="A88" s="3" t="s">
        <v>162</v>
      </c>
      <c r="B88" s="3" t="str">
        <f t="shared" si="1"/>
        <v>c.6958T&gt;G</v>
      </c>
      <c r="C88" s="3" t="s">
        <v>163</v>
      </c>
      <c r="D88" s="3">
        <v>13.23</v>
      </c>
      <c r="E88" s="3">
        <v>0.67997251999999997</v>
      </c>
      <c r="F88" s="3">
        <v>0.64643726999999995</v>
      </c>
      <c r="G88" s="3">
        <v>0.93459745000000005</v>
      </c>
      <c r="H88" s="3">
        <v>0.73684044000000004</v>
      </c>
      <c r="I88" s="3">
        <v>8.9028999999999994E-27</v>
      </c>
      <c r="J88" s="3" t="s">
        <v>15</v>
      </c>
      <c r="K88" s="3">
        <v>22.3</v>
      </c>
      <c r="L88" s="3">
        <v>0.137686</v>
      </c>
      <c r="M88" s="3" t="s">
        <v>46</v>
      </c>
      <c r="N88" s="3"/>
      <c r="O88" s="3"/>
      <c r="P88" s="3"/>
    </row>
    <row r="89" spans="1:16" x14ac:dyDescent="0.2">
      <c r="A89" s="3" t="s">
        <v>164</v>
      </c>
      <c r="B89" s="3" t="str">
        <f t="shared" si="1"/>
        <v>c.6959T&gt;A</v>
      </c>
      <c r="C89" s="3" t="s">
        <v>165</v>
      </c>
      <c r="D89" s="3">
        <v>13.23</v>
      </c>
      <c r="E89" s="3">
        <v>-0.22723289999999999</v>
      </c>
      <c r="F89" s="3">
        <v>-1.8868476000000001</v>
      </c>
      <c r="G89" s="3">
        <v>-1.8417437000000001</v>
      </c>
      <c r="H89" s="3">
        <v>-0.96742810000000001</v>
      </c>
      <c r="I89" s="3">
        <v>1</v>
      </c>
      <c r="J89" s="3" t="s">
        <v>17</v>
      </c>
      <c r="K89" s="3">
        <v>41</v>
      </c>
      <c r="L89" s="3">
        <v>0.59019699999999997</v>
      </c>
      <c r="M89" s="3"/>
      <c r="N89" s="3"/>
      <c r="O89" s="3" t="s">
        <v>42</v>
      </c>
      <c r="P89" s="3"/>
    </row>
    <row r="90" spans="1:16" x14ac:dyDescent="0.2">
      <c r="A90" s="3" t="s">
        <v>166</v>
      </c>
      <c r="B90" s="3" t="str">
        <f t="shared" si="1"/>
        <v>c.6959T&gt;C</v>
      </c>
      <c r="C90" s="3" t="s">
        <v>167</v>
      </c>
      <c r="D90" s="3">
        <v>13.23</v>
      </c>
      <c r="E90" s="3">
        <v>1.16950015</v>
      </c>
      <c r="F90" s="3">
        <v>0.99983445999999998</v>
      </c>
      <c r="G90" s="3">
        <v>1.0977096900000001</v>
      </c>
      <c r="H90" s="3">
        <v>1.12765585</v>
      </c>
      <c r="I90" s="3">
        <v>2.024E-132</v>
      </c>
      <c r="J90" s="3" t="s">
        <v>15</v>
      </c>
      <c r="K90" s="3">
        <v>23.3</v>
      </c>
      <c r="L90" s="3">
        <v>0.16553300000000001</v>
      </c>
      <c r="M90" s="3" t="s">
        <v>46</v>
      </c>
      <c r="N90" s="3"/>
      <c r="O90" s="3" t="s">
        <v>38</v>
      </c>
      <c r="P90" s="3"/>
    </row>
    <row r="91" spans="1:16" x14ac:dyDescent="0.2">
      <c r="A91" s="3" t="s">
        <v>168</v>
      </c>
      <c r="B91" s="3" t="str">
        <f t="shared" si="1"/>
        <v>c.6959T&gt;G</v>
      </c>
      <c r="C91" s="3" t="s">
        <v>169</v>
      </c>
      <c r="D91" s="3">
        <v>13.23</v>
      </c>
      <c r="E91" s="3">
        <v>0.78222718999999996</v>
      </c>
      <c r="F91" s="3">
        <v>0.83016462999999996</v>
      </c>
      <c r="G91" s="3">
        <v>0.68101022</v>
      </c>
      <c r="H91" s="3">
        <v>0.73863964000000004</v>
      </c>
      <c r="I91" s="3">
        <v>4.2467000000000001E-27</v>
      </c>
      <c r="J91" s="3" t="s">
        <v>15</v>
      </c>
      <c r="K91" s="3">
        <v>25.2</v>
      </c>
      <c r="L91" s="3">
        <v>0.15160899999999999</v>
      </c>
      <c r="M91" s="3" t="s">
        <v>46</v>
      </c>
      <c r="N91" s="3"/>
      <c r="O91" s="3"/>
      <c r="P91" s="3"/>
    </row>
    <row r="92" spans="1:16" x14ac:dyDescent="0.2">
      <c r="A92" s="3" t="s">
        <v>170</v>
      </c>
      <c r="B92" s="3" t="str">
        <f t="shared" si="1"/>
        <v>c.6960G&gt;A</v>
      </c>
      <c r="C92" s="3" t="s">
        <v>161</v>
      </c>
      <c r="D92" s="3">
        <v>13.23</v>
      </c>
      <c r="E92" s="3">
        <v>1.1597125100000001</v>
      </c>
      <c r="F92" s="3">
        <v>0.76529544000000005</v>
      </c>
      <c r="G92" s="3">
        <v>1.06389259</v>
      </c>
      <c r="H92" s="3">
        <v>1.05108519</v>
      </c>
      <c r="I92" s="3">
        <v>1.384E-105</v>
      </c>
      <c r="J92" s="3" t="s">
        <v>15</v>
      </c>
      <c r="K92" s="3">
        <v>7.4450000000000003</v>
      </c>
      <c r="L92" s="3">
        <v>-0.26074900000000001</v>
      </c>
      <c r="M92" s="3"/>
      <c r="N92" s="3"/>
      <c r="O92" s="3" t="s">
        <v>73</v>
      </c>
      <c r="P92" s="3"/>
    </row>
    <row r="93" spans="1:16" x14ac:dyDescent="0.2">
      <c r="A93" s="3" t="s">
        <v>171</v>
      </c>
      <c r="B93" s="3" t="str">
        <f t="shared" si="1"/>
        <v>c.6960G&gt;C</v>
      </c>
      <c r="C93" s="3" t="s">
        <v>172</v>
      </c>
      <c r="D93" s="3">
        <v>13.23</v>
      </c>
      <c r="E93" s="3">
        <v>0.43334466999999999</v>
      </c>
      <c r="F93" s="3">
        <v>-0.15493280000000001</v>
      </c>
      <c r="G93" s="3">
        <v>-0.29831560000000001</v>
      </c>
      <c r="H93" s="3">
        <v>6.3048399999999999E-3</v>
      </c>
      <c r="I93" s="3">
        <v>1</v>
      </c>
      <c r="J93" s="3" t="s">
        <v>17</v>
      </c>
      <c r="K93" s="3">
        <v>23.6</v>
      </c>
      <c r="L93" s="3">
        <v>0.144648</v>
      </c>
      <c r="M93" s="3" t="s">
        <v>46</v>
      </c>
      <c r="N93" s="3"/>
      <c r="O93" s="3"/>
      <c r="P93" s="3"/>
    </row>
    <row r="94" spans="1:16" x14ac:dyDescent="0.2">
      <c r="A94" s="3" t="s">
        <v>173</v>
      </c>
      <c r="B94" s="3" t="str">
        <f t="shared" si="1"/>
        <v>c.6960G&gt;T</v>
      </c>
      <c r="C94" s="3" t="s">
        <v>172</v>
      </c>
      <c r="D94" s="3">
        <v>13.23</v>
      </c>
      <c r="E94" s="3">
        <v>0.23469815999999999</v>
      </c>
      <c r="F94" s="3">
        <v>-8.0852800000000002E-2</v>
      </c>
      <c r="G94" s="3">
        <v>4.0216630000000003E-2</v>
      </c>
      <c r="H94" s="3">
        <v>-2.1846000000000001E-2</v>
      </c>
      <c r="I94" s="3">
        <v>1</v>
      </c>
      <c r="J94" s="3" t="s">
        <v>17</v>
      </c>
      <c r="K94" s="3">
        <v>23.8</v>
      </c>
      <c r="L94" s="3">
        <v>0.144648</v>
      </c>
      <c r="M94" s="3" t="s">
        <v>46</v>
      </c>
      <c r="N94" s="3"/>
      <c r="O94" s="3" t="s">
        <v>38</v>
      </c>
      <c r="P94" s="3"/>
    </row>
    <row r="95" spans="1:16" x14ac:dyDescent="0.2">
      <c r="A95" s="3" t="s">
        <v>174</v>
      </c>
      <c r="B95" s="3" t="str">
        <f t="shared" si="1"/>
        <v>c.6961T&gt;A</v>
      </c>
      <c r="C95" s="3" t="s">
        <v>175</v>
      </c>
      <c r="D95" s="3">
        <v>13.23</v>
      </c>
      <c r="E95" s="3">
        <v>1.18421815</v>
      </c>
      <c r="F95" s="3">
        <v>0.90000521</v>
      </c>
      <c r="G95" s="3">
        <v>1.1577274</v>
      </c>
      <c r="H95" s="3">
        <v>1.1149717699999999</v>
      </c>
      <c r="I95" s="3">
        <v>8.2640000000000001E-128</v>
      </c>
      <c r="J95" s="3" t="s">
        <v>15</v>
      </c>
      <c r="K95" s="3">
        <v>24.1</v>
      </c>
      <c r="L95" s="3">
        <v>0.17249500000000001</v>
      </c>
      <c r="M95" s="3" t="s">
        <v>46</v>
      </c>
      <c r="N95" s="3"/>
      <c r="O95" s="3"/>
      <c r="P95" s="3"/>
    </row>
    <row r="96" spans="1:16" x14ac:dyDescent="0.2">
      <c r="A96" s="3" t="s">
        <v>176</v>
      </c>
      <c r="B96" s="3" t="str">
        <f t="shared" si="1"/>
        <v>c.6961T&gt;C</v>
      </c>
      <c r="C96" s="3" t="s">
        <v>177</v>
      </c>
      <c r="D96" s="3">
        <v>13.23</v>
      </c>
      <c r="E96" s="3">
        <v>0.78652113000000001</v>
      </c>
      <c r="F96" s="3">
        <v>1.06361113</v>
      </c>
      <c r="G96" s="3">
        <v>0.89345326999999997</v>
      </c>
      <c r="H96" s="3">
        <v>0.89728556999999998</v>
      </c>
      <c r="I96" s="3">
        <v>1.1783000000000001E-60</v>
      </c>
      <c r="J96" s="3" t="s">
        <v>15</v>
      </c>
      <c r="K96" s="3">
        <v>23.1</v>
      </c>
      <c r="L96" s="3">
        <v>0.17249500000000001</v>
      </c>
      <c r="M96" s="3" t="s">
        <v>46</v>
      </c>
      <c r="N96" s="3"/>
      <c r="O96" s="3"/>
      <c r="P96" s="3"/>
    </row>
    <row r="97" spans="1:16" x14ac:dyDescent="0.2">
      <c r="A97" s="3" t="s">
        <v>178</v>
      </c>
      <c r="B97" s="3" t="str">
        <f t="shared" si="1"/>
        <v>c.6961T&gt;G</v>
      </c>
      <c r="C97" s="3" t="s">
        <v>179</v>
      </c>
      <c r="D97" s="3">
        <v>13.23</v>
      </c>
      <c r="E97" s="3">
        <v>1.29811415</v>
      </c>
      <c r="F97" s="3">
        <v>1.34159731</v>
      </c>
      <c r="G97" s="3">
        <v>1.2828705499999999</v>
      </c>
      <c r="H97" s="3">
        <v>1.3565051400000001</v>
      </c>
      <c r="I97" s="3">
        <v>6.5539999999999996E-227</v>
      </c>
      <c r="J97" s="3" t="s">
        <v>15</v>
      </c>
      <c r="K97" s="3">
        <v>23.8</v>
      </c>
      <c r="L97" s="3">
        <v>0.228188</v>
      </c>
      <c r="M97" s="3" t="s">
        <v>46</v>
      </c>
      <c r="N97" s="3"/>
      <c r="O97" s="3"/>
      <c r="P97" s="3"/>
    </row>
    <row r="98" spans="1:16" x14ac:dyDescent="0.2">
      <c r="A98" s="3" t="s">
        <v>180</v>
      </c>
      <c r="B98" s="3" t="str">
        <f t="shared" si="1"/>
        <v>c.6962T&gt;A</v>
      </c>
      <c r="C98" s="3" t="s">
        <v>181</v>
      </c>
      <c r="D98" s="3">
        <v>13.23</v>
      </c>
      <c r="E98" s="3">
        <v>1.08603735</v>
      </c>
      <c r="F98" s="3">
        <v>1.04610113</v>
      </c>
      <c r="G98" s="3">
        <v>1.14019454</v>
      </c>
      <c r="H98" s="3">
        <v>1.08994642</v>
      </c>
      <c r="I98" s="3">
        <v>6.6330000000000004E-119</v>
      </c>
      <c r="J98" s="3" t="s">
        <v>15</v>
      </c>
      <c r="K98" s="3">
        <v>23.2</v>
      </c>
      <c r="L98" s="3">
        <v>0.13072400000000001</v>
      </c>
      <c r="M98" s="3" t="s">
        <v>46</v>
      </c>
      <c r="N98" s="3"/>
      <c r="O98" s="3"/>
      <c r="P98" s="3"/>
    </row>
    <row r="99" spans="1:16" x14ac:dyDescent="0.2">
      <c r="A99" s="3" t="s">
        <v>182</v>
      </c>
      <c r="B99" s="3" t="str">
        <f t="shared" si="1"/>
        <v>c.6962T&gt;C</v>
      </c>
      <c r="C99" s="3" t="s">
        <v>183</v>
      </c>
      <c r="D99" s="3">
        <v>13.23</v>
      </c>
      <c r="E99" s="3">
        <v>1.0737938300000001</v>
      </c>
      <c r="F99" s="3">
        <v>1.09338508</v>
      </c>
      <c r="G99" s="3">
        <v>1.1861457200000001</v>
      </c>
      <c r="H99" s="3">
        <v>1.1153252</v>
      </c>
      <c r="I99" s="3">
        <v>6.16E-128</v>
      </c>
      <c r="J99" s="3" t="s">
        <v>15</v>
      </c>
      <c r="K99" s="3">
        <v>26.3</v>
      </c>
      <c r="L99" s="3">
        <v>0.228188</v>
      </c>
      <c r="M99" s="3" t="s">
        <v>46</v>
      </c>
      <c r="N99" s="3"/>
      <c r="O99" s="3"/>
      <c r="P99" s="3"/>
    </row>
    <row r="100" spans="1:16" x14ac:dyDescent="0.2">
      <c r="A100" s="3" t="s">
        <v>184</v>
      </c>
      <c r="B100" s="3" t="str">
        <f t="shared" si="1"/>
        <v>c.6962T&gt;G</v>
      </c>
      <c r="C100" s="3" t="s">
        <v>185</v>
      </c>
      <c r="D100" s="3">
        <v>13.23</v>
      </c>
      <c r="E100" s="3">
        <v>0.63938474000000001</v>
      </c>
      <c r="F100" s="3">
        <v>0.56201661000000003</v>
      </c>
      <c r="G100" s="3">
        <v>0.70590145999999998</v>
      </c>
      <c r="H100" s="3">
        <v>0.57173434999999995</v>
      </c>
      <c r="I100" s="3">
        <v>6.5498099999999997E-3</v>
      </c>
      <c r="J100" s="3" t="s">
        <v>15</v>
      </c>
      <c r="K100" s="3">
        <v>24.2</v>
      </c>
      <c r="L100" s="3">
        <v>0.19338</v>
      </c>
      <c r="M100" s="3" t="s">
        <v>114</v>
      </c>
      <c r="N100" s="3"/>
      <c r="O100" s="3"/>
      <c r="P100" s="3"/>
    </row>
    <row r="101" spans="1:16" x14ac:dyDescent="0.2">
      <c r="A101" s="3" t="s">
        <v>186</v>
      </c>
      <c r="B101" s="3" t="str">
        <f t="shared" si="1"/>
        <v>c.6963T&gt;A</v>
      </c>
      <c r="C101" s="3" t="s">
        <v>177</v>
      </c>
      <c r="D101" s="3">
        <v>13.23</v>
      </c>
      <c r="E101" s="3">
        <v>0.40954881999999998</v>
      </c>
      <c r="F101" s="3">
        <v>0.34306184000000001</v>
      </c>
      <c r="G101" s="3">
        <v>0.39080960999999997</v>
      </c>
      <c r="H101" s="3">
        <v>0.27556781000000002</v>
      </c>
      <c r="I101" s="3">
        <v>1</v>
      </c>
      <c r="J101" s="3" t="s">
        <v>17</v>
      </c>
      <c r="K101" s="3">
        <v>22.6</v>
      </c>
      <c r="L101" s="3">
        <v>0.15857099999999999</v>
      </c>
      <c r="M101" s="3" t="s">
        <v>46</v>
      </c>
      <c r="N101" s="3"/>
      <c r="O101" s="3"/>
      <c r="P101" s="3"/>
    </row>
    <row r="102" spans="1:16" x14ac:dyDescent="0.2">
      <c r="A102" s="3" t="s">
        <v>187</v>
      </c>
      <c r="B102" s="3" t="str">
        <f t="shared" si="1"/>
        <v>c.6963T&gt;C</v>
      </c>
      <c r="C102" s="3" t="s">
        <v>188</v>
      </c>
      <c r="D102" s="3">
        <v>13.23</v>
      </c>
      <c r="E102" s="3">
        <v>1.1879460100000001</v>
      </c>
      <c r="F102" s="3">
        <v>1.06705271</v>
      </c>
      <c r="G102" s="3">
        <v>1.2532007999999999</v>
      </c>
      <c r="H102" s="3">
        <v>1.17937406</v>
      </c>
      <c r="I102" s="3">
        <v>6.6729999999999996E-152</v>
      </c>
      <c r="J102" s="3" t="s">
        <v>15</v>
      </c>
      <c r="K102" s="3">
        <v>10.72</v>
      </c>
      <c r="L102" s="3">
        <v>-0.17559</v>
      </c>
      <c r="M102" s="3"/>
      <c r="N102" s="3"/>
      <c r="O102" s="3"/>
      <c r="P102" s="3"/>
    </row>
    <row r="103" spans="1:16" x14ac:dyDescent="0.2">
      <c r="A103" s="3" t="s">
        <v>189</v>
      </c>
      <c r="B103" s="3" t="str">
        <f t="shared" si="1"/>
        <v>c.6963T&gt;G</v>
      </c>
      <c r="C103" s="3" t="s">
        <v>177</v>
      </c>
      <c r="D103" s="3">
        <v>13.23</v>
      </c>
      <c r="E103" s="3">
        <v>1.30376482</v>
      </c>
      <c r="F103" s="3">
        <v>1.32871575</v>
      </c>
      <c r="G103" s="3">
        <v>1.25162084</v>
      </c>
      <c r="H103" s="3">
        <v>1.3383826599999999</v>
      </c>
      <c r="I103" s="3">
        <v>1.2010000000000001E-218</v>
      </c>
      <c r="J103" s="3" t="s">
        <v>15</v>
      </c>
      <c r="K103" s="3">
        <v>22.6</v>
      </c>
      <c r="L103" s="3">
        <v>0.15857099999999999</v>
      </c>
      <c r="M103" s="3" t="s">
        <v>46</v>
      </c>
      <c r="N103" s="3"/>
      <c r="O103" s="3"/>
      <c r="P103" s="3"/>
    </row>
    <row r="104" spans="1:16" x14ac:dyDescent="0.2">
      <c r="A104" s="3" t="s">
        <v>190</v>
      </c>
      <c r="B104" s="3" t="str">
        <f t="shared" si="1"/>
        <v>c.6964A&gt;C</v>
      </c>
      <c r="C104" s="3" t="s">
        <v>191</v>
      </c>
      <c r="D104" s="3">
        <v>13.23</v>
      </c>
      <c r="E104" s="3">
        <v>1.13408551</v>
      </c>
      <c r="F104" s="3">
        <v>0.98458365999999997</v>
      </c>
      <c r="G104" s="3">
        <v>0.96169649000000001</v>
      </c>
      <c r="H104" s="3">
        <v>1.0363262600000001</v>
      </c>
      <c r="I104" s="3">
        <v>1.088E-100</v>
      </c>
      <c r="J104" s="3" t="s">
        <v>15</v>
      </c>
      <c r="K104" s="3">
        <v>23.1</v>
      </c>
      <c r="L104" s="3">
        <v>5.4145600000000002E-2</v>
      </c>
      <c r="M104" s="3" t="s">
        <v>46</v>
      </c>
      <c r="N104" s="3"/>
      <c r="O104" s="3"/>
      <c r="P104" s="3"/>
    </row>
    <row r="105" spans="1:16" x14ac:dyDescent="0.2">
      <c r="A105" s="3" t="s">
        <v>192</v>
      </c>
      <c r="B105" s="3" t="str">
        <f t="shared" si="1"/>
        <v>c.6964A&gt;G</v>
      </c>
      <c r="C105" s="3" t="s">
        <v>193</v>
      </c>
      <c r="D105" s="3">
        <v>13.23</v>
      </c>
      <c r="E105" s="3">
        <v>1.20235578</v>
      </c>
      <c r="F105" s="3">
        <v>0.91500342999999995</v>
      </c>
      <c r="G105" s="3">
        <v>1.0125682499999999</v>
      </c>
      <c r="H105" s="3">
        <v>1.07259533</v>
      </c>
      <c r="I105" s="3">
        <v>7.0009999999999997E-113</v>
      </c>
      <c r="J105" s="3" t="s">
        <v>15</v>
      </c>
      <c r="K105" s="3">
        <v>22.8</v>
      </c>
      <c r="L105" s="3">
        <v>0.13072400000000001</v>
      </c>
      <c r="M105" s="3" t="s">
        <v>46</v>
      </c>
      <c r="N105" s="3"/>
      <c r="O105" s="3" t="s">
        <v>38</v>
      </c>
      <c r="P105" s="3"/>
    </row>
    <row r="106" spans="1:16" x14ac:dyDescent="0.2">
      <c r="A106" s="3" t="s">
        <v>194</v>
      </c>
      <c r="B106" s="3" t="str">
        <f t="shared" si="1"/>
        <v>c.6964A&gt;T</v>
      </c>
      <c r="C106" s="3" t="s">
        <v>191</v>
      </c>
      <c r="D106" s="3">
        <v>13.23</v>
      </c>
      <c r="E106" s="3">
        <v>1.34423238</v>
      </c>
      <c r="F106" s="3">
        <v>1.22916443</v>
      </c>
      <c r="G106" s="3">
        <v>1.4026369000000001</v>
      </c>
      <c r="H106" s="3">
        <v>1.35523416</v>
      </c>
      <c r="I106" s="3">
        <v>2.5139999999999998E-226</v>
      </c>
      <c r="J106" s="3" t="s">
        <v>15</v>
      </c>
      <c r="K106" s="3">
        <v>23.1</v>
      </c>
      <c r="L106" s="3">
        <v>5.4145600000000002E-2</v>
      </c>
      <c r="M106" s="3" t="s">
        <v>46</v>
      </c>
      <c r="N106" s="3"/>
      <c r="O106" s="3"/>
      <c r="P106" s="3"/>
    </row>
    <row r="107" spans="1:16" x14ac:dyDescent="0.2">
      <c r="A107" s="3" t="s">
        <v>195</v>
      </c>
      <c r="B107" s="3" t="str">
        <f t="shared" si="1"/>
        <v>c.6965T&gt;A</v>
      </c>
      <c r="C107" s="3" t="s">
        <v>196</v>
      </c>
      <c r="D107" s="3">
        <v>13.23</v>
      </c>
      <c r="E107" s="3">
        <v>1.1198002499999999</v>
      </c>
      <c r="F107" s="3">
        <v>0.97715280000000004</v>
      </c>
      <c r="G107" s="3">
        <v>0.94598028000000001</v>
      </c>
      <c r="H107" s="3">
        <v>1.0156182600000001</v>
      </c>
      <c r="I107" s="3">
        <v>5.6169999999999995E-94</v>
      </c>
      <c r="J107" s="3" t="s">
        <v>15</v>
      </c>
      <c r="K107" s="3">
        <v>14.13</v>
      </c>
      <c r="L107" s="3">
        <v>0.10983900000000001</v>
      </c>
      <c r="M107" s="3" t="s">
        <v>46</v>
      </c>
      <c r="N107" s="3"/>
      <c r="O107" s="3"/>
      <c r="P107" s="3"/>
    </row>
    <row r="108" spans="1:16" x14ac:dyDescent="0.2">
      <c r="A108" s="3" t="s">
        <v>197</v>
      </c>
      <c r="B108" s="3" t="str">
        <f t="shared" si="1"/>
        <v>c.6965T&gt;C</v>
      </c>
      <c r="C108" s="3" t="s">
        <v>198</v>
      </c>
      <c r="D108" s="3">
        <v>13.23</v>
      </c>
      <c r="E108" s="3">
        <v>1.06810169</v>
      </c>
      <c r="F108" s="3">
        <v>1.02020866</v>
      </c>
      <c r="G108" s="3">
        <v>0.90424726</v>
      </c>
      <c r="H108" s="3">
        <v>0.99085818000000003</v>
      </c>
      <c r="I108" s="3">
        <v>3.2748000000000002E-86</v>
      </c>
      <c r="J108" s="3" t="s">
        <v>15</v>
      </c>
      <c r="K108" s="3">
        <v>8.5679999999999996</v>
      </c>
      <c r="L108" s="3">
        <v>-6.96793E-2</v>
      </c>
      <c r="M108" s="3" t="s">
        <v>46</v>
      </c>
      <c r="N108" s="3"/>
      <c r="O108" s="3"/>
      <c r="P108" s="3"/>
    </row>
    <row r="109" spans="1:16" x14ac:dyDescent="0.2">
      <c r="A109" s="3" t="s">
        <v>199</v>
      </c>
      <c r="B109" s="3" t="str">
        <f t="shared" si="1"/>
        <v>c.6965T&gt;G</v>
      </c>
      <c r="C109" s="3" t="s">
        <v>200</v>
      </c>
      <c r="D109" s="3">
        <v>13.23</v>
      </c>
      <c r="E109" s="3">
        <v>1.06640344</v>
      </c>
      <c r="F109" s="3">
        <v>0.97419493999999995</v>
      </c>
      <c r="G109" s="3">
        <v>1.0032416799999999</v>
      </c>
      <c r="H109" s="3">
        <v>0.99776604000000002</v>
      </c>
      <c r="I109" s="3">
        <v>2.4006E-88</v>
      </c>
      <c r="J109" s="3" t="s">
        <v>15</v>
      </c>
      <c r="K109" s="3">
        <v>19.59</v>
      </c>
      <c r="L109" s="3">
        <v>0.10983900000000001</v>
      </c>
      <c r="M109" s="3" t="s">
        <v>46</v>
      </c>
      <c r="N109" s="3"/>
      <c r="O109" s="3"/>
      <c r="P109" s="3"/>
    </row>
    <row r="110" spans="1:16" x14ac:dyDescent="0.2">
      <c r="A110" s="3" t="s">
        <v>201</v>
      </c>
      <c r="B110" s="3" t="str">
        <f t="shared" si="1"/>
        <v>c.6966G&gt;A</v>
      </c>
      <c r="C110" s="3" t="s">
        <v>202</v>
      </c>
      <c r="D110" s="3">
        <v>13.23</v>
      </c>
      <c r="E110" s="3">
        <v>1.22577526</v>
      </c>
      <c r="F110" s="3">
        <v>1.1455022399999999</v>
      </c>
      <c r="G110" s="3">
        <v>1.0558134400000001</v>
      </c>
      <c r="H110" s="3">
        <v>1.1588001400000001</v>
      </c>
      <c r="I110" s="3">
        <v>5.0729999999999998E-144</v>
      </c>
      <c r="J110" s="3" t="s">
        <v>15</v>
      </c>
      <c r="K110" s="3">
        <v>21.5</v>
      </c>
      <c r="L110" s="3">
        <v>6.8069000000000005E-2</v>
      </c>
      <c r="M110" s="3" t="s">
        <v>46</v>
      </c>
      <c r="N110" s="3"/>
      <c r="O110" s="3"/>
      <c r="P110" s="3"/>
    </row>
    <row r="111" spans="1:16" x14ac:dyDescent="0.2">
      <c r="A111" s="3" t="s">
        <v>203</v>
      </c>
      <c r="B111" s="3" t="str">
        <f t="shared" si="1"/>
        <v>c.6966G&gt;C</v>
      </c>
      <c r="C111" s="3" t="s">
        <v>202</v>
      </c>
      <c r="D111" s="3">
        <v>13.23</v>
      </c>
      <c r="E111" s="3">
        <v>0.68299412000000004</v>
      </c>
      <c r="F111" s="3">
        <v>0.54288455999999996</v>
      </c>
      <c r="G111" s="3">
        <v>0.64286198000000006</v>
      </c>
      <c r="H111" s="3">
        <v>0.53807605000000003</v>
      </c>
      <c r="I111" s="3">
        <v>0.95411190999999995</v>
      </c>
      <c r="J111" s="3" t="s">
        <v>23</v>
      </c>
      <c r="K111" s="3">
        <v>20.7</v>
      </c>
      <c r="L111" s="3">
        <v>6.8069000000000005E-2</v>
      </c>
      <c r="M111" s="3" t="s">
        <v>46</v>
      </c>
      <c r="N111" s="3"/>
      <c r="O111" s="3"/>
      <c r="P111" s="3"/>
    </row>
    <row r="112" spans="1:16" x14ac:dyDescent="0.2">
      <c r="A112" s="3" t="s">
        <v>204</v>
      </c>
      <c r="B112" s="3" t="str">
        <f t="shared" si="1"/>
        <v>c.6966G&gt;T</v>
      </c>
      <c r="C112" s="3" t="s">
        <v>202</v>
      </c>
      <c r="D112" s="3">
        <v>13.23</v>
      </c>
      <c r="E112" s="3">
        <v>1.03820336</v>
      </c>
      <c r="F112" s="3">
        <v>0.89672788999999997</v>
      </c>
      <c r="G112" s="3">
        <v>0.75756842000000002</v>
      </c>
      <c r="H112" s="3">
        <v>0.88823753000000005</v>
      </c>
      <c r="I112" s="3">
        <v>1.8399999999999998E-58</v>
      </c>
      <c r="J112" s="3" t="s">
        <v>15</v>
      </c>
      <c r="K112" s="3">
        <v>20.8</v>
      </c>
      <c r="L112" s="3">
        <v>3.4626400000000002E-2</v>
      </c>
      <c r="M112" s="3" t="s">
        <v>46</v>
      </c>
      <c r="N112" s="3"/>
      <c r="O112" s="3" t="s">
        <v>38</v>
      </c>
      <c r="P112" s="3"/>
    </row>
    <row r="113" spans="1:16" x14ac:dyDescent="0.2">
      <c r="A113" s="3" t="s">
        <v>205</v>
      </c>
      <c r="B113" s="3" t="str">
        <f t="shared" si="1"/>
        <v>c.6967C&gt;A</v>
      </c>
      <c r="C113" s="3" t="s">
        <v>206</v>
      </c>
      <c r="D113" s="3">
        <v>13.23</v>
      </c>
      <c r="E113" s="3">
        <v>1.2437023300000001</v>
      </c>
      <c r="F113" s="3">
        <v>1.1481876200000001</v>
      </c>
      <c r="G113" s="3">
        <v>0.92002421999999995</v>
      </c>
      <c r="H113" s="3">
        <v>1.13790803</v>
      </c>
      <c r="I113" s="3">
        <v>3.3969999999999999E-136</v>
      </c>
      <c r="J113" s="3" t="s">
        <v>15</v>
      </c>
      <c r="K113" s="3">
        <v>23.1</v>
      </c>
      <c r="L113" s="3">
        <v>5.4145600000000002E-2</v>
      </c>
      <c r="M113" s="3" t="s">
        <v>46</v>
      </c>
      <c r="N113" s="3"/>
      <c r="O113" s="3"/>
      <c r="P113" s="3"/>
    </row>
    <row r="114" spans="1:16" x14ac:dyDescent="0.2">
      <c r="A114" s="3" t="s">
        <v>207</v>
      </c>
      <c r="B114" s="3" t="str">
        <f t="shared" si="1"/>
        <v>c.6967C&gt;G</v>
      </c>
      <c r="C114" s="3" t="s">
        <v>208</v>
      </c>
      <c r="D114" s="3">
        <v>13.23</v>
      </c>
      <c r="E114" s="3">
        <v>0.95713311999999995</v>
      </c>
      <c r="F114" s="3">
        <v>1.2097725399999999</v>
      </c>
      <c r="G114" s="3">
        <v>1.1766136899999999</v>
      </c>
      <c r="H114" s="3">
        <v>1.08581912</v>
      </c>
      <c r="I114" s="3">
        <v>1.8439999999999999E-117</v>
      </c>
      <c r="J114" s="3" t="s">
        <v>15</v>
      </c>
      <c r="K114" s="3">
        <v>24.5</v>
      </c>
      <c r="L114" s="3">
        <v>0.17249500000000001</v>
      </c>
      <c r="M114" s="3" t="s">
        <v>46</v>
      </c>
      <c r="N114" s="3"/>
      <c r="O114" s="3"/>
      <c r="P114" s="3"/>
    </row>
    <row r="115" spans="1:16" x14ac:dyDescent="0.2">
      <c r="A115" s="3" t="s">
        <v>209</v>
      </c>
      <c r="B115" s="3" t="str">
        <f t="shared" si="1"/>
        <v>c.6967C&gt;T</v>
      </c>
      <c r="C115" s="3" t="s">
        <v>210</v>
      </c>
      <c r="D115" s="3">
        <v>13.23</v>
      </c>
      <c r="E115" s="3">
        <v>0.87801209999999996</v>
      </c>
      <c r="F115" s="3">
        <v>0.53067315000000004</v>
      </c>
      <c r="G115" s="3">
        <v>0.79330789000000002</v>
      </c>
      <c r="H115" s="3">
        <v>0.69046605999999999</v>
      </c>
      <c r="I115" s="3">
        <v>6.0140000000000003E-19</v>
      </c>
      <c r="J115" s="3" t="s">
        <v>15</v>
      </c>
      <c r="K115" s="3">
        <v>23.9</v>
      </c>
      <c r="L115" s="3">
        <v>0.137686</v>
      </c>
      <c r="M115" s="3" t="s">
        <v>46</v>
      </c>
      <c r="N115" s="3"/>
      <c r="O115" s="3"/>
      <c r="P115" s="3"/>
    </row>
    <row r="116" spans="1:16" x14ac:dyDescent="0.2">
      <c r="A116" s="3" t="s">
        <v>211</v>
      </c>
      <c r="B116" s="3" t="str">
        <f t="shared" si="1"/>
        <v>c.6968A&gt;C</v>
      </c>
      <c r="C116" s="3" t="s">
        <v>212</v>
      </c>
      <c r="D116" s="3">
        <v>13.23</v>
      </c>
      <c r="E116" s="3">
        <v>1.36041872</v>
      </c>
      <c r="F116" s="3">
        <v>1.3117714599999999</v>
      </c>
      <c r="G116" s="3">
        <v>1.40715776</v>
      </c>
      <c r="H116" s="3">
        <v>1.36859946</v>
      </c>
      <c r="I116" s="3">
        <v>1.688E-232</v>
      </c>
      <c r="J116" s="3" t="s">
        <v>15</v>
      </c>
      <c r="K116" s="3">
        <v>26.2</v>
      </c>
      <c r="L116" s="3">
        <v>0.23515</v>
      </c>
      <c r="M116" s="3" t="s">
        <v>46</v>
      </c>
      <c r="N116" s="3"/>
      <c r="O116" s="3"/>
      <c r="P116" s="3"/>
    </row>
    <row r="117" spans="1:16" x14ac:dyDescent="0.2">
      <c r="A117" s="3" t="s">
        <v>213</v>
      </c>
      <c r="B117" s="3" t="str">
        <f t="shared" si="1"/>
        <v>c.6968A&gt;G</v>
      </c>
      <c r="C117" s="3" t="s">
        <v>214</v>
      </c>
      <c r="D117" s="3">
        <v>13.23</v>
      </c>
      <c r="E117" s="3">
        <v>1.0487578799999999</v>
      </c>
      <c r="F117" s="3">
        <v>0.83371366000000002</v>
      </c>
      <c r="G117" s="3">
        <v>0.84434809</v>
      </c>
      <c r="H117" s="3">
        <v>0.88101225000000005</v>
      </c>
      <c r="I117" s="3">
        <v>9.8012999999999998E-57</v>
      </c>
      <c r="J117" s="3" t="s">
        <v>15</v>
      </c>
      <c r="K117" s="3">
        <v>23.2</v>
      </c>
      <c r="L117" s="3">
        <v>0.22122600000000001</v>
      </c>
      <c r="M117" s="3" t="s">
        <v>46</v>
      </c>
      <c r="N117" s="3"/>
      <c r="O117" s="3"/>
      <c r="P117" s="3"/>
    </row>
    <row r="118" spans="1:16" x14ac:dyDescent="0.2">
      <c r="A118" s="3" t="s">
        <v>215</v>
      </c>
      <c r="B118" s="3" t="str">
        <f t="shared" si="1"/>
        <v>c.6968A&gt;T</v>
      </c>
      <c r="C118" s="3" t="s">
        <v>216</v>
      </c>
      <c r="D118" s="3">
        <v>13.23</v>
      </c>
      <c r="E118" s="3">
        <v>1.01614201</v>
      </c>
      <c r="F118" s="3">
        <v>0.81520448999999995</v>
      </c>
      <c r="G118" s="3">
        <v>0.84018647999999996</v>
      </c>
      <c r="H118" s="3">
        <v>0.85376176999999998</v>
      </c>
      <c r="I118" s="3">
        <v>2.0266000000000001E-50</v>
      </c>
      <c r="J118" s="3" t="s">
        <v>15</v>
      </c>
      <c r="K118" s="3">
        <v>25.5</v>
      </c>
      <c r="L118" s="3">
        <v>0.20730299999999999</v>
      </c>
      <c r="M118" s="3" t="s">
        <v>46</v>
      </c>
      <c r="N118" s="3"/>
      <c r="O118" s="3"/>
      <c r="P118" s="3"/>
    </row>
    <row r="119" spans="1:16" x14ac:dyDescent="0.2">
      <c r="A119" s="3" t="s">
        <v>217</v>
      </c>
      <c r="B119" s="3" t="str">
        <f t="shared" si="1"/>
        <v>c.6969T&gt;A</v>
      </c>
      <c r="C119" s="3" t="s">
        <v>218</v>
      </c>
      <c r="D119" s="3">
        <v>13.23</v>
      </c>
      <c r="E119" s="3">
        <v>0.86294223000000003</v>
      </c>
      <c r="F119" s="3">
        <v>0.78491345000000001</v>
      </c>
      <c r="G119" s="3">
        <v>0.88355318000000005</v>
      </c>
      <c r="H119" s="3">
        <v>0.76241855999999997</v>
      </c>
      <c r="I119" s="3">
        <v>1.7986E-31</v>
      </c>
      <c r="J119" s="3" t="s">
        <v>15</v>
      </c>
      <c r="K119" s="3">
        <v>20.399999999999999</v>
      </c>
      <c r="L119" s="3">
        <v>0.13072400000000001</v>
      </c>
      <c r="M119" s="3" t="s">
        <v>46</v>
      </c>
      <c r="N119" s="3"/>
      <c r="O119" s="3"/>
      <c r="P119" s="3"/>
    </row>
    <row r="120" spans="1:16" x14ac:dyDescent="0.2">
      <c r="A120" s="3" t="s">
        <v>219</v>
      </c>
      <c r="B120" s="3" t="str">
        <f t="shared" si="1"/>
        <v>c.6969T&gt;C</v>
      </c>
      <c r="C120" s="3" t="s">
        <v>220</v>
      </c>
      <c r="D120" s="3">
        <v>13.23</v>
      </c>
      <c r="E120" s="3">
        <v>0.95982643000000001</v>
      </c>
      <c r="F120" s="3">
        <v>0.82229048999999999</v>
      </c>
      <c r="G120" s="3">
        <v>0.82866004999999998</v>
      </c>
      <c r="H120" s="3">
        <v>0.81113120999999999</v>
      </c>
      <c r="I120" s="3">
        <v>3.7552000000000001E-41</v>
      </c>
      <c r="J120" s="3" t="s">
        <v>15</v>
      </c>
      <c r="K120" s="3">
        <v>7.2060000000000004</v>
      </c>
      <c r="L120" s="3">
        <v>-0.24520700000000001</v>
      </c>
      <c r="M120" s="3"/>
      <c r="N120" s="3"/>
      <c r="O120" s="3" t="s">
        <v>73</v>
      </c>
      <c r="P120" s="3"/>
    </row>
    <row r="121" spans="1:16" x14ac:dyDescent="0.2">
      <c r="A121" s="3" t="s">
        <v>221</v>
      </c>
      <c r="B121" s="3" t="str">
        <f t="shared" si="1"/>
        <v>c.6969T&gt;G</v>
      </c>
      <c r="C121" s="3" t="s">
        <v>218</v>
      </c>
      <c r="D121" s="3">
        <v>13.23</v>
      </c>
      <c r="E121" s="3">
        <v>1.0610312099999999</v>
      </c>
      <c r="F121" s="3">
        <v>1.03921672</v>
      </c>
      <c r="G121" s="3">
        <v>1.06718219</v>
      </c>
      <c r="H121" s="3">
        <v>1.0079760900000001</v>
      </c>
      <c r="I121" s="3">
        <v>1.5093999999999999E-91</v>
      </c>
      <c r="J121" s="3" t="s">
        <v>15</v>
      </c>
      <c r="K121" s="3">
        <v>20.5</v>
      </c>
      <c r="L121" s="3">
        <v>0.13072400000000001</v>
      </c>
      <c r="M121" s="3" t="s">
        <v>46</v>
      </c>
      <c r="N121" s="3"/>
      <c r="O121" s="3"/>
      <c r="P121" s="3"/>
    </row>
    <row r="122" spans="1:16" x14ac:dyDescent="0.2">
      <c r="A122" s="3" t="s">
        <v>222</v>
      </c>
      <c r="B122" s="3" t="str">
        <f t="shared" si="1"/>
        <v>c.6970C&gt;A</v>
      </c>
      <c r="C122" s="3" t="s">
        <v>223</v>
      </c>
      <c r="D122" s="3">
        <v>13.23</v>
      </c>
      <c r="E122" s="3">
        <v>0.64405504999999996</v>
      </c>
      <c r="F122" s="3">
        <v>0.92227546000000005</v>
      </c>
      <c r="G122" s="3">
        <v>1.0290653000000001</v>
      </c>
      <c r="H122" s="3">
        <v>0.77406288999999995</v>
      </c>
      <c r="I122" s="3">
        <v>1.0693999999999999E-33</v>
      </c>
      <c r="J122" s="3" t="s">
        <v>15</v>
      </c>
      <c r="K122" s="3">
        <v>25.6</v>
      </c>
      <c r="L122" s="3">
        <v>7.5030700000000006E-2</v>
      </c>
      <c r="M122" s="3" t="s">
        <v>46</v>
      </c>
      <c r="N122" s="3"/>
      <c r="O122" s="3"/>
      <c r="P122" s="3"/>
    </row>
    <row r="123" spans="1:16" x14ac:dyDescent="0.2">
      <c r="A123" s="3" t="s">
        <v>224</v>
      </c>
      <c r="B123" s="3" t="str">
        <f t="shared" si="1"/>
        <v>c.6970C&gt;G</v>
      </c>
      <c r="C123" s="3" t="s">
        <v>225</v>
      </c>
      <c r="D123" s="3">
        <v>13.23</v>
      </c>
      <c r="E123" s="3">
        <v>1.27753096</v>
      </c>
      <c r="F123" s="3">
        <v>1.4153348699999999</v>
      </c>
      <c r="G123" s="3">
        <v>1.4634347700000001</v>
      </c>
      <c r="H123" s="3">
        <v>1.3720968899999999</v>
      </c>
      <c r="I123" s="3">
        <v>3.9800000000000002E-234</v>
      </c>
      <c r="J123" s="3" t="s">
        <v>15</v>
      </c>
      <c r="K123" s="3">
        <v>25.1</v>
      </c>
      <c r="L123" s="3">
        <v>0.17249500000000001</v>
      </c>
      <c r="M123" s="3" t="s">
        <v>46</v>
      </c>
      <c r="N123" s="3"/>
      <c r="O123" s="3"/>
      <c r="P123" s="3"/>
    </row>
    <row r="124" spans="1:16" x14ac:dyDescent="0.2">
      <c r="A124" s="3" t="s">
        <v>226</v>
      </c>
      <c r="B124" s="3" t="str">
        <f t="shared" si="1"/>
        <v>c.6970C&gt;T</v>
      </c>
      <c r="C124" s="3" t="s">
        <v>227</v>
      </c>
      <c r="D124" s="3">
        <v>13.23</v>
      </c>
      <c r="E124" s="3">
        <v>1.01306513</v>
      </c>
      <c r="F124" s="3">
        <v>0.64166599000000002</v>
      </c>
      <c r="G124" s="3">
        <v>0.38899603999999999</v>
      </c>
      <c r="H124" s="3">
        <v>0.69705859999999997</v>
      </c>
      <c r="I124" s="3">
        <v>5.2444999999999999E-20</v>
      </c>
      <c r="J124" s="3" t="s">
        <v>15</v>
      </c>
      <c r="K124" s="3">
        <v>25.9</v>
      </c>
      <c r="L124" s="3">
        <v>0.16553300000000001</v>
      </c>
      <c r="M124" s="3" t="s">
        <v>46</v>
      </c>
      <c r="N124" s="3"/>
      <c r="O124" s="3"/>
      <c r="P124" s="3"/>
    </row>
    <row r="125" spans="1:16" x14ac:dyDescent="0.2">
      <c r="A125" s="3" t="s">
        <v>228</v>
      </c>
      <c r="B125" s="3" t="str">
        <f t="shared" si="1"/>
        <v>c.6971A&gt;C</v>
      </c>
      <c r="C125" s="3" t="s">
        <v>229</v>
      </c>
      <c r="D125" s="3">
        <v>13.23</v>
      </c>
      <c r="E125" s="3">
        <v>1.02861589</v>
      </c>
      <c r="F125" s="3">
        <v>1.02057178</v>
      </c>
      <c r="G125" s="3">
        <v>1.0648094400000001</v>
      </c>
      <c r="H125" s="3">
        <v>0.96648036999999998</v>
      </c>
      <c r="I125" s="3">
        <v>6.3321999999999996E-79</v>
      </c>
      <c r="J125" s="3" t="s">
        <v>15</v>
      </c>
      <c r="K125" s="3">
        <v>23.6</v>
      </c>
      <c r="L125" s="3">
        <v>0.24907299999999999</v>
      </c>
      <c r="M125" s="3" t="s">
        <v>46</v>
      </c>
      <c r="N125" s="3"/>
      <c r="O125" s="3" t="s">
        <v>38</v>
      </c>
      <c r="P125" s="3"/>
    </row>
    <row r="126" spans="1:16" x14ac:dyDescent="0.2">
      <c r="A126" s="3" t="s">
        <v>230</v>
      </c>
      <c r="B126" s="3" t="str">
        <f t="shared" si="1"/>
        <v>c.6971A&gt;G</v>
      </c>
      <c r="C126" s="3" t="s">
        <v>231</v>
      </c>
      <c r="D126" s="3">
        <v>13.23</v>
      </c>
      <c r="E126" s="3">
        <v>0.79958417000000004</v>
      </c>
      <c r="F126" s="3">
        <v>0.65461990999999997</v>
      </c>
      <c r="G126" s="3">
        <v>0.79949249</v>
      </c>
      <c r="H126" s="3">
        <v>0.64640103000000004</v>
      </c>
      <c r="I126" s="3">
        <v>2.5378E-12</v>
      </c>
      <c r="J126" s="3" t="s">
        <v>15</v>
      </c>
      <c r="K126" s="3">
        <v>22.1</v>
      </c>
      <c r="L126" s="3">
        <v>0.17249500000000001</v>
      </c>
      <c r="M126" s="3" t="s">
        <v>46</v>
      </c>
      <c r="N126" s="3"/>
      <c r="O126" s="3" t="s">
        <v>38</v>
      </c>
      <c r="P126" s="3"/>
    </row>
    <row r="127" spans="1:16" x14ac:dyDescent="0.2">
      <c r="A127" s="3" t="s">
        <v>232</v>
      </c>
      <c r="B127" s="3" t="str">
        <f t="shared" si="1"/>
        <v>c.6971A&gt;T</v>
      </c>
      <c r="C127" s="3" t="s">
        <v>233</v>
      </c>
      <c r="D127" s="3">
        <v>13.23</v>
      </c>
      <c r="E127" s="3">
        <v>0.96788121999999999</v>
      </c>
      <c r="F127" s="3">
        <v>0.93407784999999999</v>
      </c>
      <c r="G127" s="3">
        <v>0.95723457999999995</v>
      </c>
      <c r="H127" s="3">
        <v>0.87236395</v>
      </c>
      <c r="I127" s="3">
        <v>1.0689000000000001E-54</v>
      </c>
      <c r="J127" s="3" t="s">
        <v>15</v>
      </c>
      <c r="K127" s="3">
        <v>24</v>
      </c>
      <c r="L127" s="3">
        <v>0.16553300000000001</v>
      </c>
      <c r="M127" s="3" t="s">
        <v>46</v>
      </c>
      <c r="N127" s="3"/>
      <c r="O127" s="3"/>
      <c r="P127" s="3"/>
    </row>
    <row r="128" spans="1:16" x14ac:dyDescent="0.2">
      <c r="A128" s="3" t="s">
        <v>234</v>
      </c>
      <c r="B128" s="3" t="str">
        <f t="shared" si="1"/>
        <v>c.6972T&gt;A</v>
      </c>
      <c r="C128" s="3" t="s">
        <v>235</v>
      </c>
      <c r="D128" s="3">
        <v>13.23</v>
      </c>
      <c r="E128" s="3">
        <v>0.99702473000000003</v>
      </c>
      <c r="F128" s="3">
        <v>0.91960962999999996</v>
      </c>
      <c r="G128" s="3">
        <v>1.03221933</v>
      </c>
      <c r="H128" s="3">
        <v>0.89619504000000005</v>
      </c>
      <c r="I128" s="3">
        <v>2.1753E-60</v>
      </c>
      <c r="J128" s="3" t="s">
        <v>15</v>
      </c>
      <c r="K128" s="3">
        <v>13.76</v>
      </c>
      <c r="L128" s="3">
        <v>8.1992399999999993E-2</v>
      </c>
      <c r="M128" s="3" t="s">
        <v>46</v>
      </c>
      <c r="N128" s="3"/>
      <c r="O128" s="3"/>
      <c r="P128" s="3"/>
    </row>
    <row r="129" spans="1:16" x14ac:dyDescent="0.2">
      <c r="A129" s="3" t="s">
        <v>236</v>
      </c>
      <c r="B129" s="3" t="str">
        <f t="shared" si="1"/>
        <v>c.6972T&gt;C</v>
      </c>
      <c r="C129" s="3" t="s">
        <v>237</v>
      </c>
      <c r="D129" s="3">
        <v>13.23</v>
      </c>
      <c r="E129" s="3">
        <v>1.0623491199999999</v>
      </c>
      <c r="F129" s="3">
        <v>1.00510097</v>
      </c>
      <c r="G129" s="3">
        <v>0.93990523999999998</v>
      </c>
      <c r="H129" s="3">
        <v>0.93442236999999995</v>
      </c>
      <c r="I129" s="3">
        <v>4.5519E-70</v>
      </c>
      <c r="J129" s="3" t="s">
        <v>15</v>
      </c>
      <c r="K129" s="3">
        <v>1.02</v>
      </c>
      <c r="L129" s="3">
        <v>-0.36355599999999999</v>
      </c>
      <c r="M129" s="3"/>
      <c r="N129" s="3"/>
      <c r="O129" s="3" t="s">
        <v>73</v>
      </c>
      <c r="P129" s="3"/>
    </row>
    <row r="130" spans="1:16" x14ac:dyDescent="0.2">
      <c r="A130" s="3" t="s">
        <v>238</v>
      </c>
      <c r="B130" s="3" t="str">
        <f t="shared" si="1"/>
        <v>c.6972T&gt;G</v>
      </c>
      <c r="C130" s="3" t="s">
        <v>235</v>
      </c>
      <c r="D130" s="3">
        <v>13.23</v>
      </c>
      <c r="E130" s="3">
        <v>1.29249433</v>
      </c>
      <c r="F130" s="3">
        <v>0.97369777999999996</v>
      </c>
      <c r="G130" s="3">
        <v>1.2149205000000001</v>
      </c>
      <c r="H130" s="3">
        <v>1.13924559</v>
      </c>
      <c r="I130" s="3">
        <v>1.0849999999999999E-136</v>
      </c>
      <c r="J130" s="3" t="s">
        <v>15</v>
      </c>
      <c r="K130" s="3">
        <v>13.89</v>
      </c>
      <c r="L130" s="3">
        <v>8.1992399999999993E-2</v>
      </c>
      <c r="M130" s="3" t="s">
        <v>46</v>
      </c>
      <c r="N130" s="3"/>
      <c r="O130" s="3"/>
      <c r="P130" s="3"/>
    </row>
    <row r="131" spans="1:16" x14ac:dyDescent="0.2">
      <c r="A131" s="3" t="s">
        <v>239</v>
      </c>
      <c r="B131" s="3" t="str">
        <f t="shared" ref="B131:B194" si="2">MID(A131,20,50)</f>
        <v>c.6973G&gt;A</v>
      </c>
      <c r="C131" s="3" t="s">
        <v>240</v>
      </c>
      <c r="D131" s="3">
        <v>13.2</v>
      </c>
      <c r="E131" s="3">
        <v>1.09557072</v>
      </c>
      <c r="F131" s="3">
        <v>1.0742638600000001</v>
      </c>
      <c r="G131" s="3">
        <v>1.0772419200000001</v>
      </c>
      <c r="H131" s="3">
        <v>1.0792145799999999</v>
      </c>
      <c r="I131" s="3">
        <v>3.6460000000000001E-115</v>
      </c>
      <c r="J131" s="3" t="s">
        <v>15</v>
      </c>
      <c r="K131" s="3">
        <v>2.008</v>
      </c>
      <c r="L131" s="3">
        <v>-0.13381999999999999</v>
      </c>
      <c r="M131" s="3" t="s">
        <v>46</v>
      </c>
      <c r="N131" s="3"/>
      <c r="O131" s="3" t="s">
        <v>73</v>
      </c>
      <c r="P131" s="3"/>
    </row>
    <row r="132" spans="1:16" x14ac:dyDescent="0.2">
      <c r="A132" s="3" t="s">
        <v>241</v>
      </c>
      <c r="B132" s="3" t="str">
        <f t="shared" si="2"/>
        <v>c.6973G&gt;C</v>
      </c>
      <c r="C132" s="3" t="s">
        <v>242</v>
      </c>
      <c r="D132" s="3">
        <v>13.2</v>
      </c>
      <c r="E132" s="3">
        <v>0.87964399000000004</v>
      </c>
      <c r="F132" s="3">
        <v>0.77043888000000005</v>
      </c>
      <c r="G132" s="3">
        <v>1.0204137099999999</v>
      </c>
      <c r="H132" s="3">
        <v>0.89440668999999995</v>
      </c>
      <c r="I132" s="3">
        <v>5.9297999999999999E-60</v>
      </c>
      <c r="J132" s="3" t="s">
        <v>15</v>
      </c>
      <c r="K132" s="3">
        <v>13.14</v>
      </c>
      <c r="L132" s="3">
        <v>-3.63565E-2</v>
      </c>
      <c r="M132" s="3" t="s">
        <v>46</v>
      </c>
      <c r="N132" s="3"/>
      <c r="O132" s="3" t="s">
        <v>38</v>
      </c>
      <c r="P132" s="3"/>
    </row>
    <row r="133" spans="1:16" x14ac:dyDescent="0.2">
      <c r="A133" s="3" t="s">
        <v>243</v>
      </c>
      <c r="B133" s="3" t="str">
        <f t="shared" si="2"/>
        <v>c.6973G&gt;T</v>
      </c>
      <c r="C133" s="3" t="s">
        <v>244</v>
      </c>
      <c r="D133" s="3">
        <v>13.2</v>
      </c>
      <c r="E133" s="3">
        <v>0.90150808000000004</v>
      </c>
      <c r="F133" s="3">
        <v>0.69276941000000003</v>
      </c>
      <c r="G133" s="3">
        <v>0.81045597999999996</v>
      </c>
      <c r="H133" s="3">
        <v>0.82193380000000005</v>
      </c>
      <c r="I133" s="3">
        <v>1.9791999999999998E-43</v>
      </c>
      <c r="J133" s="3" t="s">
        <v>15</v>
      </c>
      <c r="K133" s="3">
        <v>19.36</v>
      </c>
      <c r="L133" s="3">
        <v>4.02222E-2</v>
      </c>
      <c r="M133" s="3" t="s">
        <v>46</v>
      </c>
      <c r="N133" s="3"/>
      <c r="O133" s="3"/>
      <c r="P133" s="3"/>
    </row>
    <row r="134" spans="1:16" x14ac:dyDescent="0.2">
      <c r="A134" s="3" t="s">
        <v>245</v>
      </c>
      <c r="B134" s="3" t="str">
        <f t="shared" si="2"/>
        <v>c.6974T&gt;A</v>
      </c>
      <c r="C134" s="3" t="s">
        <v>246</v>
      </c>
      <c r="D134" s="3">
        <v>13.2</v>
      </c>
      <c r="E134" s="3">
        <v>1.12075444</v>
      </c>
      <c r="F134" s="3">
        <v>0.96375480999999996</v>
      </c>
      <c r="G134" s="3">
        <v>1.01136925</v>
      </c>
      <c r="H134" s="3">
        <v>1.04227128</v>
      </c>
      <c r="I134" s="3">
        <v>1.19E-102</v>
      </c>
      <c r="J134" s="3" t="s">
        <v>15</v>
      </c>
      <c r="K134" s="3">
        <v>25.3</v>
      </c>
      <c r="L134" s="3">
        <v>0.144648</v>
      </c>
      <c r="M134" s="3" t="s">
        <v>46</v>
      </c>
      <c r="N134" s="3"/>
      <c r="O134" s="3"/>
      <c r="P134" s="3"/>
    </row>
    <row r="135" spans="1:16" x14ac:dyDescent="0.2">
      <c r="A135" s="3" t="s">
        <v>247</v>
      </c>
      <c r="B135" s="3" t="str">
        <f t="shared" si="2"/>
        <v>c.6974T&gt;C</v>
      </c>
      <c r="C135" s="3" t="s">
        <v>248</v>
      </c>
      <c r="D135" s="3">
        <v>13.2</v>
      </c>
      <c r="E135" s="3">
        <v>1.1268352500000001</v>
      </c>
      <c r="F135" s="3">
        <v>1.0352070099999999</v>
      </c>
      <c r="G135" s="3">
        <v>1.1538830200000001</v>
      </c>
      <c r="H135" s="3">
        <v>1.10396899</v>
      </c>
      <c r="I135" s="3">
        <v>7.3069999999999996E-124</v>
      </c>
      <c r="J135" s="3" t="s">
        <v>15</v>
      </c>
      <c r="K135" s="3">
        <v>23.2</v>
      </c>
      <c r="L135" s="3">
        <v>5.4145600000000002E-2</v>
      </c>
      <c r="M135" s="3" t="s">
        <v>46</v>
      </c>
      <c r="N135" s="3"/>
      <c r="O135" s="3"/>
      <c r="P135" s="3"/>
    </row>
    <row r="136" spans="1:16" x14ac:dyDescent="0.2">
      <c r="A136" s="3" t="s">
        <v>249</v>
      </c>
      <c r="B136" s="3" t="str">
        <f t="shared" si="2"/>
        <v>c.6974T&gt;G</v>
      </c>
      <c r="C136" s="3" t="s">
        <v>250</v>
      </c>
      <c r="D136" s="3">
        <v>13.2</v>
      </c>
      <c r="E136" s="3">
        <v>0.98754622999999997</v>
      </c>
      <c r="F136" s="3">
        <v>1.10369374</v>
      </c>
      <c r="G136" s="3">
        <v>1.1226071500000001</v>
      </c>
      <c r="H136" s="3">
        <v>1.06357203</v>
      </c>
      <c r="I136" s="3">
        <v>8.4900000000000005E-110</v>
      </c>
      <c r="J136" s="3" t="s">
        <v>15</v>
      </c>
      <c r="K136" s="3">
        <v>24.9</v>
      </c>
      <c r="L136" s="3">
        <v>0.123763</v>
      </c>
      <c r="M136" s="3" t="s">
        <v>46</v>
      </c>
      <c r="N136" s="3"/>
      <c r="O136" s="3"/>
      <c r="P136" s="3"/>
    </row>
    <row r="137" spans="1:16" x14ac:dyDescent="0.2">
      <c r="A137" s="3" t="s">
        <v>251</v>
      </c>
      <c r="B137" s="3" t="str">
        <f t="shared" si="2"/>
        <v>c.6975T&gt;A</v>
      </c>
      <c r="C137" s="3" t="s">
        <v>252</v>
      </c>
      <c r="D137" s="3">
        <v>13.2</v>
      </c>
      <c r="E137" s="3">
        <v>1.04031104</v>
      </c>
      <c r="F137" s="3">
        <v>1.14209008</v>
      </c>
      <c r="G137" s="3">
        <v>0.99444884</v>
      </c>
      <c r="H137" s="3">
        <v>1.0617410199999999</v>
      </c>
      <c r="I137" s="3">
        <v>3.5529999999999998E-109</v>
      </c>
      <c r="J137" s="3" t="s">
        <v>15</v>
      </c>
      <c r="K137" s="3">
        <v>6.7859999999999996</v>
      </c>
      <c r="L137" s="3">
        <v>-0.16166700000000001</v>
      </c>
      <c r="M137" s="3"/>
      <c r="N137" s="3"/>
      <c r="O137" s="3"/>
      <c r="P137" s="3"/>
    </row>
    <row r="138" spans="1:16" x14ac:dyDescent="0.2">
      <c r="A138" s="3" t="s">
        <v>253</v>
      </c>
      <c r="B138" s="3" t="str">
        <f t="shared" si="2"/>
        <v>c.6975T&gt;C</v>
      </c>
      <c r="C138" s="3" t="s">
        <v>252</v>
      </c>
      <c r="D138" s="3">
        <v>13.2</v>
      </c>
      <c r="E138" s="3">
        <v>0.96025351000000003</v>
      </c>
      <c r="F138" s="3">
        <v>1.01918379</v>
      </c>
      <c r="G138" s="3">
        <v>0.99443243000000003</v>
      </c>
      <c r="H138" s="3">
        <v>0.99059375999999999</v>
      </c>
      <c r="I138" s="3">
        <v>3.9479000000000002E-86</v>
      </c>
      <c r="J138" s="3" t="s">
        <v>15</v>
      </c>
      <c r="K138" s="3">
        <v>7.274</v>
      </c>
      <c r="L138" s="3">
        <v>-0.217361</v>
      </c>
      <c r="M138" s="3"/>
      <c r="N138" s="3"/>
      <c r="O138" s="3" t="s">
        <v>73</v>
      </c>
      <c r="P138" s="3"/>
    </row>
    <row r="139" spans="1:16" x14ac:dyDescent="0.2">
      <c r="A139" s="3" t="s">
        <v>254</v>
      </c>
      <c r="B139" s="3" t="str">
        <f t="shared" si="2"/>
        <v>c.6975T&gt;G</v>
      </c>
      <c r="C139" s="3" t="s">
        <v>252</v>
      </c>
      <c r="D139" s="3">
        <v>13.2</v>
      </c>
      <c r="E139" s="3">
        <v>1.0431022999999999</v>
      </c>
      <c r="F139" s="3">
        <v>1.08452283</v>
      </c>
      <c r="G139" s="3">
        <v>0.97624255999999998</v>
      </c>
      <c r="H139" s="3">
        <v>1.0388602300000001</v>
      </c>
      <c r="I139" s="3">
        <v>1.594E-101</v>
      </c>
      <c r="J139" s="3" t="s">
        <v>15</v>
      </c>
      <c r="K139" s="3">
        <v>6.96</v>
      </c>
      <c r="L139" s="3">
        <v>-0.17559</v>
      </c>
      <c r="M139" s="3"/>
      <c r="N139" s="3"/>
      <c r="O139" s="3"/>
      <c r="P139" s="3"/>
    </row>
    <row r="140" spans="1:16" x14ac:dyDescent="0.2">
      <c r="A140" s="3" t="s">
        <v>255</v>
      </c>
      <c r="B140" s="3" t="str">
        <f t="shared" si="2"/>
        <v>c.6976T&gt;A</v>
      </c>
      <c r="C140" s="3" t="s">
        <v>256</v>
      </c>
      <c r="D140" s="3">
        <v>13.2</v>
      </c>
      <c r="E140" s="3">
        <v>1.25451526</v>
      </c>
      <c r="F140" s="3">
        <v>1.16758352</v>
      </c>
      <c r="G140" s="3">
        <v>1.1348767399999999</v>
      </c>
      <c r="H140" s="3">
        <v>1.19136467</v>
      </c>
      <c r="I140" s="3">
        <v>1.417E-156</v>
      </c>
      <c r="J140" s="3" t="s">
        <v>15</v>
      </c>
      <c r="K140" s="3">
        <v>24.6</v>
      </c>
      <c r="L140" s="3">
        <v>0.13072400000000001</v>
      </c>
      <c r="M140" s="3" t="s">
        <v>46</v>
      </c>
      <c r="N140" s="3"/>
      <c r="O140" s="3"/>
      <c r="P140" s="3"/>
    </row>
    <row r="141" spans="1:16" x14ac:dyDescent="0.2">
      <c r="A141" s="3" t="s">
        <v>257</v>
      </c>
      <c r="B141" s="3" t="str">
        <f t="shared" si="2"/>
        <v>c.6976T&gt;C</v>
      </c>
      <c r="C141" s="3" t="s">
        <v>258</v>
      </c>
      <c r="D141" s="3">
        <v>13.2</v>
      </c>
      <c r="E141" s="3">
        <v>1.01986533</v>
      </c>
      <c r="F141" s="3">
        <v>0.94026010999999998</v>
      </c>
      <c r="G141" s="3">
        <v>1.0654222600000001</v>
      </c>
      <c r="H141" s="3">
        <v>1.0130742500000001</v>
      </c>
      <c r="I141" s="3">
        <v>3.6408E-93</v>
      </c>
      <c r="J141" s="3" t="s">
        <v>15</v>
      </c>
      <c r="K141" s="3">
        <v>24</v>
      </c>
      <c r="L141" s="3">
        <v>0.16553300000000001</v>
      </c>
      <c r="M141" s="3" t="s">
        <v>46</v>
      </c>
      <c r="N141" s="3"/>
      <c r="O141" s="3"/>
      <c r="P141" s="3"/>
    </row>
    <row r="142" spans="1:16" x14ac:dyDescent="0.2">
      <c r="A142" s="3" t="s">
        <v>259</v>
      </c>
      <c r="B142" s="3" t="str">
        <f t="shared" si="2"/>
        <v>c.6976T&gt;G</v>
      </c>
      <c r="C142" s="3" t="s">
        <v>260</v>
      </c>
      <c r="D142" s="3">
        <v>13.2</v>
      </c>
      <c r="E142" s="3">
        <v>0.86347459999999998</v>
      </c>
      <c r="F142" s="3">
        <v>1.0472041299999999</v>
      </c>
      <c r="G142" s="3">
        <v>0.97073257000000002</v>
      </c>
      <c r="H142" s="3">
        <v>0.95886621999999999</v>
      </c>
      <c r="I142" s="3">
        <v>9.6036999999999996E-77</v>
      </c>
      <c r="J142" s="3" t="s">
        <v>15</v>
      </c>
      <c r="K142" s="3">
        <v>23.5</v>
      </c>
      <c r="L142" s="3">
        <v>6.1107300000000003E-2</v>
      </c>
      <c r="M142" s="3" t="s">
        <v>46</v>
      </c>
      <c r="N142" s="3"/>
      <c r="O142" s="3"/>
      <c r="P142" s="3"/>
    </row>
    <row r="143" spans="1:16" x14ac:dyDescent="0.2">
      <c r="A143" s="3" t="s">
        <v>261</v>
      </c>
      <c r="B143" s="3" t="str">
        <f t="shared" si="2"/>
        <v>c.6977C&gt;A</v>
      </c>
      <c r="C143" s="3" t="s">
        <v>262</v>
      </c>
      <c r="D143" s="3">
        <v>13.2</v>
      </c>
      <c r="E143" s="3">
        <v>1.1107917899999999</v>
      </c>
      <c r="F143" s="3">
        <v>0.97701614999999997</v>
      </c>
      <c r="G143" s="3">
        <v>1.00908471</v>
      </c>
      <c r="H143" s="3">
        <v>1.0464396199999999</v>
      </c>
      <c r="I143" s="3">
        <v>4.917E-104</v>
      </c>
      <c r="J143" s="3" t="s">
        <v>15</v>
      </c>
      <c r="K143" s="3">
        <v>22</v>
      </c>
      <c r="L143" s="3">
        <v>0.123763</v>
      </c>
      <c r="M143" s="3" t="s">
        <v>46</v>
      </c>
      <c r="N143" s="3"/>
      <c r="O143" s="3"/>
      <c r="P143" s="3"/>
    </row>
    <row r="144" spans="1:16" x14ac:dyDescent="0.2">
      <c r="A144" s="3" t="s">
        <v>263</v>
      </c>
      <c r="B144" s="3" t="str">
        <f t="shared" si="2"/>
        <v>c.6977C&gt;G</v>
      </c>
      <c r="C144" s="3" t="s">
        <v>264</v>
      </c>
      <c r="D144" s="3">
        <v>13.2</v>
      </c>
      <c r="E144" s="3">
        <v>1.0043462299999999</v>
      </c>
      <c r="F144" s="3">
        <v>0.71176143000000003</v>
      </c>
      <c r="G144" s="3">
        <v>0.97368480999999996</v>
      </c>
      <c r="H144" s="3">
        <v>0.92814487999999995</v>
      </c>
      <c r="I144" s="3">
        <v>2.0049999999999998E-68</v>
      </c>
      <c r="J144" s="3" t="s">
        <v>15</v>
      </c>
      <c r="K144" s="3">
        <v>23.8</v>
      </c>
      <c r="L144" s="3">
        <v>0.144648</v>
      </c>
      <c r="M144" s="3" t="s">
        <v>46</v>
      </c>
      <c r="N144" s="3"/>
      <c r="O144" s="3"/>
      <c r="P144" s="3"/>
    </row>
    <row r="145" spans="1:16" x14ac:dyDescent="0.2">
      <c r="A145" s="3" t="s">
        <v>265</v>
      </c>
      <c r="B145" s="3" t="str">
        <f t="shared" si="2"/>
        <v>c.6977C&gt;T</v>
      </c>
      <c r="C145" s="3" t="s">
        <v>266</v>
      </c>
      <c r="D145" s="3">
        <v>13.2</v>
      </c>
      <c r="E145" s="3">
        <v>1.0735777799999999</v>
      </c>
      <c r="F145" s="3">
        <v>0.79987543000000005</v>
      </c>
      <c r="G145" s="3">
        <v>0.96103998000000002</v>
      </c>
      <c r="H145" s="3">
        <v>0.97467819</v>
      </c>
      <c r="I145" s="3">
        <v>2.5100999999999998E-81</v>
      </c>
      <c r="J145" s="3" t="s">
        <v>15</v>
      </c>
      <c r="K145" s="3">
        <v>23.9</v>
      </c>
      <c r="L145" s="3">
        <v>0.16553300000000001</v>
      </c>
      <c r="M145" s="3" t="s">
        <v>46</v>
      </c>
      <c r="N145" s="3"/>
      <c r="O145" s="3"/>
      <c r="P145" s="3"/>
    </row>
    <row r="146" spans="1:16" x14ac:dyDescent="0.2">
      <c r="A146" s="3" t="s">
        <v>267</v>
      </c>
      <c r="B146" s="3" t="str">
        <f t="shared" si="2"/>
        <v>c.6978T&gt;A</v>
      </c>
      <c r="C146" s="3" t="s">
        <v>268</v>
      </c>
      <c r="D146" s="3">
        <v>13.2</v>
      </c>
      <c r="E146" s="3">
        <v>1.21457634</v>
      </c>
      <c r="F146" s="3">
        <v>1.11141438</v>
      </c>
      <c r="G146" s="3">
        <v>1.13348038</v>
      </c>
      <c r="H146" s="3">
        <v>1.1606664499999999</v>
      </c>
      <c r="I146" s="3">
        <v>9.943E-145</v>
      </c>
      <c r="J146" s="3" t="s">
        <v>15</v>
      </c>
      <c r="K146" s="3">
        <v>9.4610000000000003</v>
      </c>
      <c r="L146" s="3">
        <v>-0.18951399999999999</v>
      </c>
      <c r="M146" s="3"/>
      <c r="N146" s="3"/>
      <c r="O146" s="3"/>
      <c r="P146" s="3"/>
    </row>
    <row r="147" spans="1:16" x14ac:dyDescent="0.2">
      <c r="A147" s="3" t="s">
        <v>269</v>
      </c>
      <c r="B147" s="3" t="str">
        <f t="shared" si="2"/>
        <v>c.6978T&gt;C</v>
      </c>
      <c r="C147" s="3" t="s">
        <v>268</v>
      </c>
      <c r="D147" s="3">
        <v>13.2</v>
      </c>
      <c r="E147" s="3">
        <v>1.0909969100000001</v>
      </c>
      <c r="F147" s="3">
        <v>1.0432696400000001</v>
      </c>
      <c r="G147" s="3">
        <v>1.1013797299999999</v>
      </c>
      <c r="H147" s="3">
        <v>1.0822324000000001</v>
      </c>
      <c r="I147" s="3">
        <v>3.272E-116</v>
      </c>
      <c r="J147" s="3" t="s">
        <v>15</v>
      </c>
      <c r="K147" s="3">
        <v>9.9559999999999995</v>
      </c>
      <c r="L147" s="3">
        <v>-0.23128399999999999</v>
      </c>
      <c r="M147" s="3"/>
      <c r="N147" s="3"/>
      <c r="O147" s="3" t="s">
        <v>73</v>
      </c>
      <c r="P147" s="3"/>
    </row>
    <row r="148" spans="1:16" x14ac:dyDescent="0.2">
      <c r="A148" s="3" t="s">
        <v>270</v>
      </c>
      <c r="B148" s="3" t="str">
        <f t="shared" si="2"/>
        <v>c.6978T&gt;G</v>
      </c>
      <c r="C148" s="3" t="s">
        <v>268</v>
      </c>
      <c r="D148" s="3">
        <v>13.2</v>
      </c>
      <c r="E148" s="3">
        <v>1.0266067299999999</v>
      </c>
      <c r="F148" s="3">
        <v>1.0710966900000001</v>
      </c>
      <c r="G148" s="3">
        <v>1.05931296</v>
      </c>
      <c r="H148" s="3">
        <v>1.05300653</v>
      </c>
      <c r="I148" s="3">
        <v>3.141E-106</v>
      </c>
      <c r="J148" s="3" t="s">
        <v>15</v>
      </c>
      <c r="K148" s="3">
        <v>9.6329999999999991</v>
      </c>
      <c r="L148" s="3">
        <v>-0.210399</v>
      </c>
      <c r="M148" s="3"/>
      <c r="N148" s="3"/>
      <c r="O148" s="3"/>
      <c r="P148" s="3"/>
    </row>
    <row r="149" spans="1:16" x14ac:dyDescent="0.2">
      <c r="A149" s="3" t="s">
        <v>271</v>
      </c>
      <c r="B149" s="3" t="str">
        <f t="shared" si="2"/>
        <v>c.6979T&gt;A</v>
      </c>
      <c r="C149" s="3" t="s">
        <v>272</v>
      </c>
      <c r="D149" s="3">
        <v>13.2</v>
      </c>
      <c r="E149" s="3">
        <v>1.12128345</v>
      </c>
      <c r="F149" s="3">
        <v>1.1218792900000001</v>
      </c>
      <c r="G149" s="3">
        <v>1.07521354</v>
      </c>
      <c r="H149" s="3">
        <v>1.1103789900000001</v>
      </c>
      <c r="I149" s="3">
        <v>3.7200000000000002E-126</v>
      </c>
      <c r="J149" s="3" t="s">
        <v>15</v>
      </c>
      <c r="K149" s="3">
        <v>24</v>
      </c>
      <c r="L149" s="3">
        <v>0.123763</v>
      </c>
      <c r="M149" s="3" t="s">
        <v>46</v>
      </c>
      <c r="N149" s="3"/>
      <c r="O149" s="3"/>
      <c r="P149" s="3"/>
    </row>
    <row r="150" spans="1:16" x14ac:dyDescent="0.2">
      <c r="A150" s="3" t="s">
        <v>273</v>
      </c>
      <c r="B150" s="3" t="str">
        <f t="shared" si="2"/>
        <v>c.6979T&gt;C</v>
      </c>
      <c r="C150" s="3" t="s">
        <v>274</v>
      </c>
      <c r="D150" s="3">
        <v>13.2</v>
      </c>
      <c r="E150" s="3">
        <v>0.97069335999999995</v>
      </c>
      <c r="F150" s="3">
        <v>1.0389339900000001</v>
      </c>
      <c r="G150" s="3">
        <v>1.0412520199999999</v>
      </c>
      <c r="H150" s="3">
        <v>1.0170615300000001</v>
      </c>
      <c r="I150" s="3">
        <v>1.9396E-94</v>
      </c>
      <c r="J150" s="3" t="s">
        <v>15</v>
      </c>
      <c r="K150" s="3">
        <v>8.8740000000000006</v>
      </c>
      <c r="L150" s="3">
        <v>-0.217361</v>
      </c>
      <c r="M150" s="3"/>
      <c r="N150" s="3"/>
      <c r="O150" s="3" t="s">
        <v>73</v>
      </c>
      <c r="P150" s="3"/>
    </row>
    <row r="151" spans="1:16" x14ac:dyDescent="0.2">
      <c r="A151" s="3" t="s">
        <v>275</v>
      </c>
      <c r="B151" s="3" t="str">
        <f t="shared" si="2"/>
        <v>c.6979T&gt;G</v>
      </c>
      <c r="C151" s="3" t="s">
        <v>276</v>
      </c>
      <c r="D151" s="3">
        <v>13.2</v>
      </c>
      <c r="E151" s="3">
        <v>1.0906324700000001</v>
      </c>
      <c r="F151" s="3">
        <v>0.97703894999999996</v>
      </c>
      <c r="G151" s="3">
        <v>0.93662716999999995</v>
      </c>
      <c r="H151" s="3">
        <v>1.02134931</v>
      </c>
      <c r="I151" s="3">
        <v>8.1338E-96</v>
      </c>
      <c r="J151" s="3" t="s">
        <v>15</v>
      </c>
      <c r="K151" s="3">
        <v>23.9</v>
      </c>
      <c r="L151" s="3">
        <v>0.186418</v>
      </c>
      <c r="M151" s="3" t="s">
        <v>46</v>
      </c>
      <c r="N151" s="3"/>
      <c r="O151" s="3"/>
      <c r="P151" s="3"/>
    </row>
    <row r="152" spans="1:16" x14ac:dyDescent="0.2">
      <c r="A152" s="3" t="s">
        <v>277</v>
      </c>
      <c r="B152" s="3" t="str">
        <f t="shared" si="2"/>
        <v>c.6980T&gt;A</v>
      </c>
      <c r="C152" s="3" t="s">
        <v>278</v>
      </c>
      <c r="D152" s="3">
        <v>13.2</v>
      </c>
      <c r="E152" s="3">
        <v>-0.1235213</v>
      </c>
      <c r="F152" s="3">
        <v>8.5660109999999998E-2</v>
      </c>
      <c r="G152" s="3">
        <v>-1.9907000000000002E-3</v>
      </c>
      <c r="H152" s="3">
        <v>1.6171370000000001E-2</v>
      </c>
      <c r="I152" s="3">
        <v>1</v>
      </c>
      <c r="J152" s="3" t="s">
        <v>17</v>
      </c>
      <c r="K152" s="3">
        <v>42</v>
      </c>
      <c r="L152" s="3">
        <v>0.59019699999999997</v>
      </c>
      <c r="M152" s="3"/>
      <c r="N152" s="3"/>
      <c r="O152" s="3"/>
      <c r="P152" s="3"/>
    </row>
    <row r="153" spans="1:16" x14ac:dyDescent="0.2">
      <c r="A153" s="3" t="s">
        <v>279</v>
      </c>
      <c r="B153" s="3" t="str">
        <f t="shared" si="2"/>
        <v>c.6980T&gt;C</v>
      </c>
      <c r="C153" s="3" t="s">
        <v>280</v>
      </c>
      <c r="D153" s="3">
        <v>13.2</v>
      </c>
      <c r="E153" s="3">
        <v>1.0444580299999999</v>
      </c>
      <c r="F153" s="3">
        <v>0.99609961999999996</v>
      </c>
      <c r="G153" s="3">
        <v>1.09659683</v>
      </c>
      <c r="H153" s="3">
        <v>1.0504885500000001</v>
      </c>
      <c r="I153" s="3">
        <v>2.1910000000000001E-105</v>
      </c>
      <c r="J153" s="3" t="s">
        <v>15</v>
      </c>
      <c r="K153" s="3">
        <v>27.3</v>
      </c>
      <c r="L153" s="3">
        <v>0.228188</v>
      </c>
      <c r="M153" s="3"/>
      <c r="N153" s="3"/>
      <c r="O153" s="3" t="s">
        <v>38</v>
      </c>
      <c r="P153" s="3"/>
    </row>
    <row r="154" spans="1:16" x14ac:dyDescent="0.2">
      <c r="A154" s="3" t="s">
        <v>281</v>
      </c>
      <c r="B154" s="3" t="str">
        <f t="shared" si="2"/>
        <v>c.6980T&gt;G</v>
      </c>
      <c r="C154" s="3" t="s">
        <v>278</v>
      </c>
      <c r="D154" s="3">
        <v>13.2</v>
      </c>
      <c r="E154" s="3">
        <v>-3.2983199999999997E-2</v>
      </c>
      <c r="F154" s="3">
        <v>8.7918000000000002E-4</v>
      </c>
      <c r="G154" s="3">
        <v>-0.41705130000000001</v>
      </c>
      <c r="H154" s="3">
        <v>-4.3472999999999998E-2</v>
      </c>
      <c r="I154" s="3">
        <v>1</v>
      </c>
      <c r="J154" s="3" t="s">
        <v>17</v>
      </c>
      <c r="K154" s="3">
        <v>42</v>
      </c>
      <c r="L154" s="3">
        <v>0.59019699999999997</v>
      </c>
      <c r="M154" s="3"/>
      <c r="N154" s="3"/>
      <c r="O154" s="3"/>
      <c r="P154" s="3"/>
    </row>
    <row r="155" spans="1:16" x14ac:dyDescent="0.2">
      <c r="A155" s="3" t="s">
        <v>282</v>
      </c>
      <c r="B155" s="3" t="str">
        <f t="shared" si="2"/>
        <v>c.6981A&gt;C</v>
      </c>
      <c r="C155" s="3" t="s">
        <v>283</v>
      </c>
      <c r="D155" s="3">
        <v>13.2</v>
      </c>
      <c r="E155" s="3">
        <v>1.0957901000000001</v>
      </c>
      <c r="F155" s="3">
        <v>1.0038646099999999</v>
      </c>
      <c r="G155" s="3">
        <v>0.88843532000000003</v>
      </c>
      <c r="H155" s="3">
        <v>1.02076627</v>
      </c>
      <c r="I155" s="3">
        <v>1.2533000000000001E-95</v>
      </c>
      <c r="J155" s="3" t="s">
        <v>15</v>
      </c>
      <c r="K155" s="3">
        <v>24.7</v>
      </c>
      <c r="L155" s="3">
        <v>0.20034099999999999</v>
      </c>
      <c r="M155" s="3" t="s">
        <v>46</v>
      </c>
      <c r="N155" s="3"/>
      <c r="O155" s="3"/>
      <c r="P155" s="3"/>
    </row>
    <row r="156" spans="1:16" x14ac:dyDescent="0.2">
      <c r="A156" s="3" t="s">
        <v>284</v>
      </c>
      <c r="B156" s="3" t="str">
        <f t="shared" si="2"/>
        <v>c.6981A&gt;G</v>
      </c>
      <c r="C156" s="3" t="s">
        <v>274</v>
      </c>
      <c r="D156" s="3">
        <v>13.2</v>
      </c>
      <c r="E156" s="3">
        <v>1.07259653</v>
      </c>
      <c r="F156" s="3">
        <v>1.1140144300000001</v>
      </c>
      <c r="G156" s="3">
        <v>1.11821086</v>
      </c>
      <c r="H156" s="3">
        <v>1.10093164</v>
      </c>
      <c r="I156" s="3">
        <v>8.8000000000000003E-123</v>
      </c>
      <c r="J156" s="3" t="s">
        <v>15</v>
      </c>
      <c r="K156" s="3">
        <v>9.3879999999999999</v>
      </c>
      <c r="L156" s="3">
        <v>-0.17559</v>
      </c>
      <c r="M156" s="3"/>
      <c r="N156" s="3"/>
      <c r="O156" s="3"/>
      <c r="P156" s="3"/>
    </row>
    <row r="157" spans="1:16" x14ac:dyDescent="0.2">
      <c r="A157" s="3" t="s">
        <v>285</v>
      </c>
      <c r="B157" s="3" t="str">
        <f t="shared" si="2"/>
        <v>c.6981A&gt;T</v>
      </c>
      <c r="C157" s="3" t="s">
        <v>283</v>
      </c>
      <c r="D157" s="3">
        <v>13.2</v>
      </c>
      <c r="E157" s="3">
        <v>1.0013429300000001</v>
      </c>
      <c r="F157" s="3">
        <v>0.75942111999999995</v>
      </c>
      <c r="G157" s="3">
        <v>0.91923467000000003</v>
      </c>
      <c r="H157" s="3">
        <v>0.92522152999999996</v>
      </c>
      <c r="I157" s="3">
        <v>1.1465999999999999E-67</v>
      </c>
      <c r="J157" s="3" t="s">
        <v>15</v>
      </c>
      <c r="K157" s="3">
        <v>24.7</v>
      </c>
      <c r="L157" s="3">
        <v>0.20034099999999999</v>
      </c>
      <c r="M157" s="3" t="s">
        <v>46</v>
      </c>
      <c r="N157" s="3"/>
      <c r="O157" s="3"/>
      <c r="P157" s="3"/>
    </row>
    <row r="158" spans="1:16" x14ac:dyDescent="0.2">
      <c r="A158" s="3" t="s">
        <v>286</v>
      </c>
      <c r="B158" s="3" t="str">
        <f t="shared" si="2"/>
        <v>c.6982G&gt;A</v>
      </c>
      <c r="C158" s="3" t="s">
        <v>287</v>
      </c>
      <c r="D158" s="3">
        <v>13.2</v>
      </c>
      <c r="E158" s="3">
        <v>1.1432241400000001</v>
      </c>
      <c r="F158" s="3">
        <v>1.03779994</v>
      </c>
      <c r="G158" s="3">
        <v>1.01904868</v>
      </c>
      <c r="H158" s="3">
        <v>1.08138691</v>
      </c>
      <c r="I158" s="3">
        <v>6.435E-116</v>
      </c>
      <c r="J158" s="3" t="s">
        <v>15</v>
      </c>
      <c r="K158" s="3">
        <v>22.8</v>
      </c>
      <c r="L158" s="3">
        <v>0.144648</v>
      </c>
      <c r="M158" s="3" t="s">
        <v>46</v>
      </c>
      <c r="N158" s="3"/>
      <c r="O158" s="3"/>
      <c r="P158" s="3"/>
    </row>
    <row r="159" spans="1:16" x14ac:dyDescent="0.2">
      <c r="A159" s="3" t="s">
        <v>288</v>
      </c>
      <c r="B159" s="3" t="str">
        <f t="shared" si="2"/>
        <v>c.6982G&gt;C</v>
      </c>
      <c r="C159" s="3" t="s">
        <v>289</v>
      </c>
      <c r="D159" s="3">
        <v>13.2</v>
      </c>
      <c r="E159" s="3">
        <v>1.1732433600000001</v>
      </c>
      <c r="F159" s="3">
        <v>1.0573379199999999</v>
      </c>
      <c r="G159" s="3">
        <v>1.06889265</v>
      </c>
      <c r="H159" s="3">
        <v>1.11236559</v>
      </c>
      <c r="I159" s="3">
        <v>7.1849999999999997E-127</v>
      </c>
      <c r="J159" s="3" t="s">
        <v>15</v>
      </c>
      <c r="K159" s="3">
        <v>20.8</v>
      </c>
      <c r="L159" s="3">
        <v>0.17249500000000001</v>
      </c>
      <c r="M159" s="3" t="s">
        <v>46</v>
      </c>
      <c r="N159" s="3"/>
      <c r="O159" s="3"/>
      <c r="P159" s="3"/>
    </row>
    <row r="160" spans="1:16" x14ac:dyDescent="0.2">
      <c r="A160" s="3" t="s">
        <v>290</v>
      </c>
      <c r="B160" s="3" t="str">
        <f t="shared" si="2"/>
        <v>c.6982G&gt;T</v>
      </c>
      <c r="C160" s="3" t="s">
        <v>291</v>
      </c>
      <c r="D160" s="3">
        <v>13.2</v>
      </c>
      <c r="E160" s="3">
        <v>0.21670327</v>
      </c>
      <c r="F160" s="3">
        <v>0.48096217000000002</v>
      </c>
      <c r="G160" s="3">
        <v>0.58352397</v>
      </c>
      <c r="H160" s="3">
        <v>0.43331841999999998</v>
      </c>
      <c r="I160" s="3">
        <v>1</v>
      </c>
      <c r="J160" s="3" t="s">
        <v>17</v>
      </c>
      <c r="K160" s="3">
        <v>40</v>
      </c>
      <c r="L160" s="3">
        <v>0.59019699999999997</v>
      </c>
      <c r="M160" s="3"/>
      <c r="N160" s="3"/>
      <c r="O160" s="3" t="s">
        <v>42</v>
      </c>
      <c r="P160" s="3"/>
    </row>
    <row r="161" spans="1:16" x14ac:dyDescent="0.2">
      <c r="A161" s="3" t="s">
        <v>292</v>
      </c>
      <c r="B161" s="3" t="str">
        <f t="shared" si="2"/>
        <v>c.6983A&gt;C</v>
      </c>
      <c r="C161" s="3" t="s">
        <v>293</v>
      </c>
      <c r="D161" s="3">
        <v>13.2</v>
      </c>
      <c r="E161" s="3">
        <v>1.13718615</v>
      </c>
      <c r="F161" s="3">
        <v>0.93584542000000004</v>
      </c>
      <c r="G161" s="3">
        <v>0.94739450999999997</v>
      </c>
      <c r="H161" s="3">
        <v>1.0342693199999999</v>
      </c>
      <c r="I161" s="3">
        <v>5.1460000000000003E-100</v>
      </c>
      <c r="J161" s="3" t="s">
        <v>15</v>
      </c>
      <c r="K161" s="3">
        <v>24.5</v>
      </c>
      <c r="L161" s="3">
        <v>-2.94985E-2</v>
      </c>
      <c r="M161" s="3" t="s">
        <v>46</v>
      </c>
      <c r="N161" s="3"/>
      <c r="O161" s="3" t="s">
        <v>38</v>
      </c>
      <c r="P161" s="3"/>
    </row>
    <row r="162" spans="1:16" x14ac:dyDescent="0.2">
      <c r="A162" s="3" t="s">
        <v>294</v>
      </c>
      <c r="B162" s="3" t="str">
        <f t="shared" si="2"/>
        <v>c.6983A&gt;G</v>
      </c>
      <c r="C162" s="3" t="s">
        <v>295</v>
      </c>
      <c r="D162" s="3">
        <v>13.2</v>
      </c>
      <c r="E162" s="3">
        <v>0.92730990999999996</v>
      </c>
      <c r="F162" s="3">
        <v>0.90500380999999996</v>
      </c>
      <c r="G162" s="3">
        <v>0.72701183000000003</v>
      </c>
      <c r="H162" s="3">
        <v>0.87956540000000005</v>
      </c>
      <c r="I162" s="3">
        <v>2.1594999999999999E-56</v>
      </c>
      <c r="J162" s="3" t="s">
        <v>15</v>
      </c>
      <c r="K162" s="3">
        <v>26.7</v>
      </c>
      <c r="L162" s="3">
        <v>0.17249500000000001</v>
      </c>
      <c r="M162" s="3" t="s">
        <v>46</v>
      </c>
      <c r="N162" s="3"/>
      <c r="O162" s="3" t="s">
        <v>38</v>
      </c>
      <c r="P162" s="3"/>
    </row>
    <row r="163" spans="1:16" x14ac:dyDescent="0.2">
      <c r="A163" s="3" t="s">
        <v>296</v>
      </c>
      <c r="B163" s="3" t="str">
        <f t="shared" si="2"/>
        <v>c.6983A&gt;T</v>
      </c>
      <c r="C163" s="3" t="s">
        <v>297</v>
      </c>
      <c r="D163" s="3">
        <v>13.2</v>
      </c>
      <c r="E163" s="3">
        <v>1.0096882899999999</v>
      </c>
      <c r="F163" s="3">
        <v>0.75891620000000004</v>
      </c>
      <c r="G163" s="3">
        <v>0.88051405000000005</v>
      </c>
      <c r="H163" s="3">
        <v>0.91737919000000001</v>
      </c>
      <c r="I163" s="3">
        <v>1.1673E-65</v>
      </c>
      <c r="J163" s="3" t="s">
        <v>15</v>
      </c>
      <c r="K163" s="3">
        <v>25.7</v>
      </c>
      <c r="L163" s="3">
        <v>0.20034099999999999</v>
      </c>
      <c r="M163" s="3" t="s">
        <v>46</v>
      </c>
      <c r="N163" s="3"/>
      <c r="O163" s="3"/>
      <c r="P163" s="3"/>
    </row>
    <row r="164" spans="1:16" x14ac:dyDescent="0.2">
      <c r="A164" s="3" t="s">
        <v>298</v>
      </c>
      <c r="B164" s="3" t="str">
        <f t="shared" si="2"/>
        <v>c.6984G&gt;A</v>
      </c>
      <c r="C164" s="3" t="s">
        <v>299</v>
      </c>
      <c r="D164" s="3">
        <v>13.2</v>
      </c>
      <c r="E164" s="3">
        <v>0.87928839999999997</v>
      </c>
      <c r="F164" s="3">
        <v>0.93982261</v>
      </c>
      <c r="G164" s="3">
        <v>1.05650168</v>
      </c>
      <c r="H164" s="3">
        <v>0.95550106999999995</v>
      </c>
      <c r="I164" s="3">
        <v>8.5200000000000005E-76</v>
      </c>
      <c r="J164" s="3" t="s">
        <v>15</v>
      </c>
      <c r="K164" s="3">
        <v>7.1050000000000004</v>
      </c>
      <c r="L164" s="3">
        <v>-0.14774399999999999</v>
      </c>
      <c r="M164" s="3"/>
      <c r="N164" s="3"/>
      <c r="O164" s="3" t="s">
        <v>73</v>
      </c>
      <c r="P164" s="3"/>
    </row>
    <row r="165" spans="1:16" x14ac:dyDescent="0.2">
      <c r="A165" s="3" t="s">
        <v>300</v>
      </c>
      <c r="B165" s="3" t="str">
        <f t="shared" si="2"/>
        <v>c.6984G&gt;C</v>
      </c>
      <c r="C165" s="3" t="s">
        <v>301</v>
      </c>
      <c r="D165" s="3">
        <v>13.2</v>
      </c>
      <c r="E165" s="3">
        <v>0.99030898000000001</v>
      </c>
      <c r="F165" s="3">
        <v>0.90848474999999995</v>
      </c>
      <c r="G165" s="3">
        <v>0.95616650999999997</v>
      </c>
      <c r="H165" s="3">
        <v>0.96210192999999999</v>
      </c>
      <c r="I165" s="3">
        <v>1.1527E-77</v>
      </c>
      <c r="J165" s="3" t="s">
        <v>15</v>
      </c>
      <c r="K165" s="3">
        <v>23.4</v>
      </c>
      <c r="L165" s="3">
        <v>0.155913</v>
      </c>
      <c r="M165" s="3" t="s">
        <v>46</v>
      </c>
      <c r="N165" s="3"/>
      <c r="O165" s="3"/>
      <c r="P165" s="3"/>
    </row>
    <row r="166" spans="1:16" x14ac:dyDescent="0.2">
      <c r="A166" s="3" t="s">
        <v>302</v>
      </c>
      <c r="B166" s="3" t="str">
        <f t="shared" si="2"/>
        <v>c.6984G&gt;T</v>
      </c>
      <c r="C166" s="3" t="s">
        <v>301</v>
      </c>
      <c r="D166" s="3">
        <v>13.2</v>
      </c>
      <c r="E166" s="3">
        <v>0.80325480999999999</v>
      </c>
      <c r="F166" s="3">
        <v>0.85851641999999995</v>
      </c>
      <c r="G166" s="3">
        <v>0.77275671999999995</v>
      </c>
      <c r="H166" s="3">
        <v>0.82106835</v>
      </c>
      <c r="I166" s="3">
        <v>3.0252999999999999E-43</v>
      </c>
      <c r="J166" s="3" t="s">
        <v>15</v>
      </c>
      <c r="K166" s="3">
        <v>23.4</v>
      </c>
      <c r="L166" s="3">
        <v>0.15857099999999999</v>
      </c>
      <c r="M166" s="3" t="s">
        <v>46</v>
      </c>
      <c r="N166" s="3"/>
      <c r="O166" s="3"/>
      <c r="P166" s="3"/>
    </row>
    <row r="167" spans="1:16" x14ac:dyDescent="0.2">
      <c r="A167" s="3" t="s">
        <v>303</v>
      </c>
      <c r="B167" s="3" t="str">
        <f t="shared" si="2"/>
        <v>c.6985C&gt;A</v>
      </c>
      <c r="C167" s="3" t="s">
        <v>304</v>
      </c>
      <c r="D167" s="3">
        <v>13.2</v>
      </c>
      <c r="E167" s="3">
        <v>0.77729771000000003</v>
      </c>
      <c r="F167" s="3">
        <v>0.75012783999999999</v>
      </c>
      <c r="G167" s="3">
        <v>0.72786410000000001</v>
      </c>
      <c r="H167" s="3">
        <v>0.76710434000000005</v>
      </c>
      <c r="I167" s="3">
        <v>2.3223000000000001E-32</v>
      </c>
      <c r="J167" s="3" t="s">
        <v>15</v>
      </c>
      <c r="K167" s="3">
        <v>24.8</v>
      </c>
      <c r="L167" s="3">
        <v>0.27692</v>
      </c>
      <c r="M167" s="3" t="s">
        <v>46</v>
      </c>
      <c r="N167" s="3"/>
      <c r="O167" s="3" t="s">
        <v>38</v>
      </c>
      <c r="P167" s="3"/>
    </row>
    <row r="168" spans="1:16" x14ac:dyDescent="0.2">
      <c r="A168" s="3" t="s">
        <v>305</v>
      </c>
      <c r="B168" s="3" t="str">
        <f t="shared" si="2"/>
        <v>c.6985C&gt;G</v>
      </c>
      <c r="C168" s="3" t="s">
        <v>306</v>
      </c>
      <c r="D168" s="3">
        <v>13.2</v>
      </c>
      <c r="E168" s="3">
        <v>0.9721052</v>
      </c>
      <c r="F168" s="3">
        <v>0.62341394999999999</v>
      </c>
      <c r="G168" s="3">
        <v>0.82292054999999997</v>
      </c>
      <c r="H168" s="3">
        <v>0.85499546999999998</v>
      </c>
      <c r="I168" s="3">
        <v>1.0653E-50</v>
      </c>
      <c r="J168" s="3" t="s">
        <v>15</v>
      </c>
      <c r="K168" s="3">
        <v>24.5</v>
      </c>
      <c r="L168" s="3">
        <v>0.21426500000000001</v>
      </c>
      <c r="M168" s="3" t="s">
        <v>46</v>
      </c>
      <c r="N168" s="3"/>
      <c r="O168" s="3"/>
      <c r="P168" s="3"/>
    </row>
    <row r="169" spans="1:16" x14ac:dyDescent="0.2">
      <c r="A169" s="3" t="s">
        <v>307</v>
      </c>
      <c r="B169" s="3" t="str">
        <f t="shared" si="2"/>
        <v>c.6985C&gt;T</v>
      </c>
      <c r="C169" s="3" t="s">
        <v>308</v>
      </c>
      <c r="D169" s="3">
        <v>13.2</v>
      </c>
      <c r="E169" s="3">
        <v>0.63345300000000004</v>
      </c>
      <c r="F169" s="3">
        <v>0.38663240999999998</v>
      </c>
      <c r="G169" s="3">
        <v>0.73721539999999997</v>
      </c>
      <c r="H169" s="3">
        <v>0.62639593999999998</v>
      </c>
      <c r="I169" s="3">
        <v>1.4137E-9</v>
      </c>
      <c r="J169" s="3" t="s">
        <v>15</v>
      </c>
      <c r="K169" s="3">
        <v>25.8</v>
      </c>
      <c r="L169" s="3">
        <v>0.26995799999999998</v>
      </c>
      <c r="M169" s="3" t="s">
        <v>46</v>
      </c>
      <c r="N169" s="3"/>
      <c r="O169" s="3"/>
      <c r="P169" s="3"/>
    </row>
    <row r="170" spans="1:16" x14ac:dyDescent="0.2">
      <c r="A170" s="3" t="s">
        <v>309</v>
      </c>
      <c r="B170" s="3" t="str">
        <f t="shared" si="2"/>
        <v>c.6986C&gt;A</v>
      </c>
      <c r="C170" s="3" t="s">
        <v>310</v>
      </c>
      <c r="D170" s="3">
        <v>13.2</v>
      </c>
      <c r="E170" s="3">
        <v>0.65070570000000005</v>
      </c>
      <c r="F170" s="3">
        <v>1.0248129999999999E-2</v>
      </c>
      <c r="G170" s="3">
        <v>0.72342563000000004</v>
      </c>
      <c r="H170" s="3">
        <v>0.57889393</v>
      </c>
      <c r="I170" s="3">
        <v>1.0343399999999999E-3</v>
      </c>
      <c r="J170" s="3" t="s">
        <v>15</v>
      </c>
      <c r="K170" s="3">
        <v>25.9</v>
      </c>
      <c r="L170" s="3">
        <v>0.29084300000000002</v>
      </c>
      <c r="M170" s="3" t="s">
        <v>46</v>
      </c>
      <c r="N170" s="3"/>
      <c r="O170" s="3"/>
      <c r="P170" s="3"/>
    </row>
    <row r="171" spans="1:16" x14ac:dyDescent="0.2">
      <c r="A171" s="3" t="s">
        <v>311</v>
      </c>
      <c r="B171" s="3" t="str">
        <f t="shared" si="2"/>
        <v>c.6986C&gt;G</v>
      </c>
      <c r="C171" s="3" t="s">
        <v>312</v>
      </c>
      <c r="D171" s="3">
        <v>13.2</v>
      </c>
      <c r="E171" s="3">
        <v>0.89237791</v>
      </c>
      <c r="F171" s="3">
        <v>0.36151550999999998</v>
      </c>
      <c r="G171" s="3">
        <v>0.68744731999999997</v>
      </c>
      <c r="H171" s="3">
        <v>0.73599256999999996</v>
      </c>
      <c r="I171" s="3">
        <v>1.2605999999999999E-26</v>
      </c>
      <c r="J171" s="3" t="s">
        <v>15</v>
      </c>
      <c r="K171" s="3">
        <v>25.6</v>
      </c>
      <c r="L171" s="3">
        <v>0.29084300000000002</v>
      </c>
      <c r="M171" s="3" t="s">
        <v>46</v>
      </c>
      <c r="N171" s="3"/>
      <c r="O171" s="3" t="s">
        <v>38</v>
      </c>
      <c r="P171" s="3"/>
    </row>
    <row r="172" spans="1:16" x14ac:dyDescent="0.2">
      <c r="A172" s="3" t="s">
        <v>313</v>
      </c>
      <c r="B172" s="3" t="str">
        <f t="shared" si="2"/>
        <v>c.6986C&gt;T</v>
      </c>
      <c r="C172" s="3" t="s">
        <v>314</v>
      </c>
      <c r="D172" s="3">
        <v>13.2</v>
      </c>
      <c r="E172" s="3">
        <v>0.49776990999999998</v>
      </c>
      <c r="F172" s="3">
        <v>5.7058350000000001E-2</v>
      </c>
      <c r="G172" s="3">
        <v>-0.13455429999999999</v>
      </c>
      <c r="H172" s="3">
        <v>0.30949500000000002</v>
      </c>
      <c r="I172" s="3">
        <v>1</v>
      </c>
      <c r="J172" s="3" t="s">
        <v>17</v>
      </c>
      <c r="K172" s="3">
        <v>26.2</v>
      </c>
      <c r="L172" s="3">
        <v>0.22181400000000001</v>
      </c>
      <c r="M172" s="3" t="s">
        <v>46</v>
      </c>
      <c r="N172" s="3" t="s">
        <v>315</v>
      </c>
      <c r="O172" s="3" t="s">
        <v>34</v>
      </c>
      <c r="P172" s="3"/>
    </row>
    <row r="173" spans="1:16" x14ac:dyDescent="0.2">
      <c r="A173" s="3" t="s">
        <v>316</v>
      </c>
      <c r="B173" s="3" t="str">
        <f t="shared" si="2"/>
        <v>c.6987G&gt;A</v>
      </c>
      <c r="C173" s="3" t="s">
        <v>317</v>
      </c>
      <c r="D173" s="3">
        <v>13.2</v>
      </c>
      <c r="E173" s="3">
        <v>0.95744737000000002</v>
      </c>
      <c r="F173" s="3">
        <v>0.85749268000000001</v>
      </c>
      <c r="G173" s="3">
        <v>0.8653883</v>
      </c>
      <c r="H173" s="3">
        <v>0.90734731999999996</v>
      </c>
      <c r="I173" s="3">
        <v>3.8840999999999998E-63</v>
      </c>
      <c r="J173" s="3" t="s">
        <v>15</v>
      </c>
      <c r="K173" s="3">
        <v>6.6109999999999998</v>
      </c>
      <c r="L173" s="3">
        <v>-0.47319299999999997</v>
      </c>
      <c r="M173" s="3"/>
      <c r="N173" s="3"/>
      <c r="O173" s="3" t="s">
        <v>73</v>
      </c>
      <c r="P173" s="3"/>
    </row>
    <row r="174" spans="1:16" x14ac:dyDescent="0.2">
      <c r="A174" s="3" t="s">
        <v>318</v>
      </c>
      <c r="B174" s="3" t="str">
        <f t="shared" si="2"/>
        <v>c.6987G&gt;C</v>
      </c>
      <c r="C174" s="3" t="s">
        <v>317</v>
      </c>
      <c r="D174" s="3">
        <v>13.2</v>
      </c>
      <c r="E174" s="3">
        <v>0.86156915999999995</v>
      </c>
      <c r="F174" s="3">
        <v>0.92357747999999995</v>
      </c>
      <c r="G174" s="3">
        <v>0.86161821999999999</v>
      </c>
      <c r="H174" s="3">
        <v>0.88332398000000001</v>
      </c>
      <c r="I174" s="3">
        <v>2.7625000000000002E-57</v>
      </c>
      <c r="J174" s="3" t="s">
        <v>15</v>
      </c>
      <c r="K174" s="3">
        <v>6.4580000000000002</v>
      </c>
      <c r="L174" s="3">
        <v>-0.32178600000000002</v>
      </c>
      <c r="M174" s="3"/>
      <c r="N174" s="3"/>
      <c r="O174" s="3"/>
      <c r="P174" s="3"/>
    </row>
    <row r="175" spans="1:16" x14ac:dyDescent="0.2">
      <c r="A175" s="3" t="s">
        <v>319</v>
      </c>
      <c r="B175" s="3" t="str">
        <f t="shared" si="2"/>
        <v>c.6987G&gt;T</v>
      </c>
      <c r="C175" s="3" t="s">
        <v>317</v>
      </c>
      <c r="D175" s="3">
        <v>13.2</v>
      </c>
      <c r="E175" s="3">
        <v>0.77722732000000005</v>
      </c>
      <c r="F175" s="3">
        <v>0.76159626999999996</v>
      </c>
      <c r="G175" s="3">
        <v>0.88607058000000005</v>
      </c>
      <c r="H175" s="3">
        <v>0.81184736000000002</v>
      </c>
      <c r="I175" s="3">
        <v>2.6611999999999998E-41</v>
      </c>
      <c r="J175" s="3" t="s">
        <v>15</v>
      </c>
      <c r="K175" s="3">
        <v>6.4640000000000004</v>
      </c>
      <c r="L175" s="3">
        <v>-0.32874799999999998</v>
      </c>
      <c r="M175" s="3"/>
      <c r="N175" s="3"/>
      <c r="O175" s="3" t="s">
        <v>73</v>
      </c>
      <c r="P175" s="3"/>
    </row>
    <row r="176" spans="1:16" x14ac:dyDescent="0.2">
      <c r="A176" s="3" t="s">
        <v>320</v>
      </c>
      <c r="B176" s="3" t="str">
        <f t="shared" si="2"/>
        <v>c.6988A&gt;C</v>
      </c>
      <c r="C176" s="3" t="s">
        <v>321</v>
      </c>
      <c r="D176" s="3">
        <v>13.2</v>
      </c>
      <c r="E176" s="3">
        <v>1.07110679</v>
      </c>
      <c r="F176" s="3">
        <v>1.1591294700000001</v>
      </c>
      <c r="G176" s="3">
        <v>1.00746362</v>
      </c>
      <c r="H176" s="3">
        <v>1.0768882099999999</v>
      </c>
      <c r="I176" s="3">
        <v>2.3250000000000002E-114</v>
      </c>
      <c r="J176" s="3" t="s">
        <v>15</v>
      </c>
      <c r="K176" s="3">
        <v>7.1609999999999996</v>
      </c>
      <c r="L176" s="3">
        <v>-2.2433100000000001E-2</v>
      </c>
      <c r="M176" s="3" t="s">
        <v>46</v>
      </c>
      <c r="N176" s="3"/>
      <c r="O176" s="3"/>
      <c r="P176" s="3"/>
    </row>
    <row r="177" spans="1:16" x14ac:dyDescent="0.2">
      <c r="A177" s="3" t="s">
        <v>322</v>
      </c>
      <c r="B177" s="3" t="str">
        <f t="shared" si="2"/>
        <v>c.6988A&gt;G</v>
      </c>
      <c r="C177" s="3" t="s">
        <v>323</v>
      </c>
      <c r="D177" s="3">
        <v>13.2</v>
      </c>
      <c r="E177" s="3">
        <v>1.1558101599999999</v>
      </c>
      <c r="F177" s="3">
        <v>1.09042704</v>
      </c>
      <c r="G177" s="3">
        <v>1.1072928500000001</v>
      </c>
      <c r="H177" s="3">
        <v>1.1168816699999999</v>
      </c>
      <c r="I177" s="3">
        <v>1.6870000000000001E-128</v>
      </c>
      <c r="J177" s="3" t="s">
        <v>15</v>
      </c>
      <c r="K177" s="3">
        <v>0.20699999999999999</v>
      </c>
      <c r="L177" s="3">
        <v>-0.11293499999999999</v>
      </c>
      <c r="M177" s="3" t="s">
        <v>46</v>
      </c>
      <c r="N177" s="3"/>
      <c r="O177" s="3" t="s">
        <v>38</v>
      </c>
      <c r="P177" s="3"/>
    </row>
    <row r="178" spans="1:16" x14ac:dyDescent="0.2">
      <c r="A178" s="3" t="s">
        <v>324</v>
      </c>
      <c r="B178" s="3" t="str">
        <f t="shared" si="2"/>
        <v>c.6988A&gt;T</v>
      </c>
      <c r="C178" s="3" t="s">
        <v>325</v>
      </c>
      <c r="D178" s="3">
        <v>13.2</v>
      </c>
      <c r="E178" s="3">
        <v>1.1505242</v>
      </c>
      <c r="F178" s="3">
        <v>0.86418835000000005</v>
      </c>
      <c r="G178" s="3">
        <v>0.98065199000000003</v>
      </c>
      <c r="H178" s="3">
        <v>1.0271858</v>
      </c>
      <c r="I178" s="3">
        <v>1.0529999999999999E-97</v>
      </c>
      <c r="J178" s="3" t="s">
        <v>15</v>
      </c>
      <c r="K178" s="3">
        <v>17.55</v>
      </c>
      <c r="L178" s="3">
        <v>1.9337099999999999E-2</v>
      </c>
      <c r="M178" s="3" t="s">
        <v>46</v>
      </c>
      <c r="N178" s="3"/>
      <c r="O178" s="3"/>
      <c r="P178" s="3"/>
    </row>
    <row r="179" spans="1:16" x14ac:dyDescent="0.2">
      <c r="A179" s="3" t="s">
        <v>326</v>
      </c>
      <c r="B179" s="3" t="str">
        <f t="shared" si="2"/>
        <v>c.6989T&gt;A</v>
      </c>
      <c r="C179" s="3" t="s">
        <v>327</v>
      </c>
      <c r="D179" s="3">
        <v>13.2</v>
      </c>
      <c r="E179" s="3">
        <v>1.1685284600000001</v>
      </c>
      <c r="F179" s="3">
        <v>0.94958109999999996</v>
      </c>
      <c r="G179" s="3">
        <v>1.20138491</v>
      </c>
      <c r="H179" s="3">
        <v>1.11518414</v>
      </c>
      <c r="I179" s="3">
        <v>6.9260000000000003E-128</v>
      </c>
      <c r="J179" s="3" t="s">
        <v>15</v>
      </c>
      <c r="K179" s="3">
        <v>25.5</v>
      </c>
      <c r="L179" s="3">
        <v>0.102878</v>
      </c>
      <c r="M179" s="3" t="s">
        <v>46</v>
      </c>
      <c r="N179" s="3"/>
      <c r="O179" s="3"/>
      <c r="P179" s="3"/>
    </row>
    <row r="180" spans="1:16" x14ac:dyDescent="0.2">
      <c r="A180" s="3" t="s">
        <v>328</v>
      </c>
      <c r="B180" s="3" t="str">
        <f t="shared" si="2"/>
        <v>c.6989T&gt;C</v>
      </c>
      <c r="C180" s="3" t="s">
        <v>329</v>
      </c>
      <c r="D180" s="3">
        <v>13.2</v>
      </c>
      <c r="E180" s="3">
        <v>1.06945976</v>
      </c>
      <c r="F180" s="3">
        <v>0.97064412</v>
      </c>
      <c r="G180" s="3">
        <v>1.02052364</v>
      </c>
      <c r="H180" s="3">
        <v>1.02429156</v>
      </c>
      <c r="I180" s="3">
        <v>9.1293E-97</v>
      </c>
      <c r="J180" s="3" t="s">
        <v>15</v>
      </c>
      <c r="K180" s="3">
        <v>23.3</v>
      </c>
      <c r="L180" s="3">
        <v>0.123763</v>
      </c>
      <c r="M180" s="3" t="s">
        <v>46</v>
      </c>
      <c r="N180" s="3"/>
      <c r="O180" s="3" t="s">
        <v>38</v>
      </c>
      <c r="P180" s="3"/>
    </row>
    <row r="181" spans="1:16" x14ac:dyDescent="0.2">
      <c r="A181" s="3" t="s">
        <v>330</v>
      </c>
      <c r="B181" s="3" t="str">
        <f t="shared" si="2"/>
        <v>c.6989T&gt;G</v>
      </c>
      <c r="C181" s="3" t="s">
        <v>331</v>
      </c>
      <c r="D181" s="3">
        <v>13.2</v>
      </c>
      <c r="E181" s="3">
        <v>1.14034787</v>
      </c>
      <c r="F181" s="3">
        <v>1.1471049099999999</v>
      </c>
      <c r="G181" s="3">
        <v>1.13089529</v>
      </c>
      <c r="H181" s="3">
        <v>1.1320022700000001</v>
      </c>
      <c r="I181" s="3">
        <v>5.1400000000000001E-134</v>
      </c>
      <c r="J181" s="3" t="s">
        <v>15</v>
      </c>
      <c r="K181" s="3">
        <v>25.5</v>
      </c>
      <c r="L181" s="3">
        <v>9.5915799999999996E-2</v>
      </c>
      <c r="M181" s="3" t="s">
        <v>46</v>
      </c>
      <c r="N181" s="3"/>
      <c r="O181" s="3"/>
      <c r="P181" s="3"/>
    </row>
    <row r="182" spans="1:16" x14ac:dyDescent="0.2">
      <c r="A182" s="3" t="s">
        <v>332</v>
      </c>
      <c r="B182" s="3" t="str">
        <f t="shared" si="2"/>
        <v>c.6990T&gt;A</v>
      </c>
      <c r="C182" s="3" t="s">
        <v>333</v>
      </c>
      <c r="D182" s="3">
        <v>13.2</v>
      </c>
      <c r="E182" s="3">
        <v>0.98834502000000002</v>
      </c>
      <c r="F182" s="3">
        <v>0.71235585999999995</v>
      </c>
      <c r="G182" s="3">
        <v>1.0215080299999999</v>
      </c>
      <c r="H182" s="3">
        <v>0.93049419</v>
      </c>
      <c r="I182" s="3">
        <v>4.8954999999999997E-69</v>
      </c>
      <c r="J182" s="3" t="s">
        <v>15</v>
      </c>
      <c r="K182" s="3">
        <v>6.0419999999999998</v>
      </c>
      <c r="L182" s="3">
        <v>-4.3318200000000001E-2</v>
      </c>
      <c r="M182" s="3"/>
      <c r="N182" s="3"/>
      <c r="O182" s="3" t="s">
        <v>73</v>
      </c>
      <c r="P182" s="3"/>
    </row>
    <row r="183" spans="1:16" x14ac:dyDescent="0.2">
      <c r="A183" s="3" t="s">
        <v>334</v>
      </c>
      <c r="B183" s="3" t="str">
        <f t="shared" si="2"/>
        <v>c.6990T&gt;C</v>
      </c>
      <c r="C183" s="3" t="s">
        <v>333</v>
      </c>
      <c r="D183" s="3">
        <v>13.2</v>
      </c>
      <c r="E183" s="3">
        <v>1.1745845500000001</v>
      </c>
      <c r="F183" s="3">
        <v>1.02561725</v>
      </c>
      <c r="G183" s="3">
        <v>1.06983937</v>
      </c>
      <c r="H183" s="3">
        <v>1.0959339400000001</v>
      </c>
      <c r="I183" s="3">
        <v>5.1820000000000001E-121</v>
      </c>
      <c r="J183" s="3" t="s">
        <v>15</v>
      </c>
      <c r="K183" s="3">
        <v>6.4669999999999996</v>
      </c>
      <c r="L183" s="3">
        <v>-0.14774399999999999</v>
      </c>
      <c r="M183" s="3"/>
      <c r="N183" s="3"/>
      <c r="O183" s="3" t="s">
        <v>73</v>
      </c>
      <c r="P183" s="3"/>
    </row>
    <row r="184" spans="1:16" x14ac:dyDescent="0.2">
      <c r="A184" s="3" t="s">
        <v>335</v>
      </c>
      <c r="B184" s="3" t="str">
        <f t="shared" si="2"/>
        <v>c.6990T&gt;G</v>
      </c>
      <c r="C184" s="3" t="s">
        <v>336</v>
      </c>
      <c r="D184" s="3">
        <v>13.2</v>
      </c>
      <c r="E184" s="3">
        <v>1.0729496300000001</v>
      </c>
      <c r="F184" s="3">
        <v>0.97384850999999995</v>
      </c>
      <c r="G184" s="3">
        <v>1.0390512999999999</v>
      </c>
      <c r="H184" s="3">
        <v>1.0303383699999999</v>
      </c>
      <c r="I184" s="3">
        <v>9.9210000000000001E-99</v>
      </c>
      <c r="J184" s="3" t="s">
        <v>15</v>
      </c>
      <c r="K184" s="3">
        <v>22.3</v>
      </c>
      <c r="L184" s="3">
        <v>4.7183900000000001E-2</v>
      </c>
      <c r="M184" s="3" t="s">
        <v>46</v>
      </c>
      <c r="N184" s="3"/>
      <c r="O184" s="3"/>
      <c r="P184" s="3"/>
    </row>
    <row r="185" spans="1:16" x14ac:dyDescent="0.2">
      <c r="A185" s="3" t="s">
        <v>337</v>
      </c>
      <c r="B185" s="3" t="str">
        <f t="shared" si="2"/>
        <v>c.6991A&gt;C</v>
      </c>
      <c r="C185" s="3" t="s">
        <v>338</v>
      </c>
      <c r="D185" s="3">
        <v>13.2</v>
      </c>
      <c r="E185" s="3">
        <v>1.2565190500000001</v>
      </c>
      <c r="F185" s="3">
        <v>1.0340167300000001</v>
      </c>
      <c r="G185" s="3">
        <v>1.3006999800000001</v>
      </c>
      <c r="H185" s="3">
        <v>1.1988135499999999</v>
      </c>
      <c r="I185" s="3">
        <v>1.6560000000000001E-159</v>
      </c>
      <c r="J185" s="3" t="s">
        <v>15</v>
      </c>
      <c r="K185" s="3">
        <v>24.7</v>
      </c>
      <c r="L185" s="3">
        <v>0.179456</v>
      </c>
      <c r="M185" s="3" t="s">
        <v>46</v>
      </c>
      <c r="N185" s="3"/>
      <c r="O185" s="3"/>
      <c r="P185" s="3"/>
    </row>
    <row r="186" spans="1:16" x14ac:dyDescent="0.2">
      <c r="A186" s="3" t="s">
        <v>339</v>
      </c>
      <c r="B186" s="3" t="str">
        <f t="shared" si="2"/>
        <v>c.6991A&gt;G</v>
      </c>
      <c r="C186" s="3" t="s">
        <v>340</v>
      </c>
      <c r="D186" s="3">
        <v>13.2</v>
      </c>
      <c r="E186" s="3">
        <v>0.97946929999999999</v>
      </c>
      <c r="F186" s="3">
        <v>0.95972179000000002</v>
      </c>
      <c r="G186" s="3">
        <v>1.03969548</v>
      </c>
      <c r="H186" s="3">
        <v>0.98611932000000002</v>
      </c>
      <c r="I186" s="3">
        <v>9.1969000000000001E-85</v>
      </c>
      <c r="J186" s="3" t="s">
        <v>15</v>
      </c>
      <c r="K186" s="3">
        <v>24</v>
      </c>
      <c r="L186" s="3">
        <v>0.13218199999999999</v>
      </c>
      <c r="M186" s="3" t="s">
        <v>46</v>
      </c>
      <c r="N186" s="3" t="s">
        <v>341</v>
      </c>
      <c r="O186" s="3" t="s">
        <v>38</v>
      </c>
      <c r="P186" s="3"/>
    </row>
    <row r="187" spans="1:16" x14ac:dyDescent="0.2">
      <c r="A187" s="3" t="s">
        <v>342</v>
      </c>
      <c r="B187" s="3" t="str">
        <f t="shared" si="2"/>
        <v>c.6991A&gt;T</v>
      </c>
      <c r="C187" s="3" t="s">
        <v>343</v>
      </c>
      <c r="D187" s="3">
        <v>13.2</v>
      </c>
      <c r="E187" s="3">
        <v>1.0325255600000001</v>
      </c>
      <c r="F187" s="3">
        <v>1.0214688000000001</v>
      </c>
      <c r="G187" s="3">
        <v>0.99047463000000002</v>
      </c>
      <c r="H187" s="3">
        <v>1.0110725</v>
      </c>
      <c r="I187" s="3">
        <v>1.5767999999999999E-92</v>
      </c>
      <c r="J187" s="3" t="s">
        <v>15</v>
      </c>
      <c r="K187" s="3">
        <v>22.6</v>
      </c>
      <c r="L187" s="3">
        <v>8.8954099999999994E-2</v>
      </c>
      <c r="M187" s="3" t="s">
        <v>46</v>
      </c>
      <c r="N187" s="3"/>
      <c r="O187" s="3"/>
      <c r="P187" s="3"/>
    </row>
    <row r="188" spans="1:16" x14ac:dyDescent="0.2">
      <c r="A188" s="3" t="s">
        <v>344</v>
      </c>
      <c r="B188" s="3" t="str">
        <f t="shared" si="2"/>
        <v>c.6992C&gt;A</v>
      </c>
      <c r="C188" s="3" t="s">
        <v>345</v>
      </c>
      <c r="D188" s="3">
        <v>13.2</v>
      </c>
      <c r="E188" s="3">
        <v>1.01475914</v>
      </c>
      <c r="F188" s="3">
        <v>1.05412835</v>
      </c>
      <c r="G188" s="3">
        <v>1.0336576900000001</v>
      </c>
      <c r="H188" s="3">
        <v>1.0234193199999999</v>
      </c>
      <c r="I188" s="3">
        <v>1.7474999999999999E-96</v>
      </c>
      <c r="J188" s="3" t="s">
        <v>15</v>
      </c>
      <c r="K188" s="3">
        <v>23.5</v>
      </c>
      <c r="L188" s="3">
        <v>8.1992399999999993E-2</v>
      </c>
      <c r="M188" s="3" t="s">
        <v>46</v>
      </c>
      <c r="N188" s="3"/>
      <c r="O188" s="3"/>
      <c r="P188" s="3"/>
    </row>
    <row r="189" spans="1:16" x14ac:dyDescent="0.2">
      <c r="A189" s="3" t="s">
        <v>346</v>
      </c>
      <c r="B189" s="3" t="str">
        <f t="shared" si="2"/>
        <v>c.6992C&gt;G</v>
      </c>
      <c r="C189" s="3" t="s">
        <v>347</v>
      </c>
      <c r="D189" s="3">
        <v>13.2</v>
      </c>
      <c r="E189" s="3">
        <v>1.1664205599999999</v>
      </c>
      <c r="F189" s="3">
        <v>1.17574025</v>
      </c>
      <c r="G189" s="3">
        <v>1.09758585</v>
      </c>
      <c r="H189" s="3">
        <v>1.13758238</v>
      </c>
      <c r="I189" s="3">
        <v>4.484E-136</v>
      </c>
      <c r="J189" s="3" t="s">
        <v>15</v>
      </c>
      <c r="K189" s="3">
        <v>22.3</v>
      </c>
      <c r="L189" s="3">
        <v>9.5915799999999996E-2</v>
      </c>
      <c r="M189" s="3" t="s">
        <v>46</v>
      </c>
      <c r="N189" s="3"/>
      <c r="O189" s="3"/>
      <c r="P189" s="3"/>
    </row>
    <row r="190" spans="1:16" x14ac:dyDescent="0.2">
      <c r="A190" s="3" t="s">
        <v>348</v>
      </c>
      <c r="B190" s="3" t="str">
        <f t="shared" si="2"/>
        <v>c.6992C&gt;T</v>
      </c>
      <c r="C190" s="3" t="s">
        <v>349</v>
      </c>
      <c r="D190" s="3">
        <v>13.2</v>
      </c>
      <c r="E190" s="3">
        <v>1.0933510799999999</v>
      </c>
      <c r="F190" s="3">
        <v>0.97845974999999996</v>
      </c>
      <c r="G190" s="3">
        <v>1.0657257099999999</v>
      </c>
      <c r="H190" s="3">
        <v>1.04388696</v>
      </c>
      <c r="I190" s="3">
        <v>3.4670000000000002E-103</v>
      </c>
      <c r="J190" s="3" t="s">
        <v>15</v>
      </c>
      <c r="K190" s="3">
        <v>19.5</v>
      </c>
      <c r="L190" s="3">
        <v>0.116801</v>
      </c>
      <c r="M190" s="3" t="s">
        <v>46</v>
      </c>
      <c r="N190" s="3"/>
      <c r="O190" s="3"/>
      <c r="P190" s="3"/>
    </row>
    <row r="191" spans="1:16" x14ac:dyDescent="0.2">
      <c r="A191" s="3" t="s">
        <v>350</v>
      </c>
      <c r="B191" s="3" t="str">
        <f t="shared" si="2"/>
        <v>c.6994T&gt;A</v>
      </c>
      <c r="C191" s="3" t="s">
        <v>351</v>
      </c>
      <c r="D191" s="3">
        <v>13.2</v>
      </c>
      <c r="E191" s="3">
        <v>1.11286003</v>
      </c>
      <c r="F191" s="3">
        <v>1.11705538</v>
      </c>
      <c r="G191" s="3">
        <v>1.0565266499999999</v>
      </c>
      <c r="H191" s="3">
        <v>1.0858872900000001</v>
      </c>
      <c r="I191" s="3">
        <v>1.7450000000000001E-117</v>
      </c>
      <c r="J191" s="3" t="s">
        <v>15</v>
      </c>
      <c r="K191" s="3">
        <v>25.4</v>
      </c>
      <c r="L191" s="3">
        <v>0.21426500000000001</v>
      </c>
      <c r="M191" s="3" t="s">
        <v>46</v>
      </c>
      <c r="N191" s="3"/>
      <c r="O191" s="3"/>
      <c r="P191" s="3"/>
    </row>
    <row r="192" spans="1:16" x14ac:dyDescent="0.2">
      <c r="A192" s="3" t="s">
        <v>352</v>
      </c>
      <c r="B192" s="3" t="str">
        <f t="shared" si="2"/>
        <v>c.6994T&gt;C</v>
      </c>
      <c r="C192" s="3" t="s">
        <v>353</v>
      </c>
      <c r="D192" s="3">
        <v>13.2</v>
      </c>
      <c r="E192" s="3">
        <v>1.06481398</v>
      </c>
      <c r="F192" s="3">
        <v>0.90273528000000003</v>
      </c>
      <c r="G192" s="3">
        <v>1.09390141</v>
      </c>
      <c r="H192" s="3">
        <v>1.0199586</v>
      </c>
      <c r="I192" s="3">
        <v>2.28E-95</v>
      </c>
      <c r="J192" s="3" t="s">
        <v>15</v>
      </c>
      <c r="K192" s="3">
        <v>26.6</v>
      </c>
      <c r="L192" s="3">
        <v>0.228188</v>
      </c>
      <c r="M192" s="3" t="s">
        <v>46</v>
      </c>
      <c r="N192" s="3"/>
      <c r="O192" s="3"/>
      <c r="P192" s="3"/>
    </row>
    <row r="193" spans="1:16" x14ac:dyDescent="0.2">
      <c r="A193" s="3" t="s">
        <v>354</v>
      </c>
      <c r="B193" s="3" t="str">
        <f t="shared" si="2"/>
        <v>c.6994T&gt;G</v>
      </c>
      <c r="C193" s="3" t="s">
        <v>355</v>
      </c>
      <c r="D193" s="3">
        <v>13.2</v>
      </c>
      <c r="E193" s="3">
        <v>1.14774288</v>
      </c>
      <c r="F193" s="3">
        <v>0.89672344000000004</v>
      </c>
      <c r="G193" s="3">
        <v>1.00439575</v>
      </c>
      <c r="H193" s="3">
        <v>1.0299061</v>
      </c>
      <c r="I193" s="3">
        <v>1.3724E-98</v>
      </c>
      <c r="J193" s="3" t="s">
        <v>15</v>
      </c>
      <c r="K193" s="3">
        <v>26.1</v>
      </c>
      <c r="L193" s="3">
        <v>0.228188</v>
      </c>
      <c r="M193" s="3" t="s">
        <v>46</v>
      </c>
      <c r="N193" s="3"/>
      <c r="O193" s="3"/>
      <c r="P193" s="3"/>
    </row>
    <row r="194" spans="1:16" x14ac:dyDescent="0.2">
      <c r="A194" s="3" t="s">
        <v>356</v>
      </c>
      <c r="B194" s="3" t="str">
        <f t="shared" si="2"/>
        <v>c.6995G&gt;A</v>
      </c>
      <c r="C194" s="3" t="s">
        <v>357</v>
      </c>
      <c r="D194" s="3">
        <v>13.2</v>
      </c>
      <c r="E194" s="3">
        <v>1.1620648899999999</v>
      </c>
      <c r="F194" s="3">
        <v>0.99170974999999995</v>
      </c>
      <c r="G194" s="3">
        <v>1.10710201</v>
      </c>
      <c r="H194" s="3">
        <v>1.0851643500000001</v>
      </c>
      <c r="I194" s="3">
        <v>3.12E-117</v>
      </c>
      <c r="J194" s="3" t="s">
        <v>15</v>
      </c>
      <c r="K194" s="3">
        <v>27.5</v>
      </c>
      <c r="L194" s="3">
        <v>0.228188</v>
      </c>
      <c r="M194" s="3" t="s">
        <v>46</v>
      </c>
      <c r="N194" s="3" t="s">
        <v>151</v>
      </c>
      <c r="O194" s="3" t="s">
        <v>38</v>
      </c>
      <c r="P194" s="3"/>
    </row>
    <row r="195" spans="1:16" x14ac:dyDescent="0.2">
      <c r="A195" s="3" t="s">
        <v>358</v>
      </c>
      <c r="B195" s="3" t="str">
        <f t="shared" ref="B195:B253" si="3">MID(A195,20,50)</f>
        <v>c.6995G&gt;C</v>
      </c>
      <c r="C195" s="3" t="s">
        <v>351</v>
      </c>
      <c r="D195" s="3">
        <v>13.2</v>
      </c>
      <c r="E195" s="3">
        <v>1.17595966</v>
      </c>
      <c r="F195" s="3">
        <v>1.1470082699999999</v>
      </c>
      <c r="G195" s="3">
        <v>1.1552643300000001</v>
      </c>
      <c r="H195" s="3">
        <v>1.1455696500000001</v>
      </c>
      <c r="I195" s="3">
        <v>4.8080000000000002E-139</v>
      </c>
      <c r="J195" s="3" t="s">
        <v>15</v>
      </c>
      <c r="K195" s="3">
        <v>26.5</v>
      </c>
      <c r="L195" s="3">
        <v>0.22122600000000001</v>
      </c>
      <c r="M195" s="3" t="s">
        <v>46</v>
      </c>
      <c r="N195" s="3"/>
      <c r="O195" s="3"/>
      <c r="P195" s="3"/>
    </row>
    <row r="196" spans="1:16" x14ac:dyDescent="0.2">
      <c r="A196" s="3" t="s">
        <v>359</v>
      </c>
      <c r="B196" s="3" t="str">
        <f t="shared" si="3"/>
        <v>c.6995G&gt;T</v>
      </c>
      <c r="C196" s="3" t="s">
        <v>360</v>
      </c>
      <c r="D196" s="3">
        <v>13.2</v>
      </c>
      <c r="E196" s="3">
        <v>1.0365289099999999</v>
      </c>
      <c r="F196" s="3">
        <v>0.93112081999999996</v>
      </c>
      <c r="G196" s="3">
        <v>0.97689046999999996</v>
      </c>
      <c r="H196" s="3">
        <v>0.97992471999999997</v>
      </c>
      <c r="I196" s="3">
        <v>6.8451000000000001E-83</v>
      </c>
      <c r="J196" s="3" t="s">
        <v>15</v>
      </c>
      <c r="K196" s="3">
        <v>28.2</v>
      </c>
      <c r="L196" s="3">
        <v>0.24211199999999999</v>
      </c>
      <c r="M196" s="3" t="s">
        <v>46</v>
      </c>
      <c r="N196" s="3"/>
      <c r="O196" s="3"/>
      <c r="P196" s="3"/>
    </row>
    <row r="197" spans="1:16" x14ac:dyDescent="0.2">
      <c r="A197" s="3" t="s">
        <v>361</v>
      </c>
      <c r="B197" s="3" t="str">
        <f t="shared" si="3"/>
        <v>c.6996T&gt;A</v>
      </c>
      <c r="C197" s="3" t="s">
        <v>362</v>
      </c>
      <c r="D197" s="3">
        <v>13.2</v>
      </c>
      <c r="E197" s="3">
        <v>-0.40242650000000002</v>
      </c>
      <c r="F197" s="3">
        <v>-0.26900930000000001</v>
      </c>
      <c r="G197" s="3">
        <v>-0.29533959999999998</v>
      </c>
      <c r="H197" s="3">
        <v>-0.29190430000000001</v>
      </c>
      <c r="I197" s="3">
        <v>1</v>
      </c>
      <c r="J197" s="3" t="s">
        <v>17</v>
      </c>
      <c r="K197" s="3">
        <v>44</v>
      </c>
      <c r="L197" s="3">
        <v>0.59019699999999997</v>
      </c>
      <c r="M197" s="3"/>
      <c r="N197" s="3"/>
      <c r="O197" s="3"/>
      <c r="P197" s="3"/>
    </row>
    <row r="198" spans="1:16" x14ac:dyDescent="0.2">
      <c r="A198" s="3" t="s">
        <v>363</v>
      </c>
      <c r="B198" s="3" t="str">
        <f t="shared" si="3"/>
        <v>c.6996T&gt;C</v>
      </c>
      <c r="C198" s="3" t="s">
        <v>364</v>
      </c>
      <c r="D198" s="3">
        <v>13.2</v>
      </c>
      <c r="E198" s="3">
        <v>1.05227538</v>
      </c>
      <c r="F198" s="3">
        <v>1.09889178</v>
      </c>
      <c r="G198" s="3">
        <v>1.10813345</v>
      </c>
      <c r="H198" s="3">
        <v>1.0687380399999999</v>
      </c>
      <c r="I198" s="3">
        <v>1.471E-111</v>
      </c>
      <c r="J198" s="3" t="s">
        <v>15</v>
      </c>
      <c r="K198" s="3">
        <v>11.76</v>
      </c>
      <c r="L198" s="3">
        <v>-0.206071</v>
      </c>
      <c r="M198" s="3"/>
      <c r="N198" s="3"/>
      <c r="O198" s="3" t="s">
        <v>73</v>
      </c>
      <c r="P198" s="3"/>
    </row>
    <row r="199" spans="1:16" x14ac:dyDescent="0.2">
      <c r="A199" s="3" t="s">
        <v>365</v>
      </c>
      <c r="B199" s="3" t="str">
        <f t="shared" si="3"/>
        <v>c.6996T&gt;G</v>
      </c>
      <c r="C199" s="3" t="s">
        <v>366</v>
      </c>
      <c r="D199" s="3">
        <v>13.2</v>
      </c>
      <c r="E199" s="3">
        <v>1.085771</v>
      </c>
      <c r="F199" s="3">
        <v>0.84493149999999995</v>
      </c>
      <c r="G199" s="3">
        <v>1.01991578</v>
      </c>
      <c r="H199" s="3">
        <v>0.99180694000000003</v>
      </c>
      <c r="I199" s="3">
        <v>1.6733000000000001E-86</v>
      </c>
      <c r="J199" s="3" t="s">
        <v>15</v>
      </c>
      <c r="K199" s="3">
        <v>29.6</v>
      </c>
      <c r="L199" s="3">
        <v>0.24907299999999999</v>
      </c>
      <c r="M199" s="3" t="s">
        <v>114</v>
      </c>
      <c r="N199" s="3"/>
      <c r="O199" s="3"/>
      <c r="P199" s="3"/>
    </row>
    <row r="200" spans="1:16" x14ac:dyDescent="0.2">
      <c r="A200" s="3" t="s">
        <v>367</v>
      </c>
      <c r="B200" s="3" t="str">
        <f t="shared" si="3"/>
        <v>c.6997G&gt;A</v>
      </c>
      <c r="C200" s="3" t="s">
        <v>368</v>
      </c>
      <c r="D200" s="3">
        <v>13.2</v>
      </c>
      <c r="E200" s="3">
        <v>0.92121127000000003</v>
      </c>
      <c r="F200" s="3">
        <v>0.95042344000000001</v>
      </c>
      <c r="G200" s="3">
        <v>0.89037246000000003</v>
      </c>
      <c r="H200" s="3">
        <v>0.91266378999999997</v>
      </c>
      <c r="I200" s="3">
        <v>1.8148999999999999E-64</v>
      </c>
      <c r="J200" s="3" t="s">
        <v>15</v>
      </c>
      <c r="K200" s="3">
        <v>23.4</v>
      </c>
      <c r="L200" s="3">
        <v>1.23754E-2</v>
      </c>
      <c r="M200" s="3" t="s">
        <v>46</v>
      </c>
      <c r="N200" s="3"/>
      <c r="O200" s="3" t="s">
        <v>38</v>
      </c>
      <c r="P200" s="3"/>
    </row>
    <row r="201" spans="1:16" x14ac:dyDescent="0.2">
      <c r="A201" s="3" t="s">
        <v>369</v>
      </c>
      <c r="B201" s="3" t="str">
        <f t="shared" si="3"/>
        <v>c.6997G&gt;C</v>
      </c>
      <c r="C201" s="3" t="s">
        <v>370</v>
      </c>
      <c r="D201" s="3">
        <v>13.2</v>
      </c>
      <c r="E201" s="3">
        <v>0.60492608999999997</v>
      </c>
      <c r="F201" s="3">
        <v>0.18111281000000001</v>
      </c>
      <c r="G201" s="3">
        <v>0.19975846999999999</v>
      </c>
      <c r="H201" s="3">
        <v>0.42709677000000001</v>
      </c>
      <c r="I201" s="3">
        <v>1</v>
      </c>
      <c r="J201" s="3" t="s">
        <v>17</v>
      </c>
      <c r="K201" s="3">
        <v>23.5</v>
      </c>
      <c r="L201" s="3">
        <v>1.9337099999999999E-2</v>
      </c>
      <c r="M201" s="3" t="s">
        <v>46</v>
      </c>
      <c r="N201" s="3"/>
      <c r="O201" s="3" t="s">
        <v>38</v>
      </c>
      <c r="P201" s="3"/>
    </row>
    <row r="202" spans="1:16" x14ac:dyDescent="0.2">
      <c r="A202" s="3" t="s">
        <v>371</v>
      </c>
      <c r="B202" s="3" t="str">
        <f t="shared" si="3"/>
        <v>c.6997G&gt;T</v>
      </c>
      <c r="C202" s="3" t="s">
        <v>370</v>
      </c>
      <c r="D202" s="3">
        <v>13.2</v>
      </c>
      <c r="E202" s="3">
        <v>0.54722417000000001</v>
      </c>
      <c r="F202" s="3">
        <v>0.19760865</v>
      </c>
      <c r="G202" s="3">
        <v>0.33725711000000003</v>
      </c>
      <c r="H202" s="3">
        <v>0.42568483000000001</v>
      </c>
      <c r="I202" s="3">
        <v>1</v>
      </c>
      <c r="J202" s="3" t="s">
        <v>17</v>
      </c>
      <c r="K202" s="3">
        <v>23.7</v>
      </c>
      <c r="L202" s="3">
        <v>1.9337099999999999E-2</v>
      </c>
      <c r="M202" s="3" t="s">
        <v>46</v>
      </c>
      <c r="N202" s="3"/>
      <c r="O202" s="3" t="s">
        <v>38</v>
      </c>
      <c r="P202" s="3"/>
    </row>
    <row r="203" spans="1:16" x14ac:dyDescent="0.2">
      <c r="A203" s="3" t="s">
        <v>372</v>
      </c>
      <c r="B203" s="3" t="str">
        <f t="shared" si="3"/>
        <v>c.6998T&gt;A</v>
      </c>
      <c r="C203" s="3" t="s">
        <v>373</v>
      </c>
      <c r="D203" s="3">
        <v>13.2</v>
      </c>
      <c r="E203" s="3">
        <v>1.23230321</v>
      </c>
      <c r="F203" s="3">
        <v>1.1369577900000001</v>
      </c>
      <c r="G203" s="3">
        <v>1.0619056600000001</v>
      </c>
      <c r="H203" s="3">
        <v>1.14044996</v>
      </c>
      <c r="I203" s="3">
        <v>3.877E-137</v>
      </c>
      <c r="J203" s="3" t="s">
        <v>15</v>
      </c>
      <c r="K203" s="3">
        <v>17.41</v>
      </c>
      <c r="L203" s="3">
        <v>4.02222E-2</v>
      </c>
      <c r="M203" s="3" t="s">
        <v>46</v>
      </c>
      <c r="N203" s="3"/>
      <c r="O203" s="3"/>
      <c r="P203" s="3"/>
    </row>
    <row r="204" spans="1:16" x14ac:dyDescent="0.2">
      <c r="A204" s="3" t="s">
        <v>374</v>
      </c>
      <c r="B204" s="3" t="str">
        <f t="shared" si="3"/>
        <v>c.6998T&gt;C</v>
      </c>
      <c r="C204" s="3" t="s">
        <v>375</v>
      </c>
      <c r="D204" s="3">
        <v>13.2</v>
      </c>
      <c r="E204" s="3">
        <v>1.12732192</v>
      </c>
      <c r="F204" s="3">
        <v>1.16473442</v>
      </c>
      <c r="G204" s="3">
        <v>1.0267564899999999</v>
      </c>
      <c r="H204" s="3">
        <v>1.09679528</v>
      </c>
      <c r="I204" s="3">
        <v>2.572E-121</v>
      </c>
      <c r="J204" s="3" t="s">
        <v>15</v>
      </c>
      <c r="K204" s="3">
        <v>15.17</v>
      </c>
      <c r="L204" s="3">
        <v>-3.63565E-2</v>
      </c>
      <c r="M204" s="3" t="s">
        <v>46</v>
      </c>
      <c r="N204" s="3"/>
      <c r="O204" s="3"/>
      <c r="P204" s="3"/>
    </row>
    <row r="205" spans="1:16" x14ac:dyDescent="0.2">
      <c r="A205" s="3" t="s">
        <v>376</v>
      </c>
      <c r="B205" s="3" t="str">
        <f t="shared" si="3"/>
        <v>c.6998T&gt;G</v>
      </c>
      <c r="C205" s="3" t="s">
        <v>377</v>
      </c>
      <c r="D205" s="3">
        <v>13.2</v>
      </c>
      <c r="E205" s="3">
        <v>1.0266841</v>
      </c>
      <c r="F205" s="3">
        <v>0.97249439999999998</v>
      </c>
      <c r="G205" s="3">
        <v>1.0617245799999999</v>
      </c>
      <c r="H205" s="3">
        <v>1.0091694899999999</v>
      </c>
      <c r="I205" s="3">
        <v>6.3275000000000003E-92</v>
      </c>
      <c r="J205" s="3" t="s">
        <v>15</v>
      </c>
      <c r="K205" s="3">
        <v>13.31</v>
      </c>
      <c r="L205" s="3">
        <v>-7.1165000000000006E-2</v>
      </c>
      <c r="M205" s="3" t="s">
        <v>46</v>
      </c>
      <c r="N205" s="3"/>
      <c r="O205" s="3"/>
      <c r="P205" s="3"/>
    </row>
    <row r="206" spans="1:16" x14ac:dyDescent="0.2">
      <c r="A206" s="3" t="s">
        <v>378</v>
      </c>
      <c r="B206" s="3" t="str">
        <f t="shared" si="3"/>
        <v>c.6999A&gt;C</v>
      </c>
      <c r="C206" s="3" t="s">
        <v>379</v>
      </c>
      <c r="D206" s="3">
        <v>13.2</v>
      </c>
      <c r="E206" s="3">
        <v>1.0556929500000001</v>
      </c>
      <c r="F206" s="3">
        <v>1.0936782300000001</v>
      </c>
      <c r="G206" s="3">
        <v>1.09229471</v>
      </c>
      <c r="H206" s="3">
        <v>1.06382376</v>
      </c>
      <c r="I206" s="3">
        <v>6.9709999999999995E-110</v>
      </c>
      <c r="J206" s="3" t="s">
        <v>15</v>
      </c>
      <c r="K206" s="3">
        <v>8.8829999999999991</v>
      </c>
      <c r="L206" s="3">
        <v>-0.217361</v>
      </c>
      <c r="M206" s="3"/>
      <c r="N206" s="3"/>
      <c r="O206" s="3"/>
      <c r="P206" s="3"/>
    </row>
    <row r="207" spans="1:16" x14ac:dyDescent="0.2">
      <c r="A207" s="3" t="s">
        <v>380</v>
      </c>
      <c r="B207" s="3" t="str">
        <f t="shared" si="3"/>
        <v>c.6999A&gt;G</v>
      </c>
      <c r="C207" s="3" t="s">
        <v>379</v>
      </c>
      <c r="D207" s="3">
        <v>13.2</v>
      </c>
      <c r="E207" s="3">
        <v>1.05504636</v>
      </c>
      <c r="F207" s="3">
        <v>0.95404438000000003</v>
      </c>
      <c r="G207" s="3">
        <v>1.0827591400000001</v>
      </c>
      <c r="H207" s="3">
        <v>1.02201352</v>
      </c>
      <c r="I207" s="3">
        <v>4.9682000000000003E-96</v>
      </c>
      <c r="J207" s="3" t="s">
        <v>15</v>
      </c>
      <c r="K207" s="3">
        <v>9.16</v>
      </c>
      <c r="L207" s="3">
        <v>-0.16166700000000001</v>
      </c>
      <c r="M207" s="3"/>
      <c r="N207" s="3"/>
      <c r="O207" s="3" t="s">
        <v>73</v>
      </c>
      <c r="P207" s="3"/>
    </row>
    <row r="208" spans="1:16" x14ac:dyDescent="0.2">
      <c r="A208" s="3" t="s">
        <v>381</v>
      </c>
      <c r="B208" s="3" t="str">
        <f t="shared" si="3"/>
        <v>c.6999A&gt;T</v>
      </c>
      <c r="C208" s="3" t="s">
        <v>379</v>
      </c>
      <c r="D208" s="3">
        <v>13.2</v>
      </c>
      <c r="E208" s="3">
        <v>1.18913789</v>
      </c>
      <c r="F208" s="3">
        <v>1.1313617300000001</v>
      </c>
      <c r="G208" s="3">
        <v>1.1178576899999999</v>
      </c>
      <c r="H208" s="3">
        <v>1.13471202</v>
      </c>
      <c r="I208" s="3">
        <v>5.159E-135</v>
      </c>
      <c r="J208" s="3" t="s">
        <v>15</v>
      </c>
      <c r="K208" s="3">
        <v>8.7590000000000003</v>
      </c>
      <c r="L208" s="3">
        <v>-0.22432199999999999</v>
      </c>
      <c r="M208" s="3"/>
      <c r="N208" s="3"/>
      <c r="O208" s="3"/>
      <c r="P208" s="3"/>
    </row>
    <row r="209" spans="1:16" x14ac:dyDescent="0.2">
      <c r="A209" s="3" t="s">
        <v>382</v>
      </c>
      <c r="B209" s="3" t="str">
        <f t="shared" si="3"/>
        <v>c.7000C&gt;A</v>
      </c>
      <c r="C209" s="3" t="s">
        <v>383</v>
      </c>
      <c r="D209" s="3">
        <v>13.2</v>
      </c>
      <c r="E209" s="3">
        <v>1.0628121699999999</v>
      </c>
      <c r="F209" s="3">
        <v>0.78690789000000005</v>
      </c>
      <c r="G209" s="3">
        <v>1.0244129</v>
      </c>
      <c r="H209" s="3">
        <v>0.96919027999999996</v>
      </c>
      <c r="I209" s="3">
        <v>1.0317E-79</v>
      </c>
      <c r="J209" s="3" t="s">
        <v>15</v>
      </c>
      <c r="K209" s="3">
        <v>25.1</v>
      </c>
      <c r="L209" s="3">
        <v>0.228188</v>
      </c>
      <c r="M209" s="3" t="s">
        <v>46</v>
      </c>
      <c r="N209" s="3"/>
      <c r="O209" s="3"/>
      <c r="P209" s="3"/>
    </row>
    <row r="210" spans="1:16" x14ac:dyDescent="0.2">
      <c r="A210" s="3" t="s">
        <v>384</v>
      </c>
      <c r="B210" s="3" t="str">
        <f t="shared" si="3"/>
        <v>c.7000C&gt;G</v>
      </c>
      <c r="C210" s="3" t="s">
        <v>385</v>
      </c>
      <c r="D210" s="3">
        <v>13.2</v>
      </c>
      <c r="E210" s="3">
        <v>1.11771687</v>
      </c>
      <c r="F210" s="3">
        <v>0.81761178000000001</v>
      </c>
      <c r="G210" s="3">
        <v>0.94861298000000005</v>
      </c>
      <c r="H210" s="3">
        <v>0.97982004</v>
      </c>
      <c r="I210" s="3">
        <v>7.3584999999999994E-83</v>
      </c>
      <c r="J210" s="3" t="s">
        <v>15</v>
      </c>
      <c r="K210" s="3">
        <v>24.8</v>
      </c>
      <c r="L210" s="3">
        <v>0.186418</v>
      </c>
      <c r="M210" s="3" t="s">
        <v>46</v>
      </c>
      <c r="N210" s="3"/>
      <c r="O210" s="3"/>
      <c r="P210" s="3"/>
    </row>
    <row r="211" spans="1:16" x14ac:dyDescent="0.2">
      <c r="A211" s="3" t="s">
        <v>386</v>
      </c>
      <c r="B211" s="3" t="str">
        <f t="shared" si="3"/>
        <v>c.7000C&gt;T</v>
      </c>
      <c r="C211" s="3" t="s">
        <v>387</v>
      </c>
      <c r="D211" s="3">
        <v>13.2</v>
      </c>
      <c r="E211" s="3">
        <v>1.1653799199999999</v>
      </c>
      <c r="F211" s="3">
        <v>0.89520845999999998</v>
      </c>
      <c r="G211" s="3">
        <v>0.93255476000000004</v>
      </c>
      <c r="H211" s="3">
        <v>1.0157985899999999</v>
      </c>
      <c r="I211" s="3">
        <v>4.9187999999999996E-94</v>
      </c>
      <c r="J211" s="3" t="s">
        <v>15</v>
      </c>
      <c r="K211" s="3">
        <v>25.5</v>
      </c>
      <c r="L211" s="3">
        <v>0.16553300000000001</v>
      </c>
      <c r="M211" s="3" t="s">
        <v>46</v>
      </c>
      <c r="N211" s="3"/>
      <c r="O211" s="3"/>
      <c r="P211" s="3"/>
    </row>
    <row r="212" spans="1:16" x14ac:dyDescent="0.2">
      <c r="A212" s="3" t="s">
        <v>388</v>
      </c>
      <c r="B212" s="3" t="str">
        <f t="shared" si="3"/>
        <v>c.7001C&gt;A</v>
      </c>
      <c r="C212" s="3" t="s">
        <v>389</v>
      </c>
      <c r="D212" s="3">
        <v>13.2</v>
      </c>
      <c r="E212" s="3">
        <v>1.1429702399999999</v>
      </c>
      <c r="F212" s="3">
        <v>0.73606978000000001</v>
      </c>
      <c r="G212" s="3">
        <v>1.063539</v>
      </c>
      <c r="H212" s="3">
        <v>1.00741619</v>
      </c>
      <c r="I212" s="3">
        <v>2.2683000000000001E-91</v>
      </c>
      <c r="J212" s="3" t="s">
        <v>15</v>
      </c>
      <c r="K212" s="3">
        <v>25.9</v>
      </c>
      <c r="L212" s="3">
        <v>0.228188</v>
      </c>
      <c r="M212" s="3" t="s">
        <v>46</v>
      </c>
      <c r="N212" s="3"/>
      <c r="O212" s="3"/>
      <c r="P212" s="3"/>
    </row>
    <row r="213" spans="1:16" x14ac:dyDescent="0.2">
      <c r="A213" s="3" t="s">
        <v>390</v>
      </c>
      <c r="B213" s="3" t="str">
        <f t="shared" si="3"/>
        <v>c.7001C&gt;G</v>
      </c>
      <c r="C213" s="3" t="s">
        <v>391</v>
      </c>
      <c r="D213" s="3">
        <v>13.2</v>
      </c>
      <c r="E213" s="3">
        <v>1.05059061</v>
      </c>
      <c r="F213" s="3">
        <v>0.69558237999999994</v>
      </c>
      <c r="G213" s="3">
        <v>0.93794087000000004</v>
      </c>
      <c r="H213" s="3">
        <v>0.91991924999999997</v>
      </c>
      <c r="I213" s="3">
        <v>2.6335000000000002E-66</v>
      </c>
      <c r="J213" s="3" t="s">
        <v>15</v>
      </c>
      <c r="K213" s="3">
        <v>25.9</v>
      </c>
      <c r="L213" s="3">
        <v>0.24211199999999999</v>
      </c>
      <c r="M213" s="3" t="s">
        <v>46</v>
      </c>
      <c r="N213" s="3"/>
      <c r="O213" s="3"/>
      <c r="P213" s="3"/>
    </row>
    <row r="214" spans="1:16" x14ac:dyDescent="0.2">
      <c r="A214" s="3" t="s">
        <v>392</v>
      </c>
      <c r="B214" s="3" t="str">
        <f t="shared" si="3"/>
        <v>c.7001C&gt;T</v>
      </c>
      <c r="C214" s="3" t="s">
        <v>393</v>
      </c>
      <c r="D214" s="3">
        <v>13.2</v>
      </c>
      <c r="E214" s="3">
        <v>1.0744178200000001</v>
      </c>
      <c r="F214" s="3">
        <v>0.66886977999999997</v>
      </c>
      <c r="G214" s="3">
        <v>0.78356285000000003</v>
      </c>
      <c r="H214" s="3">
        <v>0.88743523000000002</v>
      </c>
      <c r="I214" s="3">
        <v>2.8682E-58</v>
      </c>
      <c r="J214" s="3" t="s">
        <v>15</v>
      </c>
      <c r="K214" s="3">
        <v>26.5</v>
      </c>
      <c r="L214" s="3">
        <v>0.228188</v>
      </c>
      <c r="M214" s="3" t="s">
        <v>46</v>
      </c>
      <c r="N214" s="3"/>
      <c r="O214" s="3" t="s">
        <v>38</v>
      </c>
      <c r="P214" s="3"/>
    </row>
    <row r="215" spans="1:16" x14ac:dyDescent="0.2">
      <c r="A215" s="3" t="s">
        <v>394</v>
      </c>
      <c r="B215" s="3" t="str">
        <f t="shared" si="3"/>
        <v>c.7002C&gt;A</v>
      </c>
      <c r="C215" s="3" t="s">
        <v>395</v>
      </c>
      <c r="D215" s="3">
        <v>13.2</v>
      </c>
      <c r="E215" s="3">
        <v>1.1314829399999999</v>
      </c>
      <c r="F215" s="3">
        <v>1.0112633900000001</v>
      </c>
      <c r="G215" s="3">
        <v>1.0400050700000001</v>
      </c>
      <c r="H215" s="3">
        <v>1.0556846099999999</v>
      </c>
      <c r="I215" s="3">
        <v>3.9539999999999998E-107</v>
      </c>
      <c r="J215" s="3" t="s">
        <v>15</v>
      </c>
      <c r="K215" s="3">
        <v>7.7430000000000003</v>
      </c>
      <c r="L215" s="3">
        <v>-0.217361</v>
      </c>
      <c r="M215" s="3"/>
      <c r="N215" s="3"/>
      <c r="O215" s="3" t="s">
        <v>73</v>
      </c>
      <c r="P215" s="3"/>
    </row>
    <row r="216" spans="1:16" x14ac:dyDescent="0.2">
      <c r="A216" s="3" t="s">
        <v>396</v>
      </c>
      <c r="B216" s="3" t="str">
        <f t="shared" si="3"/>
        <v>c.7002C&gt;G</v>
      </c>
      <c r="C216" s="3" t="s">
        <v>395</v>
      </c>
      <c r="D216" s="3">
        <v>13.2</v>
      </c>
      <c r="E216" s="3">
        <v>0.91999047</v>
      </c>
      <c r="F216" s="3">
        <v>0.95817140000000001</v>
      </c>
      <c r="G216" s="3">
        <v>0.96194864000000002</v>
      </c>
      <c r="H216" s="3">
        <v>0.93335303999999997</v>
      </c>
      <c r="I216" s="3">
        <v>8.7098E-70</v>
      </c>
      <c r="J216" s="3" t="s">
        <v>15</v>
      </c>
      <c r="K216" s="3">
        <v>7.907</v>
      </c>
      <c r="L216" s="3">
        <v>-0.29393900000000001</v>
      </c>
      <c r="M216" s="3"/>
      <c r="N216" s="3"/>
      <c r="O216" s="3"/>
      <c r="P216" s="3"/>
    </row>
    <row r="217" spans="1:16" x14ac:dyDescent="0.2">
      <c r="A217" s="3" t="s">
        <v>397</v>
      </c>
      <c r="B217" s="3" t="str">
        <f t="shared" si="3"/>
        <v>c.7002C&gt;T</v>
      </c>
      <c r="C217" s="3" t="s">
        <v>395</v>
      </c>
      <c r="D217" s="3">
        <v>13.2</v>
      </c>
      <c r="E217" s="3">
        <v>1.31251904</v>
      </c>
      <c r="F217" s="3">
        <v>1.0684628199999999</v>
      </c>
      <c r="G217" s="3">
        <v>1.05508712</v>
      </c>
      <c r="H217" s="3">
        <v>1.15482643</v>
      </c>
      <c r="I217" s="3">
        <v>1.613E-142</v>
      </c>
      <c r="J217" s="3" t="s">
        <v>15</v>
      </c>
      <c r="K217" s="3">
        <v>8.3030000000000008</v>
      </c>
      <c r="L217" s="3">
        <v>-0.28001599999999999</v>
      </c>
      <c r="M217" s="3"/>
      <c r="N217" s="3"/>
      <c r="O217" s="3" t="s">
        <v>73</v>
      </c>
      <c r="P217" s="3"/>
    </row>
    <row r="218" spans="1:16" x14ac:dyDescent="0.2">
      <c r="A218" s="3" t="s">
        <v>398</v>
      </c>
      <c r="B218" s="3" t="str">
        <f t="shared" si="3"/>
        <v>c.7003T&gt;A</v>
      </c>
      <c r="C218" s="3" t="s">
        <v>399</v>
      </c>
      <c r="D218" s="3">
        <v>13.2</v>
      </c>
      <c r="E218" s="3">
        <v>1.1119094700000001</v>
      </c>
      <c r="F218" s="3">
        <v>1.07187279</v>
      </c>
      <c r="G218" s="3">
        <v>1.0536345600000001</v>
      </c>
      <c r="H218" s="3">
        <v>1.0680181</v>
      </c>
      <c r="I218" s="3">
        <v>2.5920000000000001E-111</v>
      </c>
      <c r="J218" s="3" t="s">
        <v>15</v>
      </c>
      <c r="K218" s="3">
        <v>13.05</v>
      </c>
      <c r="L218" s="3">
        <v>-8.5096600000000005E-3</v>
      </c>
      <c r="M218" s="3" t="s">
        <v>46</v>
      </c>
      <c r="N218" s="3"/>
      <c r="O218" s="3"/>
      <c r="P218" s="3"/>
    </row>
    <row r="219" spans="1:16" x14ac:dyDescent="0.2">
      <c r="A219" s="3" t="s">
        <v>400</v>
      </c>
      <c r="B219" s="3" t="str">
        <f t="shared" si="3"/>
        <v>c.7003T&gt;C</v>
      </c>
      <c r="C219" s="3" t="s">
        <v>401</v>
      </c>
      <c r="D219" s="3">
        <v>13.2</v>
      </c>
      <c r="E219" s="3">
        <v>1.0676893199999999</v>
      </c>
      <c r="F219" s="3">
        <v>0.96871715000000003</v>
      </c>
      <c r="G219" s="3">
        <v>0.97022412000000002</v>
      </c>
      <c r="H219" s="3">
        <v>0.99844401000000005</v>
      </c>
      <c r="I219" s="3">
        <v>1.477E-88</v>
      </c>
      <c r="J219" s="3" t="s">
        <v>15</v>
      </c>
      <c r="K219" s="3">
        <v>13.63</v>
      </c>
      <c r="L219" s="3">
        <v>-8.5096600000000005E-3</v>
      </c>
      <c r="M219" s="3" t="s">
        <v>46</v>
      </c>
      <c r="N219" s="3"/>
      <c r="O219" s="3"/>
      <c r="P219" s="3"/>
    </row>
    <row r="220" spans="1:16" x14ac:dyDescent="0.2">
      <c r="A220" s="3" t="s">
        <v>402</v>
      </c>
      <c r="B220" s="3" t="str">
        <f t="shared" si="3"/>
        <v>c.7003T&gt;G</v>
      </c>
      <c r="C220" s="3" t="s">
        <v>403</v>
      </c>
      <c r="D220" s="3">
        <v>13.2</v>
      </c>
      <c r="E220" s="3">
        <v>1.1308024400000001</v>
      </c>
      <c r="F220" s="3">
        <v>1.0333724799999999</v>
      </c>
      <c r="G220" s="3">
        <v>1.08265297</v>
      </c>
      <c r="H220" s="3">
        <v>1.0728852799999999</v>
      </c>
      <c r="I220" s="3">
        <v>5.5659999999999996E-113</v>
      </c>
      <c r="J220" s="3" t="s">
        <v>15</v>
      </c>
      <c r="K220" s="3">
        <v>12.8</v>
      </c>
      <c r="L220" s="3">
        <v>1.23754E-2</v>
      </c>
      <c r="M220" s="3" t="s">
        <v>46</v>
      </c>
      <c r="N220" s="3"/>
      <c r="O220" s="3" t="s">
        <v>38</v>
      </c>
      <c r="P220" s="3"/>
    </row>
    <row r="221" spans="1:16" x14ac:dyDescent="0.2">
      <c r="A221" s="3" t="s">
        <v>404</v>
      </c>
      <c r="B221" s="3" t="str">
        <f t="shared" si="3"/>
        <v>c.7004T&gt;A</v>
      </c>
      <c r="C221" s="3" t="s">
        <v>405</v>
      </c>
      <c r="D221" s="3">
        <v>13.2</v>
      </c>
      <c r="E221" s="3">
        <v>1.0293734000000001</v>
      </c>
      <c r="F221" s="3">
        <v>0.92762582000000005</v>
      </c>
      <c r="G221" s="3">
        <v>0.76150733000000004</v>
      </c>
      <c r="H221" s="3">
        <v>0.92089869999999996</v>
      </c>
      <c r="I221" s="3">
        <v>1.48E-66</v>
      </c>
      <c r="J221" s="3" t="s">
        <v>15</v>
      </c>
      <c r="K221" s="3">
        <v>16.45</v>
      </c>
      <c r="L221" s="3">
        <v>-1.5479599999999999E-3</v>
      </c>
      <c r="M221" s="3" t="s">
        <v>46</v>
      </c>
      <c r="N221" s="3"/>
      <c r="O221" s="3"/>
      <c r="P221" s="3"/>
    </row>
    <row r="222" spans="1:16" x14ac:dyDescent="0.2">
      <c r="A222" s="3" t="s">
        <v>406</v>
      </c>
      <c r="B222" s="3" t="str">
        <f t="shared" si="3"/>
        <v>c.7004T&gt;C</v>
      </c>
      <c r="C222" s="3" t="s">
        <v>407</v>
      </c>
      <c r="D222" s="3">
        <v>13.2</v>
      </c>
      <c r="E222" s="3">
        <v>1.2132676600000001</v>
      </c>
      <c r="F222" s="3">
        <v>0.97641679000000003</v>
      </c>
      <c r="G222" s="3">
        <v>1.1574650799999999</v>
      </c>
      <c r="H222" s="3">
        <v>1.11502787</v>
      </c>
      <c r="I222" s="3">
        <v>7.8869999999999999E-128</v>
      </c>
      <c r="J222" s="3" t="s">
        <v>15</v>
      </c>
      <c r="K222" s="3">
        <v>13.28</v>
      </c>
      <c r="L222" s="3">
        <v>-3.63565E-2</v>
      </c>
      <c r="M222" s="3" t="s">
        <v>46</v>
      </c>
      <c r="N222" s="3"/>
      <c r="O222" s="3"/>
      <c r="P222" s="3"/>
    </row>
    <row r="223" spans="1:16" x14ac:dyDescent="0.2">
      <c r="A223" s="3" t="s">
        <v>408</v>
      </c>
      <c r="B223" s="3" t="str">
        <f t="shared" si="3"/>
        <v>c.7004T&gt;G</v>
      </c>
      <c r="C223" s="3" t="s">
        <v>409</v>
      </c>
      <c r="D223" s="3">
        <v>13.2</v>
      </c>
      <c r="E223" s="3">
        <v>1.12274556</v>
      </c>
      <c r="F223" s="3">
        <v>1.1149688</v>
      </c>
      <c r="G223" s="3">
        <v>1.1195288400000001</v>
      </c>
      <c r="H223" s="3">
        <v>1.1032873999999999</v>
      </c>
      <c r="I223" s="3">
        <v>1.2780000000000001E-123</v>
      </c>
      <c r="J223" s="3" t="s">
        <v>15</v>
      </c>
      <c r="K223" s="3">
        <v>22.2</v>
      </c>
      <c r="L223" s="3">
        <v>4.7183900000000001E-2</v>
      </c>
      <c r="M223" s="3" t="s">
        <v>46</v>
      </c>
      <c r="N223" s="3"/>
      <c r="O223" s="3"/>
      <c r="P223" s="3"/>
    </row>
    <row r="224" spans="1:16" x14ac:dyDescent="0.2">
      <c r="A224" s="3" t="s">
        <v>410</v>
      </c>
      <c r="B224" s="3" t="str">
        <f t="shared" si="3"/>
        <v>c.7005T&gt;A</v>
      </c>
      <c r="C224" s="3" t="s">
        <v>401</v>
      </c>
      <c r="D224" s="3">
        <v>13.2</v>
      </c>
      <c r="E224" s="3">
        <v>1.07123967</v>
      </c>
      <c r="F224" s="3">
        <v>0.98003744999999998</v>
      </c>
      <c r="G224" s="3">
        <v>1.12743101</v>
      </c>
      <c r="H224" s="3">
        <v>1.0483208900000001</v>
      </c>
      <c r="I224" s="3">
        <v>1.161E-104</v>
      </c>
      <c r="J224" s="3" t="s">
        <v>15</v>
      </c>
      <c r="K224" s="3">
        <v>16.98</v>
      </c>
      <c r="L224" s="3">
        <v>-8.5096600000000005E-3</v>
      </c>
      <c r="M224" s="3" t="s">
        <v>46</v>
      </c>
      <c r="N224" s="3"/>
      <c r="O224" s="3"/>
      <c r="P224" s="3"/>
    </row>
    <row r="225" spans="1:16" x14ac:dyDescent="0.2">
      <c r="A225" s="3" t="s">
        <v>411</v>
      </c>
      <c r="B225" s="3" t="str">
        <f t="shared" si="3"/>
        <v>c.7005T&gt;C</v>
      </c>
      <c r="C225" s="3" t="s">
        <v>412</v>
      </c>
      <c r="D225" s="3">
        <v>13.2</v>
      </c>
      <c r="E225" s="3">
        <v>1.1446049599999999</v>
      </c>
      <c r="F225" s="3">
        <v>1.12063271</v>
      </c>
      <c r="G225" s="3">
        <v>1.0941653099999999</v>
      </c>
      <c r="H225" s="3">
        <v>1.1066116500000001</v>
      </c>
      <c r="I225" s="3">
        <v>8.324E-125</v>
      </c>
      <c r="J225" s="3" t="s">
        <v>15</v>
      </c>
      <c r="K225" s="3">
        <v>9.1630000000000003</v>
      </c>
      <c r="L225" s="3">
        <v>-0.401003</v>
      </c>
      <c r="M225" s="3"/>
      <c r="N225" s="3"/>
      <c r="O225" s="3" t="s">
        <v>73</v>
      </c>
      <c r="P225" s="3"/>
    </row>
    <row r="226" spans="1:16" x14ac:dyDescent="0.2">
      <c r="A226" s="3" t="s">
        <v>413</v>
      </c>
      <c r="B226" s="3" t="str">
        <f t="shared" si="3"/>
        <v>c.7005T&gt;G</v>
      </c>
      <c r="C226" s="3" t="s">
        <v>401</v>
      </c>
      <c r="D226" s="3">
        <v>13.2</v>
      </c>
      <c r="E226" s="3">
        <v>0.95637680000000003</v>
      </c>
      <c r="F226" s="3">
        <v>0.83098735999999995</v>
      </c>
      <c r="G226" s="3">
        <v>0.77077485000000001</v>
      </c>
      <c r="H226" s="3">
        <v>0.86296676000000005</v>
      </c>
      <c r="I226" s="3">
        <v>1.6135999999999999E-52</v>
      </c>
      <c r="J226" s="3" t="s">
        <v>15</v>
      </c>
      <c r="K226" s="3">
        <v>17.79</v>
      </c>
      <c r="L226" s="3">
        <v>-8.5096600000000005E-3</v>
      </c>
      <c r="M226" s="3" t="s">
        <v>46</v>
      </c>
      <c r="N226" s="3"/>
      <c r="O226" s="3"/>
      <c r="P226" s="3"/>
    </row>
    <row r="227" spans="1:16" x14ac:dyDescent="0.2">
      <c r="A227" s="3" t="s">
        <v>414</v>
      </c>
      <c r="B227" s="3" t="str">
        <f t="shared" si="3"/>
        <v>c.7006C&gt;A</v>
      </c>
      <c r="C227" s="3" t="s">
        <v>415</v>
      </c>
      <c r="D227" s="3">
        <v>13.2</v>
      </c>
      <c r="E227" s="3">
        <v>1.00282698</v>
      </c>
      <c r="F227" s="3">
        <v>1.23016715</v>
      </c>
      <c r="G227" s="3">
        <v>1.0561986800000001</v>
      </c>
      <c r="H227" s="3">
        <v>1.08151642</v>
      </c>
      <c r="I227" s="3">
        <v>5.8020000000000003E-116</v>
      </c>
      <c r="J227" s="3" t="s">
        <v>15</v>
      </c>
      <c r="K227" s="3">
        <v>12.53</v>
      </c>
      <c r="L227" s="3">
        <v>3.3260499999999998E-2</v>
      </c>
      <c r="M227" s="3" t="s">
        <v>46</v>
      </c>
      <c r="N227" s="3"/>
      <c r="O227" s="3"/>
      <c r="P227" s="3"/>
    </row>
    <row r="228" spans="1:16" x14ac:dyDescent="0.2">
      <c r="A228" s="3" t="s">
        <v>416</v>
      </c>
      <c r="B228" s="3" t="str">
        <f t="shared" si="3"/>
        <v>c.7006C&gt;G</v>
      </c>
      <c r="C228" s="3" t="s">
        <v>417</v>
      </c>
      <c r="D228" s="3">
        <v>13.2</v>
      </c>
      <c r="E228" s="3">
        <v>0.26894790000000002</v>
      </c>
      <c r="F228" s="3">
        <v>0.37797971000000002</v>
      </c>
      <c r="G228" s="3">
        <v>0.11260045</v>
      </c>
      <c r="H228" s="3">
        <v>0.28051593000000002</v>
      </c>
      <c r="I228" s="3">
        <v>1</v>
      </c>
      <c r="J228" s="3" t="s">
        <v>17</v>
      </c>
      <c r="K228" s="3">
        <v>12.41</v>
      </c>
      <c r="L228" s="3">
        <v>-3.63565E-2</v>
      </c>
      <c r="M228" s="3" t="s">
        <v>46</v>
      </c>
      <c r="N228" s="3"/>
      <c r="O228" s="3" t="s">
        <v>73</v>
      </c>
      <c r="P228" s="3"/>
    </row>
    <row r="229" spans="1:16" x14ac:dyDescent="0.2">
      <c r="A229" s="3" t="s">
        <v>418</v>
      </c>
      <c r="B229" s="3" t="str">
        <f t="shared" si="3"/>
        <v>c.7006C&gt;T</v>
      </c>
      <c r="C229" s="3" t="s">
        <v>419</v>
      </c>
      <c r="D229" s="3">
        <v>13.2</v>
      </c>
      <c r="E229" s="3">
        <v>1.0566357900000001</v>
      </c>
      <c r="F229" s="3">
        <v>0.84669742000000003</v>
      </c>
      <c r="G229" s="3">
        <v>0.87195889999999998</v>
      </c>
      <c r="H229" s="3">
        <v>0.93717430000000002</v>
      </c>
      <c r="I229" s="3">
        <v>8.4995000000000001E-71</v>
      </c>
      <c r="J229" s="3" t="s">
        <v>15</v>
      </c>
      <c r="K229" s="3">
        <v>10.58</v>
      </c>
      <c r="L229" s="3">
        <v>-0.27346500000000001</v>
      </c>
      <c r="M229" s="3" t="s">
        <v>46</v>
      </c>
      <c r="N229" s="3"/>
      <c r="O229" s="3" t="s">
        <v>34</v>
      </c>
      <c r="P229" s="3"/>
    </row>
    <row r="230" spans="1:16" x14ac:dyDescent="0.2">
      <c r="A230" s="3" t="s">
        <v>420</v>
      </c>
      <c r="B230" s="3" t="str">
        <f t="shared" si="3"/>
        <v>c.7007G&gt;A</v>
      </c>
      <c r="C230" s="3" t="s">
        <v>421</v>
      </c>
      <c r="D230" s="3">
        <v>13.2</v>
      </c>
      <c r="E230" s="3">
        <v>0.11918781000000001</v>
      </c>
      <c r="F230" s="3">
        <v>-9.8228700000000002E-2</v>
      </c>
      <c r="G230" s="3">
        <v>0.11438806999999999</v>
      </c>
      <c r="H230" s="3">
        <v>9.5197850000000001E-2</v>
      </c>
      <c r="I230" s="3">
        <v>1</v>
      </c>
      <c r="J230" s="3" t="s">
        <v>17</v>
      </c>
      <c r="K230" s="3">
        <v>34</v>
      </c>
      <c r="L230" s="3">
        <v>0.22122600000000001</v>
      </c>
      <c r="M230" s="3" t="s">
        <v>46</v>
      </c>
      <c r="N230" s="3" t="s">
        <v>422</v>
      </c>
      <c r="O230" s="3" t="s">
        <v>42</v>
      </c>
      <c r="P230" s="3"/>
    </row>
    <row r="231" spans="1:16" x14ac:dyDescent="0.2">
      <c r="A231" s="3" t="s">
        <v>423</v>
      </c>
      <c r="B231" s="3" t="str">
        <f t="shared" si="3"/>
        <v>c.7007G&gt;C</v>
      </c>
      <c r="C231" s="3" t="s">
        <v>424</v>
      </c>
      <c r="D231" s="3">
        <v>13.2</v>
      </c>
      <c r="E231" s="3">
        <v>0.42922331000000002</v>
      </c>
      <c r="F231" s="3">
        <v>0.53401133999999995</v>
      </c>
      <c r="G231" s="3">
        <v>0.48348894999999997</v>
      </c>
      <c r="H231" s="3">
        <v>0.48236751</v>
      </c>
      <c r="I231" s="3">
        <v>0.99999919000000004</v>
      </c>
      <c r="J231" s="3" t="s">
        <v>17</v>
      </c>
      <c r="K231" s="3">
        <v>33</v>
      </c>
      <c r="L231" s="3">
        <v>0.27692</v>
      </c>
      <c r="M231" s="3" t="s">
        <v>46</v>
      </c>
      <c r="N231" s="3" t="s">
        <v>425</v>
      </c>
      <c r="O231" s="3" t="s">
        <v>42</v>
      </c>
      <c r="P231" s="3"/>
    </row>
    <row r="232" spans="1:16" x14ac:dyDescent="0.2">
      <c r="A232" s="3" t="s">
        <v>426</v>
      </c>
      <c r="B232" s="3" t="str">
        <f t="shared" si="3"/>
        <v>c.7007G&gt;T</v>
      </c>
      <c r="C232" s="3" t="s">
        <v>427</v>
      </c>
      <c r="D232" s="3">
        <v>13.2</v>
      </c>
      <c r="E232" s="3">
        <v>0.35498524999999997</v>
      </c>
      <c r="F232" s="3">
        <v>9.4688560000000005E-2</v>
      </c>
      <c r="G232" s="3">
        <v>0.26430044000000003</v>
      </c>
      <c r="H232" s="3">
        <v>0.28671506000000002</v>
      </c>
      <c r="I232" s="3">
        <v>1</v>
      </c>
      <c r="J232" s="3" t="s">
        <v>17</v>
      </c>
      <c r="K232" s="3">
        <v>34</v>
      </c>
      <c r="L232" s="3">
        <v>9.5915799999999996E-2</v>
      </c>
      <c r="M232" s="3" t="s">
        <v>46</v>
      </c>
      <c r="N232" s="3" t="s">
        <v>428</v>
      </c>
      <c r="O232" s="3" t="s">
        <v>47</v>
      </c>
      <c r="P232" s="3"/>
    </row>
    <row r="233" spans="1:16" x14ac:dyDescent="0.2">
      <c r="A233" s="3" t="s">
        <v>429</v>
      </c>
      <c r="B233" s="3" t="str">
        <f t="shared" si="3"/>
        <v>c.7007+1G&gt;T</v>
      </c>
      <c r="C233" s="3"/>
      <c r="D233" s="3">
        <v>13.2</v>
      </c>
      <c r="E233" s="3">
        <v>0.15688461000000001</v>
      </c>
      <c r="F233" s="3">
        <v>0.28286865</v>
      </c>
      <c r="G233" s="3">
        <v>0.28212609999999999</v>
      </c>
      <c r="H233" s="3">
        <v>0.24552441</v>
      </c>
      <c r="I233" s="3">
        <v>1</v>
      </c>
      <c r="J233" s="3" t="s">
        <v>17</v>
      </c>
      <c r="K233" s="3">
        <v>34</v>
      </c>
      <c r="L233" s="3">
        <v>0.59019699999999997</v>
      </c>
      <c r="M233" s="3"/>
      <c r="N233" s="3" t="s">
        <v>430</v>
      </c>
      <c r="O233" s="3" t="s">
        <v>47</v>
      </c>
      <c r="P233" s="3"/>
    </row>
    <row r="234" spans="1:16" x14ac:dyDescent="0.2">
      <c r="A234" s="3" t="s">
        <v>431</v>
      </c>
      <c r="B234" s="3" t="str">
        <f t="shared" si="3"/>
        <v>c.7007+1G&gt;C</v>
      </c>
      <c r="C234" s="3"/>
      <c r="D234" s="3">
        <v>13.2</v>
      </c>
      <c r="E234" s="3">
        <v>0.46806977</v>
      </c>
      <c r="F234" s="3">
        <v>0.40394253000000002</v>
      </c>
      <c r="G234" s="3">
        <v>0.4990388</v>
      </c>
      <c r="H234" s="3">
        <v>0.46862334</v>
      </c>
      <c r="I234" s="3">
        <v>0.99999992000000004</v>
      </c>
      <c r="J234" s="3" t="s">
        <v>17</v>
      </c>
      <c r="K234" s="3">
        <v>34</v>
      </c>
      <c r="L234" s="3">
        <v>0.59019699999999997</v>
      </c>
      <c r="M234" s="3"/>
      <c r="N234" s="3" t="s">
        <v>432</v>
      </c>
      <c r="O234" s="3" t="s">
        <v>42</v>
      </c>
      <c r="P234" s="3"/>
    </row>
    <row r="235" spans="1:16" x14ac:dyDescent="0.2">
      <c r="A235" s="3" t="s">
        <v>433</v>
      </c>
      <c r="B235" s="3" t="str">
        <f t="shared" si="3"/>
        <v>c.7007+1G&gt;A</v>
      </c>
      <c r="C235" s="3"/>
      <c r="D235" s="3">
        <v>13.2</v>
      </c>
      <c r="E235" s="3">
        <v>-7.8576300000000002E-2</v>
      </c>
      <c r="F235" s="3">
        <v>-0.17632229999999999</v>
      </c>
      <c r="G235" s="3">
        <v>4.7247129999999998E-2</v>
      </c>
      <c r="H235" s="3">
        <v>-3.2032600000000001E-2</v>
      </c>
      <c r="I235" s="3">
        <v>1</v>
      </c>
      <c r="J235" s="3" t="s">
        <v>17</v>
      </c>
      <c r="K235" s="3">
        <v>34</v>
      </c>
      <c r="L235" s="3">
        <v>0.59019699999999997</v>
      </c>
      <c r="M235" s="3"/>
      <c r="N235" s="3"/>
      <c r="O235" s="3" t="s">
        <v>47</v>
      </c>
      <c r="P235" s="3"/>
    </row>
    <row r="236" spans="1:16" x14ac:dyDescent="0.2">
      <c r="A236" s="3" t="s">
        <v>434</v>
      </c>
      <c r="B236" s="3" t="str">
        <f t="shared" si="3"/>
        <v>c.7007+2T&gt;C</v>
      </c>
      <c r="C236" s="3"/>
      <c r="D236" s="3">
        <v>13.2</v>
      </c>
      <c r="E236" s="3">
        <v>-0.2783004</v>
      </c>
      <c r="F236" s="3">
        <v>8.7927430000000001E-2</v>
      </c>
      <c r="G236" s="3">
        <v>-0.1644332</v>
      </c>
      <c r="H236" s="3">
        <v>-0.10283</v>
      </c>
      <c r="I236" s="3">
        <v>1</v>
      </c>
      <c r="J236" s="3" t="s">
        <v>17</v>
      </c>
      <c r="K236" s="3">
        <v>34</v>
      </c>
      <c r="L236" s="3">
        <v>0.59019699999999997</v>
      </c>
      <c r="M236" s="3"/>
      <c r="N236" s="3"/>
      <c r="O236" s="3" t="s">
        <v>47</v>
      </c>
      <c r="P236" s="3"/>
    </row>
    <row r="237" spans="1:16" x14ac:dyDescent="0.2">
      <c r="A237" s="3" t="s">
        <v>435</v>
      </c>
      <c r="B237" s="3" t="str">
        <f t="shared" si="3"/>
        <v>c.7007+2T&gt;G</v>
      </c>
      <c r="C237" s="3"/>
      <c r="D237" s="3">
        <v>13.2</v>
      </c>
      <c r="E237" s="3">
        <v>-6.8022899999999997E-2</v>
      </c>
      <c r="F237" s="3">
        <v>0.11658889</v>
      </c>
      <c r="G237" s="3">
        <v>3.3443470000000003E-2</v>
      </c>
      <c r="H237" s="3">
        <v>3.9544790000000003E-2</v>
      </c>
      <c r="I237" s="3">
        <v>1</v>
      </c>
      <c r="J237" s="3" t="s">
        <v>17</v>
      </c>
      <c r="K237" s="3">
        <v>33</v>
      </c>
      <c r="L237" s="3">
        <v>0.59019699999999997</v>
      </c>
      <c r="M237" s="3"/>
      <c r="N237" s="3"/>
      <c r="O237" s="3" t="s">
        <v>49</v>
      </c>
      <c r="P237" s="3"/>
    </row>
    <row r="238" spans="1:16" x14ac:dyDescent="0.2">
      <c r="A238" s="3" t="s">
        <v>436</v>
      </c>
      <c r="B238" s="3" t="str">
        <f t="shared" si="3"/>
        <v>c.7007+2T&gt;A</v>
      </c>
      <c r="C238" s="3"/>
      <c r="D238" s="3">
        <v>13.2</v>
      </c>
      <c r="E238" s="3">
        <v>-0.12386229999999999</v>
      </c>
      <c r="F238" s="3">
        <v>0.19359107</v>
      </c>
      <c r="G238" s="3">
        <v>6.755456E-2</v>
      </c>
      <c r="H238" s="3">
        <v>5.015915E-2</v>
      </c>
      <c r="I238" s="3">
        <v>1</v>
      </c>
      <c r="J238" s="3" t="s">
        <v>17</v>
      </c>
      <c r="K238" s="3">
        <v>34</v>
      </c>
      <c r="L238" s="3">
        <v>0.59019699999999997</v>
      </c>
      <c r="M238" s="3"/>
      <c r="N238" s="3"/>
      <c r="O238" s="3" t="s">
        <v>47</v>
      </c>
      <c r="P238" s="3"/>
    </row>
    <row r="239" spans="1:16" x14ac:dyDescent="0.2">
      <c r="A239" s="3" t="s">
        <v>437</v>
      </c>
      <c r="B239" s="3" t="str">
        <f t="shared" si="3"/>
        <v>c.7007+3A&gt;G</v>
      </c>
      <c r="C239" s="3"/>
      <c r="D239" s="3">
        <v>13.2</v>
      </c>
      <c r="E239" s="3">
        <v>-0.1825978</v>
      </c>
      <c r="F239" s="3">
        <v>-9.2452599999999996E-2</v>
      </c>
      <c r="G239" s="3">
        <v>0.16356191</v>
      </c>
      <c r="H239" s="3">
        <v>-1.9871900000000001E-2</v>
      </c>
      <c r="I239" s="3">
        <v>1</v>
      </c>
      <c r="J239" s="3" t="s">
        <v>17</v>
      </c>
      <c r="K239" s="3">
        <v>23.9</v>
      </c>
      <c r="L239" s="3">
        <v>-0.16166700000000001</v>
      </c>
      <c r="M239" s="3"/>
      <c r="N239" s="3"/>
      <c r="O239" s="3"/>
      <c r="P239" s="3"/>
    </row>
    <row r="240" spans="1:16" x14ac:dyDescent="0.2">
      <c r="A240" s="3" t="s">
        <v>438</v>
      </c>
      <c r="B240" s="3" t="str">
        <f t="shared" si="3"/>
        <v>c.7007+3A&gt;T</v>
      </c>
      <c r="C240" s="3"/>
      <c r="D240" s="3">
        <v>13.2</v>
      </c>
      <c r="E240" s="3">
        <v>0.59375816000000003</v>
      </c>
      <c r="F240" s="3">
        <v>0.14377091</v>
      </c>
      <c r="G240" s="3">
        <v>0.3741486</v>
      </c>
      <c r="H240" s="3">
        <v>0.44705818000000003</v>
      </c>
      <c r="I240" s="3">
        <v>1</v>
      </c>
      <c r="J240" s="3" t="s">
        <v>17</v>
      </c>
      <c r="K240" s="3">
        <v>16.170000000000002</v>
      </c>
      <c r="L240" s="3">
        <v>-0.14078199999999999</v>
      </c>
      <c r="M240" s="3"/>
      <c r="N240" s="3"/>
      <c r="O240" s="3"/>
      <c r="P240" s="3"/>
    </row>
    <row r="241" spans="1:16" x14ac:dyDescent="0.2">
      <c r="A241" s="3" t="s">
        <v>439</v>
      </c>
      <c r="B241" s="3" t="str">
        <f t="shared" si="3"/>
        <v>c.7007+3A&gt;C</v>
      </c>
      <c r="C241" s="3"/>
      <c r="D241" s="3">
        <v>13.2</v>
      </c>
      <c r="E241" s="3">
        <v>-0.52917599999999998</v>
      </c>
      <c r="F241" s="3">
        <v>-4.1174500000000003E-2</v>
      </c>
      <c r="G241" s="3">
        <v>-0.1581784</v>
      </c>
      <c r="H241" s="3">
        <v>-0.2373297</v>
      </c>
      <c r="I241" s="3">
        <v>1</v>
      </c>
      <c r="J241" s="3" t="s">
        <v>17</v>
      </c>
      <c r="K241" s="3">
        <v>23.4</v>
      </c>
      <c r="L241" s="3">
        <v>-0.15470500000000001</v>
      </c>
      <c r="M241" s="3"/>
      <c r="N241" s="3"/>
      <c r="O241" s="3"/>
      <c r="P241" s="3"/>
    </row>
    <row r="242" spans="1:16" x14ac:dyDescent="0.2">
      <c r="A242" s="3" t="s">
        <v>440</v>
      </c>
      <c r="B242" s="3" t="str">
        <f t="shared" si="3"/>
        <v>c.7007+4A&gt;T</v>
      </c>
      <c r="C242" s="3"/>
      <c r="D242" s="3">
        <v>13.2</v>
      </c>
      <c r="E242" s="3">
        <v>-0.32499309999999998</v>
      </c>
      <c r="F242" s="3">
        <v>-0.52541610000000005</v>
      </c>
      <c r="G242" s="3">
        <v>-7.6733300000000004E-2</v>
      </c>
      <c r="H242" s="3">
        <v>-0.24265439999999999</v>
      </c>
      <c r="I242" s="3">
        <v>1</v>
      </c>
      <c r="J242" s="3" t="s">
        <v>17</v>
      </c>
      <c r="K242" s="3">
        <v>18.46</v>
      </c>
      <c r="L242" s="3">
        <v>-0.16166700000000001</v>
      </c>
      <c r="M242" s="3"/>
      <c r="N242" s="3"/>
      <c r="O242" s="3"/>
      <c r="P242" s="3"/>
    </row>
    <row r="243" spans="1:16" x14ac:dyDescent="0.2">
      <c r="A243" s="3" t="s">
        <v>441</v>
      </c>
      <c r="B243" s="3" t="str">
        <f t="shared" si="3"/>
        <v>c.7007+4A&gt;G</v>
      </c>
      <c r="C243" s="3"/>
      <c r="D243" s="3">
        <v>13.2</v>
      </c>
      <c r="E243" s="3">
        <v>-5.1104900000000002E-2</v>
      </c>
      <c r="F243" s="3">
        <v>1.8591449999999999E-2</v>
      </c>
      <c r="G243" s="3">
        <v>-0.1565455</v>
      </c>
      <c r="H243" s="3">
        <v>-2.35082E-2</v>
      </c>
      <c r="I243" s="3">
        <v>1</v>
      </c>
      <c r="J243" s="3" t="s">
        <v>17</v>
      </c>
      <c r="K243" s="3">
        <v>21.6</v>
      </c>
      <c r="L243" s="3">
        <v>-0.14774399999999999</v>
      </c>
      <c r="M243" s="3"/>
      <c r="N243" s="3"/>
      <c r="O243" s="3" t="s">
        <v>34</v>
      </c>
      <c r="P243" s="3"/>
    </row>
    <row r="244" spans="1:16" x14ac:dyDescent="0.2">
      <c r="A244" s="3" t="s">
        <v>442</v>
      </c>
      <c r="B244" s="3" t="str">
        <f t="shared" si="3"/>
        <v>c.7007+4A&gt;C</v>
      </c>
      <c r="C244" s="3"/>
      <c r="D244" s="3">
        <v>13.2</v>
      </c>
      <c r="E244" s="3">
        <v>-5.3505700000000003E-2</v>
      </c>
      <c r="F244" s="3">
        <v>-8.5542800000000002E-2</v>
      </c>
      <c r="G244" s="3">
        <v>0.10638158</v>
      </c>
      <c r="H244" s="3">
        <v>1.7034730000000001E-2</v>
      </c>
      <c r="I244" s="3">
        <v>1</v>
      </c>
      <c r="J244" s="3" t="s">
        <v>17</v>
      </c>
      <c r="K244" s="3">
        <v>20.6</v>
      </c>
      <c r="L244" s="3">
        <v>-0.15470500000000001</v>
      </c>
      <c r="M244" s="3"/>
      <c r="N244" s="3"/>
      <c r="O244" s="3"/>
      <c r="P244" s="3"/>
    </row>
    <row r="245" spans="1:16" x14ac:dyDescent="0.2">
      <c r="A245" s="3" t="s">
        <v>443</v>
      </c>
      <c r="B245" s="3" t="str">
        <f t="shared" si="3"/>
        <v>c.7007+5G&gt;T</v>
      </c>
      <c r="C245" s="3"/>
      <c r="D245" s="3">
        <v>13.2</v>
      </c>
      <c r="E245" s="3">
        <v>0.14120573</v>
      </c>
      <c r="F245" s="3">
        <v>0.26406905000000003</v>
      </c>
      <c r="G245" s="3">
        <v>0.26154359999999999</v>
      </c>
      <c r="H245" s="3">
        <v>0.23053720999999999</v>
      </c>
      <c r="I245" s="3">
        <v>1</v>
      </c>
      <c r="J245" s="3" t="s">
        <v>17</v>
      </c>
      <c r="K245" s="3">
        <v>20.399999999999999</v>
      </c>
      <c r="L245" s="3">
        <v>-0.11293499999999999</v>
      </c>
      <c r="M245" s="3"/>
      <c r="N245" s="3"/>
      <c r="O245" s="3" t="s">
        <v>34</v>
      </c>
      <c r="P245" s="3"/>
    </row>
    <row r="246" spans="1:16" x14ac:dyDescent="0.2">
      <c r="A246" s="3" t="s">
        <v>444</v>
      </c>
      <c r="B246" s="3" t="str">
        <f t="shared" si="3"/>
        <v>c.7007+5G&gt;A</v>
      </c>
      <c r="C246" s="3"/>
      <c r="D246" s="3">
        <v>13.2</v>
      </c>
      <c r="E246" s="3">
        <v>0.28960154999999999</v>
      </c>
      <c r="F246" s="3">
        <v>0.36934661000000002</v>
      </c>
      <c r="G246" s="3">
        <v>0.35107830000000001</v>
      </c>
      <c r="H246" s="3">
        <v>0.34533914999999998</v>
      </c>
      <c r="I246" s="3">
        <v>1</v>
      </c>
      <c r="J246" s="3" t="s">
        <v>17</v>
      </c>
      <c r="K246" s="3">
        <v>22</v>
      </c>
      <c r="L246" s="3">
        <v>-0.13381999999999999</v>
      </c>
      <c r="M246" s="3"/>
      <c r="N246" s="3"/>
      <c r="O246" s="3" t="s">
        <v>38</v>
      </c>
      <c r="P246" s="3"/>
    </row>
    <row r="247" spans="1:16" x14ac:dyDescent="0.2">
      <c r="A247" s="3" t="s">
        <v>445</v>
      </c>
      <c r="B247" s="3" t="str">
        <f t="shared" si="3"/>
        <v>c.7007+5G&gt;C</v>
      </c>
      <c r="C247" s="3"/>
      <c r="D247" s="3">
        <v>13.2</v>
      </c>
      <c r="E247" s="3">
        <v>0.22746105999999999</v>
      </c>
      <c r="F247" s="3">
        <v>0.17308638000000001</v>
      </c>
      <c r="G247" s="3">
        <v>4.8264309999999998E-2</v>
      </c>
      <c r="H247" s="3">
        <v>0.19363791</v>
      </c>
      <c r="I247" s="3">
        <v>1</v>
      </c>
      <c r="J247" s="3" t="s">
        <v>17</v>
      </c>
      <c r="K247" s="3">
        <v>20.6</v>
      </c>
      <c r="L247" s="3">
        <v>-0.119897</v>
      </c>
      <c r="M247" s="3"/>
      <c r="N247" s="3"/>
      <c r="O247" s="3"/>
      <c r="P247" s="3"/>
    </row>
    <row r="248" spans="1:16" x14ac:dyDescent="0.2">
      <c r="A248" s="3" t="s">
        <v>446</v>
      </c>
      <c r="B248" s="3" t="str">
        <f t="shared" si="3"/>
        <v>c.7007+6A&gt;T</v>
      </c>
      <c r="C248" s="3"/>
      <c r="D248" s="3">
        <v>13.2</v>
      </c>
      <c r="E248" s="3">
        <v>1.1326046700000001</v>
      </c>
      <c r="F248" s="3">
        <v>1.10220717</v>
      </c>
      <c r="G248" s="3">
        <v>1.0977804200000001</v>
      </c>
      <c r="H248" s="3">
        <v>1.1013815499999999</v>
      </c>
      <c r="I248" s="3">
        <v>6.0900000000000002E-123</v>
      </c>
      <c r="J248" s="3" t="s">
        <v>15</v>
      </c>
      <c r="K248" s="3">
        <v>3.468</v>
      </c>
      <c r="L248" s="3">
        <v>-0.46101999999999999</v>
      </c>
      <c r="M248" s="3"/>
      <c r="N248" s="3"/>
      <c r="O248" s="3"/>
      <c r="P248" s="3"/>
    </row>
    <row r="249" spans="1:16" x14ac:dyDescent="0.2">
      <c r="A249" s="3" t="s">
        <v>447</v>
      </c>
      <c r="B249" s="3" t="str">
        <f t="shared" si="3"/>
        <v>c.7007+6A&gt;G</v>
      </c>
      <c r="C249" s="3"/>
      <c r="D249" s="3">
        <v>13.2</v>
      </c>
      <c r="E249" s="3">
        <v>1.11492597</v>
      </c>
      <c r="F249" s="3">
        <v>0.87685301999999998</v>
      </c>
      <c r="G249" s="3">
        <v>0.90487342000000004</v>
      </c>
      <c r="H249" s="3">
        <v>0.98339273000000005</v>
      </c>
      <c r="I249" s="3">
        <v>6.1752000000000003E-84</v>
      </c>
      <c r="J249" s="3" t="s">
        <v>15</v>
      </c>
      <c r="K249" s="3">
        <v>3.621</v>
      </c>
      <c r="L249" s="3">
        <v>-0.46101999999999999</v>
      </c>
      <c r="M249" s="3"/>
      <c r="N249" s="3"/>
      <c r="O249" s="3"/>
      <c r="P249" s="3"/>
    </row>
    <row r="250" spans="1:16" x14ac:dyDescent="0.2">
      <c r="A250" s="3" t="s">
        <v>448</v>
      </c>
      <c r="B250" s="3" t="str">
        <f t="shared" si="3"/>
        <v>c.7007+6A&gt;C</v>
      </c>
      <c r="C250" s="3"/>
      <c r="D250" s="3">
        <v>13.2</v>
      </c>
      <c r="E250" s="3">
        <v>1.1274166400000001</v>
      </c>
      <c r="F250" s="3">
        <v>0.93672540000000004</v>
      </c>
      <c r="G250" s="3">
        <v>1.0722477699999999</v>
      </c>
      <c r="H250" s="3">
        <v>1.04794239</v>
      </c>
      <c r="I250" s="3">
        <v>1.5529999999999999E-104</v>
      </c>
      <c r="J250" s="3" t="s">
        <v>15</v>
      </c>
      <c r="K250" s="3">
        <v>3.036</v>
      </c>
      <c r="L250" s="3">
        <v>-0.46798200000000001</v>
      </c>
      <c r="M250" s="3"/>
      <c r="N250" s="3"/>
      <c r="O250" s="3"/>
      <c r="P250" s="3"/>
    </row>
    <row r="251" spans="1:16" x14ac:dyDescent="0.2">
      <c r="A251" s="3" t="s">
        <v>449</v>
      </c>
      <c r="B251" s="3" t="str">
        <f t="shared" si="3"/>
        <v>c.7007+7C&gt;T</v>
      </c>
      <c r="C251" s="3"/>
      <c r="D251" s="3">
        <v>13.2</v>
      </c>
      <c r="E251" s="3">
        <v>1.1772387200000001</v>
      </c>
      <c r="F251" s="3">
        <v>1.15767993</v>
      </c>
      <c r="G251" s="3">
        <v>1.1901171100000001</v>
      </c>
      <c r="H251" s="3">
        <v>1.16237988</v>
      </c>
      <c r="I251" s="3">
        <v>2.2209999999999998E-145</v>
      </c>
      <c r="J251" s="3" t="s">
        <v>15</v>
      </c>
      <c r="K251" s="3">
        <v>3.7130000000000001</v>
      </c>
      <c r="L251" s="3">
        <v>-0.42621199999999998</v>
      </c>
      <c r="M251" s="3"/>
      <c r="N251" s="3"/>
      <c r="O251" s="3"/>
      <c r="P251" s="3"/>
    </row>
    <row r="252" spans="1:16" x14ac:dyDescent="0.2">
      <c r="A252" s="3" t="s">
        <v>450</v>
      </c>
      <c r="B252" s="3" t="str">
        <f t="shared" si="3"/>
        <v>c.7007+7C&gt;G</v>
      </c>
      <c r="C252" s="3"/>
      <c r="D252" s="3">
        <v>13.2</v>
      </c>
      <c r="E252" s="3">
        <v>1.0813513699999999</v>
      </c>
      <c r="F252" s="3">
        <v>1.1004783499999999</v>
      </c>
      <c r="G252" s="3">
        <v>1.0263760799999999</v>
      </c>
      <c r="H252" s="3">
        <v>1.0622925700000001</v>
      </c>
      <c r="I252" s="3">
        <v>2.3090000000000001E-109</v>
      </c>
      <c r="J252" s="3" t="s">
        <v>15</v>
      </c>
      <c r="K252" s="3">
        <v>4.2160000000000002</v>
      </c>
      <c r="L252" s="3">
        <v>-0.440135</v>
      </c>
      <c r="M252" s="3"/>
      <c r="N252" s="3"/>
      <c r="O252" s="3" t="s">
        <v>73</v>
      </c>
      <c r="P252" s="3"/>
    </row>
    <row r="253" spans="1:16" x14ac:dyDescent="0.2">
      <c r="A253" s="3" t="s">
        <v>451</v>
      </c>
      <c r="B253" s="3" t="str">
        <f t="shared" si="3"/>
        <v>c.7007+7C&gt;A</v>
      </c>
      <c r="C253" s="3"/>
      <c r="D253" s="3">
        <v>13.2</v>
      </c>
      <c r="E253" s="3">
        <v>0.97178014999999995</v>
      </c>
      <c r="F253" s="3">
        <v>0.93719465999999996</v>
      </c>
      <c r="G253" s="3">
        <v>0.98180716000000001</v>
      </c>
      <c r="H253" s="3">
        <v>0.95847232000000004</v>
      </c>
      <c r="I253" s="3">
        <v>1.2414E-76</v>
      </c>
      <c r="J253" s="3" t="s">
        <v>15</v>
      </c>
      <c r="K253" s="3">
        <v>4.5229999999999997</v>
      </c>
      <c r="L253" s="3">
        <v>-0.43317299999999997</v>
      </c>
      <c r="M253" s="3"/>
      <c r="N253" s="3"/>
      <c r="O253" s="3"/>
      <c r="P253" s="3"/>
    </row>
  </sheetData>
  <autoFilter ref="C1:C253" xr:uid="{074A16E5-BF91-FE4D-9CC6-45450DA01A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Exon13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2024-10-10T06:33:05Z</dcterms:created>
  <dcterms:modified xsi:type="dcterms:W3CDTF">2024-10-11T17:40:53Z</dcterms:modified>
</cp:coreProperties>
</file>