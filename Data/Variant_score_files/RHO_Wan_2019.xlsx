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1_{6644F25A-4A41-0743-8A3A-8D7E0DFFE202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Table S1" sheetId="1" r:id="rId1"/>
  </sheets>
  <externalReferences>
    <externalReference r:id="rId2"/>
  </externalReferences>
  <definedNames>
    <definedName name="_xlnm._FilterDatabase" localSheetId="0" hidden="1">'Table S1'!$A$1:$AP$1</definedName>
    <definedName name="Coverage">[1]Plasmid_Hi_276987w_DA8!$D$3:$D$1156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5" i="1" l="1"/>
  <c r="AO6" i="1"/>
  <c r="AO8" i="1"/>
  <c r="AO10" i="1"/>
  <c r="AO11" i="1"/>
  <c r="AO12" i="1"/>
  <c r="AO13" i="1"/>
  <c r="AO16" i="1"/>
  <c r="AO17" i="1"/>
  <c r="AO18" i="1"/>
  <c r="AO19" i="1"/>
  <c r="AO21" i="1"/>
  <c r="AO22" i="1"/>
  <c r="AO23" i="1"/>
  <c r="AO24" i="1"/>
  <c r="AO25" i="1"/>
  <c r="AO27" i="1"/>
  <c r="AO28" i="1"/>
  <c r="AO29" i="1"/>
  <c r="AO30" i="1"/>
  <c r="AO34" i="1"/>
  <c r="AO39" i="1"/>
  <c r="AO41" i="1"/>
  <c r="AO43" i="1"/>
  <c r="AO44" i="1"/>
  <c r="AO45" i="1"/>
  <c r="AO46" i="1"/>
  <c r="AO48" i="1"/>
  <c r="AO53" i="1"/>
  <c r="AO56" i="1"/>
  <c r="AO57" i="1"/>
  <c r="AO58" i="1"/>
  <c r="AO59" i="1"/>
  <c r="AO60" i="1"/>
  <c r="AO61" i="1"/>
  <c r="AO63" i="1"/>
  <c r="AO64" i="1"/>
  <c r="AO66" i="1"/>
  <c r="AO67" i="1"/>
  <c r="AO70" i="1"/>
  <c r="AO71" i="1"/>
  <c r="AO72" i="1"/>
  <c r="AO73" i="1"/>
  <c r="AO74" i="1"/>
  <c r="AO75" i="1"/>
  <c r="AO78" i="1"/>
  <c r="AO79" i="1"/>
  <c r="AO81" i="1"/>
  <c r="AO83" i="1"/>
  <c r="AO84" i="1"/>
  <c r="AO85" i="1"/>
  <c r="AO86" i="1"/>
  <c r="AO88" i="1"/>
  <c r="AO89" i="1"/>
  <c r="AO90" i="1"/>
  <c r="AO91" i="1"/>
  <c r="AO94" i="1"/>
  <c r="AO96" i="1"/>
  <c r="AO97" i="1"/>
  <c r="AO98" i="1"/>
  <c r="AO100" i="1"/>
  <c r="AO101" i="1"/>
  <c r="AO102" i="1"/>
  <c r="AO103" i="1"/>
  <c r="AO105" i="1"/>
  <c r="AO106" i="1"/>
  <c r="AO107" i="1"/>
  <c r="AO109" i="1"/>
  <c r="AO110" i="1"/>
  <c r="AO112" i="1"/>
  <c r="AO113" i="1"/>
  <c r="AO114" i="1"/>
  <c r="AO115" i="1"/>
  <c r="AO116" i="1"/>
  <c r="AO118" i="1"/>
  <c r="AO119" i="1"/>
  <c r="AO120" i="1"/>
  <c r="AO121" i="1"/>
  <c r="AO122" i="1"/>
  <c r="AO124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40" i="1"/>
  <c r="AO141" i="1"/>
  <c r="AO142" i="1"/>
  <c r="AO144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62" i="1"/>
  <c r="AO163" i="1"/>
  <c r="AO166" i="1"/>
  <c r="AO168" i="1"/>
  <c r="AO175" i="1"/>
  <c r="AO185" i="1"/>
  <c r="AO187" i="1"/>
  <c r="AO188" i="1"/>
  <c r="AO191" i="1"/>
  <c r="AO192" i="1"/>
  <c r="AO194" i="1"/>
  <c r="AO195" i="1"/>
  <c r="AO197" i="1"/>
  <c r="AO198" i="1"/>
  <c r="AO202" i="1"/>
  <c r="AO204" i="1"/>
  <c r="AO205" i="1"/>
  <c r="AO206" i="1"/>
  <c r="AO207" i="1"/>
  <c r="AO208" i="1"/>
  <c r="AO209" i="1"/>
  <c r="AO211" i="1"/>
  <c r="AO212" i="1"/>
  <c r="AO164" i="1"/>
  <c r="AO93" i="1"/>
  <c r="AO49" i="1"/>
  <c r="AO54" i="1"/>
  <c r="AO65" i="1"/>
  <c r="AO76" i="1"/>
  <c r="AO99" i="1"/>
  <c r="AO139" i="1"/>
  <c r="AO159" i="1"/>
  <c r="AO210" i="1"/>
  <c r="AO167" i="1"/>
  <c r="AO145" i="1"/>
  <c r="AO173" i="1"/>
  <c r="AO35" i="1"/>
  <c r="AO174" i="1"/>
  <c r="AO178" i="1"/>
  <c r="AO189" i="1"/>
  <c r="AO186" i="1"/>
  <c r="AO125" i="1"/>
  <c r="AO182" i="1"/>
  <c r="AO146" i="1"/>
  <c r="AO77" i="1"/>
  <c r="AO179" i="1"/>
  <c r="AO165" i="1"/>
  <c r="AO7" i="1"/>
  <c r="AO180" i="1"/>
  <c r="AO176" i="1"/>
  <c r="AO14" i="1"/>
  <c r="AO9" i="1"/>
  <c r="AO123" i="1"/>
  <c r="AO117" i="1"/>
  <c r="AO111" i="1"/>
  <c r="AO104" i="1"/>
  <c r="AO95" i="1"/>
  <c r="AO92" i="1"/>
  <c r="AO87" i="1"/>
  <c r="AO80" i="1"/>
  <c r="AO68" i="1"/>
  <c r="AO69" i="1"/>
  <c r="AO3" i="1"/>
  <c r="AO4" i="1"/>
  <c r="AO62" i="1"/>
  <c r="AO55" i="1"/>
  <c r="AO51" i="1"/>
  <c r="AO50" i="1"/>
  <c r="AO47" i="1"/>
  <c r="AO42" i="1"/>
  <c r="AO40" i="1"/>
  <c r="AO37" i="1"/>
  <c r="AO36" i="1"/>
  <c r="AO31" i="1"/>
  <c r="AO20" i="1"/>
  <c r="AO15" i="1"/>
  <c r="AO199" i="1"/>
  <c r="AO200" i="1"/>
  <c r="AO196" i="1"/>
  <c r="AO190" i="1"/>
  <c r="AO26" i="1"/>
  <c r="AO32" i="1"/>
  <c r="AO33" i="1"/>
  <c r="AO38" i="1"/>
  <c r="AO52" i="1"/>
  <c r="AO82" i="1"/>
  <c r="AO143" i="1"/>
  <c r="AO160" i="1"/>
  <c r="AO161" i="1"/>
  <c r="AO108" i="1"/>
  <c r="AO169" i="1"/>
  <c r="AO170" i="1"/>
  <c r="AO171" i="1"/>
  <c r="AO172" i="1"/>
  <c r="AO177" i="1"/>
  <c r="AO181" i="1"/>
  <c r="AO183" i="1"/>
  <c r="AO184" i="1"/>
  <c r="AO193" i="1"/>
  <c r="AO201" i="1"/>
  <c r="AO203" i="1"/>
  <c r="AO2" i="1"/>
  <c r="O26" i="1"/>
  <c r="O190" i="1"/>
  <c r="O196" i="1"/>
  <c r="O200" i="1"/>
  <c r="O199" i="1"/>
  <c r="O15" i="1"/>
  <c r="O20" i="1"/>
  <c r="O31" i="1"/>
  <c r="O36" i="1"/>
  <c r="O37" i="1"/>
  <c r="O40" i="1"/>
  <c r="O42" i="1"/>
  <c r="O47" i="1"/>
  <c r="O50" i="1"/>
  <c r="O51" i="1"/>
  <c r="O55" i="1"/>
  <c r="O62" i="1"/>
  <c r="O4" i="1"/>
  <c r="O3" i="1"/>
  <c r="O69" i="1"/>
  <c r="O68" i="1"/>
  <c r="O80" i="1"/>
  <c r="O87" i="1"/>
  <c r="O92" i="1"/>
  <c r="O95" i="1"/>
  <c r="O104" i="1"/>
  <c r="O111" i="1"/>
  <c r="O117" i="1"/>
  <c r="O123" i="1"/>
  <c r="O9" i="1"/>
  <c r="O14" i="1"/>
  <c r="O176" i="1"/>
  <c r="O180" i="1"/>
  <c r="O7" i="1"/>
  <c r="O165" i="1"/>
  <c r="O179" i="1"/>
  <c r="O77" i="1"/>
  <c r="O146" i="1"/>
  <c r="O182" i="1"/>
  <c r="O125" i="1"/>
  <c r="O186" i="1"/>
  <c r="O189" i="1"/>
  <c r="O178" i="1"/>
  <c r="O174" i="1"/>
  <c r="O35" i="1"/>
  <c r="O173" i="1"/>
  <c r="O145" i="1"/>
  <c r="O167" i="1"/>
  <c r="O210" i="1"/>
  <c r="O159" i="1"/>
  <c r="O139" i="1"/>
  <c r="O99" i="1"/>
  <c r="O76" i="1"/>
  <c r="O65" i="1"/>
  <c r="O54" i="1"/>
  <c r="O49" i="1"/>
  <c r="O93" i="1"/>
  <c r="O164" i="1"/>
  <c r="O212" i="1"/>
  <c r="O211" i="1"/>
  <c r="O209" i="1"/>
  <c r="O208" i="1"/>
  <c r="O207" i="1"/>
  <c r="O206" i="1"/>
  <c r="O205" i="1"/>
  <c r="O204" i="1"/>
  <c r="O202" i="1"/>
  <c r="O198" i="1"/>
  <c r="O197" i="1"/>
  <c r="O195" i="1"/>
  <c r="O194" i="1"/>
  <c r="O192" i="1"/>
  <c r="O191" i="1"/>
  <c r="O188" i="1"/>
  <c r="O187" i="1"/>
  <c r="O185" i="1"/>
  <c r="O175" i="1"/>
  <c r="O168" i="1"/>
  <c r="O166" i="1"/>
  <c r="O163" i="1"/>
  <c r="O162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4" i="1"/>
  <c r="O142" i="1"/>
  <c r="O141" i="1"/>
  <c r="O140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4" i="1"/>
  <c r="O122" i="1"/>
  <c r="O121" i="1"/>
  <c r="O120" i="1"/>
  <c r="O119" i="1"/>
  <c r="O118" i="1"/>
  <c r="O116" i="1"/>
  <c r="O115" i="1"/>
  <c r="O114" i="1"/>
  <c r="O113" i="1"/>
  <c r="O112" i="1"/>
  <c r="O110" i="1"/>
  <c r="O109" i="1"/>
  <c r="O107" i="1"/>
  <c r="O106" i="1"/>
  <c r="O105" i="1"/>
  <c r="O103" i="1"/>
  <c r="O102" i="1"/>
  <c r="O101" i="1"/>
  <c r="O100" i="1"/>
  <c r="O98" i="1"/>
  <c r="O97" i="1"/>
  <c r="O96" i="1"/>
  <c r="O94" i="1"/>
  <c r="O91" i="1"/>
  <c r="O90" i="1"/>
  <c r="O89" i="1"/>
  <c r="O88" i="1"/>
  <c r="O86" i="1"/>
  <c r="O85" i="1"/>
  <c r="O84" i="1"/>
  <c r="O83" i="1"/>
  <c r="O81" i="1"/>
  <c r="O79" i="1"/>
  <c r="O78" i="1"/>
  <c r="O75" i="1"/>
  <c r="O74" i="1"/>
  <c r="O73" i="1"/>
  <c r="O72" i="1"/>
  <c r="O71" i="1"/>
  <c r="O70" i="1"/>
  <c r="O67" i="1"/>
  <c r="O66" i="1"/>
  <c r="O64" i="1"/>
  <c r="O63" i="1"/>
  <c r="O61" i="1"/>
  <c r="O60" i="1"/>
  <c r="O59" i="1"/>
  <c r="O58" i="1"/>
  <c r="O57" i="1"/>
  <c r="O56" i="1"/>
  <c r="O53" i="1"/>
  <c r="O48" i="1"/>
  <c r="O46" i="1"/>
  <c r="O45" i="1"/>
  <c r="O44" i="1"/>
  <c r="O43" i="1"/>
  <c r="O41" i="1"/>
  <c r="O39" i="1"/>
  <c r="O34" i="1"/>
  <c r="O30" i="1"/>
  <c r="O29" i="1"/>
  <c r="O28" i="1"/>
  <c r="O27" i="1"/>
  <c r="O25" i="1"/>
  <c r="O24" i="1"/>
  <c r="O23" i="1"/>
  <c r="O22" i="1"/>
  <c r="O21" i="1"/>
  <c r="O19" i="1"/>
  <c r="O18" i="1"/>
  <c r="O17" i="1"/>
  <c r="O16" i="1"/>
  <c r="O13" i="1"/>
  <c r="O12" i="1"/>
  <c r="O11" i="1"/>
  <c r="O10" i="1"/>
  <c r="O8" i="1"/>
  <c r="O6" i="1"/>
  <c r="O5" i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Comander, Jason</author>
  </authors>
  <commentList>
    <comment ref="A5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Comander, Jason:</t>
        </r>
        <r>
          <rPr>
            <sz val="9"/>
            <color indexed="81"/>
            <rFont val="Tahoma"/>
            <family val="2"/>
          </rPr>
          <t xml:space="preserve">
same as 137</t>
        </r>
      </text>
    </comment>
  </commentList>
</comments>
</file>

<file path=xl/sharedStrings.xml><?xml version="1.0" encoding="utf-8"?>
<sst xmlns="http://schemas.openxmlformats.org/spreadsheetml/2006/main" count="5604" uniqueCount="1969">
  <si>
    <t>Variant number</t>
  </si>
  <si>
    <t>source</t>
  </si>
  <si>
    <t>DNA description (HGVS NM_000539.3)</t>
  </si>
  <si>
    <t>DNA description (HGVS NM_000539.3:c.)</t>
  </si>
  <si>
    <t>HGVS protein 3 letter</t>
  </si>
  <si>
    <t>HGVS protein 1 letter</t>
  </si>
  <si>
    <t>Protein description (HGVS RHO_v001:p. or NP_000530.1:p.)</t>
  </si>
  <si>
    <t>HGMD Protein Descr.</t>
  </si>
  <si>
    <t>from HGMD</t>
  </si>
  <si>
    <t>mut #</t>
  </si>
  <si>
    <t>prot change</t>
  </si>
  <si>
    <t>basepair</t>
  </si>
  <si>
    <t>exon</t>
  </si>
  <si>
    <t>codon</t>
  </si>
  <si>
    <t>references</t>
  </si>
  <si>
    <t>Class, detailed (Mendes/Rakoczy/Athanasiou)</t>
  </si>
  <si>
    <t>Class (Athanasiou), plusprior class if unclassified</t>
  </si>
  <si>
    <t>Literature phenotype</t>
  </si>
  <si>
    <t>Database phenotype</t>
  </si>
  <si>
    <t>Database phenotype formula</t>
  </si>
  <si>
    <t>single-plex RHO surface assay, mean</t>
  </si>
  <si>
    <t>single-plex RHO surface assay, stderr</t>
  </si>
  <si>
    <t>NGS-based surface RHO surface assay, mean</t>
  </si>
  <si>
    <t>NGS-based surface RHO surface assay, CI</t>
  </si>
  <si>
    <t>RHO surface expression, final category</t>
  </si>
  <si>
    <t>confocal results</t>
  </si>
  <si>
    <t>Conclusions based on new data from this study</t>
  </si>
  <si>
    <t>Revised class</t>
  </si>
  <si>
    <t>Misc comments</t>
  </si>
  <si>
    <t>Residues in different species alignment</t>
  </si>
  <si>
    <t>Residues in different species, homologene alignment</t>
  </si>
  <si>
    <t>same a.a. change found in other species</t>
  </si>
  <si>
    <t>Structural annotation (Rakoczy)</t>
  </si>
  <si>
    <t>Structural annotation</t>
  </si>
  <si>
    <t>Region in Structure</t>
  </si>
  <si>
    <t>Involved in other function</t>
  </si>
  <si>
    <t>url for references</t>
  </si>
  <si>
    <t>ddG foldx (Rakoczy)</t>
  </si>
  <si>
    <t>McKeone single-plex RHO surface assay, mean</t>
  </si>
  <si>
    <t>databases</t>
  </si>
  <si>
    <t>c.11C&gt;A</t>
  </si>
  <si>
    <t>11C&gt;A</t>
  </si>
  <si>
    <t>RHO_v001:p.(Thr4Lys)</t>
  </si>
  <si>
    <t>RHO_v001:p.(T4K)</t>
  </si>
  <si>
    <t>T4K</t>
  </si>
  <si>
    <t>p.(Thr4Lys)</t>
  </si>
  <si>
    <t>p.T4K</t>
  </si>
  <si>
    <t>IVa/IV/2**</t>
  </si>
  <si>
    <t>2**</t>
  </si>
  <si>
    <t>dom</t>
  </si>
  <si>
    <t>pathogenic</t>
  </si>
  <si>
    <t>DM</t>
  </si>
  <si>
    <t>0.40-0.54</t>
  </si>
  <si>
    <t>low</t>
  </si>
  <si>
    <t>confirmed pathogenic</t>
  </si>
  <si>
    <t>Caution - Overlaps RetP1 antibody epitope (a.a. 4-10)</t>
  </si>
  <si>
    <t/>
  </si>
  <si>
    <t xml:space="preserve">N-term tail Region I (extracellular) Glycosylation motif </t>
  </si>
  <si>
    <t>N-term tail</t>
  </si>
  <si>
    <t>Region I (extracellular)</t>
  </si>
  <si>
    <t>Glycosylation motif</t>
  </si>
  <si>
    <t>https://www.ncbi.nlm.nih.gov/pubmed/?term=8406457,24106275,21094163</t>
  </si>
  <si>
    <t>c.44A&gt;G</t>
  </si>
  <si>
    <t>44A&gt;G</t>
  </si>
  <si>
    <t>RHO_v001:p.(Asn15Ser)</t>
  </si>
  <si>
    <t>RHO_v001:p.(N15S)</t>
  </si>
  <si>
    <t>N15S</t>
  </si>
  <si>
    <t>p.(Asn15Ser)</t>
  </si>
  <si>
    <t>p.N15S</t>
  </si>
  <si>
    <t>IVa/2*</t>
  </si>
  <si>
    <t>2*</t>
  </si>
  <si>
    <t>0.15-0.28</t>
  </si>
  <si>
    <t>very low</t>
  </si>
  <si>
    <t>Caution - Nearby RetP1 antibody epitope (a.a. 4-10)</t>
  </si>
  <si>
    <t>https://www.ncbi.nlm.nih.gov/pubmed/?term=8353500,24106275,21094163</t>
  </si>
  <si>
    <t>c.50C&gt;T</t>
  </si>
  <si>
    <t>50C&gt;T</t>
  </si>
  <si>
    <t>RHO_v001:p.(Thr17Met)</t>
  </si>
  <si>
    <t>RHO_v001:p.(T17M)</t>
  </si>
  <si>
    <t>T17M</t>
  </si>
  <si>
    <t>p.(Thr17Met)</t>
  </si>
  <si>
    <t>p.T17M</t>
  </si>
  <si>
    <t>IVa/II*/2**</t>
  </si>
  <si>
    <t>0.14-0.36</t>
  </si>
  <si>
    <t>Ser</t>
  </si>
  <si>
    <t>https://www.ncbi.nlm.nih.gov/pubmed/?term=1897520,24573320,19913029,24106275,21094163</t>
  </si>
  <si>
    <t>c.59T&gt;G</t>
  </si>
  <si>
    <t>59T&gt;G</t>
  </si>
  <si>
    <t>RHO_v001:p.(Val20Gly)</t>
  </si>
  <si>
    <t>RHO_v001:p.(V20G)</t>
  </si>
  <si>
    <t>V20G</t>
  </si>
  <si>
    <t>p.(Val20Gly)</t>
  </si>
  <si>
    <t>p.V20G</t>
  </si>
  <si>
    <t>IIa/2*</t>
  </si>
  <si>
    <t>0.05-0.18</t>
  </si>
  <si>
    <t>Ala</t>
  </si>
  <si>
    <t xml:space="preserve">N-term tail Region I (extracellular)  </t>
  </si>
  <si>
    <t>https://www.ncbi.nlm.nih.gov/pubmed/?term=16170112,24106275,21094163</t>
  </si>
  <si>
    <t>c.67C&gt;G</t>
  </si>
  <si>
    <t>67C&gt;G</t>
  </si>
  <si>
    <t>RHO_v001:p.(Pro23Ala)</t>
  </si>
  <si>
    <t>RHO_v001:p.(P23A)</t>
  </si>
  <si>
    <t>P23A</t>
  </si>
  <si>
    <t>p.(Pro23Ala)</t>
  </si>
  <si>
    <t>p.P23A</t>
  </si>
  <si>
    <t>IIa/II/2</t>
  </si>
  <si>
    <t>0.08-0.17</t>
  </si>
  <si>
    <t>https://www.ncbi.nlm.nih.gov/pubmed/?term=10980774,19913029,24106275,21094163</t>
  </si>
  <si>
    <t>c.68C&gt;A</t>
  </si>
  <si>
    <t>68C&gt;A</t>
  </si>
  <si>
    <t>RHO_v001:p.(Pro23His)</t>
  </si>
  <si>
    <t>RHO_v001:p.(P23H)</t>
  </si>
  <si>
    <t>P23H</t>
  </si>
  <si>
    <t>p.(Pro23His)</t>
  </si>
  <si>
    <t>p.P23H</t>
  </si>
  <si>
    <t>0.32-0.54</t>
  </si>
  <si>
    <t>confirms negative control</t>
  </si>
  <si>
    <t>https://www.ncbi.nlm.nih.gov/pubmed/?term=2137202,24515108,22276148,19913029,22323724,20805032,21372525,24106275,24853414,22110080,23185477,21094163,24214395,21224384,24618321,19933196</t>
  </si>
  <si>
    <t>c.68C&gt;T</t>
  </si>
  <si>
    <t>68C&gt;T</t>
  </si>
  <si>
    <t>RHO_v001:p.(Pro23Leu)</t>
  </si>
  <si>
    <t>RHO_v001:p.(P23L)</t>
  </si>
  <si>
    <t>P23L</t>
  </si>
  <si>
    <t>p.(Pro23Leu)</t>
  </si>
  <si>
    <t>p.P23L</t>
  </si>
  <si>
    <t>IIa/II/2*</t>
  </si>
  <si>
    <t>0.12-0.21</t>
  </si>
  <si>
    <t>https://www.ncbi.nlm.nih.gov/pubmed/?term=1833777,19913029,24106275,21094163</t>
  </si>
  <si>
    <t>c.84G&gt;T</t>
  </si>
  <si>
    <t>84G&gt;T</t>
  </si>
  <si>
    <t>RHO_v001:p.(Gln28His)</t>
  </si>
  <si>
    <t>RHO_v001:p.(Q28H)</t>
  </si>
  <si>
    <t>Q28H</t>
  </si>
  <si>
    <t>p.(Gln28His)</t>
  </si>
  <si>
    <t>p.Q28H</t>
  </si>
  <si>
    <t>0.06-0.20</t>
  </si>
  <si>
    <t>c.119T&gt;G</t>
  </si>
  <si>
    <t>119T&gt;G</t>
  </si>
  <si>
    <t>RHO_v001:p.(Leu40Arg)</t>
  </si>
  <si>
    <t>RHO_v001:p.(L40R)</t>
  </si>
  <si>
    <t>L40R</t>
  </si>
  <si>
    <t>p.(Leu40Arg)</t>
  </si>
  <si>
    <t>p.L40R</t>
  </si>
  <si>
    <t>IIa/Unclassified</t>
  </si>
  <si>
    <t>0.06-0.17</t>
  </si>
  <si>
    <t xml:space="preserve">TM 1 Region V (inside helix)  </t>
  </si>
  <si>
    <t>TM 1</t>
  </si>
  <si>
    <t>Region V (inside helix)</t>
  </si>
  <si>
    <t>https://www.ncbi.nlm.nih.gov/pubmed/?term=8081400,21094163</t>
  </si>
  <si>
    <t>c.131T&gt;C</t>
  </si>
  <si>
    <t>131T&gt;C</t>
  </si>
  <si>
    <t>RHO_v001:p.(Met44Thr)</t>
  </si>
  <si>
    <t>RHO_v001:p.(M44T)</t>
  </si>
  <si>
    <t>M44T</t>
  </si>
  <si>
    <t>p.(Met44Thr)</t>
  </si>
  <si>
    <t>p.M44T</t>
  </si>
  <si>
    <t>IIa/V*/5</t>
  </si>
  <si>
    <t>1.00-1.92</t>
  </si>
  <si>
    <t>indeterminate</t>
  </si>
  <si>
    <t>not informative</t>
  </si>
  <si>
    <t xml:space="preserve">TM 1, VitA polyene chain binding pocket, Lys296 stabilization Region V (inside helix)  </t>
  </si>
  <si>
    <t>TM 1, VitA polyene chain binding pocket, Lys296 stabilization</t>
  </si>
  <si>
    <t>https://www.ncbi.nlm.nih.gov/pubmed/?term=8076945,21094163</t>
  </si>
  <si>
    <t>c.133T&gt;C</t>
  </si>
  <si>
    <t>133T&gt;C</t>
  </si>
  <si>
    <t>RHO_v001:p.(Phe45Leu)</t>
  </si>
  <si>
    <t>RHO_v001:p.(F45L)</t>
  </si>
  <si>
    <t>F45L</t>
  </si>
  <si>
    <t>p.(Phe45Leu)</t>
  </si>
  <si>
    <t>p.F45L</t>
  </si>
  <si>
    <t>Unclassified/7</t>
  </si>
  <si>
    <t>?not pathogenic</t>
  </si>
  <si>
    <t>?pathogenic</t>
  </si>
  <si>
    <t>DM?</t>
  </si>
  <si>
    <t>1.64-2.16</t>
  </si>
  <si>
    <t>L</t>
  </si>
  <si>
    <t>yes</t>
  </si>
  <si>
    <t xml:space="preserve">TM 1 Region IV (outside helix)  </t>
  </si>
  <si>
    <t>Region IV (outside helix)</t>
  </si>
  <si>
    <t>https://www.ncbi.nlm.nih.gov/pubmed/?term=1862076,22791210,21094163,24049715</t>
  </si>
  <si>
    <t>c.137T&gt;G</t>
  </si>
  <si>
    <t>137T&gt;G</t>
  </si>
  <si>
    <t>RHO_v001:p.(Leu46Arg)</t>
  </si>
  <si>
    <t>RHO_v001:p.(L46R)</t>
  </si>
  <si>
    <t>L46R</t>
  </si>
  <si>
    <t>p.(Leu46Arg)</t>
  </si>
  <si>
    <t>p.L46R</t>
  </si>
  <si>
    <t>IIc/Unclassified</t>
  </si>
  <si>
    <t>0.04-0.17</t>
  </si>
  <si>
    <t>Phe</t>
  </si>
  <si>
    <t>FM</t>
  </si>
  <si>
    <t>https://www.ncbi.nlm.nih.gov/pubmed/?term=8364589,21094163</t>
  </si>
  <si>
    <t>c.151G&gt;C</t>
  </si>
  <si>
    <t>151G&gt;C</t>
  </si>
  <si>
    <t>RHO_v001:p.(Gly51Arg)</t>
  </si>
  <si>
    <t>RHO_v001:p.(G51R)</t>
  </si>
  <si>
    <t>G51R</t>
  </si>
  <si>
    <t>p.(Gly51Arg)</t>
  </si>
  <si>
    <t>p.G51R</t>
  </si>
  <si>
    <t>0.20-0.29</t>
  </si>
  <si>
    <t>low level - but higher than typical class 2</t>
  </si>
  <si>
    <t>was IIa/II/2, now probably unclassified</t>
  </si>
  <si>
    <t>S</t>
  </si>
  <si>
    <t>https://www.ncbi.nlm.nih.gov/pubmed/?term=8401533,21094163</t>
  </si>
  <si>
    <t>c.152G&gt;C</t>
  </si>
  <si>
    <t>152G&gt;C</t>
  </si>
  <si>
    <t>RHO_v001:p.(Gly51Ala)</t>
  </si>
  <si>
    <t>RHO_v001:p.(G51A)</t>
  </si>
  <si>
    <t>G51A</t>
  </si>
  <si>
    <t>p.(Gly51Ala)</t>
  </si>
  <si>
    <t>p.G51A</t>
  </si>
  <si>
    <t>Unclassified/II*POSS ASYMP/Benign</t>
  </si>
  <si>
    <t>Benign</t>
  </si>
  <si>
    <t>2.37-4.22</t>
  </si>
  <si>
    <t>high</t>
  </si>
  <si>
    <t>https://www.ncbi.nlm.nih.gov/pubmed/?term=8317502,22995991,21094163</t>
  </si>
  <si>
    <t>c.152G&gt;T</t>
  </si>
  <si>
    <t>152G&gt;T</t>
  </si>
  <si>
    <t>RHO_v001:p.(Gly51Val)</t>
  </si>
  <si>
    <t>RHO_v001:p.(G51V)</t>
  </si>
  <si>
    <t>G51V</t>
  </si>
  <si>
    <t>p.(Gly51Val)</t>
  </si>
  <si>
    <t>p.G51V</t>
  </si>
  <si>
    <t>1.37-2.07</t>
  </si>
  <si>
    <t>intermediate level - not typical of class 2</t>
  </si>
  <si>
    <t>was IIa/II/2, now unclassified</t>
  </si>
  <si>
    <t>https://www.ncbi.nlm.nih.gov/pubmed/?term=1833777,12660238,21352497,21094163</t>
  </si>
  <si>
    <t>c.155T&gt;A</t>
  </si>
  <si>
    <t>155T&gt;A</t>
  </si>
  <si>
    <t>RHO_v001:p.(Phe52Tyr)</t>
  </si>
  <si>
    <t>RHO_v001:p.(F52Y)</t>
  </si>
  <si>
    <t>F52Y</t>
  </si>
  <si>
    <t>p.(Phe52Tyr)</t>
  </si>
  <si>
    <t>p.F52Y</t>
  </si>
  <si>
    <t>IIc+IVb/Unclassified</t>
  </si>
  <si>
    <t>?dom</t>
  </si>
  <si>
    <t>1.20-2.67</t>
  </si>
  <si>
    <t>was IIc+IVb/2, now IVb</t>
  </si>
  <si>
    <t>Leu</t>
  </si>
  <si>
    <t xml:space="preserve">TM 1 Region IV (outside helix) retinal binding (non-covalent retinal) </t>
  </si>
  <si>
    <t>retinal binding (non-covalent retinal)</t>
  </si>
  <si>
    <t>https://www.ncbi.nlm.nih.gov/pubmed/?term=14526423,21094163</t>
  </si>
  <si>
    <t>c.158C&gt;G</t>
  </si>
  <si>
    <t>158C&gt;G</t>
  </si>
  <si>
    <t>RHO_v001:p.(Pro53Arg)</t>
  </si>
  <si>
    <t>RHO_v001:p.(P53R)</t>
  </si>
  <si>
    <t>P53R</t>
  </si>
  <si>
    <t>p.(Pro53Arg)</t>
  </si>
  <si>
    <t>p.P53R</t>
  </si>
  <si>
    <t>IIc+IVb/2</t>
  </si>
  <si>
    <t>0.12-0.18</t>
  </si>
  <si>
    <t>https://www.ncbi.nlm.nih.gov/pubmed/?term=1301135,22791210,21094163,22968130</t>
  </si>
  <si>
    <t>c.167T&gt;A</t>
  </si>
  <si>
    <t>167T&gt;A</t>
  </si>
  <si>
    <t>RHO_v001:p.(Phe56Tyr)</t>
  </si>
  <si>
    <t>RHO_v001:p.(F56Y)</t>
  </si>
  <si>
    <t>F56Y</t>
  </si>
  <si>
    <t>p.(Phe56Tyr)</t>
  </si>
  <si>
    <t>p.F56Y</t>
  </si>
  <si>
    <t>1.55-1.90</t>
  </si>
  <si>
    <t>A</t>
  </si>
  <si>
    <t>https://www.ncbi.nlm.nih.gov/pubmed/?term=12673590,21094163</t>
  </si>
  <si>
    <t>c.170T&gt;G</t>
  </si>
  <si>
    <t>170T&gt;G</t>
  </si>
  <si>
    <t>RHO_v001:p.(Leu57Arg)</t>
  </si>
  <si>
    <t>RHO_v001:p.(L57R)</t>
  </si>
  <si>
    <t>L57R</t>
  </si>
  <si>
    <t>p.(Leu57Arg)</t>
  </si>
  <si>
    <t>p.L57R</t>
  </si>
  <si>
    <t>Unclassified/Unclassified</t>
  </si>
  <si>
    <t>Unclassified</t>
  </si>
  <si>
    <t>0.10-0.24</t>
  </si>
  <si>
    <t>Previously unclassified mutant; now likely class 2</t>
  </si>
  <si>
    <t>likely class 2</t>
  </si>
  <si>
    <t>M</t>
  </si>
  <si>
    <t xml:space="preserve">TM 1   </t>
  </si>
  <si>
    <t>https://www.ncbi.nlm.nih.gov/pubmed/?term=16799052</t>
  </si>
  <si>
    <t>c.173C&gt;G</t>
  </si>
  <si>
    <t>173C&gt;G</t>
  </si>
  <si>
    <t>RHO_v001:p.(Thr58Arg)</t>
  </si>
  <si>
    <t>RHO_v001:p.(T58R)</t>
  </si>
  <si>
    <t>T58R</t>
  </si>
  <si>
    <t>p.(Thr58Arg)</t>
  </si>
  <si>
    <t>p.T58R</t>
  </si>
  <si>
    <t>0.71-2.28</t>
  </si>
  <si>
    <t>https://www.ncbi.nlm.nih.gov/pubmed/?term=2215617,21094163</t>
  </si>
  <si>
    <t>c.173C&gt;T</t>
  </si>
  <si>
    <t>173C&gt;T</t>
  </si>
  <si>
    <t>RHO_v001:p.(Thr58Met)</t>
  </si>
  <si>
    <t>RHO_v001:p.(T58M)</t>
  </si>
  <si>
    <t>T58M</t>
  </si>
  <si>
    <t>p.(Thr58Met)</t>
  </si>
  <si>
    <t>p.T58M</t>
  </si>
  <si>
    <t>Unclassified/2</t>
  </si>
  <si>
    <t>rec</t>
  </si>
  <si>
    <t>1.59-2.30</t>
  </si>
  <si>
    <t>was 2, now unclassified</t>
  </si>
  <si>
    <t>https://www.ncbi.nlm.nih.gov/pubmed/?term=20591486</t>
  </si>
  <si>
    <t>c.190C&gt;T</t>
  </si>
  <si>
    <t>190C&gt;T</t>
  </si>
  <si>
    <t>RHO_v001:p.(Gln64*)</t>
  </si>
  <si>
    <t>RHO_v001:p.(Q64*)</t>
  </si>
  <si>
    <t>Q64*</t>
  </si>
  <si>
    <t>p.(Gln64*)</t>
  </si>
  <si>
    <t>p.Q64X</t>
  </si>
  <si>
    <t>Truncating/Unclassified</t>
  </si>
  <si>
    <t>Truncating</t>
  </si>
  <si>
    <t>0.15-0.26</t>
  </si>
  <si>
    <t>Caution - Truncating mutant expressed in cDNA, not in non-terminal exon like real genomic context.</t>
  </si>
  <si>
    <t>https://www.ncbi.nlm.nih.gov/pubmed/?term=8317502</t>
  </si>
  <si>
    <t>c.233A&gt;T</t>
  </si>
  <si>
    <t>233A&gt;T</t>
  </si>
  <si>
    <t>RHO_v001:p.(Asn78Ile)</t>
  </si>
  <si>
    <t>RHO_v001:p.(N78I)</t>
  </si>
  <si>
    <t>N78I</t>
  </si>
  <si>
    <t>p.(Asn78Ile)</t>
  </si>
  <si>
    <t>p.N78I</t>
  </si>
  <si>
    <t>0.08-0.22</t>
  </si>
  <si>
    <t xml:space="preserve">TM 2   </t>
  </si>
  <si>
    <t>TM 2</t>
  </si>
  <si>
    <t>https://www.ncbi.nlm.nih.gov/pubmed/?term=19958124,23402891</t>
  </si>
  <si>
    <t>c.260T&gt;A</t>
  </si>
  <si>
    <t>260T&gt;A</t>
  </si>
  <si>
    <t>RHO_v001:p.(Val87Asp)</t>
  </si>
  <si>
    <t>RHO_v001:p.(V87D)</t>
  </si>
  <si>
    <t>V87D</t>
  </si>
  <si>
    <t>p.(Val87Asp)</t>
  </si>
  <si>
    <t>p.V87D</t>
  </si>
  <si>
    <t>0.07-0.30</t>
  </si>
  <si>
    <t xml:space="preserve">TM 2 Region V (inside helix)  </t>
  </si>
  <si>
    <t>https://www.ncbi.nlm.nih.gov/pubmed/?term=1862076,21094163</t>
  </si>
  <si>
    <t>c.263T&gt;C</t>
  </si>
  <si>
    <t>263T&gt;C</t>
  </si>
  <si>
    <t>RHO_v001:p.(Leu88Pro)</t>
  </si>
  <si>
    <t>RHO_v001:p.(L88P)</t>
  </si>
  <si>
    <t>L88P</t>
  </si>
  <si>
    <t>p.(Leu88Pro)</t>
  </si>
  <si>
    <t>p.L88P</t>
  </si>
  <si>
    <t>II/Unclassified</t>
  </si>
  <si>
    <t>0.26-0.49</t>
  </si>
  <si>
    <t>was II/Unclassified/2, now probably unclassified</t>
  </si>
  <si>
    <t>FFFFFF</t>
  </si>
  <si>
    <t>https://www.ncbi.nlm.nih.gov/pubmed/?term=20164459</t>
  </si>
  <si>
    <t>c.266G&gt;A</t>
  </si>
  <si>
    <t>266G&gt;A</t>
  </si>
  <si>
    <t>RHO_v001:p.(Gly89Asp)</t>
  </si>
  <si>
    <t>RHO_v001:p.(G89D)</t>
  </si>
  <si>
    <t>G89D</t>
  </si>
  <si>
    <t>p.(Gly89Asp)</t>
  </si>
  <si>
    <t>p.G89D</t>
  </si>
  <si>
    <t>0.18-0.28</t>
  </si>
  <si>
    <t>databases correct over literature - pathogenic</t>
  </si>
  <si>
    <t>Cys,Met,Phe</t>
  </si>
  <si>
    <t>C</t>
  </si>
  <si>
    <t>https://www.ncbi.nlm.nih.gov/pubmed/?term=1862076,12660238,21352497,21094163</t>
  </si>
  <si>
    <t>c.269G&gt;A</t>
  </si>
  <si>
    <t>269G&gt;A</t>
  </si>
  <si>
    <t>RHO_v001:p.(Gly90Asp)</t>
  </si>
  <si>
    <t>RHO_v001:p.(G90D)</t>
  </si>
  <si>
    <t>G90D</t>
  </si>
  <si>
    <t>p.(Gly90Asp)</t>
  </si>
  <si>
    <t>p.G90D</t>
  </si>
  <si>
    <t>VI+IIa/VI*/6</t>
  </si>
  <si>
    <t>dom CSNB</t>
  </si>
  <si>
    <t>2.08-2.54</t>
  </si>
  <si>
    <t>https://www.ncbi.nlm.nih.gov/pubmed/?term=8401533,18987202,21094163,7846071,23579341,21940625</t>
  </si>
  <si>
    <t>c.269G&gt;T</t>
  </si>
  <si>
    <t>269G&gt;T</t>
  </si>
  <si>
    <t>RHO_v001:p.(Gly90Val)</t>
  </si>
  <si>
    <t>RHO_v001:p.(G90V)</t>
  </si>
  <si>
    <t>G90V</t>
  </si>
  <si>
    <t>p.(Gly90Val)</t>
  </si>
  <si>
    <t>p.G90V</t>
  </si>
  <si>
    <t>IIa+VI/VI*/IV/4</t>
  </si>
  <si>
    <t>2.27-3.61</t>
  </si>
  <si>
    <t>https://www.ncbi.nlm.nih.gov/pubmed/?term=16565402,21094163,23579341,21940625</t>
  </si>
  <si>
    <t>c.281C&gt;T</t>
  </si>
  <si>
    <t>281C&gt;T</t>
  </si>
  <si>
    <t>RHO_v001:p.(Thr94Ile)</t>
  </si>
  <si>
    <t>RHO_v001:p.(T94I)</t>
  </si>
  <si>
    <t>T94I</t>
  </si>
  <si>
    <t>p.(Thr94Ile)</t>
  </si>
  <si>
    <t>p.T94I</t>
  </si>
  <si>
    <t>IIa+VI/VI*/6</t>
  </si>
  <si>
    <t>1.49-2.48</t>
  </si>
  <si>
    <t>https://www.ncbi.nlm.nih.gov/pubmed/?term=9888392,21094163</t>
  </si>
  <si>
    <t>c.310G&gt;T</t>
  </si>
  <si>
    <t>310G&gt;T</t>
  </si>
  <si>
    <t>RHO_v001:p.(Val104Phe)</t>
  </si>
  <si>
    <t>RHO_v001:p.(V104F)</t>
  </si>
  <si>
    <t>V104F</t>
  </si>
  <si>
    <t>p.(Val104Phe)</t>
  </si>
  <si>
    <t>p.V104F</t>
  </si>
  <si>
    <t>2.74-4.94</t>
  </si>
  <si>
    <t>LI</t>
  </si>
  <si>
    <t xml:space="preserve">interhelical loop I   </t>
  </si>
  <si>
    <t>interhelical loop I</t>
  </si>
  <si>
    <t>https://www.ncbi.nlm.nih.gov/pubmed/?term=12579739</t>
  </si>
  <si>
    <t>c.316G&gt;A</t>
  </si>
  <si>
    <t>316G&gt;A</t>
  </si>
  <si>
    <t>RHO_v001:p.(Gly106Arg)</t>
  </si>
  <si>
    <t>RHO_v001:p.(G106R)</t>
  </si>
  <si>
    <t>G106R</t>
  </si>
  <si>
    <t>p.(Gly106Arg)</t>
  </si>
  <si>
    <t>p.G106R</t>
  </si>
  <si>
    <t>0.30-0.36</t>
  </si>
  <si>
    <t xml:space="preserve">interhelical loop I Region I (extracellular)  </t>
  </si>
  <si>
    <t>https://www.ncbi.nlm.nih.gov/pubmed/?term=1301135,10521250,24520188,21094163</t>
  </si>
  <si>
    <t>c.316G&gt;T</t>
  </si>
  <si>
    <t>316G&gt;T</t>
  </si>
  <si>
    <t>RHO_v001:p.(Gly106Trp)</t>
  </si>
  <si>
    <t>RHO_v001:p.(G106W)</t>
  </si>
  <si>
    <t>G106W</t>
  </si>
  <si>
    <t>p.(Gly106Trp)</t>
  </si>
  <si>
    <t>p.G106W</t>
  </si>
  <si>
    <t>0.20-0.38</t>
  </si>
  <si>
    <t>c.325G&gt;A</t>
  </si>
  <si>
    <t>325G&gt;A</t>
  </si>
  <si>
    <t>RHO_v001:p.(Gly109Arg)</t>
  </si>
  <si>
    <t>RHO_v001:p.(G109R)</t>
  </si>
  <si>
    <t>G109R</t>
  </si>
  <si>
    <t>p.(Gly109Arg)</t>
  </si>
  <si>
    <t>p.G109R</t>
  </si>
  <si>
    <t>0.77-1.37</t>
  </si>
  <si>
    <t>intermediate - not typical for class II</t>
  </si>
  <si>
    <t>was IIa/Unclassified/2, now probably unclassified</t>
  </si>
  <si>
    <t>Met</t>
  </si>
  <si>
    <t xml:space="preserve">TM3 Region I (extracellular)  </t>
  </si>
  <si>
    <t>TM3</t>
  </si>
  <si>
    <t>https://www.ncbi.nlm.nih.gov/pubmed/?term=9452035,21094163</t>
  </si>
  <si>
    <t>c.328T&gt;C</t>
  </si>
  <si>
    <t>328T&gt;C</t>
  </si>
  <si>
    <t>RHO_v001:p.(Cys110Arg)</t>
  </si>
  <si>
    <t>RHO_v001:p.(C110R)</t>
  </si>
  <si>
    <t>C110R</t>
  </si>
  <si>
    <t>p.(Cys110Arg)</t>
  </si>
  <si>
    <t>p.C110R</t>
  </si>
  <si>
    <t>0.27-0.37</t>
  </si>
  <si>
    <t xml:space="preserve">TM3 Region V (inside helix) disulfide bridge </t>
  </si>
  <si>
    <t>disulfide bridge</t>
  </si>
  <si>
    <t>https://www.ncbi.nlm.nih.gov/pubmed/?term=15126168,21094163</t>
  </si>
  <si>
    <t>c.329G&gt;A</t>
  </si>
  <si>
    <t>329G&gt;A</t>
  </si>
  <si>
    <t>RHO_v001:p.(Cys110Tyr)</t>
  </si>
  <si>
    <t>RHO_v001:p.(C110Y)</t>
  </si>
  <si>
    <t>C110Y</t>
  </si>
  <si>
    <t>p.(Cys110Tyr)</t>
  </si>
  <si>
    <t>p.C110Y</t>
  </si>
  <si>
    <t>0.13-0.25</t>
  </si>
  <si>
    <t>https://www.ncbi.nlm.nih.gov/pubmed/?term=8401533,19913029,21094163</t>
  </si>
  <si>
    <t>c.329G&gt;T</t>
  </si>
  <si>
    <t>329G&gt;T</t>
  </si>
  <si>
    <t>RHO_v001:p.(Cys110Phe)</t>
  </si>
  <si>
    <t>RHO_v001:p.(C110F)</t>
  </si>
  <si>
    <t>C110F</t>
  </si>
  <si>
    <t>p.(Cys110Phe)</t>
  </si>
  <si>
    <t>p.C110F</t>
  </si>
  <si>
    <t>0.07-0.23</t>
  </si>
  <si>
    <t>https://www.ncbi.nlm.nih.gov/pubmed/?term=7981701,21094163</t>
  </si>
  <si>
    <t>c.341G&gt;A</t>
  </si>
  <si>
    <t>341G&gt;A</t>
  </si>
  <si>
    <t>RHO_v001:p.(Gly114Asp)</t>
  </si>
  <si>
    <t>RHO_v001:p.(G114D)</t>
  </si>
  <si>
    <t>G114D</t>
  </si>
  <si>
    <t>p.(Gly114Asp)</t>
  </si>
  <si>
    <t>p.G114D</t>
  </si>
  <si>
    <t>0.21-0.34</t>
  </si>
  <si>
    <t xml:space="preserve">TM3, VitA polyene chain binding pocket Region V (inside helix) retinal binding area (covalent retinal) </t>
  </si>
  <si>
    <t>TM3, VitA polyene chain binding pocket</t>
  </si>
  <si>
    <t>retinal binding area (covalent retinal)</t>
  </si>
  <si>
    <t>https://www.ncbi.nlm.nih.gov/pubmed/?term=8088850,21094163</t>
  </si>
  <si>
    <t>c.341G&gt;T</t>
  </si>
  <si>
    <t>341G&gt;T</t>
  </si>
  <si>
    <t>RHO_v001:p.(Gly114Val)</t>
  </si>
  <si>
    <t>RHO_v001:p.(G114V)</t>
  </si>
  <si>
    <t>G114V</t>
  </si>
  <si>
    <t>p.(Gly114Val)</t>
  </si>
  <si>
    <t>p.G114V</t>
  </si>
  <si>
    <t>https://www.ncbi.nlm.nih.gov/pubmed/?term=10967073,21094163</t>
  </si>
  <si>
    <t>c.365A&gt;G</t>
  </si>
  <si>
    <t>365A&gt;G</t>
  </si>
  <si>
    <t>RHO_v001:p.(Glu122Gly)</t>
  </si>
  <si>
    <t>RHO_v001:p.(E122G)</t>
  </si>
  <si>
    <t>E122G</t>
  </si>
  <si>
    <t>p.(Glu122Gly)</t>
  </si>
  <si>
    <t>p.E122G</t>
  </si>
  <si>
    <t>0.42-0.57</t>
  </si>
  <si>
    <t xml:space="preserve">TM3, VitA beta ionone binding pocket   </t>
  </si>
  <si>
    <t>TM3, VitA beta ionone binding pocket</t>
  </si>
  <si>
    <t>https://www.ncbi.nlm.nih.gov/pubmed/?term=19958124</t>
  </si>
  <si>
    <t>c.374T&gt;G</t>
  </si>
  <si>
    <t>374T&gt;G</t>
  </si>
  <si>
    <t>RHO_v001:p.(Leu125Arg)</t>
  </si>
  <si>
    <t>RHO_v001:p.(L125R)</t>
  </si>
  <si>
    <t>L125R</t>
  </si>
  <si>
    <t>p.(Leu125Arg)</t>
  </si>
  <si>
    <t>p.L125R</t>
  </si>
  <si>
    <t>2.00-3.31</t>
  </si>
  <si>
    <t>high - not consistent with class 2</t>
  </si>
  <si>
    <t xml:space="preserve">TM3 Region V (inside helix) retinal binding area (covalent retinal) </t>
  </si>
  <si>
    <t>https://www.ncbi.nlm.nih.gov/pubmed/?term=1833777,21094163</t>
  </si>
  <si>
    <t>7.124*</t>
  </si>
  <si>
    <t>c.380C&gt;T</t>
  </si>
  <si>
    <t>380C&gt;T</t>
  </si>
  <si>
    <t>RHO_v001:p.(Ser127Phe)</t>
  </si>
  <si>
    <t>RHO_v001:p.(S127F)</t>
  </si>
  <si>
    <t>S127F</t>
  </si>
  <si>
    <t>p.(Ser127Phe)</t>
  </si>
  <si>
    <t>p.S127F</t>
  </si>
  <si>
    <t>0.16-0.26</t>
  </si>
  <si>
    <t>Cys,Ala</t>
  </si>
  <si>
    <t xml:space="preserve">TM3 Region V (inside helix)  </t>
  </si>
  <si>
    <t>https://www.ncbi.nlm.nih.gov/pubmed/?term=7987331,21094163</t>
  </si>
  <si>
    <t>c.392T&gt;C</t>
  </si>
  <si>
    <t>392T&gt;C</t>
  </si>
  <si>
    <t>RHO_v001:p.(Leu131Pro)</t>
  </si>
  <si>
    <t>RHO_v001:p.(L131P)</t>
  </si>
  <si>
    <t>L131P</t>
  </si>
  <si>
    <t>p.(Leu131Pro)</t>
  </si>
  <si>
    <t>p.L131P</t>
  </si>
  <si>
    <t>0.31-0.38</t>
  </si>
  <si>
    <t>c.403C&gt;G</t>
  </si>
  <si>
    <t>403C&gt;G</t>
  </si>
  <si>
    <t>RHO_v001:p.(Arg135Gly)</t>
  </si>
  <si>
    <t>RHO_v001:p.(R135G)</t>
  </si>
  <si>
    <t>R135G</t>
  </si>
  <si>
    <t>p.(Arg135Gly)</t>
  </si>
  <si>
    <t>p.R135G</t>
  </si>
  <si>
    <t>IIa+III/III*/3</t>
  </si>
  <si>
    <t>0.65-1.31</t>
  </si>
  <si>
    <t xml:space="preserve">TM3 Region II (cytoplasmic) Rhodopsin kinase binding </t>
  </si>
  <si>
    <t>Region II (cytoplasmic)</t>
  </si>
  <si>
    <t>Rhodopsin kinase binding</t>
  </si>
  <si>
    <t>https://www.ncbi.nlm.nih.gov/pubmed/?term=8406457,18175313,21094163</t>
  </si>
  <si>
    <t>c.403C&gt;T</t>
  </si>
  <si>
    <t>403C&gt;T</t>
  </si>
  <si>
    <t>RHO_v001:p.(Arg135Trp)</t>
  </si>
  <si>
    <t>RHO_v001:p.(R135W)</t>
  </si>
  <si>
    <t>R135W</t>
  </si>
  <si>
    <t>p.(Arg135Trp)</t>
  </si>
  <si>
    <t>p.R135W</t>
  </si>
  <si>
    <t>0.26-0.37</t>
  </si>
  <si>
    <t>https://www.ncbi.nlm.nih.gov/pubmed/?term=1862076,10521250,18175313,25356976,21094163</t>
  </si>
  <si>
    <t>c.404G&gt;C</t>
  </si>
  <si>
    <t>404G&gt;C</t>
  </si>
  <si>
    <t>RHO_v001:p.(Arg135Pro)</t>
  </si>
  <si>
    <t>RHO_v001:p.(R135P)</t>
  </si>
  <si>
    <t>R135P</t>
  </si>
  <si>
    <t>p.(Arg135Pro)</t>
  </si>
  <si>
    <t>p.R135P</t>
  </si>
  <si>
    <t>III/3</t>
  </si>
  <si>
    <t>0.22-0.33</t>
  </si>
  <si>
    <t>https://www.ncbi.nlm.nih.gov/pubmed/?term=18175313,21094163</t>
  </si>
  <si>
    <t>c.404G&gt;T</t>
  </si>
  <si>
    <t>404G&gt;T</t>
  </si>
  <si>
    <t>RHO_v001:p.(Arg135Leu)</t>
  </si>
  <si>
    <t>RHO_v001:p.(R135L)</t>
  </si>
  <si>
    <t>R135L</t>
  </si>
  <si>
    <t>p.(Arg135Leu)</t>
  </si>
  <si>
    <t>p.R135L</t>
  </si>
  <si>
    <t>0.43-0.79</t>
  </si>
  <si>
    <t>https://www.ncbi.nlm.nih.gov/pubmed/?term=1484692,18175313,21094163</t>
  </si>
  <si>
    <t>c.408C&gt;A</t>
  </si>
  <si>
    <t>408C&gt;A</t>
  </si>
  <si>
    <t>RHO_v001:p.(Tyr136*)</t>
  </si>
  <si>
    <t>RHO_v001:p.(Y136*)</t>
  </si>
  <si>
    <t>Y136*</t>
  </si>
  <si>
    <t>p.(Tyr136*)</t>
  </si>
  <si>
    <t>p.Y136X</t>
  </si>
  <si>
    <t>none/Unclassified</t>
  </si>
  <si>
    <t>0.05-0.14</t>
  </si>
  <si>
    <t xml:space="preserve">TM3   </t>
  </si>
  <si>
    <t>https://www.ncbi.nlm.nih.gov/pubmed/?term=8829640</t>
  </si>
  <si>
    <t>c.409G&gt;A</t>
  </si>
  <si>
    <t>409G&gt;A</t>
  </si>
  <si>
    <t>RHO_v001:p.(Val137Met)</t>
  </si>
  <si>
    <t>RHO_v001:p.(V137M)</t>
  </si>
  <si>
    <t>V137M</t>
  </si>
  <si>
    <t>p.(Val137Met)</t>
  </si>
  <si>
    <t>p.V137M</t>
  </si>
  <si>
    <t>Unclassified/V*POSS ASYMP/5</t>
  </si>
  <si>
    <t>1.61-4.70</t>
  </si>
  <si>
    <t>Ile, Met</t>
  </si>
  <si>
    <t>I</t>
  </si>
  <si>
    <t xml:space="preserve">TM3 Region II (cytoplasmic)  </t>
  </si>
  <si>
    <t>https://www.ncbi.nlm.nih.gov/pubmed/?term=8682506,18175313,21094163</t>
  </si>
  <si>
    <t>c.419G&gt;C</t>
  </si>
  <si>
    <t>419G&gt;C</t>
  </si>
  <si>
    <t>RHO_v001:p.(Cys140Ser)</t>
  </si>
  <si>
    <t>RHO_v001:p.(C140S)</t>
  </si>
  <si>
    <t>C140S</t>
  </si>
  <si>
    <t>p.(Cys140Ser)</t>
  </si>
  <si>
    <t>p.C140S</t>
  </si>
  <si>
    <t>VII/Unclassified</t>
  </si>
  <si>
    <t>2.85-4.85</t>
  </si>
  <si>
    <t xml:space="preserve"> Region II (cytoplasmic) interface transducin </t>
  </si>
  <si>
    <t>interface transducin</t>
  </si>
  <si>
    <t>https://www.ncbi.nlm.nih.gov/pubmed/?term=8317502,18175313,21094163</t>
  </si>
  <si>
    <t>c.448G&gt;A</t>
  </si>
  <si>
    <t>448G&gt;A</t>
  </si>
  <si>
    <t>RHO_v001:p.(Glu150Lys)</t>
  </si>
  <si>
    <t>RHO_v001:p.(E150K)</t>
  </si>
  <si>
    <t>E150K</t>
  </si>
  <si>
    <t>p.(Glu150Lys)</t>
  </si>
  <si>
    <t>p.E150K</t>
  </si>
  <si>
    <t>IIa</t>
  </si>
  <si>
    <t>1.60-3.18</t>
  </si>
  <si>
    <t>was IIa/2, now unclassified</t>
  </si>
  <si>
    <t>Asn,Ser</t>
  </si>
  <si>
    <t xml:space="preserve">TM4 Region V (inside helix)  </t>
  </si>
  <si>
    <t>TM4</t>
  </si>
  <si>
    <t>https://www.ncbi.nlm.nih.gov/pubmed/?term=7726911,19960070,21094163,23221340</t>
  </si>
  <si>
    <t>c.480C&gt;A</t>
  </si>
  <si>
    <t>480C&gt;A</t>
  </si>
  <si>
    <t>RHO_v001:p.(=)</t>
  </si>
  <si>
    <t>T160T</t>
  </si>
  <si>
    <t>p.(=)</t>
  </si>
  <si>
    <t>p.T160T</t>
  </si>
  <si>
    <t>VUS, database/Unclassified</t>
  </si>
  <si>
    <t>VUS, database</t>
  </si>
  <si>
    <t>DP</t>
  </si>
  <si>
    <t>2.44-3.58</t>
  </si>
  <si>
    <t xml:space="preserve">TM4   </t>
  </si>
  <si>
    <t>https://www.ncbi.nlm.nih.gov/pubmed/?term=8162026</t>
  </si>
  <si>
    <t>c.481T&gt;C</t>
  </si>
  <si>
    <t>481T&gt;C</t>
  </si>
  <si>
    <t>RHO_v001:p.(Trp161Arg)</t>
  </si>
  <si>
    <t>RHO_v001:p.(W161R)</t>
  </si>
  <si>
    <t>W161R</t>
  </si>
  <si>
    <t>p.(Trp161Arg)</t>
  </si>
  <si>
    <t>p.W161R</t>
  </si>
  <si>
    <t>0.22-0.35</t>
  </si>
  <si>
    <t>https://www.ncbi.nlm.nih.gov/pubmed/?term=24938718,20579627</t>
  </si>
  <si>
    <t>c.482G&gt;A</t>
  </si>
  <si>
    <t>482G&gt;A</t>
  </si>
  <si>
    <t>RHO_v001:p.(Trp161*)</t>
  </si>
  <si>
    <t>RHO_v001:p.(W161*)</t>
  </si>
  <si>
    <t>W161*</t>
  </si>
  <si>
    <t>p.(Trp161*)</t>
  </si>
  <si>
    <t>p.W161X</t>
  </si>
  <si>
    <t>Truncating/2</t>
  </si>
  <si>
    <t>0.12-0.22</t>
  </si>
  <si>
    <t>https://www.ncbi.nlm.nih.gov/pubmed/?term=21174529</t>
  </si>
  <si>
    <t>c.491C&gt;A</t>
  </si>
  <si>
    <t>491C&gt;A</t>
  </si>
  <si>
    <t>RHO_v001:p.(Ala164Glu)</t>
  </si>
  <si>
    <t>RHO_v001:p.(A164E)</t>
  </si>
  <si>
    <t>A164E</t>
  </si>
  <si>
    <t>p.(Ala164Glu)</t>
  </si>
  <si>
    <t>p.A164E</t>
  </si>
  <si>
    <t>0.18-0.29</t>
  </si>
  <si>
    <t>c.491C&gt;T</t>
  </si>
  <si>
    <t>491C&gt;T</t>
  </si>
  <si>
    <t>RHO_v001:p.(Ala164Val)</t>
  </si>
  <si>
    <t>RHO_v001:p.(A164V)</t>
  </si>
  <si>
    <t>A164V</t>
  </si>
  <si>
    <t>p.(Ala164Val)</t>
  </si>
  <si>
    <t>p.A164V</t>
  </si>
  <si>
    <t>1.49-2.96</t>
  </si>
  <si>
    <t>c.499T&gt;C</t>
  </si>
  <si>
    <t>499T&gt;C</t>
  </si>
  <si>
    <t>RHO_v001:p.(Cys167Arg)</t>
  </si>
  <si>
    <t>RHO_v001:p.(C167R)</t>
  </si>
  <si>
    <t>C167R</t>
  </si>
  <si>
    <t>p.(Cys167Arg)</t>
  </si>
  <si>
    <t>p.C167R</t>
  </si>
  <si>
    <t>IIb/II/2</t>
  </si>
  <si>
    <t>0.51-0.56</t>
  </si>
  <si>
    <t>was IIb/II/2, now probably unclassified</t>
  </si>
  <si>
    <t xml:space="preserve">TM4, VitA polyene chain binding pocket Region V (inside helix) retinal binding area (covalent retinal) </t>
  </si>
  <si>
    <t>TM4, VitA polyene chain binding pocket</t>
  </si>
  <si>
    <t>c.501C&gt;G</t>
  </si>
  <si>
    <t>501C&gt;G</t>
  </si>
  <si>
    <t>RHO_v001:p.(Cys167Trp)</t>
  </si>
  <si>
    <t>RHO_v001:p.(C167W)</t>
  </si>
  <si>
    <t>C167W</t>
  </si>
  <si>
    <t>p.(Cys167Trp)</t>
  </si>
  <si>
    <t>p.C167W</t>
  </si>
  <si>
    <t>0.14-0.23</t>
  </si>
  <si>
    <t>https://www.ncbi.nlm.nih.gov/pubmed/?term=15145060,21094163</t>
  </si>
  <si>
    <t>c.509C&gt;G</t>
  </si>
  <si>
    <t>509C&gt;G</t>
  </si>
  <si>
    <t>RHO_v001:p.(Pro170Arg)</t>
  </si>
  <si>
    <t>RHO_v001:p.(P170R)</t>
  </si>
  <si>
    <t>P170R</t>
  </si>
  <si>
    <t>p.(Pro170Arg)</t>
  </si>
  <si>
    <t>p.P170R</t>
  </si>
  <si>
    <t>0.19-0.25</t>
  </si>
  <si>
    <t xml:space="preserve">TM4 Region I (extracellular)  </t>
  </si>
  <si>
    <t>https://www.ncbi.nlm.nih.gov/pubmed/?term=11139241,21094163</t>
  </si>
  <si>
    <t>c.511C&gt;T</t>
  </si>
  <si>
    <t>511C&gt;T</t>
  </si>
  <si>
    <t>RHO_v001:p.(Pro171Ser)</t>
  </si>
  <si>
    <t>RHO_v001:p.(P171S)</t>
  </si>
  <si>
    <t>P171S</t>
  </si>
  <si>
    <t>p.(Pro171Ser)</t>
  </si>
  <si>
    <t>p.P171S</t>
  </si>
  <si>
    <t>0.10-0.34</t>
  </si>
  <si>
    <t>c.512C&gt;A</t>
  </si>
  <si>
    <t>512C&gt;A</t>
  </si>
  <si>
    <t>RHO_v001:p.(Pro171Gln)</t>
  </si>
  <si>
    <t>RHO_v001:p.(P171Q)</t>
  </si>
  <si>
    <t>P171Q</t>
  </si>
  <si>
    <t>p.(Pro171Gln)</t>
  </si>
  <si>
    <t>p.P171Q</t>
  </si>
  <si>
    <t>0.21-0.63</t>
  </si>
  <si>
    <t>https://www.ncbi.nlm.nih.gov/pubmed/?term=7987326,21094163</t>
  </si>
  <si>
    <t>c.512C&gt;T</t>
  </si>
  <si>
    <t>512C&gt;T</t>
  </si>
  <si>
    <t>RHO_v001:p.(Pro171Leu)</t>
  </si>
  <si>
    <t>RHO_v001:p.(P171L)</t>
  </si>
  <si>
    <t>P171L</t>
  </si>
  <si>
    <t>p.(Pro171Leu)</t>
  </si>
  <si>
    <t>p.P171L</t>
  </si>
  <si>
    <t>0.12-0.24</t>
  </si>
  <si>
    <t>c.520G&gt;A</t>
  </si>
  <si>
    <t>520G&gt;A</t>
  </si>
  <si>
    <t>RHO_v001:p.(Gly174Ser)</t>
  </si>
  <si>
    <t>RHO_v001:p.(G174S)</t>
  </si>
  <si>
    <t>G174S</t>
  </si>
  <si>
    <t>p.(Gly174Ser)</t>
  </si>
  <si>
    <t>p.G174S</t>
  </si>
  <si>
    <t>1.46-3.32</t>
  </si>
  <si>
    <t xml:space="preserve">interhelical loop II   </t>
  </si>
  <si>
    <t>interhelical loop II</t>
  </si>
  <si>
    <t>https://www.ncbi.nlm.nih.gov/pubmed/?term=ABST</t>
  </si>
  <si>
    <t>c.527C&gt;T</t>
  </si>
  <si>
    <t>527C&gt;T</t>
  </si>
  <si>
    <t>RHO_v001:p.(Ser176Phe)</t>
  </si>
  <si>
    <t>RHO_v001:p.(S176F)</t>
  </si>
  <si>
    <t>S176F</t>
  </si>
  <si>
    <t>p.(Ser176Phe)</t>
  </si>
  <si>
    <t>p.S176F</t>
  </si>
  <si>
    <t>0.11-0.25</t>
  </si>
  <si>
    <t xml:space="preserve">interhelical loop II Region I (extracellular)  </t>
  </si>
  <si>
    <t>https://www.ncbi.nlm.nih.gov/pubmed/?term=16170112,21094163</t>
  </si>
  <si>
    <t>c.532T&gt;A</t>
  </si>
  <si>
    <t>532T&gt;A</t>
  </si>
  <si>
    <t>RHO_v001:p.(Tyr178Asn)</t>
  </si>
  <si>
    <t>RHO_v001:p.(Y178N)</t>
  </si>
  <si>
    <t>Y178N</t>
  </si>
  <si>
    <t>p.(Tyr178Asn)</t>
  </si>
  <si>
    <t>p.Y178N</t>
  </si>
  <si>
    <t>0.11-0.19</t>
  </si>
  <si>
    <t xml:space="preserve">interhelical loop II Region V (inside helix) retinal binding area (covalent retinal) </t>
  </si>
  <si>
    <t>c.533A&gt;G</t>
  </si>
  <si>
    <t>533A&gt;G</t>
  </si>
  <si>
    <t>RHO_v001:p.(Tyr178Cys)</t>
  </si>
  <si>
    <t>RHO_v001:p.(Y178C)</t>
  </si>
  <si>
    <t>Y178C</t>
  </si>
  <si>
    <t>p.(Tyr178Cys)</t>
  </si>
  <si>
    <t>p.Y178C</t>
  </si>
  <si>
    <t>0.21-0.32</t>
  </si>
  <si>
    <t>https://www.ncbi.nlm.nih.gov/pubmed/?term=1862076,24265693,21094163,25221422</t>
  </si>
  <si>
    <t>c.535A&gt;T</t>
  </si>
  <si>
    <t>535A&gt;T</t>
  </si>
  <si>
    <t>RHO_v001:p.(Ile179Phe)</t>
  </si>
  <si>
    <t>RHO_v001:p.(I179F)</t>
  </si>
  <si>
    <t>I179F</t>
  </si>
  <si>
    <t>p.(Ile179Phe)</t>
  </si>
  <si>
    <t>p.I179F</t>
  </si>
  <si>
    <t>0.06-0.26</t>
  </si>
  <si>
    <t>https://www.ncbi.nlm.nih.gov/pubmed/?term=17488458</t>
  </si>
  <si>
    <t>c.538C&gt;G</t>
  </si>
  <si>
    <t>538C&gt;G</t>
  </si>
  <si>
    <t>RHO_v001:p.(Pro180Ala)</t>
  </si>
  <si>
    <t>RHO_v001:p.(P180A)</t>
  </si>
  <si>
    <t>P180A</t>
  </si>
  <si>
    <t>p.(Pro180Ala)</t>
  </si>
  <si>
    <t>p.P180A</t>
  </si>
  <si>
    <t>0.09-0.29</t>
  </si>
  <si>
    <t>c.538C&gt;T</t>
  </si>
  <si>
    <t>538C&gt;T</t>
  </si>
  <si>
    <t>RHO_v001:p.(Pro180Ser)</t>
  </si>
  <si>
    <t>RHO_v001:p.(P180S)</t>
  </si>
  <si>
    <t>P180S</t>
  </si>
  <si>
    <t>p.(Pro180Ser)</t>
  </si>
  <si>
    <t>p.P180S</t>
  </si>
  <si>
    <t>0.13-0.26</t>
  </si>
  <si>
    <t>https://www.ncbi.nlm.nih.gov/pubmed/?term=22334370</t>
  </si>
  <si>
    <t>c.541G&gt;A</t>
  </si>
  <si>
    <t>541G&gt;A</t>
  </si>
  <si>
    <t>RHO_v001:p.(Glu181Lys)</t>
  </si>
  <si>
    <t>RHO_v001:p.(E181K)</t>
  </si>
  <si>
    <t>E181K</t>
  </si>
  <si>
    <t>p.(Glu181Lys)</t>
  </si>
  <si>
    <t>p.E181K</t>
  </si>
  <si>
    <t>0.16-0.36</t>
  </si>
  <si>
    <t>Gln</t>
  </si>
  <si>
    <t>interhelical loop II Region V (inside helix) retinal binding area (covalent retinal) conserved water molecule</t>
  </si>
  <si>
    <t>conserved water molecule</t>
  </si>
  <si>
    <t>https://www.ncbi.nlm.nih.gov/pubmed/?term=1833777,24265693,21094163,24935155</t>
  </si>
  <si>
    <t>c.544G&gt;A</t>
  </si>
  <si>
    <t>544G&gt;A</t>
  </si>
  <si>
    <t>RHO_v001:p.(Gly182Ser)</t>
  </si>
  <si>
    <t>RHO_v001:p.(G182S)</t>
  </si>
  <si>
    <t>G182S</t>
  </si>
  <si>
    <t>p.(Gly182Ser)</t>
  </si>
  <si>
    <t>p.G182S</t>
  </si>
  <si>
    <t>0.14-0.19</t>
  </si>
  <si>
    <t>https://www.ncbi.nlm.nih.gov/pubmed/?term=1897520,21094163</t>
  </si>
  <si>
    <t>c.551A&gt;C</t>
  </si>
  <si>
    <t>551A&gt;C</t>
  </si>
  <si>
    <t>RHO_v001:p.(Gln184Pro)</t>
  </si>
  <si>
    <t>RHO_v001:p.(Q184P)</t>
  </si>
  <si>
    <t>Q184P</t>
  </si>
  <si>
    <t>p.(Gln184Pro)</t>
  </si>
  <si>
    <t>p.Q184P</t>
  </si>
  <si>
    <t>0.03-0.21</t>
  </si>
  <si>
    <t>c.553T&gt;C</t>
  </si>
  <si>
    <t>553T&gt;C</t>
  </si>
  <si>
    <t>RHO_v001:p.(Cys185Arg)</t>
  </si>
  <si>
    <t>RHO_v001:p.(C185R)</t>
  </si>
  <si>
    <t>C185R</t>
  </si>
  <si>
    <t>p.(Cys185Arg)</t>
  </si>
  <si>
    <t>p.C185R</t>
  </si>
  <si>
    <t>IIa/2</t>
  </si>
  <si>
    <t>0.19-0.37</t>
  </si>
  <si>
    <t>c.556T&gt;C</t>
  </si>
  <si>
    <t>556T&gt;C</t>
  </si>
  <si>
    <t>RHO_v001:p.(Ser186Pro)</t>
  </si>
  <si>
    <t>RHO_v001:p.(S186P)</t>
  </si>
  <si>
    <t>S186P</t>
  </si>
  <si>
    <t>p.(Ser186Pro)</t>
  </si>
  <si>
    <t>p.S186P</t>
  </si>
  <si>
    <t>IIb/Unclassified</t>
  </si>
  <si>
    <t>0.18-0.37</t>
  </si>
  <si>
    <t>interhelical loop II, VitA polyene chain binding pocket Region V (inside helix) retinal binding area (covalent retinal) conserved water molecule</t>
  </si>
  <si>
    <t>interhelical loop II, VitA polyene chain binding pocket</t>
  </si>
  <si>
    <t>c.557C&gt;G</t>
  </si>
  <si>
    <t>557C&gt;G</t>
  </si>
  <si>
    <t>RHO_v001:p.(Ser186Trp)</t>
  </si>
  <si>
    <t>RHO_v001:p.(S186W)</t>
  </si>
  <si>
    <t>S186W</t>
  </si>
  <si>
    <t>p.(Ser186Trp)</t>
  </si>
  <si>
    <t>p.S186W</t>
  </si>
  <si>
    <t>0.80-1.87</t>
  </si>
  <si>
    <t>https://www.ncbi.nlm.nih.gov/pubmed/?term=22126625,23625926,21094163</t>
  </si>
  <si>
    <t>c.560G&gt;A</t>
  </si>
  <si>
    <t>560G&gt;A</t>
  </si>
  <si>
    <t>RHO_v001:p.(Cys187Tyr)</t>
  </si>
  <si>
    <t>RHO_v001:p.(C187Y)</t>
  </si>
  <si>
    <t>C187Y</t>
  </si>
  <si>
    <t>p.(Cys187Tyr)</t>
  </si>
  <si>
    <t>p.C187Y</t>
  </si>
  <si>
    <t>0.09-0.21</t>
  </si>
  <si>
    <t xml:space="preserve">interhelical loop II, VitA polyene chain binding pocket Region I (extracellular) disulfide bridge </t>
  </si>
  <si>
    <t>https://www.ncbi.nlm.nih.gov/pubmed/?term=7724183,21094163</t>
  </si>
  <si>
    <t>c.562G&gt;A</t>
  </si>
  <si>
    <t>562G&gt;A</t>
  </si>
  <si>
    <t>RHO_v001:p.(Gly188Arg)</t>
  </si>
  <si>
    <t>RHO_v001:p.(G188R)</t>
  </si>
  <si>
    <t>G188R</t>
  </si>
  <si>
    <t>p.(Gly188Arg)</t>
  </si>
  <si>
    <t>p.G188R</t>
  </si>
  <si>
    <t>0.14-0.26</t>
  </si>
  <si>
    <t xml:space="preserve">interhelical loop II, VitA polyene chain binding pocket Region V (inside helix) retinal binding area (covalent retinal) </t>
  </si>
  <si>
    <t>https://www.ncbi.nlm.nih.gov/pubmed/?term=1833777,21094163,25097241</t>
  </si>
  <si>
    <t>c.563G&gt;A</t>
  </si>
  <si>
    <t>563G&gt;A</t>
  </si>
  <si>
    <t>RHO_v001:p.(Gly188Glu)</t>
  </si>
  <si>
    <t>RHO_v001:p.(G188E)</t>
  </si>
  <si>
    <t>G188E</t>
  </si>
  <si>
    <t>p.(Gly188Glu)</t>
  </si>
  <si>
    <t>p.G188E</t>
  </si>
  <si>
    <t>0.13-0.23</t>
  </si>
  <si>
    <t>https://www.ncbi.nlm.nih.gov/pubmed/?term=8317502,21094163</t>
  </si>
  <si>
    <t>c.568G&gt;A</t>
  </si>
  <si>
    <t>568G&gt;A</t>
  </si>
  <si>
    <t>RHO_v001:p.(Asp190Asn)</t>
  </si>
  <si>
    <t>RHO_v001:p.(D190N)</t>
  </si>
  <si>
    <t>D190N</t>
  </si>
  <si>
    <t>p.(Asp190Asn)</t>
  </si>
  <si>
    <t>p.D190N</t>
  </si>
  <si>
    <t>0.16-0.27</t>
  </si>
  <si>
    <t xml:space="preserve">interhelical loop II, VitA polyene chain binding pocket Region I (extracellular)  </t>
  </si>
  <si>
    <t>https://www.ncbi.nlm.nih.gov/pubmed/?term=1765377,23625926,24520188,21094163,22252712</t>
  </si>
  <si>
    <t>c.568G&gt;T</t>
  </si>
  <si>
    <t>568G&gt;T</t>
  </si>
  <si>
    <t>RHO_v001:p.(Asp190Tyr)</t>
  </si>
  <si>
    <t>RHO_v001:p.(D190Y)</t>
  </si>
  <si>
    <t>D190Y</t>
  </si>
  <si>
    <t>p.(Asp190Tyr)</t>
  </si>
  <si>
    <t>p.D190Y</t>
  </si>
  <si>
    <t>0.15-0.32</t>
  </si>
  <si>
    <t>c.569A&gt;G</t>
  </si>
  <si>
    <t>569A&gt;G</t>
  </si>
  <si>
    <t>RHO_v001:p.(Asp190Gly)</t>
  </si>
  <si>
    <t>RHO_v001:p.(D190G)</t>
  </si>
  <si>
    <t>D190G</t>
  </si>
  <si>
    <t>p.(Asp190Gly)</t>
  </si>
  <si>
    <t>p.D190G</t>
  </si>
  <si>
    <t>https://www.ncbi.nlm.nih.gov/pubmed/?term=1862076,24520188,21094163</t>
  </si>
  <si>
    <t>c.578C&gt;T</t>
  </si>
  <si>
    <t>578C&gt;T</t>
  </si>
  <si>
    <t>RHO_v001:p.(Thr193Met)</t>
  </si>
  <si>
    <t>RHO_v001:p.(T193M)</t>
  </si>
  <si>
    <t>T193M</t>
  </si>
  <si>
    <t>p.(Thr193Met)</t>
  </si>
  <si>
    <t>p.T193M</t>
  </si>
  <si>
    <t>0.90-1.34</t>
  </si>
  <si>
    <t>Previously unclassified; now likely class 2, 3, or 4</t>
  </si>
  <si>
    <t>likely class 2, 3, or 4</t>
  </si>
  <si>
    <t>https://www.ncbi.nlm.nih.gov/pubmed/?term=9618546,21094163</t>
  </si>
  <si>
    <t>c.620T&gt;A</t>
  </si>
  <si>
    <t>620T&gt;A</t>
  </si>
  <si>
    <t>RHO_v001:p.(Met207Lys)</t>
  </si>
  <si>
    <t>RHO_v001:p.(M207K)</t>
  </si>
  <si>
    <t>M207K</t>
  </si>
  <si>
    <t>p.(Met207Lys)</t>
  </si>
  <si>
    <t>p.M207K</t>
  </si>
  <si>
    <t>2.52-5.69</t>
  </si>
  <si>
    <t xml:space="preserve">TM 5, VitA beta ionone binding pocket   </t>
  </si>
  <si>
    <t>TM 5, VitA beta ionone binding pocket</t>
  </si>
  <si>
    <t>c.620T&gt;G</t>
  </si>
  <si>
    <t>620T&gt;G</t>
  </si>
  <si>
    <t>RHO_v001:p.(Met207Arg)</t>
  </si>
  <si>
    <t>RHO_v001:p.(M207R)</t>
  </si>
  <si>
    <t>M207R</t>
  </si>
  <si>
    <t>p.(Met207Arg)</t>
  </si>
  <si>
    <t>p.M207R</t>
  </si>
  <si>
    <t>0.80-1.44</t>
  </si>
  <si>
    <t xml:space="preserve">TM 5, VitA beta ionone binding pocket Region V (inside helix) retinal binding area (covalent retinal) </t>
  </si>
  <si>
    <t>https://www.ncbi.nlm.nih.gov/pubmed/?term=1302614,22126625,21094163</t>
  </si>
  <si>
    <t>c.625G&gt;A</t>
  </si>
  <si>
    <t>625G&gt;A</t>
  </si>
  <si>
    <t>RHO_v001:p.(Val209Met)</t>
  </si>
  <si>
    <t>RHO_v001:p.(V209M)</t>
  </si>
  <si>
    <t>V209M</t>
  </si>
  <si>
    <t>p.(Val209Met)</t>
  </si>
  <si>
    <t>p.V209M</t>
  </si>
  <si>
    <t>2.16-4.42</t>
  </si>
  <si>
    <t>Ile,Leu,Ala,Thr</t>
  </si>
  <si>
    <t>II</t>
  </si>
  <si>
    <t xml:space="preserve">TM 5 Region IV (outside helix)  </t>
  </si>
  <si>
    <t>TM 5</t>
  </si>
  <si>
    <t>c.628G&gt;T</t>
  </si>
  <si>
    <t>628G&gt;T</t>
  </si>
  <si>
    <t>RHO_v001:p.(Val210Phe)</t>
  </si>
  <si>
    <t>RHO_v001:p.(V210F)</t>
  </si>
  <si>
    <t>V210F</t>
  </si>
  <si>
    <t>p.(Val210Phe)</t>
  </si>
  <si>
    <t>p.V210F</t>
  </si>
  <si>
    <t>1.83-4.07</t>
  </si>
  <si>
    <t xml:space="preserve">TM 5   </t>
  </si>
  <si>
    <t>https://www.ncbi.nlm.nih.gov/pubmed/?term=20832389,25356976</t>
  </si>
  <si>
    <t>c.632A&gt;C</t>
  </si>
  <si>
    <t>632A&gt;C</t>
  </si>
  <si>
    <t>RHO_v001:p.(His211Pro)</t>
  </si>
  <si>
    <t>RHO_v001:p.(H211P)</t>
  </si>
  <si>
    <t>H211P</t>
  </si>
  <si>
    <t>p.(His211Pro)</t>
  </si>
  <si>
    <t>p.H211P</t>
  </si>
  <si>
    <t>IIc/II/2</t>
  </si>
  <si>
    <t>0.10-0.19</t>
  </si>
  <si>
    <t xml:space="preserve">TM 5, VitA beta ionone binding pocket Region V (inside helix)  </t>
  </si>
  <si>
    <t>https://www.ncbi.nlm.nih.gov/pubmed/?term=1765377,21094163</t>
  </si>
  <si>
    <t>c.632A&gt;G</t>
  </si>
  <si>
    <t>632A&gt;G</t>
  </si>
  <si>
    <t>RHO_v001:p.(His211Arg)</t>
  </si>
  <si>
    <t>RHO_v001:p.(H211R)</t>
  </si>
  <si>
    <t>H211R</t>
  </si>
  <si>
    <t>p.(His211Arg)</t>
  </si>
  <si>
    <t>p.H211R</t>
  </si>
  <si>
    <t>https://www.ncbi.nlm.nih.gov/pubmed/?term=8317502,21094163,8162026</t>
  </si>
  <si>
    <t>c.641T&gt;A</t>
  </si>
  <si>
    <t>641T&gt;A</t>
  </si>
  <si>
    <t>RHO_v001:p.(Ile214Asn)</t>
  </si>
  <si>
    <t>RHO_v001:p.(I214N)</t>
  </si>
  <si>
    <t>I214N</t>
  </si>
  <si>
    <t>p.(Ile214Asn)</t>
  </si>
  <si>
    <t>p.I214N</t>
  </si>
  <si>
    <t>1.38-2.71</t>
  </si>
  <si>
    <t>c.643C&gt;A</t>
  </si>
  <si>
    <t>643C&gt;A</t>
  </si>
  <si>
    <t>RHO_v001:p.(Pro215Thr)</t>
  </si>
  <si>
    <t>RHO_v001:p.(P215T)</t>
  </si>
  <si>
    <t>P215T</t>
  </si>
  <si>
    <t>p.(Pro215Thr)</t>
  </si>
  <si>
    <t>p.P215T</t>
  </si>
  <si>
    <t>0.20-0.35</t>
  </si>
  <si>
    <t xml:space="preserve">TM 5 Region V (inside helix)  </t>
  </si>
  <si>
    <t>https://www.ncbi.nlm.nih.gov/pubmed/?term=14661542,21094163</t>
  </si>
  <si>
    <t>c.644C&gt;T</t>
  </si>
  <si>
    <t>644C&gt;T</t>
  </si>
  <si>
    <t>RHO_v001:p.(Pro215Leu)</t>
  </si>
  <si>
    <t>RHO_v001:p.(P215L)</t>
  </si>
  <si>
    <t>P215L</t>
  </si>
  <si>
    <t>p.(Pro215Leu)</t>
  </si>
  <si>
    <t>p.P215L</t>
  </si>
  <si>
    <t>0.17-0.32</t>
  </si>
  <si>
    <t>https://www.ncbi.nlm.nih.gov/pubmed/?term=10874327,21094163</t>
  </si>
  <si>
    <t>c.646A&gt;T</t>
  </si>
  <si>
    <t>646A&gt;T</t>
  </si>
  <si>
    <t>RHO_v001:p.(Met216Leu)</t>
  </si>
  <si>
    <t>RHO_v001:p.(M216L)</t>
  </si>
  <si>
    <t>M216L</t>
  </si>
  <si>
    <t>p.(Met216Leu)</t>
  </si>
  <si>
    <t>p.M216L</t>
  </si>
  <si>
    <t>2.17-2.46</t>
  </si>
  <si>
    <t>LLLL</t>
  </si>
  <si>
    <t>https://www.ncbi.nlm.nih.gov/pubmed/?term=22321012</t>
  </si>
  <si>
    <t>c.647T&gt;A</t>
  </si>
  <si>
    <t>647T&gt;A</t>
  </si>
  <si>
    <t>RHO_v001:p.(Met216Lys)</t>
  </si>
  <si>
    <t>RHO_v001:p.(M216K)</t>
  </si>
  <si>
    <t>M216K</t>
  </si>
  <si>
    <t>p.(Met216Lys)</t>
  </si>
  <si>
    <t>p.M216K</t>
  </si>
  <si>
    <t>IIb+IIc/Unclassified</t>
  </si>
  <si>
    <t>0.81-3.26</t>
  </si>
  <si>
    <t>was IIb+IIc/Unclassified/2, now probably unclassified</t>
  </si>
  <si>
    <t xml:space="preserve">TM 5 Region V (inside helix) retinal binding area (covalent retinal) </t>
  </si>
  <si>
    <t>c.647T&gt;G</t>
  </si>
  <si>
    <t>647T&gt;G</t>
  </si>
  <si>
    <t>RHO_v001:p.(Met216Arg)</t>
  </si>
  <si>
    <t>RHO_v001:p.(M216R)</t>
  </si>
  <si>
    <t>M216R</t>
  </si>
  <si>
    <t>p.(Met216Arg)</t>
  </si>
  <si>
    <t>p.M216R</t>
  </si>
  <si>
    <t>0.06-0.16</t>
  </si>
  <si>
    <t>https://www.ncbi.nlm.nih.gov/pubmed/?term=9010870,21094163</t>
  </si>
  <si>
    <t>c.659T&gt;G</t>
  </si>
  <si>
    <t>659T&gt;G</t>
  </si>
  <si>
    <t>RHO_v001:p.(Phe220Cys)</t>
  </si>
  <si>
    <t>RHO_v001:p.(F220C)</t>
  </si>
  <si>
    <t>F220C</t>
  </si>
  <si>
    <t>p.(Phe220Cys)</t>
  </si>
  <si>
    <t>p.F220C</t>
  </si>
  <si>
    <t>2.75-4.47</t>
  </si>
  <si>
    <t>Thr,Gly</t>
  </si>
  <si>
    <t>https://www.ncbi.nlm.nih.gov/pubmed/?term=8406457,21094163</t>
  </si>
  <si>
    <t>c.664T&gt;C</t>
  </si>
  <si>
    <t>664T&gt;C</t>
  </si>
  <si>
    <t>RHO_v001:p.(Cys222Arg)</t>
  </si>
  <si>
    <t>RHO_v001:p.(C222R)</t>
  </si>
  <si>
    <t>C222R</t>
  </si>
  <si>
    <t>p.(Cys222Arg)</t>
  </si>
  <si>
    <t>p.C222R</t>
  </si>
  <si>
    <t>Unclassified/II/2</t>
  </si>
  <si>
    <t>0.19-0.40</t>
  </si>
  <si>
    <t>c.745G&gt;T</t>
  </si>
  <si>
    <t>745G&gt;T</t>
  </si>
  <si>
    <t>RHO_v001:p.(Glu249*)</t>
  </si>
  <si>
    <t>RHO_v001:p.(E249*)</t>
  </si>
  <si>
    <t>E249*</t>
  </si>
  <si>
    <t>p.(Glu249*)</t>
  </si>
  <si>
    <t>p.E249X</t>
  </si>
  <si>
    <t>none</t>
  </si>
  <si>
    <t xml:space="preserve">TM 6   </t>
  </si>
  <si>
    <t>TM 6</t>
  </si>
  <si>
    <t>https://www.ncbi.nlm.nih.gov/pubmed/?term=1303237,21357407</t>
  </si>
  <si>
    <t>c.755G&gt;C</t>
  </si>
  <si>
    <t>755G&gt;C</t>
  </si>
  <si>
    <t>RHO_v001:p.(Arg252Pro)</t>
  </si>
  <si>
    <t>RHO_v001:p.(R252P)</t>
  </si>
  <si>
    <t>R252P</t>
  </si>
  <si>
    <t>p.(Arg252Pro)</t>
  </si>
  <si>
    <t>p.R252P</t>
  </si>
  <si>
    <t>1.89-2.72</t>
  </si>
  <si>
    <t>https://www.ncbi.nlm.nih.gov/pubmed/?term=23484092</t>
  </si>
  <si>
    <t>c.759G&gt;T</t>
  </si>
  <si>
    <t>759G&gt;T</t>
  </si>
  <si>
    <t>RHO_v001:p.(Met253Ile)</t>
  </si>
  <si>
    <t>RHO_v001:p.(M253I)</t>
  </si>
  <si>
    <t>M253I</t>
  </si>
  <si>
    <t>p.(Met253Ile)</t>
  </si>
  <si>
    <t>p.M253I</t>
  </si>
  <si>
    <t>3.42-4.56</t>
  </si>
  <si>
    <t>https://www.ncbi.nlm.nih.gov/pubmed/?term=21217109</t>
  </si>
  <si>
    <t>c.800C&gt;G</t>
  </si>
  <si>
    <t>800C&gt;G</t>
  </si>
  <si>
    <t>RHO_v001:p.(Pro267Arg)</t>
  </si>
  <si>
    <t>RHO_v001:p.(P267R)</t>
  </si>
  <si>
    <t>P267R</t>
  </si>
  <si>
    <t>p.(Pro267Arg)</t>
  </si>
  <si>
    <t>p.P267R</t>
  </si>
  <si>
    <t>0.04-0.20</t>
  </si>
  <si>
    <t xml:space="preserve">TM 6 Region IV (outside helix)  </t>
  </si>
  <si>
    <t>c.800C&gt;T</t>
  </si>
  <si>
    <t>800C&gt;T</t>
  </si>
  <si>
    <t>RHO_v001:p.(Pro267Leu)</t>
  </si>
  <si>
    <t>RHO_v001:p.(P267L)</t>
  </si>
  <si>
    <t>P267L</t>
  </si>
  <si>
    <t>p.(Pro267Leu)</t>
  </si>
  <si>
    <t>p.P267L</t>
  </si>
  <si>
    <t>0.10-0.27</t>
  </si>
  <si>
    <t>c.810C&gt;A</t>
  </si>
  <si>
    <t>810C&gt;A</t>
  </si>
  <si>
    <t>RHO_v001:p.(Ser270Arg)</t>
  </si>
  <si>
    <t>RHO_v001:p.(S270R)</t>
  </si>
  <si>
    <t>S270R</t>
  </si>
  <si>
    <t>p.(Ser270Arg)</t>
  </si>
  <si>
    <t>p.S270R</t>
  </si>
  <si>
    <t>0.13-0.28</t>
  </si>
  <si>
    <t>Gly,Tyr</t>
  </si>
  <si>
    <t>YG</t>
  </si>
  <si>
    <t>c.850G&gt;A</t>
  </si>
  <si>
    <t>850G&gt;A</t>
  </si>
  <si>
    <t>RHO_v001:p.(Gly284Ser)</t>
  </si>
  <si>
    <t>RHO_v001:p.(G284S)</t>
  </si>
  <si>
    <t>G284S</t>
  </si>
  <si>
    <t>p.(Gly284Ser)</t>
  </si>
  <si>
    <t>p.G284S</t>
  </si>
  <si>
    <t>4.73-5.33</t>
  </si>
  <si>
    <t xml:space="preserve">interhelical loop III Region I (extracellular)  </t>
  </si>
  <si>
    <t>interhelical loop III</t>
  </si>
  <si>
    <t>c.865A&gt;C</t>
  </si>
  <si>
    <t>865A&gt;C</t>
  </si>
  <si>
    <t>RHO_v001:p.(Thr289Pro)</t>
  </si>
  <si>
    <t>RHO_v001:p.(T289P)</t>
  </si>
  <si>
    <t>T289P</t>
  </si>
  <si>
    <t>p.(Thr289Pro)</t>
  </si>
  <si>
    <t>p.T289P</t>
  </si>
  <si>
    <t>0.09-0.18</t>
  </si>
  <si>
    <t xml:space="preserve">TM7 Region V (inside helix)  </t>
  </si>
  <si>
    <t>TM7</t>
  </si>
  <si>
    <t>c.875C&gt;A</t>
  </si>
  <si>
    <t>875C&gt;A</t>
  </si>
  <si>
    <t>RHO_v001:p.(Ala292Glu)</t>
  </si>
  <si>
    <t>RHO_v001:p.(A292E)</t>
  </si>
  <si>
    <t>A292E</t>
  </si>
  <si>
    <t>p.(Ala292Glu)</t>
  </si>
  <si>
    <t>p.A292E</t>
  </si>
  <si>
    <t>0.96-1.61</t>
  </si>
  <si>
    <t xml:space="preserve">TM7 Region V (inside helix) retinal binding area (covalent retinal) </t>
  </si>
  <si>
    <t>https://www.ncbi.nlm.nih.gov/pubmed/?term=8358437,21094163</t>
  </si>
  <si>
    <t>c.884C&gt;T</t>
  </si>
  <si>
    <t>884C&gt;T</t>
  </si>
  <si>
    <t>RHO_v001:p.(Ala295Val)</t>
  </si>
  <si>
    <t>RHO_v001:p.(A295V)</t>
  </si>
  <si>
    <t>A295V</t>
  </si>
  <si>
    <t>p.(Ala295Val)</t>
  </si>
  <si>
    <t>p.A295V</t>
  </si>
  <si>
    <t>Unclassified/6</t>
  </si>
  <si>
    <t>2.35-4.83</t>
  </si>
  <si>
    <t xml:space="preserve">TM7   </t>
  </si>
  <si>
    <t>https://www.ncbi.nlm.nih.gov/pubmed/?term=18487375</t>
  </si>
  <si>
    <t>c.886A&gt;G</t>
  </si>
  <si>
    <t>886A&gt;G</t>
  </si>
  <si>
    <t>RHO_v001:p.(Lys296Glu)</t>
  </si>
  <si>
    <t>RHO_v001:p.(K296E)</t>
  </si>
  <si>
    <t>K296E</t>
  </si>
  <si>
    <t>p.(Lys296Glu)</t>
  </si>
  <si>
    <t>p.K296E</t>
  </si>
  <si>
    <t>0.66-0.96</t>
  </si>
  <si>
    <t>was Unclassified/II/2, now probably unclassified</t>
  </si>
  <si>
    <t xml:space="preserve">TM7, Schiff base   </t>
  </si>
  <si>
    <t>TM7, Schiff base</t>
  </si>
  <si>
    <t>https://www.ncbi.nlm.nih.gov/pubmed/?term=1765377</t>
  </si>
  <si>
    <t>c.887A&gt;T</t>
  </si>
  <si>
    <t>887A&gt;T</t>
  </si>
  <si>
    <t>RHO_v001:p.(Lys296Met)</t>
  </si>
  <si>
    <t>RHO_v001:p.(K296M)</t>
  </si>
  <si>
    <t>K296M</t>
  </si>
  <si>
    <t>p.(Lys296Met)</t>
  </si>
  <si>
    <t>p.K296M</t>
  </si>
  <si>
    <t>2.13-3.41</t>
  </si>
  <si>
    <t>c.888G&gt;T</t>
  </si>
  <si>
    <t>888G&gt;T</t>
  </si>
  <si>
    <t>RHO_v001:p.(Lys296Asn)</t>
  </si>
  <si>
    <t>RHO_v001:p.(K296N)</t>
  </si>
  <si>
    <t>K296N</t>
  </si>
  <si>
    <t>p.(Lys296Asn)</t>
  </si>
  <si>
    <t>p.K296N</t>
  </si>
  <si>
    <t>2.47-3.57</t>
  </si>
  <si>
    <t>https://www.ncbi.nlm.nih.gov/pubmed/?term=11139241</t>
  </si>
  <si>
    <t>c.891C&gt;A</t>
  </si>
  <si>
    <t>891C&gt;A</t>
  </si>
  <si>
    <t>RHO_v001:p.(Ser297Arg)</t>
  </si>
  <si>
    <t>RHO_v001:p.(S297R)</t>
  </si>
  <si>
    <t>S297R</t>
  </si>
  <si>
    <t>p.(Ser297Arg)</t>
  </si>
  <si>
    <t>p.S297R</t>
  </si>
  <si>
    <t>0.11-0.23</t>
  </si>
  <si>
    <t>Ser,Ala,Thr</t>
  </si>
  <si>
    <t>TT</t>
  </si>
  <si>
    <t xml:space="preserve">TM7 Region IV (outside helix)  </t>
  </si>
  <si>
    <t>c.893C&gt;A</t>
  </si>
  <si>
    <t>893C&gt;A</t>
  </si>
  <si>
    <t>RHO_v001:p.(Ala298Asp)</t>
  </si>
  <si>
    <t>RHO_v001:p.(A298D)</t>
  </si>
  <si>
    <t>A298D</t>
  </si>
  <si>
    <t>p.(Ala298Asp)</t>
  </si>
  <si>
    <t>p.A298D</t>
  </si>
  <si>
    <t>2.56-3.05</t>
  </si>
  <si>
    <t>SSSSS</t>
  </si>
  <si>
    <t>https://www.ncbi.nlm.nih.gov/pubmed/?term=21677794</t>
  </si>
  <si>
    <t>c.931A&gt;G</t>
  </si>
  <si>
    <t>931A&gt;G</t>
  </si>
  <si>
    <t>RHO_v001:p.(Lys311Glu)</t>
  </si>
  <si>
    <t>RHO_v001:p.(K311E)</t>
  </si>
  <si>
    <t>K311E</t>
  </si>
  <si>
    <t>p.(Lys311Glu)</t>
  </si>
  <si>
    <t>p.K311E</t>
  </si>
  <si>
    <t>2.38-2.61</t>
  </si>
  <si>
    <t>R</t>
  </si>
  <si>
    <t>c.934C&gt;T</t>
  </si>
  <si>
    <t>934C&gt;T</t>
  </si>
  <si>
    <t>RHO_v001:p.(Gln312*)</t>
  </si>
  <si>
    <t>RHO_v001:p.(Q312*)</t>
  </si>
  <si>
    <t>Q312*</t>
  </si>
  <si>
    <t>p.(Gln312*)</t>
  </si>
  <si>
    <t>p.Q312X</t>
  </si>
  <si>
    <t>0.18-0.33</t>
  </si>
  <si>
    <t xml:space="preserve">   </t>
  </si>
  <si>
    <t>https://www.ncbi.nlm.nih.gov/pubmed/?term=9618546</t>
  </si>
  <si>
    <t>c.945C&gt;G</t>
  </si>
  <si>
    <t>945C&gt;G</t>
  </si>
  <si>
    <t>RHO_v001:p.(Asn315Lys)</t>
  </si>
  <si>
    <t>RHO_v001:p.(N315K)</t>
  </si>
  <si>
    <t>N315K</t>
  </si>
  <si>
    <t>p.(Asn315Lys)</t>
  </si>
  <si>
    <t>p.N315K</t>
  </si>
  <si>
    <t>?</t>
  </si>
  <si>
    <t>3.57-5.72</t>
  </si>
  <si>
    <t>https://www.ncbi.nlm.nih.gov/pubmed/?term=20832389</t>
  </si>
  <si>
    <t>c.959C&gt;A</t>
  </si>
  <si>
    <t>959C&gt;A</t>
  </si>
  <si>
    <t>RHO_v001:p.(Thr320Asn)</t>
  </si>
  <si>
    <t>RHO_v001:p.(T320N)</t>
  </si>
  <si>
    <t>T320N</t>
  </si>
  <si>
    <t>p.(Thr320Asn)</t>
  </si>
  <si>
    <t>p.T320N</t>
  </si>
  <si>
    <t>2.72-3.14</t>
  </si>
  <si>
    <t>https://www.ncbi.nlm.nih.gov/pubmed/?term=16123440</t>
  </si>
  <si>
    <t>c.983T&gt;C</t>
  </si>
  <si>
    <t>983T&gt;C</t>
  </si>
  <si>
    <t>RHO_v001:p.(Leu328Pro)</t>
  </si>
  <si>
    <t>RHO_v001:p.(L328P)</t>
  </si>
  <si>
    <t>L328P</t>
  </si>
  <si>
    <t>p.(Leu328Pro)</t>
  </si>
  <si>
    <t>p.L328P</t>
  </si>
  <si>
    <t>I+IVb/0/1</t>
  </si>
  <si>
    <t>2.17-3.70</t>
  </si>
  <si>
    <t>F</t>
  </si>
  <si>
    <t xml:space="preserve"> Region II (cytoplasmic) retinal binding (non-covalent retinal) </t>
  </si>
  <si>
    <t>https://www.ncbi.nlm.nih.gov/pubmed/?term=21094163</t>
  </si>
  <si>
    <t>c.1019C&gt;T</t>
  </si>
  <si>
    <t>1019C&gt;T</t>
  </si>
  <si>
    <t>RHO_v001:p.(Thr340Met)</t>
  </si>
  <si>
    <t>RHO_v001:p.(T340M)</t>
  </si>
  <si>
    <t>T340M</t>
  </si>
  <si>
    <t>p.(Thr340Met)</t>
  </si>
  <si>
    <t>p.T340M</t>
  </si>
  <si>
    <t>Unclassified/Benign</t>
  </si>
  <si>
    <t>2.51-3.36</t>
  </si>
  <si>
    <t>c.1021G&gt;A</t>
  </si>
  <si>
    <t>1021G&gt;A</t>
  </si>
  <si>
    <t>RHO_v001:p.(Glu341Lys)</t>
  </si>
  <si>
    <t>RHO_v001:p.(E341K)</t>
  </si>
  <si>
    <t>E341K</t>
  </si>
  <si>
    <t>p.(Glu341Lys)</t>
  </si>
  <si>
    <t>p.E341K</t>
  </si>
  <si>
    <t>IVb+VII/Unclassified</t>
  </si>
  <si>
    <t>2.94-3.51</t>
  </si>
  <si>
    <t>Q</t>
  </si>
  <si>
    <t>c.1021G&gt;T</t>
  </si>
  <si>
    <t>1021G&gt;T</t>
  </si>
  <si>
    <t>RHO_v001:p.(Glu341*)</t>
  </si>
  <si>
    <t>RHO_v001:p.(E341*)</t>
  </si>
  <si>
    <t>E341*</t>
  </si>
  <si>
    <t>p.(Glu341*)</t>
  </si>
  <si>
    <t>p.E341X</t>
  </si>
  <si>
    <t>3.94-5.83</t>
  </si>
  <si>
    <t>https://www.ncbi.nlm.nih.gov/pubmed/?term=11559857</t>
  </si>
  <si>
    <t>c.1025C&gt;T</t>
  </si>
  <si>
    <t>1025C&gt;T</t>
  </si>
  <si>
    <t>RHO_v001:p.(Thr342Met)</t>
  </si>
  <si>
    <t>RHO_v001:p.(T342M)</t>
  </si>
  <si>
    <t>T342M</t>
  </si>
  <si>
    <t>p.(Thr342Met)</t>
  </si>
  <si>
    <t>p.T342M</t>
  </si>
  <si>
    <t>I+IVb/I/1</t>
  </si>
  <si>
    <t>4.45-4.96</t>
  </si>
  <si>
    <t>Ala,Val</t>
  </si>
  <si>
    <t>SA</t>
  </si>
  <si>
    <t xml:space="preserve"> Region II (cytoplasmic) P-site/Arrestin binding retinal binding (non-covalent retinal)</t>
  </si>
  <si>
    <t>P-site/Arrestin binding</t>
  </si>
  <si>
    <t>https://www.ncbi.nlm.nih.gov/pubmed/?term=15145060,18175313,21094163</t>
  </si>
  <si>
    <t>c.1027A&gt;T</t>
  </si>
  <si>
    <t>1027A&gt;T</t>
  </si>
  <si>
    <t>RHO_v001:p.(Ser343Cys)</t>
  </si>
  <si>
    <t>RHO_v001:p.(S343C)</t>
  </si>
  <si>
    <t>S343C</t>
  </si>
  <si>
    <t>p.(Ser343Cys)</t>
  </si>
  <si>
    <t>p.S343C</t>
  </si>
  <si>
    <t>3.43-4.53</t>
  </si>
  <si>
    <t>https://www.ncbi.nlm.nih.gov/pubmed/?term=HGOL</t>
  </si>
  <si>
    <t>c.1030C&gt;T</t>
  </si>
  <si>
    <t>1030C&gt;T</t>
  </si>
  <si>
    <t>RHO_v001:p.(Gln344*)</t>
  </si>
  <si>
    <t>RHO_v001:p.(Q344*)</t>
  </si>
  <si>
    <t>Q344*</t>
  </si>
  <si>
    <t>p.(Gln344*)</t>
  </si>
  <si>
    <t>p.Q344X</t>
  </si>
  <si>
    <t>Unclassified/I/1</t>
  </si>
  <si>
    <t>4.80-5.29</t>
  </si>
  <si>
    <t>https://www.ncbi.nlm.nih.gov/pubmed/?term=1862076,20532191,25356976</t>
  </si>
  <si>
    <t>c.1031A&gt;C</t>
  </si>
  <si>
    <t>1031A&gt;C</t>
  </si>
  <si>
    <t>RHO_v001:p.(Gln344Pro)</t>
  </si>
  <si>
    <t>RHO_v001:p.(Q344P)</t>
  </si>
  <si>
    <t>Q344P</t>
  </si>
  <si>
    <t>p.(Gln344Pro)</t>
  </si>
  <si>
    <t>p.Q344P</t>
  </si>
  <si>
    <t>Unclassified/1</t>
  </si>
  <si>
    <t>2.27-2.65</t>
  </si>
  <si>
    <t>c.1033G&gt;A</t>
  </si>
  <si>
    <t>1033G&gt;A</t>
  </si>
  <si>
    <t>RHO_v001:p.(Val345Met)</t>
  </si>
  <si>
    <t>RHO_v001:p.(V345M)</t>
  </si>
  <si>
    <t>V345M</t>
  </si>
  <si>
    <t>p.(Val345Met)</t>
  </si>
  <si>
    <t>p.V345M</t>
  </si>
  <si>
    <t>I/1</t>
  </si>
  <si>
    <t>2.96-3.66</t>
  </si>
  <si>
    <t xml:space="preserve"> Region II (cytoplasmic) Cilia-binding motif </t>
  </si>
  <si>
    <t>Cilia-binding motif</t>
  </si>
  <si>
    <t>https://www.ncbi.nlm.nih.gov/pubmed/?term=1833777,18175313,21094163</t>
  </si>
  <si>
    <t>c.1033G&gt;C</t>
  </si>
  <si>
    <t>1033G&gt;C</t>
  </si>
  <si>
    <t>RHO_v001:p.(Val345Leu)</t>
  </si>
  <si>
    <t>RHO_v001:p.(V345L)</t>
  </si>
  <si>
    <t>V345L</t>
  </si>
  <si>
    <t>p.(Val345Leu)</t>
  </si>
  <si>
    <t>p.V345L</t>
  </si>
  <si>
    <t>3.05-3.52</t>
  </si>
  <si>
    <t>https://www.ncbi.nlm.nih.gov/pubmed/?term=8088850,18175313,21094163</t>
  </si>
  <si>
    <t>c.1036G&gt;C</t>
  </si>
  <si>
    <t>1036G&gt;C</t>
  </si>
  <si>
    <t>RHO_v001:p.(Ala346Pro)</t>
  </si>
  <si>
    <t>RHO_v001:p.(A346P)</t>
  </si>
  <si>
    <t>A346P</t>
  </si>
  <si>
    <t>p.(Ala346Pro)</t>
  </si>
  <si>
    <t>p.A346P</t>
  </si>
  <si>
    <t>4.02-4.45</t>
  </si>
  <si>
    <t>SSS</t>
  </si>
  <si>
    <t>https://www.ncbi.nlm.nih.gov/pubmed/?term=8829641,18175313,25485142,21094163</t>
  </si>
  <si>
    <t>c.1039C&gt;A</t>
  </si>
  <si>
    <t>1039C&gt;A</t>
  </si>
  <si>
    <t>RHO_v001:p.(Pro347Thr)</t>
  </si>
  <si>
    <t>RHO_v001:p.(P347T)</t>
  </si>
  <si>
    <t>P347T</t>
  </si>
  <si>
    <t>p.(Pro347Thr)</t>
  </si>
  <si>
    <t>p.P347T</t>
  </si>
  <si>
    <t>4.15-6.17</t>
  </si>
  <si>
    <t>https://www.ncbi.nlm.nih.gov/pubmed/?term=11139241,18175313,21094163</t>
  </si>
  <si>
    <t>c.1039C&gt;G</t>
  </si>
  <si>
    <t>1039C&gt;G</t>
  </si>
  <si>
    <t>RHO_v001:p.(Pro347Ala)</t>
  </si>
  <si>
    <t>RHO_v001:p.(P347A)</t>
  </si>
  <si>
    <t>P347A</t>
  </si>
  <si>
    <t>p.(Pro347Ala)</t>
  </si>
  <si>
    <t>p.P347A</t>
  </si>
  <si>
    <t>4.87-5.79</t>
  </si>
  <si>
    <t>https://www.ncbi.nlm.nih.gov/pubmed/?term=7633434,18175313,21094163</t>
  </si>
  <si>
    <t>c.1039C&gt;T</t>
  </si>
  <si>
    <t>1039C&gt;T</t>
  </si>
  <si>
    <t>RHO_v001:p.(Pro347Ser)</t>
  </si>
  <si>
    <t>RHO_v001:p.(P347S)</t>
  </si>
  <si>
    <t>P347S</t>
  </si>
  <si>
    <t>p.(Pro347Ser)</t>
  </si>
  <si>
    <t>p.P347S</t>
  </si>
  <si>
    <t>3.68-4.01</t>
  </si>
  <si>
    <t>https://www.ncbi.nlm.nih.gov/pubmed/?term=2215617,23469133,18175313,21268285,21094163</t>
  </si>
  <si>
    <t>c.1040C&gt;A</t>
  </si>
  <si>
    <t>1040C&gt;A</t>
  </si>
  <si>
    <t>RHO_v001:p.(Pro347Gln)</t>
  </si>
  <si>
    <t>RHO_v001:p.(P347Q)</t>
  </si>
  <si>
    <t>P347Q</t>
  </si>
  <si>
    <t>p.(Pro347Gln)</t>
  </si>
  <si>
    <t>p.P347Q</t>
  </si>
  <si>
    <t>2.84-3.11</t>
  </si>
  <si>
    <t>c.1040C&gt;G</t>
  </si>
  <si>
    <t>1040C&gt;G</t>
  </si>
  <si>
    <t>RHO_v001:p.(Pro347Arg)</t>
  </si>
  <si>
    <t>RHO_v001:p.(P347R)</t>
  </si>
  <si>
    <t>P347R</t>
  </si>
  <si>
    <t>p.(Pro347Arg)</t>
  </si>
  <si>
    <t>p.P347R</t>
  </si>
  <si>
    <t>4.17-4.66</t>
  </si>
  <si>
    <t>https://www.ncbi.nlm.nih.gov/pubmed/?term=1840561,18175313,21094163</t>
  </si>
  <si>
    <t>c.1040C&gt;T</t>
  </si>
  <si>
    <t>1040C&gt;T</t>
  </si>
  <si>
    <t>RHO_v001:p.(Pro347Leu)</t>
  </si>
  <si>
    <t>RHO_v001:p.(P347L)</t>
  </si>
  <si>
    <t>P347L</t>
  </si>
  <si>
    <t>p.(Pro347Leu)</t>
  </si>
  <si>
    <t>p.P347L</t>
  </si>
  <si>
    <t>3.18-3.72</t>
  </si>
  <si>
    <t>https://www.ncbi.nlm.nih.gov/pubmed/?term=2215617,18175313,20555336,22217031,21094163,25221422</t>
  </si>
  <si>
    <t>c.1045T&gt;C</t>
  </si>
  <si>
    <t>1045T&gt;C</t>
  </si>
  <si>
    <t>RHO_v001:p.(*349Glnext*51)</t>
  </si>
  <si>
    <t>RHO_v001:p.(*349Qext*51)</t>
  </si>
  <si>
    <t>*349Qext*51</t>
  </si>
  <si>
    <t>p.(*349Glnext*51)</t>
  </si>
  <si>
    <t>p.X349Q</t>
  </si>
  <si>
    <t>Readthrough*/1</t>
  </si>
  <si>
    <t>3.34-4.43</t>
  </si>
  <si>
    <t>Caution - Involves artificial 3' UTR - 42 aa into middle of IRES</t>
  </si>
  <si>
    <t>c.1045T&gt;G</t>
  </si>
  <si>
    <t>1045T&gt;G</t>
  </si>
  <si>
    <t>RHO_v001:p.(*349Gluext*51)</t>
  </si>
  <si>
    <t>RHO_v001:p.(*349Eext*51)</t>
  </si>
  <si>
    <t>*349Eext*51</t>
  </si>
  <si>
    <t>p.(*349Gluext*51)</t>
  </si>
  <si>
    <t>p.X349E</t>
  </si>
  <si>
    <t>4.95-5.80</t>
  </si>
  <si>
    <t>Caution - Readthrough into 3' UTR which is different than native. 42 aa into middle of IRES</t>
  </si>
  <si>
    <t>https://www.ncbi.nlm.nih.gov/pubmed/?term=10189219,23940033</t>
  </si>
  <si>
    <t>c.936G&gt;A</t>
  </si>
  <si>
    <t>936G&gt;A</t>
  </si>
  <si>
    <t>synonymous/splice</t>
  </si>
  <si>
    <t>splice mutation but can make</t>
  </si>
  <si>
    <t>Splice*</t>
  </si>
  <si>
    <t>Splice</t>
  </si>
  <si>
    <t>3.79-4.40</t>
  </si>
  <si>
    <t>https://www.ncbi.nlm.nih.gov/pubmed/?term=18837008,23348723</t>
  </si>
  <si>
    <t>Identification of two mutations of the RHO gene in two Chinese families with retinitis pigmentosa: Correlation between genotype and phenotype.</t>
  </si>
  <si>
    <t>c.505G&gt;C</t>
  </si>
  <si>
    <t>505G&gt;C</t>
  </si>
  <si>
    <t>RHO_v001:p.(Ala169Pro)</t>
  </si>
  <si>
    <t>RHO_v001:p.(A169P)</t>
  </si>
  <si>
    <t>A169P</t>
  </si>
  <si>
    <t xml:space="preserve"> G→C transversion at position 505 (p.A169P)</t>
  </si>
  <si>
    <t>p.A169P</t>
  </si>
  <si>
    <t>0.08-0.23</t>
  </si>
  <si>
    <t>V</t>
  </si>
  <si>
    <t>https://www.ncbi.nlm.nih.gov/pubmed/?term=23288993</t>
  </si>
  <si>
    <t>Rakoczy</t>
  </si>
  <si>
    <t>c.281C&gt;G</t>
  </si>
  <si>
    <t>281C&gt;G</t>
  </si>
  <si>
    <t>RHO_v001:p.(Thr94Ser)</t>
  </si>
  <si>
    <t>RHO_v001:p.(T94S)</t>
  </si>
  <si>
    <t>T94S</t>
  </si>
  <si>
    <t>p.T94S</t>
  </si>
  <si>
    <t>Unclassified+VI/VI CSNB</t>
  </si>
  <si>
    <t>4.20-7.37</t>
  </si>
  <si>
    <t>https://www.ncbi.nlm.nih.gov/pubmed/21094163</t>
  </si>
  <si>
    <t>c.310G&gt;A</t>
  </si>
  <si>
    <t>310G&gt;A</t>
  </si>
  <si>
    <t>RHO_v001:p.(Val104Ile)</t>
  </si>
  <si>
    <t>RHO_v001:p.(V104I)</t>
  </si>
  <si>
    <t>V104I</t>
  </si>
  <si>
    <t>p.V104I</t>
  </si>
  <si>
    <t>Asymptomatic/Benign</t>
  </si>
  <si>
    <t>3.80-4.60</t>
  </si>
  <si>
    <t>same as 177</t>
  </si>
  <si>
    <t>Ile</t>
  </si>
  <si>
    <t>https://www.ncbi.nlm.nih.gov/pubmed/?term=24265693</t>
  </si>
  <si>
    <t>c.350C&gt;G</t>
  </si>
  <si>
    <t>350C&gt;G</t>
  </si>
  <si>
    <t>RHO_v001:p.(Ala117Gly)</t>
  </si>
  <si>
    <t>RHO_v001:p.(A117G)</t>
  </si>
  <si>
    <t>A117G</t>
  </si>
  <si>
    <t>p.A117G</t>
  </si>
  <si>
    <t>Asymptomatic</t>
  </si>
  <si>
    <t>3.30-4.76</t>
  </si>
  <si>
    <t>c.403_405delinsTAC</t>
  </si>
  <si>
    <t>403_405delCGGinsTAC</t>
  </si>
  <si>
    <t>RHO_v001:p.(Arg135Tyr)</t>
  </si>
  <si>
    <t>RHO_v001:p.(R135Y)</t>
  </si>
  <si>
    <t>R135Y</t>
  </si>
  <si>
    <t>p.R135Y</t>
  </si>
  <si>
    <t>IIa+III/III*</t>
  </si>
  <si>
    <t>0.08-0.30</t>
  </si>
  <si>
    <t>c.511_512delinsGA</t>
  </si>
  <si>
    <t>511_512delCCinsGA</t>
  </si>
  <si>
    <t>RHO_v001:p.(Pro171Glu)</t>
  </si>
  <si>
    <t>RHO_v001:p.(P171E)</t>
  </si>
  <si>
    <t>P171E</t>
  </si>
  <si>
    <t>p.P171E</t>
  </si>
  <si>
    <t>IIa/II</t>
  </si>
  <si>
    <t>0.08-0.21</t>
  </si>
  <si>
    <t>c.660T&gt;A</t>
  </si>
  <si>
    <t>660T&gt;A</t>
  </si>
  <si>
    <t>RHO_v001:p.(Phe220Leu)</t>
  </si>
  <si>
    <t>RHO_v001:p.(F220L)</t>
  </si>
  <si>
    <t>F220L</t>
  </si>
  <si>
    <t>p.F220L</t>
  </si>
  <si>
    <t>not pathogenic</t>
  </si>
  <si>
    <t>3.10-3.48</t>
  </si>
  <si>
    <t>c.895G&gt;T</t>
  </si>
  <si>
    <t>895G&gt;T</t>
  </si>
  <si>
    <t>RHO_v001:p.(Ala299Ser)</t>
  </si>
  <si>
    <t>RHO_v001:p.(A299S)</t>
  </si>
  <si>
    <t>A299S</t>
  </si>
  <si>
    <t>p.A299S</t>
  </si>
  <si>
    <t>2.96-3.12</t>
  </si>
  <si>
    <t>SSSS</t>
  </si>
  <si>
    <t>c.1039_1041delinsTGC</t>
  </si>
  <si>
    <t>1039_1041delCCGinsTGC</t>
  </si>
  <si>
    <t>RHO_v001:p.(Pro347Cys)</t>
  </si>
  <si>
    <t>RHO_v001:p.(P347C)</t>
  </si>
  <si>
    <t>P347C</t>
  </si>
  <si>
    <t>p.P347C</t>
  </si>
  <si>
    <t>2.84-4.52</t>
  </si>
  <si>
    <t>c.953_955del</t>
  </si>
  <si>
    <t>953_955delTCA</t>
  </si>
  <si>
    <t>RHO_v001:p.(Leu318_Thr319delinsPro)</t>
  </si>
  <si>
    <t>RHO_v001:p.(L318_T319delinsP)</t>
  </si>
  <si>
    <t>L318_T319delinsP</t>
  </si>
  <si>
    <t>p.(Leu318_Thr319delinsPro)</t>
  </si>
  <si>
    <t>indel, in frame</t>
  </si>
  <si>
    <t>1.46-2.11</t>
  </si>
  <si>
    <t>IIVI</t>
  </si>
  <si>
    <t>c.768_770del</t>
  </si>
  <si>
    <t>768_770delCAT</t>
  </si>
  <si>
    <t>RHO_v001:p.(Ile256del)</t>
  </si>
  <si>
    <t>RHO_v001:p.(I256del)</t>
  </si>
  <si>
    <t>I256del</t>
  </si>
  <si>
    <t>p.(Ile256del)</t>
  </si>
  <si>
    <t>0.10-0.17</t>
  </si>
  <si>
    <t>VM</t>
  </si>
  <si>
    <t>https://www.ncbi.nlm.nih.gov/pubmed/?term=1985460</t>
  </si>
  <si>
    <t>c.979_982del</t>
  </si>
  <si>
    <t>979_982delCCAC</t>
  </si>
  <si>
    <t>RHO_v001:p.(Pro327Trpfs*32)</t>
  </si>
  <si>
    <t>RHO_v001:p.(P327Wfs*32)</t>
  </si>
  <si>
    <t>P327Wfs*32</t>
  </si>
  <si>
    <t>p.(Pro327Trpfs*32)</t>
  </si>
  <si>
    <t>6.45-11.56</t>
  </si>
  <si>
    <t>Caution - Involves artificial 3' UTR- 35 aa instead of 32, but mostly the same aa's.  Stops before IRES</t>
  </si>
  <si>
    <t>https://www.ncbi.nlm.nih.gov/pubmed/?term=18310263</t>
  </si>
  <si>
    <t>c.204_215del</t>
  </si>
  <si>
    <t>204_215del12</t>
  </si>
  <si>
    <t>RHO_v001:p.(Arg69_Leu72del)</t>
  </si>
  <si>
    <t>RHO_v001:p.(R69_L72del)</t>
  </si>
  <si>
    <t>R69_L72del</t>
  </si>
  <si>
    <t>p.(Arg69_Leu72del)</t>
  </si>
  <si>
    <t>0.08-0.19</t>
  </si>
  <si>
    <t>c.980del</t>
  </si>
  <si>
    <t>980delC</t>
  </si>
  <si>
    <t>RHO_v001:p.(Pro327Hisfs*33)</t>
  </si>
  <si>
    <t>RHO_v001:p.(P327Hfs*33)</t>
  </si>
  <si>
    <t>P327Hfs*33</t>
  </si>
  <si>
    <t>p.(Pro327Hisfs*33)</t>
  </si>
  <si>
    <t>5.11-5.94</t>
  </si>
  <si>
    <t>Caution - Involves artificial 3' UTR- 36 aa instead of 33, but mostly the same aa's. Stops before IRES.</t>
  </si>
  <si>
    <t>https://www.ncbi.nlm.nih.gov/pubmed/?term=11520753</t>
  </si>
  <si>
    <t>c.995_1011del</t>
  </si>
  <si>
    <t>995_1011del17</t>
  </si>
  <si>
    <t>RHO_v001:p.(Glu332Valfs*16)</t>
  </si>
  <si>
    <t>RHO_v001:p.(E332Vfs*16)</t>
  </si>
  <si>
    <t>E332Vfs*16</t>
  </si>
  <si>
    <t>p.(Glu332Valfs*16)</t>
  </si>
  <si>
    <t>4.47-5.27</t>
  </si>
  <si>
    <t>Caution - Involves artificial 3' UTR- 33 aa instead of 16; stops before IRES</t>
  </si>
  <si>
    <t>DD</t>
  </si>
  <si>
    <t>c.1021_1028del</t>
  </si>
  <si>
    <t>1021_1028delGAGACGAG</t>
  </si>
  <si>
    <t>RHO_v001:p.(Glu341Profs*10)</t>
  </si>
  <si>
    <t>RHO_v001:p.(E341Pfs*10)</t>
  </si>
  <si>
    <t>E341Pfs*10</t>
  </si>
  <si>
    <t>p.(Glu341Profs*10)</t>
  </si>
  <si>
    <t>4.00-6.74</t>
  </si>
  <si>
    <t>Caution - Involves artificial 3' UTR- 26 aa instead of 10; stops before IRES</t>
  </si>
  <si>
    <t>https://www.ncbi.nlm.nih.gov/pubmed/?term=1487240</t>
  </si>
  <si>
    <t>c.1019del</t>
  </si>
  <si>
    <t>1019delC</t>
  </si>
  <si>
    <t>RHO_v001:p.(Thr340Argfs*20)</t>
  </si>
  <si>
    <t>RHO_v001:p.(T340Rfs*20)</t>
  </si>
  <si>
    <t>T340Rfs*20</t>
  </si>
  <si>
    <t>p.(Thr340Argfs*20)</t>
  </si>
  <si>
    <t>6.48-9.10</t>
  </si>
  <si>
    <t>Caution - Involves artificial 3' UTR- 23aa instead of 20; stops before IRES</t>
  </si>
  <si>
    <t>c.616_624del</t>
  </si>
  <si>
    <t>616_624delTACATGTTC</t>
  </si>
  <si>
    <t>RHO_v001:p.(Tyr206_Phe208del)</t>
  </si>
  <si>
    <t>RHO_v001:p.(Y206_F208del)</t>
  </si>
  <si>
    <t>Y206_F208del</t>
  </si>
  <si>
    <t>p.(Tyr206_Phe208del)</t>
  </si>
  <si>
    <t>https://www.ncbi.nlm.nih.gov/pubmed/?term=22419850</t>
  </si>
  <si>
    <t>c.1003del</t>
  </si>
  <si>
    <t>1003delG</t>
  </si>
  <si>
    <t>RHO_v001:p.(Ala335Leufs*25)</t>
  </si>
  <si>
    <t>RHO_v001:p.(A335Lfs*25)</t>
  </si>
  <si>
    <t>A335Lfs*25</t>
  </si>
  <si>
    <t>p.(Ala335Leufs*25)</t>
  </si>
  <si>
    <t>6.62-7.94</t>
  </si>
  <si>
    <t>Caution - Involves artificial 3' UTR- 28aa instead of 25; stops before IRES</t>
  </si>
  <si>
    <t>c.792_794del</t>
  </si>
  <si>
    <t>792_794delCTG</t>
  </si>
  <si>
    <t>RHO_v001:p.(Cys264del)</t>
  </si>
  <si>
    <t>RHO_v001:p.(C264del)</t>
  </si>
  <si>
    <t>C264del</t>
  </si>
  <si>
    <t>p.(Cys264del)</t>
  </si>
  <si>
    <t>https://www.ncbi.nlm.nih.gov/pubmed/?term=8088850</t>
  </si>
  <si>
    <t>c.404_405delinsTT</t>
  </si>
  <si>
    <t>404_405delGGinsTT</t>
  </si>
  <si>
    <t>0.26-0.39</t>
  </si>
  <si>
    <t>https://www.ncbi.nlm.nih.gov/pubmed/?term=1862076</t>
  </si>
  <si>
    <t>c.995_998dup</t>
  </si>
  <si>
    <t>995_998dupAGGC</t>
  </si>
  <si>
    <t>RHO_v001:p.(Ser334Glyfs*21)</t>
  </si>
  <si>
    <t>RHO_v001:p.(S334Gfs*21)</t>
  </si>
  <si>
    <t>S334Gfs*21</t>
  </si>
  <si>
    <t>p.(Ser334Glyfs*21)</t>
  </si>
  <si>
    <t>3.54-5.77</t>
  </si>
  <si>
    <t>Caution - Involves artificial 3' UTR- add 38aa instead of 21; stops before IRES</t>
  </si>
  <si>
    <t>https://www.ncbi.nlm.nih.gov/pubmed/?term=10521250</t>
  </si>
  <si>
    <t>c.942dup</t>
  </si>
  <si>
    <t>942dupG</t>
  </si>
  <si>
    <t>RHO_v001:p.(Asn315Glufs*16)</t>
  </si>
  <si>
    <t>RHO_v001:p.(N315Efs*16)</t>
  </si>
  <si>
    <t>N315Efs*16</t>
  </si>
  <si>
    <t>p.(Asn315Glufs*16)</t>
  </si>
  <si>
    <t>https://www.ncbi.nlm.nih.gov/pubmed/?term=16170112</t>
  </si>
  <si>
    <t>novel</t>
  </si>
  <si>
    <t>c.53G&gt;A</t>
  </si>
  <si>
    <t>53G&gt;A</t>
  </si>
  <si>
    <t>RHO_v001:p.(Gly18Asp)</t>
  </si>
  <si>
    <t>RHO_v001:p.(G18D)</t>
  </si>
  <si>
    <t>G18D</t>
  </si>
  <si>
    <t>VUS, novel</t>
  </si>
  <si>
    <t>0.24-0.30</t>
  </si>
  <si>
    <t>moderately low - confirms pathogenic</t>
  </si>
  <si>
    <t>newly determined as pathogenic</t>
  </si>
  <si>
    <t xml:space="preserve">N-term tail   </t>
  </si>
  <si>
    <t>c.998C&gt;T</t>
  </si>
  <si>
    <t>998C&gt;T</t>
  </si>
  <si>
    <t>RHO_v001:p.(Ala333Val)</t>
  </si>
  <si>
    <t>RHO_v001:p.(A333V)</t>
  </si>
  <si>
    <t>A333V</t>
  </si>
  <si>
    <t>p.A333V</t>
  </si>
  <si>
    <t>3.04-3.45</t>
  </si>
  <si>
    <t>SS-</t>
  </si>
  <si>
    <t>c.982del</t>
  </si>
  <si>
    <t>982delC</t>
  </si>
  <si>
    <t>RHO_v001:p.(Leu328Trpfs*32)</t>
  </si>
  <si>
    <t>RHO_v001:p.(L328Wfs*32)</t>
  </si>
  <si>
    <t>L328Wfs*32</t>
  </si>
  <si>
    <t>p.(Leu328Trpfs*32)</t>
  </si>
  <si>
    <t>4.96-10.67</t>
  </si>
  <si>
    <t>Caution - Involves artificial 3' UTR- add 35 instead of 32; stops before IRES</t>
  </si>
  <si>
    <t>https://www.ncbi.nlm.nih.gov/pubmed/?term=23950152</t>
  </si>
  <si>
    <t>c.84G&gt;C</t>
  </si>
  <si>
    <t>84G&gt;C</t>
  </si>
  <si>
    <t>https://www.ncbi.nlm.nih.gov/pubmed/?term=25408095</t>
  </si>
  <si>
    <t>c.61C&gt;T</t>
  </si>
  <si>
    <t>61C&gt;T</t>
  </si>
  <si>
    <t>RHO_v001:p.(Arg21Cys)</t>
  </si>
  <si>
    <t>RHO_v001:p.(R21C)</t>
  </si>
  <si>
    <t>R21C</t>
  </si>
  <si>
    <t>p.R21C</t>
  </si>
  <si>
    <t>2.91-4.84</t>
  </si>
  <si>
    <t>https://www.ncbi.nlm.nih.gov/pubmed/?term=25221422</t>
  </si>
  <si>
    <t>c.572A&gt;G</t>
  </si>
  <si>
    <t>572A&gt;G</t>
  </si>
  <si>
    <t>RHO_v001:p.(Tyr191Cys)</t>
  </si>
  <si>
    <t>RHO_v001:p.(Y191C)</t>
  </si>
  <si>
    <t>Y191C</t>
  </si>
  <si>
    <t>p.Y191C</t>
  </si>
  <si>
    <t>1.77-2.65</t>
  </si>
  <si>
    <t>c.559T&gt;G</t>
  </si>
  <si>
    <t>559T&gt;G</t>
  </si>
  <si>
    <t>RHO_v001:p.(Cys187Gly)</t>
  </si>
  <si>
    <t>RHO_v001:p.(C187G)</t>
  </si>
  <si>
    <t>C187G</t>
  </si>
  <si>
    <t>p.C187G</t>
  </si>
  <si>
    <t xml:space="preserve">interhelical loop II, VitA polyene chain binding pocket   </t>
  </si>
  <si>
    <t>c.545G&gt;T</t>
  </si>
  <si>
    <t>545G&gt;T</t>
  </si>
  <si>
    <t>RHO_v001:p.(Gly182Val)</t>
  </si>
  <si>
    <t>RHO_v001:p.(G182V)</t>
  </si>
  <si>
    <t>G182V</t>
  </si>
  <si>
    <t>p.G182V</t>
  </si>
  <si>
    <t>0.12-0.20</t>
  </si>
  <si>
    <t>https://www.ncbi.nlm.nih.gov/pubmed/?term=25221422,25366773</t>
  </si>
  <si>
    <t>c.532T&gt;G</t>
  </si>
  <si>
    <t>532T&gt;G</t>
  </si>
  <si>
    <t>RHO_v001:p.(Tyr178Asp)</t>
  </si>
  <si>
    <t>RHO_v001:p.(Y178D)</t>
  </si>
  <si>
    <t>Y178D</t>
  </si>
  <si>
    <t>p.Y178D</t>
  </si>
  <si>
    <t>https://www.ncbi.nlm.nih.gov/pubmed/?term=23591405</t>
  </si>
  <si>
    <t>c.509C&gt;A</t>
  </si>
  <si>
    <t>509C&gt;A</t>
  </si>
  <si>
    <t>RHO_v001:p.(Pro170His)</t>
  </si>
  <si>
    <t>RHO_v001:p.(P170H)</t>
  </si>
  <si>
    <t>P170H</t>
  </si>
  <si>
    <t>p.P170H</t>
  </si>
  <si>
    <t>0.19-0.36</t>
  </si>
  <si>
    <t>https://www.ncbi.nlm.nih.gov/pubmed/?term=24918165</t>
  </si>
  <si>
    <t>c.500G&gt;A</t>
  </si>
  <si>
    <t>500G&gt;A</t>
  </si>
  <si>
    <t>RHO_v001:p.(Cys167Tyr)</t>
  </si>
  <si>
    <t>RHO_v001:p.(C167Y)</t>
  </si>
  <si>
    <t>C167Y</t>
  </si>
  <si>
    <t>p.C167Y</t>
  </si>
  <si>
    <t>0.21-0.47</t>
  </si>
  <si>
    <t xml:space="preserve">TM4, VitA polyene chain binding pocket   </t>
  </si>
  <si>
    <t>c.488T&gt;C</t>
  </si>
  <si>
    <t>488T&gt;C</t>
  </si>
  <si>
    <t>RHO_v001:p.(Met163Thr)</t>
  </si>
  <si>
    <t>RHO_v001:p.(M163T)</t>
  </si>
  <si>
    <t>M163T</t>
  </si>
  <si>
    <t>p.M163T</t>
  </si>
  <si>
    <t>2.48-3.27</t>
  </si>
  <si>
    <t>c.409_426del</t>
  </si>
  <si>
    <t>409_426del18</t>
  </si>
  <si>
    <t>RHO_v001:p.(Val137_Pro142del)</t>
  </si>
  <si>
    <t>RHO_v001:p.(V137_P142del)</t>
  </si>
  <si>
    <t>V137_P142del</t>
  </si>
  <si>
    <t>p.(Val137_Pro142del)</t>
  </si>
  <si>
    <t>1.50-3.01</t>
  </si>
  <si>
    <t>c.378G&gt;A</t>
  </si>
  <si>
    <t>378G&gt;A</t>
  </si>
  <si>
    <t>RHO_v001:p.(Trp126*)</t>
  </si>
  <si>
    <t>RHO_v001:p.(W126*)</t>
  </si>
  <si>
    <t>W126*</t>
  </si>
  <si>
    <t>p.W126*</t>
  </si>
  <si>
    <t>0.12-0.19</t>
  </si>
  <si>
    <t>c.377G&gt;T</t>
  </si>
  <si>
    <t>377G&gt;T</t>
  </si>
  <si>
    <t>RHO_v001:p.(Trp126Leu)</t>
  </si>
  <si>
    <t>RHO_v001:p.(W126L)</t>
  </si>
  <si>
    <t>W126L</t>
  </si>
  <si>
    <t>p.W126L</t>
  </si>
  <si>
    <t>1.34-2.36</t>
  </si>
  <si>
    <t>https://www.ncbi.nlm.nih.gov/pubmed/?term=25485142</t>
  </si>
  <si>
    <t>c.36del</t>
  </si>
  <si>
    <t>36delC</t>
  </si>
  <si>
    <t>RHO_v001:p.(Phe13Serfs*35)</t>
  </si>
  <si>
    <t>RHO_v001:p.(F13Sfs*35)</t>
  </si>
  <si>
    <t>F13Sfs*35</t>
  </si>
  <si>
    <t>p.(Phe13Serfs*35)</t>
  </si>
  <si>
    <t>0.03-0.14</t>
  </si>
  <si>
    <t>https://www.ncbi.nlm.nih.gov/pubmed/?term=</t>
  </si>
  <si>
    <t>c.35C&gt;G</t>
  </si>
  <si>
    <t>35C&gt;G</t>
  </si>
  <si>
    <t>RHO_v001:p.(Pro12Arg)</t>
  </si>
  <si>
    <t>RHO_v001:p.(P12R)</t>
  </si>
  <si>
    <t>P12R</t>
  </si>
  <si>
    <t>p.P12R</t>
  </si>
  <si>
    <t>0.07-0.13</t>
  </si>
  <si>
    <t>c.329G&gt;C</t>
  </si>
  <si>
    <t>329G&gt;C</t>
  </si>
  <si>
    <t>RHO_v001:p.(Cys110Ser)</t>
  </si>
  <si>
    <t>RHO_v001:p.(C110S)</t>
  </si>
  <si>
    <t>C110S</t>
  </si>
  <si>
    <t>p.C110S</t>
  </si>
  <si>
    <t xml:space="preserve">same as </t>
  </si>
  <si>
    <t>same as 137</t>
  </si>
  <si>
    <t>c.302G&gt;A</t>
  </si>
  <si>
    <t>302G&gt;A</t>
  </si>
  <si>
    <t>RHO_v001:p.(Gly101Glu)</t>
  </si>
  <si>
    <t>RHO_v001:p.(G101E)</t>
  </si>
  <si>
    <t>G101E</t>
  </si>
  <si>
    <t>p.G101E</t>
  </si>
  <si>
    <t>0.47-0.71</t>
  </si>
  <si>
    <t>literature report unclear - this data suggests likely pathogenic</t>
  </si>
  <si>
    <t>c.290C&gt;T</t>
  </si>
  <si>
    <t>290C&gt;T</t>
  </si>
  <si>
    <t>RHO_v001:p.(Thr97Ile)</t>
  </si>
  <si>
    <t>RHO_v001:p.(T97I)</t>
  </si>
  <si>
    <t>T97I</t>
  </si>
  <si>
    <t>p.T97I</t>
  </si>
  <si>
    <t>1.55-2.65</t>
  </si>
  <si>
    <t>c.275C&gt;T</t>
  </si>
  <si>
    <t>275C&gt;T</t>
  </si>
  <si>
    <t>RHO_v001:p.(Thr92Ile)</t>
  </si>
  <si>
    <t>RHO_v001:p.(T92I)</t>
  </si>
  <si>
    <t>T92I</t>
  </si>
  <si>
    <t>p.T92I</t>
  </si>
  <si>
    <t>3.20-5.03</t>
  </si>
  <si>
    <t>c.259G&gt;C</t>
  </si>
  <si>
    <t>259G&gt;C</t>
  </si>
  <si>
    <t>RHO_v001:p.(Val87Leu)</t>
  </si>
  <si>
    <t>RHO_v001:p.(V87L)</t>
  </si>
  <si>
    <t>V87L</t>
  </si>
  <si>
    <t>p.V87L</t>
  </si>
  <si>
    <t>3.47-4.57</t>
  </si>
  <si>
    <t>https://www.ncbi.nlm.nih.gov/pubmed/?term=24416769,24512775</t>
  </si>
  <si>
    <t>c.236T&gt;C</t>
  </si>
  <si>
    <t>236T&gt;C</t>
  </si>
  <si>
    <t>RHO_v001:p.(Leu79Pro)</t>
  </si>
  <si>
    <t>RHO_v001:p.(L79P)</t>
  </si>
  <si>
    <t>L79P</t>
  </si>
  <si>
    <t>p.L79P</t>
  </si>
  <si>
    <t>0.72-1.13</t>
  </si>
  <si>
    <t>c.217_219del</t>
  </si>
  <si>
    <t>217_219delAAC</t>
  </si>
  <si>
    <t>RHO_v001:p.(Asn73del)</t>
  </si>
  <si>
    <t>RHO_v001:p.(N73del)</t>
  </si>
  <si>
    <t>N73del</t>
  </si>
  <si>
    <t>p.(Asn73del)</t>
  </si>
  <si>
    <t>0.14-0.28</t>
  </si>
  <si>
    <t>https://www.ncbi.nlm.nih.gov/pubmed/?term=23559859</t>
  </si>
  <si>
    <t>c.206G&gt;A</t>
  </si>
  <si>
    <t>206G&gt;A</t>
  </si>
  <si>
    <t>RHO_v001:p.(Arg69His)</t>
  </si>
  <si>
    <t>RHO_v001:p.(R69H)</t>
  </si>
  <si>
    <t>R69H</t>
  </si>
  <si>
    <t>p.R69H</t>
  </si>
  <si>
    <t>3.50-3.80</t>
  </si>
  <si>
    <t xml:space="preserve">Chromophore release   </t>
  </si>
  <si>
    <t>Chromophore release</t>
  </si>
  <si>
    <t>https://www.ncbi.nlm.nih.gov/pubmed/?term=22791210</t>
  </si>
  <si>
    <t>c.180C&gt;A</t>
  </si>
  <si>
    <t>180C&gt;A</t>
  </si>
  <si>
    <t>RHO_v001:p.(Tyr60*)</t>
  </si>
  <si>
    <t>RHO_v001:p.(Y60*)</t>
  </si>
  <si>
    <t>Y60*</t>
  </si>
  <si>
    <t>p.Y60*</t>
  </si>
  <si>
    <t>c.140T&gt;G</t>
  </si>
  <si>
    <t>140T&gt;G</t>
  </si>
  <si>
    <t>RHO_v001:p.(Leu47Arg)</t>
  </si>
  <si>
    <t>RHO_v001:p.(L47R)</t>
  </si>
  <si>
    <t>L47R</t>
  </si>
  <si>
    <t>p.L47R</t>
  </si>
  <si>
    <t>0.09-0.24</t>
  </si>
  <si>
    <t>very low - confirms pathogenicity</t>
  </si>
  <si>
    <t>literature correct over databases- pathogenic</t>
  </si>
  <si>
    <t xml:space="preserve">TM 1, VitA polyene chain binding pocket, Lys296 stabilization   </t>
  </si>
  <si>
    <t>c.116T&gt;G</t>
  </si>
  <si>
    <t>116T&gt;G</t>
  </si>
  <si>
    <t>RHO_v001:p.(Met39Arg)</t>
  </si>
  <si>
    <t>RHO_v001:p.(M39R)</t>
  </si>
  <si>
    <t>M39R</t>
  </si>
  <si>
    <t>p.M39R</t>
  </si>
  <si>
    <t>Unclassified/4</t>
  </si>
  <si>
    <t>LAA</t>
  </si>
  <si>
    <t>c.1034T&gt;G</t>
  </si>
  <si>
    <t>1034T&gt;G</t>
  </si>
  <si>
    <t>RHO_v001:p.(Val345Gly)</t>
  </si>
  <si>
    <t>RHO_v001:p.(V345G)</t>
  </si>
  <si>
    <t>V345G</t>
  </si>
  <si>
    <t>p.V345G</t>
  </si>
  <si>
    <t>3.73-4.35</t>
  </si>
  <si>
    <t>c.1033G&gt;T</t>
  </si>
  <si>
    <t>1033G&gt;T</t>
  </si>
  <si>
    <t>4.51-5.08</t>
  </si>
  <si>
    <t>https://www.ncbi.nlm.nih.gov/pubmed/?term=24938718</t>
  </si>
  <si>
    <t>c.1031A&gt;G</t>
  </si>
  <si>
    <t>1031A&gt;G</t>
  </si>
  <si>
    <t>RHO_v001:p.(Gln344Arg)</t>
  </si>
  <si>
    <t>RHO_v001:p.(Q344R)</t>
  </si>
  <si>
    <t>Q344R</t>
  </si>
  <si>
    <t>p.Q344R</t>
  </si>
  <si>
    <t>2.49-2.86</t>
  </si>
  <si>
    <t>c.1021dup</t>
  </si>
  <si>
    <t>1021dupG</t>
  </si>
  <si>
    <t>RHO_v001:p.(Glu341Glyfs*13)</t>
  </si>
  <si>
    <t>RHO_v001:p.(E341Gfs*13)</t>
  </si>
  <si>
    <t>E341Gfs*13</t>
  </si>
  <si>
    <t>p.(Glu341Glyfs*13)</t>
  </si>
  <si>
    <t>5.06-13.38</t>
  </si>
  <si>
    <t>Ramon et al JBC 2014</t>
  </si>
  <si>
    <t>c.165C&gt;G</t>
  </si>
  <si>
    <t>165C&gt;G</t>
  </si>
  <si>
    <t>RHO_v001:p.(Asn55Lys)</t>
  </si>
  <si>
    <t>RHO_v001:p.(N55K)</t>
  </si>
  <si>
    <t>N55K</t>
  </si>
  <si>
    <t>hRhoMut193.165A&gt;G</t>
  </si>
  <si>
    <t>0.30-0.57</t>
  </si>
  <si>
    <t>https://www.ncbi.nlm.nih.gov/pubmed/25359768</t>
  </si>
  <si>
    <t>c.178T&gt;C</t>
  </si>
  <si>
    <t>178T&gt;C</t>
  </si>
  <si>
    <t>RHO_v001:p.(Tyr60His)</t>
  </si>
  <si>
    <t>RHO_v001:p.(Y60H)</t>
  </si>
  <si>
    <t>Y60H</t>
  </si>
  <si>
    <t>2.45-6.38</t>
  </si>
  <si>
    <t>c.185C&gt;A</t>
  </si>
  <si>
    <t>185C&gt;A</t>
  </si>
  <si>
    <t>RHO_v001:p.(Thr62Asn)</t>
  </si>
  <si>
    <t>RHO_v001:p.(T62N)</t>
  </si>
  <si>
    <t>T62N</t>
  </si>
  <si>
    <t>3.70-5.58</t>
  </si>
  <si>
    <t>c.218A&gt;G</t>
  </si>
  <si>
    <t>218A&gt;G</t>
  </si>
  <si>
    <t>RHO_v001:p.(Asn73Ser)</t>
  </si>
  <si>
    <t>RHO_v001:p.(N73S)</t>
  </si>
  <si>
    <t>N73S</t>
  </si>
  <si>
    <t>2.58-3.34</t>
  </si>
  <si>
    <t>c.302G&gt;T</t>
  </si>
  <si>
    <t>302G&gt;T</t>
  </si>
  <si>
    <t>RHO_v001:p.(Gly101Val)</t>
  </si>
  <si>
    <t>RHO_v001:p.(G101V)</t>
  </si>
  <si>
    <t>G101V</t>
  </si>
  <si>
    <t>0.33-0.68</t>
  </si>
  <si>
    <t>c.439C&gt;T</t>
  </si>
  <si>
    <t>439C&gt;T</t>
  </si>
  <si>
    <t>RHO_v001:p.(Arg147Cys)</t>
  </si>
  <si>
    <t>RHO_v001:p.(R147C)</t>
  </si>
  <si>
    <t>R147C</t>
  </si>
  <si>
    <t>3.14-3.36</t>
  </si>
  <si>
    <t>c.755G&gt;A</t>
  </si>
  <si>
    <t>755G&gt;A</t>
  </si>
  <si>
    <t>RHO_v001:p.(Arg252His)</t>
  </si>
  <si>
    <t>RHO_v001:p.(R252H)</t>
  </si>
  <si>
    <t>R252H</t>
  </si>
  <si>
    <t>2.18-3.03</t>
  </si>
  <si>
    <t>c.895G&gt;A</t>
  </si>
  <si>
    <t>895G&gt;A</t>
  </si>
  <si>
    <t>RHO_v001:p.(Ala299Thr)</t>
  </si>
  <si>
    <t>RHO_v001:p.(A299T)</t>
  </si>
  <si>
    <t>A299T</t>
  </si>
  <si>
    <t>1.83-2.32</t>
  </si>
  <si>
    <t>c.913A&gt;G</t>
  </si>
  <si>
    <t>913A&gt;G</t>
  </si>
  <si>
    <t>RHO_v001:p.(Ile305Val)</t>
  </si>
  <si>
    <t>RHO_v001:p.(I305V)</t>
  </si>
  <si>
    <t>I305V</t>
  </si>
  <si>
    <t>2.21-2.81</t>
  </si>
  <si>
    <t>c.538C&gt;A</t>
  </si>
  <si>
    <t>538C&gt;A</t>
  </si>
  <si>
    <t>RHO_v001:p.(Pro180Thr)</t>
  </si>
  <si>
    <t>RHO_v001:p.(P180T)</t>
  </si>
  <si>
    <t>P180T</t>
  </si>
  <si>
    <t>0.24-0.46</t>
  </si>
  <si>
    <t>synthetic</t>
  </si>
  <si>
    <t>c.966C&gt;T</t>
  </si>
  <si>
    <t>966C&gt;T</t>
  </si>
  <si>
    <t>synonymous</t>
  </si>
  <si>
    <t>Synonymous control</t>
  </si>
  <si>
    <t>2.57-4.07</t>
  </si>
  <si>
    <t>confirms positive control</t>
  </si>
  <si>
    <t>c.969C&gt;T</t>
  </si>
  <si>
    <t>969C&gt;T</t>
  </si>
  <si>
    <t>2.10-3.98</t>
  </si>
  <si>
    <t>c.972C&gt;A</t>
  </si>
  <si>
    <t>972C&gt;A</t>
  </si>
  <si>
    <t>2.71-3.45</t>
  </si>
  <si>
    <t>c.978C&gt;T</t>
  </si>
  <si>
    <t>978C&gt;T</t>
  </si>
  <si>
    <t>2.97-4.26</t>
  </si>
  <si>
    <t>c.990C&gt;T</t>
  </si>
  <si>
    <t>990C&gt;T</t>
  </si>
  <si>
    <t>2.41-3.17</t>
  </si>
  <si>
    <t>E</t>
  </si>
  <si>
    <t>c.1002T&gt;C</t>
  </si>
  <si>
    <t>1002T&gt;C</t>
  </si>
  <si>
    <t>2.06-2.13</t>
  </si>
  <si>
    <t>intermediate value of positive control</t>
  </si>
  <si>
    <t>-</t>
  </si>
  <si>
    <t>c.1005T&gt;C</t>
  </si>
  <si>
    <t>1005T&gt;C</t>
  </si>
  <si>
    <t>2.56-3.19</t>
  </si>
  <si>
    <t>c.1014C&gt;T</t>
  </si>
  <si>
    <t>1014C&gt;T</t>
  </si>
  <si>
    <t>2.57-3.77</t>
  </si>
  <si>
    <t>G</t>
  </si>
  <si>
    <t>c.1029C&gt;T</t>
  </si>
  <si>
    <t>1029C&gt;T</t>
  </si>
  <si>
    <t>2.03-3.30</t>
  </si>
  <si>
    <t>c.1035G&gt;C</t>
  </si>
  <si>
    <t>1035G&gt;C</t>
  </si>
  <si>
    <t>2.85-3.66</t>
  </si>
  <si>
    <t>c.1038C&gt;T</t>
  </si>
  <si>
    <t>1038C&gt;T</t>
  </si>
  <si>
    <t>2.26-3.13</t>
  </si>
  <si>
    <t>wildtype</t>
  </si>
  <si>
    <t>not detectable in NGS assay - see synonymous controls</t>
  </si>
  <si>
    <t>hgvs_c</t>
  </si>
  <si>
    <t>c.</t>
  </si>
  <si>
    <t>C322C</t>
  </si>
  <si>
    <t>C323C</t>
  </si>
  <si>
    <t>G324G</t>
  </si>
  <si>
    <t>N326N</t>
  </si>
  <si>
    <t>A346A</t>
  </si>
  <si>
    <t>V345V</t>
  </si>
  <si>
    <t>S343S</t>
  </si>
  <si>
    <t>S338S</t>
  </si>
  <si>
    <t>A335A</t>
  </si>
  <si>
    <t>S334S</t>
  </si>
  <si>
    <t>D330D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</si>
</sst>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sz val="13"/>
      <name val="Monaco"/>
      <family val="2"/>
    </font>
    <font>
      <sz val="10"/>
      <name val="Tahoma"/>
      <family val="2"/>
    </font>
    <font>
      <sz val="10"/>
      <name val="Consolas"/>
      <family val="3"/>
    </font>
    <font>
      <sz val="12"/>
      <name val="Times New Roman"/>
      <family val="1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63BE7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textRotation="90" wrapText="1"/>
    </xf>
    <xf numFmtId="0" fontId="2" fillId="0" borderId="0" xfId="0" applyFont="1" applyAlignment="1">
      <alignment textRotation="90"/>
    </xf>
    <xf numFmtId="0" fontId="2" fillId="0" borderId="0" xfId="0" applyFont="1" applyAlignment="1">
      <alignment horizontal="left" textRotation="90" wrapText="1"/>
    </xf>
    <xf numFmtId="0" fontId="1" fillId="0" borderId="0" xfId="0" applyFont="1" applyAlignment="1">
      <alignment wrapText="1"/>
    </xf>
    <xf numFmtId="0" fontId="0" fillId="0" borderId="0" xfId="0" applyAlignment="1">
      <alignment textRotation="90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/>
    <xf numFmtId="0" fontId="3" fillId="0" borderId="0" xfId="1" applyFill="1" applyAlignment="1" applyProtection="1">
      <alignment horizontal="center"/>
    </xf>
    <xf numFmtId="0" fontId="2" fillId="0" borderId="0" xfId="0" applyFont="1" applyAlignment="1">
      <alignment horizontal="left"/>
    </xf>
    <xf numFmtId="164" fontId="1" fillId="0" borderId="0" xfId="0" applyNumberFormat="1" applyFont="1"/>
    <xf numFmtId="164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  <xf numFmtId="0" fontId="2" fillId="2" borderId="0" xfId="0" applyFont="1" applyFill="1" applyAlignment="1">
      <alignment horizontal="left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0" fillId="5" borderId="0" xfId="0" applyFill="1"/>
    <xf numFmtId="0" fontId="0" fillId="0" borderId="0" xfId="0" applyAlignment="1">
      <alignment horizontal="center"/>
    </xf>
    <xf numFmtId="0" fontId="1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2">
    <dxf>
      <fill>
        <patternFill>
          <bgColor rgb="FFFFFF00"/>
        </patternFill>
      </fill>
    </dxf>
    <dxf>
      <fill>
        <patternFill>
          <bgColor rgb="FF63BE7B"/>
        </patternFill>
      </fill>
    </dxf>
    <dxf>
      <fill>
        <patternFill>
          <bgColor rgb="FFFFA7A7"/>
        </patternFill>
      </fill>
    </dxf>
    <dxf>
      <fill>
        <patternFill>
          <bgColor rgb="FFFF6565"/>
        </patternFill>
      </fill>
    </dxf>
    <dxf>
      <fill>
        <patternFill>
          <bgColor rgb="FF63BE7B"/>
        </patternFill>
      </fill>
    </dxf>
    <dxf>
      <fill>
        <patternFill>
          <bgColor rgb="FFFFA7A7"/>
        </patternFill>
      </fill>
    </dxf>
    <dxf>
      <fill>
        <patternFill>
          <bgColor rgb="FFFF6565"/>
        </patternFill>
      </fill>
    </dxf>
    <dxf>
      <fill>
        <patternFill>
          <bgColor rgb="FFFF6565"/>
        </patternFill>
      </fill>
    </dxf>
    <dxf>
      <fill>
        <patternFill>
          <bgColor rgb="FF63BE7B"/>
        </patternFill>
      </fill>
    </dxf>
    <dxf>
      <fill>
        <patternFill>
          <bgColor rgb="FF63BE7B"/>
        </patternFill>
      </fill>
    </dxf>
    <dxf>
      <fill>
        <patternFill>
          <bgColor rgb="FFFFA7A7"/>
        </patternFill>
      </fill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/NGS/analysis/batch%205%20HEK%20cells%20mix%20of%2012%20CPS_T84/Raw%20Data/analyzing%20xl%20fi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smid_T17M_276987w_DA9"/>
      <sheetName val="Plasmid_Lo_276987w_DA7"/>
      <sheetName val="Plasmid_Hi_276987w_DA8"/>
      <sheetName val="alignment info"/>
      <sheetName val="combn rem spaces"/>
      <sheetName val="probe info"/>
      <sheetName val="pivot"/>
      <sheetName val="mut info"/>
    </sheetNames>
    <sheetDataSet>
      <sheetData sheetId="0"/>
      <sheetData sheetId="1"/>
      <sheetData sheetId="2">
        <row r="3">
          <cell r="D3">
            <v>25324</v>
          </cell>
        </row>
        <row r="4">
          <cell r="D4">
            <v>8681</v>
          </cell>
        </row>
        <row r="5">
          <cell r="D5">
            <v>12950</v>
          </cell>
        </row>
        <row r="6">
          <cell r="D6">
            <v>10283</v>
          </cell>
        </row>
        <row r="7">
          <cell r="D7">
            <v>10375</v>
          </cell>
        </row>
        <row r="8">
          <cell r="D8">
            <v>24388</v>
          </cell>
        </row>
        <row r="9">
          <cell r="D9">
            <v>9431</v>
          </cell>
        </row>
        <row r="10">
          <cell r="D10">
            <v>23956</v>
          </cell>
        </row>
        <row r="11">
          <cell r="D11">
            <v>12161</v>
          </cell>
        </row>
        <row r="12">
          <cell r="D12">
            <v>28717</v>
          </cell>
        </row>
        <row r="13">
          <cell r="D13">
            <v>12892</v>
          </cell>
        </row>
        <row r="14">
          <cell r="D14">
            <v>9591</v>
          </cell>
        </row>
        <row r="15">
          <cell r="D15">
            <v>24423</v>
          </cell>
        </row>
        <row r="16">
          <cell r="D16">
            <v>24649</v>
          </cell>
        </row>
        <row r="17">
          <cell r="D17">
            <v>28352</v>
          </cell>
        </row>
        <row r="18">
          <cell r="D18">
            <v>22473</v>
          </cell>
        </row>
        <row r="19">
          <cell r="D19">
            <v>9537</v>
          </cell>
        </row>
        <row r="20">
          <cell r="D20">
            <v>29102</v>
          </cell>
        </row>
        <row r="21">
          <cell r="D21">
            <v>11006</v>
          </cell>
        </row>
        <row r="22">
          <cell r="D22">
            <v>11488</v>
          </cell>
        </row>
        <row r="23">
          <cell r="D23">
            <v>12811</v>
          </cell>
        </row>
        <row r="24">
          <cell r="D24">
            <v>28493</v>
          </cell>
        </row>
        <row r="25">
          <cell r="D25">
            <v>9436</v>
          </cell>
        </row>
        <row r="26">
          <cell r="D26">
            <v>22463</v>
          </cell>
        </row>
        <row r="27">
          <cell r="D27">
            <v>24970</v>
          </cell>
        </row>
        <row r="28">
          <cell r="D28">
            <v>9819</v>
          </cell>
        </row>
        <row r="29">
          <cell r="D29">
            <v>12892</v>
          </cell>
        </row>
        <row r="30">
          <cell r="D30">
            <v>28274</v>
          </cell>
        </row>
        <row r="31">
          <cell r="D31">
            <v>26873</v>
          </cell>
        </row>
        <row r="32">
          <cell r="D32">
            <v>12701</v>
          </cell>
        </row>
        <row r="33">
          <cell r="D33">
            <v>9842</v>
          </cell>
        </row>
        <row r="34">
          <cell r="D34">
            <v>26466</v>
          </cell>
        </row>
        <row r="35">
          <cell r="D35">
            <v>9845</v>
          </cell>
        </row>
        <row r="36">
          <cell r="D36">
            <v>23398</v>
          </cell>
        </row>
        <row r="37">
          <cell r="D37">
            <v>13475</v>
          </cell>
        </row>
        <row r="38">
          <cell r="D38">
            <v>22109</v>
          </cell>
        </row>
        <row r="39">
          <cell r="D39">
            <v>24433</v>
          </cell>
        </row>
        <row r="40">
          <cell r="D40">
            <v>17428</v>
          </cell>
        </row>
        <row r="41">
          <cell r="D41">
            <v>25400</v>
          </cell>
        </row>
        <row r="42">
          <cell r="D42">
            <v>27933</v>
          </cell>
        </row>
        <row r="43">
          <cell r="D43">
            <v>27771</v>
          </cell>
        </row>
        <row r="44">
          <cell r="D44">
            <v>25844</v>
          </cell>
        </row>
        <row r="45">
          <cell r="D45">
            <v>17561</v>
          </cell>
        </row>
        <row r="46">
          <cell r="D46">
            <v>24241</v>
          </cell>
        </row>
        <row r="47">
          <cell r="D47">
            <v>24716</v>
          </cell>
        </row>
        <row r="48">
          <cell r="D48">
            <v>24294</v>
          </cell>
        </row>
        <row r="49">
          <cell r="D49">
            <v>25566</v>
          </cell>
        </row>
        <row r="50">
          <cell r="D50">
            <v>23663</v>
          </cell>
        </row>
        <row r="51">
          <cell r="D51">
            <v>25209</v>
          </cell>
        </row>
        <row r="52">
          <cell r="D52">
            <v>27537</v>
          </cell>
        </row>
        <row r="53">
          <cell r="D53">
            <v>26069</v>
          </cell>
        </row>
        <row r="54">
          <cell r="D54">
            <v>17075</v>
          </cell>
        </row>
        <row r="55">
          <cell r="D55">
            <v>16134</v>
          </cell>
        </row>
        <row r="56">
          <cell r="D56">
            <v>14012</v>
          </cell>
        </row>
        <row r="57">
          <cell r="D57">
            <v>13120</v>
          </cell>
        </row>
        <row r="58">
          <cell r="D58">
            <v>24619</v>
          </cell>
        </row>
        <row r="59">
          <cell r="D59">
            <v>27714</v>
          </cell>
        </row>
        <row r="60">
          <cell r="D60">
            <v>14475</v>
          </cell>
        </row>
        <row r="61">
          <cell r="D61">
            <v>25708</v>
          </cell>
        </row>
        <row r="62">
          <cell r="D62">
            <v>25139</v>
          </cell>
        </row>
        <row r="63">
          <cell r="D63">
            <v>29264</v>
          </cell>
        </row>
        <row r="64">
          <cell r="D64">
            <v>28230</v>
          </cell>
        </row>
        <row r="65">
          <cell r="D65">
            <v>13685</v>
          </cell>
        </row>
        <row r="66">
          <cell r="D66">
            <v>27064</v>
          </cell>
        </row>
        <row r="67">
          <cell r="D67">
            <v>23608</v>
          </cell>
        </row>
        <row r="68">
          <cell r="D68">
            <v>27170</v>
          </cell>
        </row>
        <row r="69">
          <cell r="D69">
            <v>12061</v>
          </cell>
        </row>
        <row r="70">
          <cell r="D70">
            <v>10711</v>
          </cell>
        </row>
        <row r="71">
          <cell r="D71">
            <v>8746</v>
          </cell>
        </row>
        <row r="72">
          <cell r="D72">
            <v>12921</v>
          </cell>
        </row>
        <row r="73">
          <cell r="D73">
            <v>26622</v>
          </cell>
        </row>
        <row r="74">
          <cell r="D74">
            <v>23813</v>
          </cell>
        </row>
        <row r="75">
          <cell r="D75">
            <v>22675</v>
          </cell>
        </row>
        <row r="76">
          <cell r="D76">
            <v>24022</v>
          </cell>
        </row>
        <row r="77">
          <cell r="D77">
            <v>28354</v>
          </cell>
        </row>
        <row r="78">
          <cell r="D78">
            <v>28802</v>
          </cell>
        </row>
        <row r="79">
          <cell r="D79">
            <v>10011</v>
          </cell>
        </row>
        <row r="80">
          <cell r="D80">
            <v>12759</v>
          </cell>
        </row>
        <row r="81">
          <cell r="D81">
            <v>13253</v>
          </cell>
        </row>
        <row r="82">
          <cell r="D82">
            <v>26133</v>
          </cell>
        </row>
        <row r="83">
          <cell r="D83">
            <v>23140</v>
          </cell>
        </row>
        <row r="84">
          <cell r="D84">
            <v>15541</v>
          </cell>
        </row>
        <row r="85">
          <cell r="D85">
            <v>22258</v>
          </cell>
        </row>
        <row r="86">
          <cell r="D86">
            <v>14308</v>
          </cell>
        </row>
        <row r="87">
          <cell r="D87">
            <v>9697</v>
          </cell>
        </row>
        <row r="88">
          <cell r="D88">
            <v>9379</v>
          </cell>
        </row>
        <row r="89">
          <cell r="D89">
            <v>9700</v>
          </cell>
        </row>
        <row r="90">
          <cell r="D90">
            <v>26057</v>
          </cell>
        </row>
        <row r="91">
          <cell r="D91">
            <v>27610</v>
          </cell>
        </row>
        <row r="92">
          <cell r="D92">
            <v>8955</v>
          </cell>
        </row>
        <row r="93">
          <cell r="D93">
            <v>12760</v>
          </cell>
        </row>
        <row r="94">
          <cell r="D94">
            <v>22239</v>
          </cell>
        </row>
        <row r="95">
          <cell r="D95">
            <v>26630</v>
          </cell>
        </row>
        <row r="96">
          <cell r="D96">
            <v>9331</v>
          </cell>
        </row>
        <row r="97">
          <cell r="D97">
            <v>13989</v>
          </cell>
        </row>
        <row r="98">
          <cell r="D98">
            <v>14614</v>
          </cell>
        </row>
        <row r="99">
          <cell r="D99">
            <v>13169</v>
          </cell>
        </row>
        <row r="100">
          <cell r="D100">
            <v>15017</v>
          </cell>
        </row>
        <row r="101">
          <cell r="D101">
            <v>10557</v>
          </cell>
        </row>
        <row r="102">
          <cell r="D102">
            <v>14531</v>
          </cell>
        </row>
        <row r="103">
          <cell r="D103">
            <v>22693</v>
          </cell>
        </row>
        <row r="104">
          <cell r="D104">
            <v>24170</v>
          </cell>
        </row>
        <row r="105">
          <cell r="D105">
            <v>25687</v>
          </cell>
        </row>
        <row r="106">
          <cell r="D106">
            <v>11270</v>
          </cell>
        </row>
        <row r="107">
          <cell r="D107">
            <v>12630</v>
          </cell>
        </row>
        <row r="108">
          <cell r="D108">
            <v>22301</v>
          </cell>
        </row>
        <row r="109">
          <cell r="D109">
            <v>10097</v>
          </cell>
        </row>
        <row r="110">
          <cell r="D110">
            <v>12420</v>
          </cell>
        </row>
        <row r="111">
          <cell r="D111">
            <v>14000</v>
          </cell>
        </row>
        <row r="112">
          <cell r="D112">
            <v>22339</v>
          </cell>
        </row>
        <row r="113">
          <cell r="D113">
            <v>13791</v>
          </cell>
        </row>
        <row r="114">
          <cell r="D114">
            <v>21670</v>
          </cell>
        </row>
        <row r="115">
          <cell r="D115">
            <v>29737</v>
          </cell>
        </row>
        <row r="116">
          <cell r="D116">
            <v>22913</v>
          </cell>
        </row>
        <row r="117">
          <cell r="D117">
            <v>17784</v>
          </cell>
        </row>
        <row r="118">
          <cell r="D118">
            <v>22580</v>
          </cell>
        </row>
        <row r="119">
          <cell r="D119">
            <v>22611</v>
          </cell>
        </row>
        <row r="120">
          <cell r="D120">
            <v>29505</v>
          </cell>
        </row>
        <row r="121">
          <cell r="D121">
            <v>22970</v>
          </cell>
        </row>
        <row r="122">
          <cell r="D122">
            <v>23521</v>
          </cell>
        </row>
        <row r="123">
          <cell r="D123">
            <v>17853</v>
          </cell>
        </row>
        <row r="124">
          <cell r="D124">
            <v>9372</v>
          </cell>
        </row>
        <row r="125">
          <cell r="D125">
            <v>9612</v>
          </cell>
        </row>
        <row r="126">
          <cell r="D126">
            <v>10111</v>
          </cell>
        </row>
        <row r="127">
          <cell r="D127">
            <v>27217</v>
          </cell>
        </row>
        <row r="128">
          <cell r="D128">
            <v>22700</v>
          </cell>
        </row>
        <row r="129">
          <cell r="D129">
            <v>12885</v>
          </cell>
        </row>
        <row r="130">
          <cell r="D130">
            <v>11794</v>
          </cell>
        </row>
        <row r="131">
          <cell r="D131">
            <v>11267</v>
          </cell>
        </row>
        <row r="132">
          <cell r="D132">
            <v>23453</v>
          </cell>
        </row>
        <row r="133">
          <cell r="D133">
            <v>23598</v>
          </cell>
        </row>
        <row r="134">
          <cell r="D134">
            <v>17821</v>
          </cell>
        </row>
        <row r="135">
          <cell r="D135">
            <v>13951</v>
          </cell>
        </row>
        <row r="136">
          <cell r="D136">
            <v>28009</v>
          </cell>
        </row>
        <row r="137">
          <cell r="D137">
            <v>22803</v>
          </cell>
        </row>
        <row r="138">
          <cell r="D138">
            <v>12967</v>
          </cell>
        </row>
        <row r="139">
          <cell r="D139">
            <v>13628</v>
          </cell>
        </row>
        <row r="140">
          <cell r="D140">
            <v>21864</v>
          </cell>
        </row>
        <row r="141">
          <cell r="D141">
            <v>22286</v>
          </cell>
        </row>
        <row r="142">
          <cell r="D142">
            <v>22779</v>
          </cell>
        </row>
        <row r="143">
          <cell r="D143">
            <v>16970</v>
          </cell>
        </row>
        <row r="144">
          <cell r="D144">
            <v>11290</v>
          </cell>
        </row>
        <row r="145">
          <cell r="D145">
            <v>25441</v>
          </cell>
        </row>
        <row r="146">
          <cell r="D146">
            <v>17545</v>
          </cell>
        </row>
        <row r="147">
          <cell r="D147">
            <v>25870</v>
          </cell>
        </row>
        <row r="148">
          <cell r="D148">
            <v>25603</v>
          </cell>
        </row>
        <row r="149">
          <cell r="D149">
            <v>22985</v>
          </cell>
        </row>
        <row r="150">
          <cell r="D150">
            <v>22920</v>
          </cell>
        </row>
        <row r="151">
          <cell r="D151">
            <v>22280</v>
          </cell>
        </row>
        <row r="152">
          <cell r="D152">
            <v>22184</v>
          </cell>
        </row>
        <row r="153">
          <cell r="D153">
            <v>27133</v>
          </cell>
        </row>
        <row r="154">
          <cell r="D154">
            <v>17667</v>
          </cell>
        </row>
        <row r="155">
          <cell r="D155">
            <v>21630</v>
          </cell>
        </row>
        <row r="156">
          <cell r="D156">
            <v>9767</v>
          </cell>
        </row>
        <row r="157">
          <cell r="D157">
            <v>24888</v>
          </cell>
        </row>
        <row r="158">
          <cell r="D158">
            <v>22856</v>
          </cell>
        </row>
        <row r="159">
          <cell r="D159">
            <v>22350</v>
          </cell>
        </row>
        <row r="160">
          <cell r="D160">
            <v>22739</v>
          </cell>
        </row>
        <row r="161">
          <cell r="D161">
            <v>25938</v>
          </cell>
        </row>
        <row r="162">
          <cell r="D162">
            <v>10260</v>
          </cell>
        </row>
        <row r="163">
          <cell r="D163">
            <v>12430</v>
          </cell>
        </row>
        <row r="164">
          <cell r="D164">
            <v>12912</v>
          </cell>
        </row>
        <row r="165">
          <cell r="D165">
            <v>14304</v>
          </cell>
        </row>
        <row r="166">
          <cell r="D166">
            <v>24739</v>
          </cell>
        </row>
        <row r="167">
          <cell r="D167">
            <v>23905</v>
          </cell>
        </row>
        <row r="168">
          <cell r="D168">
            <v>28865</v>
          </cell>
        </row>
        <row r="169">
          <cell r="D169">
            <v>9614</v>
          </cell>
        </row>
        <row r="170">
          <cell r="D170">
            <v>9600</v>
          </cell>
        </row>
        <row r="171">
          <cell r="D171">
            <v>9526</v>
          </cell>
        </row>
        <row r="172">
          <cell r="D172">
            <v>14449</v>
          </cell>
        </row>
        <row r="173">
          <cell r="D173">
            <v>13925</v>
          </cell>
        </row>
        <row r="174">
          <cell r="D174">
            <v>10517</v>
          </cell>
        </row>
        <row r="175">
          <cell r="D175">
            <v>25064</v>
          </cell>
        </row>
        <row r="176">
          <cell r="D176">
            <v>12351</v>
          </cell>
        </row>
        <row r="177">
          <cell r="D177">
            <v>17741</v>
          </cell>
        </row>
        <row r="178">
          <cell r="D178">
            <v>9106</v>
          </cell>
        </row>
        <row r="179">
          <cell r="D179">
            <v>22424</v>
          </cell>
        </row>
        <row r="180">
          <cell r="D180">
            <v>21887</v>
          </cell>
        </row>
        <row r="181">
          <cell r="D181">
            <v>24840</v>
          </cell>
        </row>
        <row r="182">
          <cell r="D182">
            <v>18007</v>
          </cell>
        </row>
        <row r="183">
          <cell r="D183">
            <v>13417</v>
          </cell>
        </row>
        <row r="184">
          <cell r="D184">
            <v>8853</v>
          </cell>
        </row>
        <row r="185">
          <cell r="D185">
            <v>12179</v>
          </cell>
        </row>
        <row r="186">
          <cell r="D186">
            <v>12750</v>
          </cell>
        </row>
        <row r="187">
          <cell r="D187">
            <v>14267</v>
          </cell>
        </row>
        <row r="188">
          <cell r="D188">
            <v>24510</v>
          </cell>
        </row>
        <row r="189">
          <cell r="D189">
            <v>24324</v>
          </cell>
        </row>
        <row r="190">
          <cell r="D190">
            <v>22565</v>
          </cell>
        </row>
        <row r="191">
          <cell r="D191">
            <v>26471</v>
          </cell>
        </row>
        <row r="192">
          <cell r="D192">
            <v>13028</v>
          </cell>
        </row>
        <row r="193">
          <cell r="D193">
            <v>23048</v>
          </cell>
        </row>
        <row r="194">
          <cell r="D194">
            <v>15611</v>
          </cell>
        </row>
        <row r="195">
          <cell r="D195">
            <v>17167</v>
          </cell>
        </row>
        <row r="196">
          <cell r="D196">
            <v>16229</v>
          </cell>
        </row>
        <row r="197">
          <cell r="D197">
            <v>12490</v>
          </cell>
        </row>
        <row r="198">
          <cell r="D198">
            <v>12430</v>
          </cell>
        </row>
        <row r="199">
          <cell r="D199">
            <v>9044</v>
          </cell>
        </row>
        <row r="200">
          <cell r="D200">
            <v>9830</v>
          </cell>
        </row>
        <row r="201">
          <cell r="D201">
            <v>12832</v>
          </cell>
        </row>
        <row r="202">
          <cell r="D202">
            <v>26765</v>
          </cell>
        </row>
        <row r="203">
          <cell r="D203">
            <v>25197</v>
          </cell>
        </row>
        <row r="204">
          <cell r="D204">
            <v>23343</v>
          </cell>
        </row>
        <row r="205">
          <cell r="D205">
            <v>26945</v>
          </cell>
        </row>
        <row r="206">
          <cell r="D206">
            <v>29356</v>
          </cell>
        </row>
        <row r="207">
          <cell r="D207">
            <v>17487</v>
          </cell>
        </row>
        <row r="208">
          <cell r="D208">
            <v>17925</v>
          </cell>
        </row>
        <row r="209">
          <cell r="D209">
            <v>23920</v>
          </cell>
        </row>
        <row r="210">
          <cell r="D210">
            <v>25385</v>
          </cell>
        </row>
        <row r="211">
          <cell r="D211">
            <v>14575</v>
          </cell>
        </row>
        <row r="212">
          <cell r="D212">
            <v>9629</v>
          </cell>
        </row>
        <row r="213">
          <cell r="D213">
            <v>10080</v>
          </cell>
        </row>
        <row r="214">
          <cell r="D214">
            <v>14052</v>
          </cell>
        </row>
        <row r="215">
          <cell r="D215">
            <v>14526</v>
          </cell>
        </row>
        <row r="216">
          <cell r="D216">
            <v>22411</v>
          </cell>
        </row>
        <row r="217">
          <cell r="D217">
            <v>15032</v>
          </cell>
        </row>
        <row r="218">
          <cell r="D218">
            <v>16474</v>
          </cell>
        </row>
        <row r="219">
          <cell r="D219">
            <v>9811</v>
          </cell>
        </row>
        <row r="220">
          <cell r="D220">
            <v>10255</v>
          </cell>
        </row>
        <row r="221">
          <cell r="D221">
            <v>14454</v>
          </cell>
        </row>
        <row r="222">
          <cell r="D222">
            <v>23446</v>
          </cell>
        </row>
        <row r="223">
          <cell r="D223">
            <v>22741</v>
          </cell>
        </row>
        <row r="224">
          <cell r="D224">
            <v>22634</v>
          </cell>
        </row>
        <row r="225">
          <cell r="D225">
            <v>10079</v>
          </cell>
        </row>
        <row r="226">
          <cell r="D226">
            <v>10872</v>
          </cell>
        </row>
        <row r="227">
          <cell r="D227">
            <v>11934</v>
          </cell>
        </row>
        <row r="228">
          <cell r="D228">
            <v>24966</v>
          </cell>
        </row>
        <row r="229">
          <cell r="D229">
            <v>23172</v>
          </cell>
        </row>
        <row r="230">
          <cell r="D230">
            <v>21729</v>
          </cell>
        </row>
        <row r="231">
          <cell r="D231">
            <v>21971</v>
          </cell>
        </row>
        <row r="232">
          <cell r="D232">
            <v>23074</v>
          </cell>
        </row>
        <row r="233">
          <cell r="D233">
            <v>9976</v>
          </cell>
        </row>
        <row r="234">
          <cell r="D234">
            <v>14228</v>
          </cell>
        </row>
        <row r="235">
          <cell r="D235">
            <v>27870</v>
          </cell>
        </row>
        <row r="236">
          <cell r="D236">
            <v>27343</v>
          </cell>
        </row>
        <row r="237">
          <cell r="D237">
            <v>26024</v>
          </cell>
        </row>
        <row r="238">
          <cell r="D238">
            <v>21991</v>
          </cell>
        </row>
        <row r="239">
          <cell r="D239">
            <v>22060</v>
          </cell>
        </row>
        <row r="240">
          <cell r="D240">
            <v>22690</v>
          </cell>
        </row>
        <row r="241">
          <cell r="D241">
            <v>23007</v>
          </cell>
        </row>
        <row r="242">
          <cell r="D242">
            <v>25666</v>
          </cell>
        </row>
        <row r="243">
          <cell r="D243">
            <v>26759</v>
          </cell>
        </row>
        <row r="244">
          <cell r="D244">
            <v>15346</v>
          </cell>
        </row>
        <row r="245">
          <cell r="D245">
            <v>15836</v>
          </cell>
        </row>
        <row r="246">
          <cell r="D246">
            <v>13614</v>
          </cell>
        </row>
        <row r="247">
          <cell r="D247">
            <v>9715</v>
          </cell>
        </row>
        <row r="248">
          <cell r="D248">
            <v>9798</v>
          </cell>
        </row>
        <row r="249">
          <cell r="D249">
            <v>27016</v>
          </cell>
        </row>
        <row r="250">
          <cell r="D250">
            <v>23218</v>
          </cell>
        </row>
        <row r="251">
          <cell r="D251">
            <v>22079</v>
          </cell>
        </row>
        <row r="252">
          <cell r="D252">
            <v>22873</v>
          </cell>
        </row>
        <row r="253">
          <cell r="D253">
            <v>17165</v>
          </cell>
        </row>
        <row r="254">
          <cell r="D254">
            <v>17907</v>
          </cell>
        </row>
        <row r="255">
          <cell r="D255">
            <v>17947</v>
          </cell>
        </row>
        <row r="256">
          <cell r="D256">
            <v>17414</v>
          </cell>
        </row>
        <row r="257">
          <cell r="D257">
            <v>17293</v>
          </cell>
        </row>
        <row r="258">
          <cell r="D258">
            <v>16147</v>
          </cell>
        </row>
        <row r="259">
          <cell r="D259">
            <v>13566</v>
          </cell>
        </row>
        <row r="260">
          <cell r="D260">
            <v>8900</v>
          </cell>
        </row>
        <row r="261">
          <cell r="D261">
            <v>9530</v>
          </cell>
        </row>
        <row r="262">
          <cell r="D262">
            <v>9631</v>
          </cell>
        </row>
        <row r="263">
          <cell r="D263">
            <v>9832</v>
          </cell>
        </row>
        <row r="264">
          <cell r="D264">
            <v>12933</v>
          </cell>
        </row>
        <row r="265">
          <cell r="D265">
            <v>13957</v>
          </cell>
        </row>
        <row r="266">
          <cell r="D266">
            <v>9982</v>
          </cell>
        </row>
        <row r="267">
          <cell r="D267">
            <v>23536</v>
          </cell>
        </row>
        <row r="268">
          <cell r="D268">
            <v>22547</v>
          </cell>
        </row>
        <row r="269">
          <cell r="D269">
            <v>21900</v>
          </cell>
        </row>
        <row r="270">
          <cell r="D270">
            <v>22646</v>
          </cell>
        </row>
        <row r="271">
          <cell r="D271">
            <v>23362</v>
          </cell>
        </row>
        <row r="272">
          <cell r="D272">
            <v>12909</v>
          </cell>
        </row>
        <row r="273">
          <cell r="D273">
            <v>17300</v>
          </cell>
        </row>
        <row r="274">
          <cell r="D274">
            <v>17969</v>
          </cell>
        </row>
        <row r="275">
          <cell r="D275">
            <v>12153</v>
          </cell>
        </row>
        <row r="276">
          <cell r="D276">
            <v>11626</v>
          </cell>
        </row>
        <row r="277">
          <cell r="D277">
            <v>10090</v>
          </cell>
        </row>
        <row r="278">
          <cell r="D278">
            <v>10341</v>
          </cell>
        </row>
        <row r="279">
          <cell r="D279">
            <v>12092</v>
          </cell>
        </row>
        <row r="280">
          <cell r="D280">
            <v>12948</v>
          </cell>
        </row>
        <row r="281">
          <cell r="D281">
            <v>13853</v>
          </cell>
        </row>
        <row r="282">
          <cell r="D282">
            <v>12400</v>
          </cell>
        </row>
        <row r="283">
          <cell r="D283">
            <v>25376</v>
          </cell>
        </row>
        <row r="284">
          <cell r="D284">
            <v>23508</v>
          </cell>
        </row>
        <row r="285">
          <cell r="D285">
            <v>22359</v>
          </cell>
        </row>
        <row r="286">
          <cell r="D286">
            <v>23719</v>
          </cell>
        </row>
        <row r="287">
          <cell r="D287">
            <v>23982</v>
          </cell>
        </row>
        <row r="288">
          <cell r="D288">
            <v>24227</v>
          </cell>
        </row>
        <row r="289">
          <cell r="D289">
            <v>24307</v>
          </cell>
        </row>
        <row r="290">
          <cell r="D290">
            <v>27487</v>
          </cell>
        </row>
        <row r="291">
          <cell r="D291">
            <v>28299</v>
          </cell>
        </row>
        <row r="292">
          <cell r="D292">
            <v>16287</v>
          </cell>
        </row>
        <row r="293">
          <cell r="D293">
            <v>17417</v>
          </cell>
        </row>
        <row r="294">
          <cell r="D294">
            <v>13910</v>
          </cell>
        </row>
        <row r="295">
          <cell r="D295">
            <v>12315</v>
          </cell>
        </row>
        <row r="296">
          <cell r="D296">
            <v>27061</v>
          </cell>
        </row>
        <row r="297">
          <cell r="D297">
            <v>15369</v>
          </cell>
        </row>
        <row r="298">
          <cell r="D298">
            <v>17843</v>
          </cell>
        </row>
        <row r="299">
          <cell r="D299">
            <v>13777</v>
          </cell>
        </row>
        <row r="300">
          <cell r="D300">
            <v>10122</v>
          </cell>
        </row>
        <row r="301">
          <cell r="D301">
            <v>9402</v>
          </cell>
        </row>
        <row r="302">
          <cell r="D302">
            <v>9392</v>
          </cell>
        </row>
        <row r="303">
          <cell r="D303">
            <v>9657</v>
          </cell>
        </row>
        <row r="304">
          <cell r="D304">
            <v>11766</v>
          </cell>
        </row>
        <row r="305">
          <cell r="D305">
            <v>11827</v>
          </cell>
        </row>
        <row r="306">
          <cell r="D306">
            <v>12730</v>
          </cell>
        </row>
        <row r="307">
          <cell r="D307">
            <v>14100</v>
          </cell>
        </row>
        <row r="308">
          <cell r="D308">
            <v>13907</v>
          </cell>
        </row>
        <row r="309">
          <cell r="D309">
            <v>22783</v>
          </cell>
        </row>
        <row r="310">
          <cell r="D310">
            <v>22373</v>
          </cell>
        </row>
        <row r="311">
          <cell r="D311">
            <v>26350</v>
          </cell>
        </row>
        <row r="312">
          <cell r="D312">
            <v>10013</v>
          </cell>
        </row>
        <row r="313">
          <cell r="D313">
            <v>12643</v>
          </cell>
        </row>
        <row r="314">
          <cell r="D314">
            <v>9761</v>
          </cell>
        </row>
        <row r="315">
          <cell r="D315">
            <v>9426</v>
          </cell>
        </row>
        <row r="316">
          <cell r="D316">
            <v>24182</v>
          </cell>
        </row>
        <row r="317">
          <cell r="D317">
            <v>24142</v>
          </cell>
        </row>
        <row r="318">
          <cell r="D318">
            <v>23839</v>
          </cell>
        </row>
        <row r="319">
          <cell r="D319">
            <v>23307</v>
          </cell>
        </row>
        <row r="320">
          <cell r="D320">
            <v>23007</v>
          </cell>
        </row>
        <row r="321">
          <cell r="D321">
            <v>22548</v>
          </cell>
        </row>
        <row r="322">
          <cell r="D322">
            <v>22218</v>
          </cell>
        </row>
        <row r="323">
          <cell r="D323">
            <v>12078</v>
          </cell>
        </row>
        <row r="324">
          <cell r="D324">
            <v>10441</v>
          </cell>
        </row>
        <row r="325">
          <cell r="D325">
            <v>9563</v>
          </cell>
        </row>
        <row r="326">
          <cell r="D326">
            <v>8862</v>
          </cell>
        </row>
        <row r="327">
          <cell r="D327">
            <v>8878</v>
          </cell>
        </row>
        <row r="328">
          <cell r="D328">
            <v>9269</v>
          </cell>
        </row>
        <row r="329">
          <cell r="D329">
            <v>9590</v>
          </cell>
        </row>
        <row r="330">
          <cell r="D330">
            <v>9812</v>
          </cell>
        </row>
        <row r="331">
          <cell r="D331">
            <v>10063</v>
          </cell>
        </row>
        <row r="332">
          <cell r="D332">
            <v>10014</v>
          </cell>
        </row>
        <row r="333">
          <cell r="D333">
            <v>11200</v>
          </cell>
        </row>
        <row r="334">
          <cell r="D334">
            <v>13834</v>
          </cell>
        </row>
        <row r="335">
          <cell r="D335">
            <v>10234</v>
          </cell>
        </row>
        <row r="336">
          <cell r="D336">
            <v>9741</v>
          </cell>
        </row>
        <row r="337">
          <cell r="D337">
            <v>26311</v>
          </cell>
        </row>
        <row r="338">
          <cell r="D338">
            <v>24052</v>
          </cell>
        </row>
        <row r="339">
          <cell r="D339">
            <v>23774</v>
          </cell>
        </row>
        <row r="340">
          <cell r="D340">
            <v>25253</v>
          </cell>
        </row>
        <row r="341">
          <cell r="D341">
            <v>27841</v>
          </cell>
        </row>
        <row r="342">
          <cell r="D342">
            <v>11614</v>
          </cell>
        </row>
        <row r="343">
          <cell r="D343">
            <v>17749</v>
          </cell>
        </row>
        <row r="344">
          <cell r="D344">
            <v>17776</v>
          </cell>
        </row>
        <row r="345">
          <cell r="D345">
            <v>17410</v>
          </cell>
        </row>
        <row r="346">
          <cell r="D346">
            <v>16839</v>
          </cell>
        </row>
        <row r="347">
          <cell r="D347">
            <v>15677</v>
          </cell>
        </row>
        <row r="348">
          <cell r="D348">
            <v>15556</v>
          </cell>
        </row>
        <row r="349">
          <cell r="D349">
            <v>14602</v>
          </cell>
        </row>
        <row r="350">
          <cell r="D350">
            <v>13096</v>
          </cell>
        </row>
        <row r="351">
          <cell r="D351">
            <v>12747</v>
          </cell>
        </row>
        <row r="352">
          <cell r="D352">
            <v>9568</v>
          </cell>
        </row>
        <row r="353">
          <cell r="D353">
            <v>9138</v>
          </cell>
        </row>
        <row r="354">
          <cell r="D354">
            <v>27930</v>
          </cell>
        </row>
        <row r="355">
          <cell r="D355">
            <v>22963</v>
          </cell>
        </row>
        <row r="356">
          <cell r="D356">
            <v>22482</v>
          </cell>
        </row>
        <row r="357">
          <cell r="D357">
            <v>23899</v>
          </cell>
        </row>
        <row r="358">
          <cell r="D358">
            <v>13693</v>
          </cell>
        </row>
        <row r="359">
          <cell r="D359">
            <v>16115</v>
          </cell>
        </row>
        <row r="360">
          <cell r="D360">
            <v>17947</v>
          </cell>
        </row>
        <row r="361">
          <cell r="D361">
            <v>16185</v>
          </cell>
        </row>
        <row r="362">
          <cell r="D362">
            <v>11045</v>
          </cell>
        </row>
        <row r="363">
          <cell r="D363">
            <v>8690</v>
          </cell>
        </row>
        <row r="364">
          <cell r="D364">
            <v>11246</v>
          </cell>
        </row>
        <row r="365">
          <cell r="D365">
            <v>12911</v>
          </cell>
        </row>
        <row r="366">
          <cell r="D366">
            <v>13785</v>
          </cell>
        </row>
        <row r="367">
          <cell r="D367">
            <v>22509</v>
          </cell>
        </row>
        <row r="368">
          <cell r="D368">
            <v>22459</v>
          </cell>
        </row>
        <row r="369">
          <cell r="D369">
            <v>22022</v>
          </cell>
        </row>
        <row r="370">
          <cell r="D370">
            <v>22171</v>
          </cell>
        </row>
        <row r="371">
          <cell r="D371">
            <v>23038</v>
          </cell>
        </row>
        <row r="372">
          <cell r="D372">
            <v>23222</v>
          </cell>
        </row>
        <row r="373">
          <cell r="D373">
            <v>24495</v>
          </cell>
        </row>
        <row r="374">
          <cell r="D374">
            <v>17750</v>
          </cell>
        </row>
        <row r="375">
          <cell r="D375">
            <v>17873</v>
          </cell>
        </row>
        <row r="376">
          <cell r="D376">
            <v>17340</v>
          </cell>
        </row>
        <row r="377">
          <cell r="D377">
            <v>10694</v>
          </cell>
        </row>
        <row r="378">
          <cell r="D378">
            <v>9622</v>
          </cell>
        </row>
        <row r="379">
          <cell r="D379">
            <v>10403</v>
          </cell>
        </row>
        <row r="380">
          <cell r="D380">
            <v>10972</v>
          </cell>
        </row>
        <row r="381">
          <cell r="D381">
            <v>11107</v>
          </cell>
        </row>
        <row r="382">
          <cell r="D382">
            <v>11825</v>
          </cell>
        </row>
        <row r="383">
          <cell r="D383">
            <v>11074</v>
          </cell>
        </row>
        <row r="384">
          <cell r="D384">
            <v>24689</v>
          </cell>
        </row>
        <row r="385">
          <cell r="D385">
            <v>22225</v>
          </cell>
        </row>
        <row r="386">
          <cell r="D386">
            <v>22373</v>
          </cell>
        </row>
        <row r="387">
          <cell r="D387">
            <v>27298</v>
          </cell>
        </row>
        <row r="388">
          <cell r="D388">
            <v>27392</v>
          </cell>
        </row>
        <row r="389">
          <cell r="D389">
            <v>13950</v>
          </cell>
        </row>
        <row r="390">
          <cell r="D390">
            <v>15513</v>
          </cell>
        </row>
        <row r="391">
          <cell r="D391">
            <v>15755</v>
          </cell>
        </row>
        <row r="392">
          <cell r="D392">
            <v>17728</v>
          </cell>
        </row>
        <row r="393">
          <cell r="D393">
            <v>17306</v>
          </cell>
        </row>
        <row r="394">
          <cell r="D394">
            <v>16594</v>
          </cell>
        </row>
        <row r="395">
          <cell r="D395">
            <v>16169</v>
          </cell>
        </row>
        <row r="396">
          <cell r="D396">
            <v>10431</v>
          </cell>
        </row>
        <row r="397">
          <cell r="D397">
            <v>9071</v>
          </cell>
        </row>
        <row r="398">
          <cell r="D398">
            <v>9700</v>
          </cell>
        </row>
        <row r="399">
          <cell r="D399">
            <v>12157</v>
          </cell>
        </row>
        <row r="400">
          <cell r="D400">
            <v>13295</v>
          </cell>
        </row>
        <row r="401">
          <cell r="D401">
            <v>11726</v>
          </cell>
        </row>
        <row r="402">
          <cell r="D402">
            <v>9649</v>
          </cell>
        </row>
        <row r="403">
          <cell r="D403">
            <v>8715</v>
          </cell>
        </row>
        <row r="404">
          <cell r="D404">
            <v>23092</v>
          </cell>
        </row>
        <row r="405">
          <cell r="D405">
            <v>21918</v>
          </cell>
        </row>
        <row r="406">
          <cell r="D406">
            <v>25808</v>
          </cell>
        </row>
        <row r="407">
          <cell r="D407">
            <v>13042</v>
          </cell>
        </row>
        <row r="408">
          <cell r="D408">
            <v>17986</v>
          </cell>
        </row>
        <row r="409">
          <cell r="D409">
            <v>17917</v>
          </cell>
        </row>
        <row r="410">
          <cell r="D410">
            <v>17436</v>
          </cell>
        </row>
        <row r="411">
          <cell r="D411">
            <v>16580</v>
          </cell>
        </row>
        <row r="412">
          <cell r="D412">
            <v>14850</v>
          </cell>
        </row>
        <row r="413">
          <cell r="D413">
            <v>8743</v>
          </cell>
        </row>
        <row r="414">
          <cell r="D414">
            <v>8697</v>
          </cell>
        </row>
        <row r="415">
          <cell r="D415">
            <v>9677</v>
          </cell>
        </row>
        <row r="416">
          <cell r="D416">
            <v>9665</v>
          </cell>
        </row>
        <row r="417">
          <cell r="D417">
            <v>12912</v>
          </cell>
        </row>
        <row r="418">
          <cell r="D418">
            <v>14188</v>
          </cell>
        </row>
        <row r="419">
          <cell r="D419">
            <v>13218</v>
          </cell>
        </row>
        <row r="420">
          <cell r="D420">
            <v>21932</v>
          </cell>
        </row>
        <row r="421">
          <cell r="D421">
            <v>22060</v>
          </cell>
        </row>
        <row r="422">
          <cell r="D422">
            <v>23414</v>
          </cell>
        </row>
        <row r="423">
          <cell r="D423">
            <v>9572</v>
          </cell>
        </row>
        <row r="424">
          <cell r="D424">
            <v>17823</v>
          </cell>
        </row>
        <row r="425">
          <cell r="D425">
            <v>16109</v>
          </cell>
        </row>
        <row r="426">
          <cell r="D426">
            <v>15408</v>
          </cell>
        </row>
        <row r="427">
          <cell r="D427">
            <v>11407</v>
          </cell>
        </row>
        <row r="428">
          <cell r="D428">
            <v>11141</v>
          </cell>
        </row>
        <row r="429">
          <cell r="D429">
            <v>8949</v>
          </cell>
        </row>
        <row r="430">
          <cell r="D430">
            <v>8973</v>
          </cell>
        </row>
        <row r="431">
          <cell r="D431">
            <v>9800</v>
          </cell>
        </row>
        <row r="432">
          <cell r="D432">
            <v>9672</v>
          </cell>
        </row>
        <row r="433">
          <cell r="D433">
            <v>10107</v>
          </cell>
        </row>
        <row r="434">
          <cell r="D434">
            <v>11724</v>
          </cell>
        </row>
        <row r="435">
          <cell r="D435">
            <v>12587</v>
          </cell>
        </row>
        <row r="436">
          <cell r="D436">
            <v>13890</v>
          </cell>
        </row>
        <row r="437">
          <cell r="D437">
            <v>14615</v>
          </cell>
        </row>
        <row r="438">
          <cell r="D438">
            <v>25173</v>
          </cell>
        </row>
        <row r="439">
          <cell r="D439">
            <v>22805</v>
          </cell>
        </row>
        <row r="440">
          <cell r="D440">
            <v>24687</v>
          </cell>
        </row>
        <row r="441">
          <cell r="D441">
            <v>25493</v>
          </cell>
        </row>
        <row r="442">
          <cell r="D442">
            <v>27645</v>
          </cell>
        </row>
        <row r="443">
          <cell r="D443">
            <v>28921</v>
          </cell>
        </row>
        <row r="444">
          <cell r="D444">
            <v>17953</v>
          </cell>
        </row>
        <row r="445">
          <cell r="D445">
            <v>17943</v>
          </cell>
        </row>
        <row r="446">
          <cell r="D446">
            <v>16661</v>
          </cell>
        </row>
        <row r="447">
          <cell r="D447">
            <v>15538</v>
          </cell>
        </row>
        <row r="448">
          <cell r="D448">
            <v>13840</v>
          </cell>
        </row>
        <row r="449">
          <cell r="D449">
            <v>10849</v>
          </cell>
        </row>
        <row r="450">
          <cell r="D450">
            <v>9195</v>
          </cell>
        </row>
        <row r="451">
          <cell r="D451">
            <v>10344</v>
          </cell>
        </row>
        <row r="452">
          <cell r="D452">
            <v>12610</v>
          </cell>
        </row>
        <row r="453">
          <cell r="D453">
            <v>14037</v>
          </cell>
        </row>
        <row r="454">
          <cell r="D454">
            <v>22943</v>
          </cell>
        </row>
        <row r="455">
          <cell r="D455">
            <v>22307</v>
          </cell>
        </row>
        <row r="456">
          <cell r="D456">
            <v>23492</v>
          </cell>
        </row>
        <row r="457">
          <cell r="D457">
            <v>12125</v>
          </cell>
        </row>
        <row r="458">
          <cell r="D458">
            <v>16372</v>
          </cell>
        </row>
        <row r="459">
          <cell r="D459">
            <v>16754</v>
          </cell>
        </row>
        <row r="460">
          <cell r="D460">
            <v>17741</v>
          </cell>
        </row>
        <row r="461">
          <cell r="D461">
            <v>17312</v>
          </cell>
        </row>
        <row r="462">
          <cell r="D462">
            <v>13116</v>
          </cell>
        </row>
        <row r="463">
          <cell r="D463">
            <v>12388</v>
          </cell>
        </row>
        <row r="464">
          <cell r="D464">
            <v>12280</v>
          </cell>
        </row>
        <row r="465">
          <cell r="D465">
            <v>10491</v>
          </cell>
        </row>
        <row r="466">
          <cell r="D466">
            <v>10394</v>
          </cell>
        </row>
        <row r="467">
          <cell r="D467">
            <v>10283</v>
          </cell>
        </row>
        <row r="468">
          <cell r="D468">
            <v>9547</v>
          </cell>
        </row>
        <row r="469">
          <cell r="D469">
            <v>10110</v>
          </cell>
        </row>
        <row r="470">
          <cell r="D470">
            <v>10085</v>
          </cell>
        </row>
        <row r="471">
          <cell r="D471">
            <v>9977</v>
          </cell>
        </row>
        <row r="472">
          <cell r="D472">
            <v>11264</v>
          </cell>
        </row>
        <row r="473">
          <cell r="D473">
            <v>11638</v>
          </cell>
        </row>
        <row r="474">
          <cell r="D474">
            <v>11815</v>
          </cell>
        </row>
        <row r="475">
          <cell r="D475">
            <v>11758</v>
          </cell>
        </row>
        <row r="476">
          <cell r="D476">
            <v>12875</v>
          </cell>
        </row>
        <row r="477">
          <cell r="D477">
            <v>13963</v>
          </cell>
        </row>
        <row r="478">
          <cell r="D478">
            <v>13239</v>
          </cell>
        </row>
        <row r="479">
          <cell r="D479">
            <v>12667</v>
          </cell>
        </row>
        <row r="480">
          <cell r="D480">
            <v>23191</v>
          </cell>
        </row>
        <row r="481">
          <cell r="D481">
            <v>22117</v>
          </cell>
        </row>
        <row r="482">
          <cell r="D482">
            <v>24165</v>
          </cell>
        </row>
        <row r="483">
          <cell r="D483">
            <v>24239</v>
          </cell>
        </row>
        <row r="484">
          <cell r="D484">
            <v>14100</v>
          </cell>
        </row>
        <row r="485">
          <cell r="D485">
            <v>17673</v>
          </cell>
        </row>
        <row r="486">
          <cell r="D486">
            <v>16330</v>
          </cell>
        </row>
        <row r="487">
          <cell r="D487">
            <v>15351</v>
          </cell>
        </row>
        <row r="488">
          <cell r="D488">
            <v>15218</v>
          </cell>
        </row>
        <row r="489">
          <cell r="D489">
            <v>13282</v>
          </cell>
        </row>
        <row r="490">
          <cell r="D490">
            <v>10676</v>
          </cell>
        </row>
        <row r="491">
          <cell r="D491">
            <v>10423</v>
          </cell>
        </row>
        <row r="492">
          <cell r="D492">
            <v>8686</v>
          </cell>
        </row>
        <row r="493">
          <cell r="D493">
            <v>8810</v>
          </cell>
        </row>
        <row r="494">
          <cell r="D494">
            <v>9646</v>
          </cell>
        </row>
        <row r="495">
          <cell r="D495">
            <v>9830</v>
          </cell>
        </row>
        <row r="496">
          <cell r="D496">
            <v>12552</v>
          </cell>
        </row>
        <row r="497">
          <cell r="D497">
            <v>14007</v>
          </cell>
        </row>
        <row r="498">
          <cell r="D498">
            <v>13791</v>
          </cell>
        </row>
        <row r="499">
          <cell r="D499">
            <v>13005</v>
          </cell>
        </row>
        <row r="500">
          <cell r="D500">
            <v>12730</v>
          </cell>
        </row>
        <row r="501">
          <cell r="D501">
            <v>7839</v>
          </cell>
        </row>
        <row r="502">
          <cell r="D502">
            <v>26941</v>
          </cell>
        </row>
        <row r="503">
          <cell r="D503">
            <v>25915</v>
          </cell>
        </row>
        <row r="504">
          <cell r="D504">
            <v>24116</v>
          </cell>
        </row>
        <row r="505">
          <cell r="D505">
            <v>23030</v>
          </cell>
        </row>
        <row r="506">
          <cell r="D506">
            <v>14983</v>
          </cell>
        </row>
        <row r="507">
          <cell r="D507">
            <v>18004</v>
          </cell>
        </row>
        <row r="508">
          <cell r="D508">
            <v>18012</v>
          </cell>
        </row>
        <row r="509">
          <cell r="D509">
            <v>17729</v>
          </cell>
        </row>
        <row r="510">
          <cell r="D510">
            <v>17421</v>
          </cell>
        </row>
        <row r="511">
          <cell r="D511">
            <v>17142</v>
          </cell>
        </row>
        <row r="512">
          <cell r="D512">
            <v>16784</v>
          </cell>
        </row>
        <row r="513">
          <cell r="D513">
            <v>15661</v>
          </cell>
        </row>
        <row r="514">
          <cell r="D514">
            <v>15232</v>
          </cell>
        </row>
        <row r="515">
          <cell r="D515">
            <v>9544</v>
          </cell>
        </row>
        <row r="516">
          <cell r="D516">
            <v>9702</v>
          </cell>
        </row>
        <row r="517">
          <cell r="D517">
            <v>9850</v>
          </cell>
        </row>
        <row r="518">
          <cell r="D518">
            <v>10104</v>
          </cell>
        </row>
        <row r="519">
          <cell r="D519">
            <v>10607</v>
          </cell>
        </row>
        <row r="520">
          <cell r="D520">
            <v>11426</v>
          </cell>
        </row>
        <row r="521">
          <cell r="D521">
            <v>13944</v>
          </cell>
        </row>
        <row r="522">
          <cell r="D522">
            <v>14288</v>
          </cell>
        </row>
        <row r="523">
          <cell r="D523">
            <v>14526</v>
          </cell>
        </row>
        <row r="524">
          <cell r="D524">
            <v>7724</v>
          </cell>
        </row>
        <row r="525">
          <cell r="D525">
            <v>26383</v>
          </cell>
        </row>
        <row r="526">
          <cell r="D526">
            <v>25561</v>
          </cell>
        </row>
        <row r="527">
          <cell r="D527">
            <v>24588</v>
          </cell>
        </row>
        <row r="528">
          <cell r="D528">
            <v>21759</v>
          </cell>
        </row>
        <row r="529">
          <cell r="D529">
            <v>26006</v>
          </cell>
        </row>
        <row r="530">
          <cell r="D530">
            <v>10213</v>
          </cell>
        </row>
        <row r="531">
          <cell r="D531">
            <v>12008</v>
          </cell>
        </row>
        <row r="532">
          <cell r="D532">
            <v>10787</v>
          </cell>
        </row>
        <row r="533">
          <cell r="D533">
            <v>10666</v>
          </cell>
        </row>
        <row r="534">
          <cell r="D534">
            <v>9223</v>
          </cell>
        </row>
        <row r="535">
          <cell r="D535">
            <v>8887</v>
          </cell>
        </row>
        <row r="536">
          <cell r="D536">
            <v>9148</v>
          </cell>
        </row>
        <row r="537">
          <cell r="D537">
            <v>9267</v>
          </cell>
        </row>
        <row r="538">
          <cell r="D538">
            <v>13556</v>
          </cell>
        </row>
        <row r="539">
          <cell r="D539">
            <v>9284</v>
          </cell>
        </row>
        <row r="540">
          <cell r="D540">
            <v>7057</v>
          </cell>
        </row>
        <row r="541">
          <cell r="D541">
            <v>24086</v>
          </cell>
        </row>
        <row r="542">
          <cell r="D542">
            <v>22886</v>
          </cell>
        </row>
        <row r="543">
          <cell r="D543">
            <v>22431</v>
          </cell>
        </row>
        <row r="544">
          <cell r="D544">
            <v>23145</v>
          </cell>
        </row>
        <row r="545">
          <cell r="D545">
            <v>24753</v>
          </cell>
        </row>
        <row r="546">
          <cell r="D546">
            <v>10887</v>
          </cell>
        </row>
        <row r="547">
          <cell r="D547">
            <v>14882</v>
          </cell>
        </row>
        <row r="548">
          <cell r="D548">
            <v>17289</v>
          </cell>
        </row>
        <row r="549">
          <cell r="D549">
            <v>17206</v>
          </cell>
        </row>
        <row r="550">
          <cell r="D550">
            <v>17131</v>
          </cell>
        </row>
        <row r="551">
          <cell r="D551">
            <v>16229</v>
          </cell>
        </row>
        <row r="552">
          <cell r="D552">
            <v>13397</v>
          </cell>
        </row>
        <row r="553">
          <cell r="D553">
            <v>10621</v>
          </cell>
        </row>
        <row r="554">
          <cell r="D554">
            <v>9374</v>
          </cell>
        </row>
        <row r="555">
          <cell r="D555">
            <v>9697</v>
          </cell>
        </row>
        <row r="556">
          <cell r="D556">
            <v>9498</v>
          </cell>
        </row>
        <row r="557">
          <cell r="D557">
            <v>9636</v>
          </cell>
        </row>
        <row r="558">
          <cell r="D558">
            <v>11636</v>
          </cell>
        </row>
        <row r="559">
          <cell r="D559">
            <v>10967</v>
          </cell>
        </row>
        <row r="560">
          <cell r="D560">
            <v>9912</v>
          </cell>
        </row>
        <row r="561">
          <cell r="D561">
            <v>26188</v>
          </cell>
        </row>
        <row r="562">
          <cell r="D562">
            <v>24347</v>
          </cell>
        </row>
        <row r="563">
          <cell r="D563">
            <v>22832</v>
          </cell>
        </row>
        <row r="564">
          <cell r="D564">
            <v>22610</v>
          </cell>
        </row>
        <row r="565">
          <cell r="D565">
            <v>22321</v>
          </cell>
        </row>
        <row r="566">
          <cell r="D566">
            <v>22262</v>
          </cell>
        </row>
        <row r="567">
          <cell r="D567">
            <v>28624</v>
          </cell>
        </row>
        <row r="568">
          <cell r="D568">
            <v>13626</v>
          </cell>
        </row>
        <row r="569">
          <cell r="D569">
            <v>15897</v>
          </cell>
        </row>
        <row r="570">
          <cell r="D570">
            <v>17427</v>
          </cell>
        </row>
        <row r="571">
          <cell r="D571">
            <v>16193</v>
          </cell>
        </row>
        <row r="572">
          <cell r="D572">
            <v>15895</v>
          </cell>
        </row>
        <row r="573">
          <cell r="D573">
            <v>15751</v>
          </cell>
        </row>
        <row r="574">
          <cell r="D574">
            <v>15570</v>
          </cell>
        </row>
        <row r="575">
          <cell r="D575">
            <v>11567</v>
          </cell>
        </row>
        <row r="576">
          <cell r="D576">
            <v>9015</v>
          </cell>
        </row>
        <row r="577">
          <cell r="D577">
            <v>9773</v>
          </cell>
        </row>
        <row r="578">
          <cell r="D578">
            <v>10475</v>
          </cell>
        </row>
        <row r="579">
          <cell r="D579">
            <v>11445</v>
          </cell>
        </row>
        <row r="580">
          <cell r="D580">
            <v>11761</v>
          </cell>
        </row>
        <row r="581">
          <cell r="D581">
            <v>13410</v>
          </cell>
        </row>
        <row r="582">
          <cell r="D582">
            <v>14471</v>
          </cell>
        </row>
        <row r="583">
          <cell r="D583">
            <v>11191</v>
          </cell>
        </row>
        <row r="584">
          <cell r="D584">
            <v>8504</v>
          </cell>
        </row>
        <row r="585">
          <cell r="D585">
            <v>8201</v>
          </cell>
        </row>
        <row r="586">
          <cell r="D586">
            <v>24403</v>
          </cell>
        </row>
        <row r="587">
          <cell r="D587">
            <v>23261</v>
          </cell>
        </row>
        <row r="588">
          <cell r="D588">
            <v>21948</v>
          </cell>
        </row>
        <row r="589">
          <cell r="D589">
            <v>22411</v>
          </cell>
        </row>
        <row r="590">
          <cell r="D590">
            <v>26176</v>
          </cell>
        </row>
        <row r="591">
          <cell r="D591">
            <v>26793</v>
          </cell>
        </row>
        <row r="592">
          <cell r="D592">
            <v>11936</v>
          </cell>
        </row>
        <row r="593">
          <cell r="D593">
            <v>16247</v>
          </cell>
        </row>
        <row r="594">
          <cell r="D594">
            <v>12638</v>
          </cell>
        </row>
        <row r="595">
          <cell r="D595">
            <v>11655</v>
          </cell>
        </row>
        <row r="596">
          <cell r="D596">
            <v>11377</v>
          </cell>
        </row>
        <row r="597">
          <cell r="D597">
            <v>10879</v>
          </cell>
        </row>
        <row r="598">
          <cell r="D598">
            <v>8980</v>
          </cell>
        </row>
        <row r="599">
          <cell r="D599">
            <v>9360</v>
          </cell>
        </row>
        <row r="600">
          <cell r="D600">
            <v>9851</v>
          </cell>
        </row>
        <row r="601">
          <cell r="D601">
            <v>9782</v>
          </cell>
        </row>
        <row r="602">
          <cell r="D602">
            <v>9670</v>
          </cell>
        </row>
        <row r="603">
          <cell r="D603">
            <v>10230</v>
          </cell>
        </row>
        <row r="604">
          <cell r="D604">
            <v>11409</v>
          </cell>
        </row>
        <row r="605">
          <cell r="D605">
            <v>12585</v>
          </cell>
        </row>
        <row r="606">
          <cell r="D606">
            <v>14409</v>
          </cell>
        </row>
        <row r="607">
          <cell r="D607">
            <v>14420</v>
          </cell>
        </row>
        <row r="608">
          <cell r="D608">
            <v>13569</v>
          </cell>
        </row>
        <row r="609">
          <cell r="D609">
            <v>22549</v>
          </cell>
        </row>
        <row r="610">
          <cell r="D610">
            <v>23177</v>
          </cell>
        </row>
        <row r="611">
          <cell r="D611">
            <v>27719</v>
          </cell>
        </row>
        <row r="612">
          <cell r="D612">
            <v>12540</v>
          </cell>
        </row>
        <row r="613">
          <cell r="D613">
            <v>13288</v>
          </cell>
        </row>
        <row r="614">
          <cell r="D614">
            <v>16028</v>
          </cell>
        </row>
        <row r="615">
          <cell r="D615">
            <v>16554</v>
          </cell>
        </row>
        <row r="616">
          <cell r="D616">
            <v>17791</v>
          </cell>
        </row>
        <row r="617">
          <cell r="D617">
            <v>17835</v>
          </cell>
        </row>
        <row r="618">
          <cell r="D618">
            <v>14919</v>
          </cell>
        </row>
        <row r="619">
          <cell r="D619">
            <v>13425</v>
          </cell>
        </row>
        <row r="620">
          <cell r="D620">
            <v>13347</v>
          </cell>
        </row>
        <row r="621">
          <cell r="D621">
            <v>11833</v>
          </cell>
        </row>
        <row r="622">
          <cell r="D622">
            <v>10690</v>
          </cell>
        </row>
        <row r="623">
          <cell r="D623">
            <v>9012</v>
          </cell>
        </row>
        <row r="624">
          <cell r="D624">
            <v>8719</v>
          </cell>
        </row>
        <row r="625">
          <cell r="D625">
            <v>8651</v>
          </cell>
        </row>
        <row r="626">
          <cell r="D626">
            <v>9015</v>
          </cell>
        </row>
        <row r="627">
          <cell r="D627">
            <v>9362</v>
          </cell>
        </row>
        <row r="628">
          <cell r="D628">
            <v>9836</v>
          </cell>
        </row>
        <row r="629">
          <cell r="D629">
            <v>9676</v>
          </cell>
        </row>
        <row r="630">
          <cell r="D630">
            <v>9699</v>
          </cell>
        </row>
        <row r="631">
          <cell r="D631">
            <v>10117</v>
          </cell>
        </row>
        <row r="632">
          <cell r="D632">
            <v>10060</v>
          </cell>
        </row>
        <row r="633">
          <cell r="D633">
            <v>10980</v>
          </cell>
        </row>
        <row r="634">
          <cell r="D634">
            <v>11011</v>
          </cell>
        </row>
        <row r="635">
          <cell r="D635">
            <v>11812</v>
          </cell>
        </row>
        <row r="636">
          <cell r="D636">
            <v>12911</v>
          </cell>
        </row>
        <row r="637">
          <cell r="D637">
            <v>12928</v>
          </cell>
        </row>
        <row r="638">
          <cell r="D638">
            <v>23084</v>
          </cell>
        </row>
        <row r="639">
          <cell r="D639">
            <v>21775</v>
          </cell>
        </row>
        <row r="640">
          <cell r="D640">
            <v>21940</v>
          </cell>
        </row>
        <row r="641">
          <cell r="D641">
            <v>22051</v>
          </cell>
        </row>
        <row r="642">
          <cell r="D642">
            <v>25161</v>
          </cell>
        </row>
        <row r="643">
          <cell r="D643">
            <v>28045</v>
          </cell>
        </row>
        <row r="644">
          <cell r="D644">
            <v>14283</v>
          </cell>
        </row>
        <row r="645">
          <cell r="D645">
            <v>16382</v>
          </cell>
        </row>
        <row r="646">
          <cell r="D646">
            <v>17721</v>
          </cell>
        </row>
        <row r="647">
          <cell r="D647">
            <v>16805</v>
          </cell>
        </row>
        <row r="648">
          <cell r="D648">
            <v>16227</v>
          </cell>
        </row>
        <row r="649">
          <cell r="D649">
            <v>16022</v>
          </cell>
        </row>
        <row r="650">
          <cell r="D650">
            <v>15961</v>
          </cell>
        </row>
        <row r="651">
          <cell r="D651">
            <v>14508</v>
          </cell>
        </row>
        <row r="652">
          <cell r="D652">
            <v>13858</v>
          </cell>
        </row>
        <row r="653">
          <cell r="D653">
            <v>13453</v>
          </cell>
        </row>
        <row r="654">
          <cell r="D654">
            <v>12676</v>
          </cell>
        </row>
        <row r="655">
          <cell r="D655">
            <v>9352</v>
          </cell>
        </row>
        <row r="656">
          <cell r="D656">
            <v>9602</v>
          </cell>
        </row>
        <row r="657">
          <cell r="D657">
            <v>9765</v>
          </cell>
        </row>
        <row r="658">
          <cell r="D658">
            <v>9547</v>
          </cell>
        </row>
        <row r="659">
          <cell r="D659">
            <v>9937</v>
          </cell>
        </row>
        <row r="660">
          <cell r="D660">
            <v>10254</v>
          </cell>
        </row>
        <row r="661">
          <cell r="D661">
            <v>11550</v>
          </cell>
        </row>
        <row r="662">
          <cell r="D662">
            <v>12512</v>
          </cell>
        </row>
        <row r="663">
          <cell r="D663">
            <v>14412</v>
          </cell>
        </row>
        <row r="664">
          <cell r="D664">
            <v>14019</v>
          </cell>
        </row>
        <row r="665">
          <cell r="D665">
            <v>23744</v>
          </cell>
        </row>
        <row r="666">
          <cell r="D666">
            <v>21687</v>
          </cell>
        </row>
        <row r="667">
          <cell r="D667">
            <v>21818</v>
          </cell>
        </row>
        <row r="668">
          <cell r="D668">
            <v>24556</v>
          </cell>
        </row>
        <row r="669">
          <cell r="D669">
            <v>9233</v>
          </cell>
        </row>
        <row r="670">
          <cell r="D670">
            <v>11530</v>
          </cell>
        </row>
        <row r="671">
          <cell r="D671">
            <v>14544</v>
          </cell>
        </row>
        <row r="672">
          <cell r="D672">
            <v>17693</v>
          </cell>
        </row>
        <row r="673">
          <cell r="D673">
            <v>17771</v>
          </cell>
        </row>
        <row r="674">
          <cell r="D674">
            <v>12195</v>
          </cell>
        </row>
        <row r="675">
          <cell r="D675">
            <v>11155</v>
          </cell>
        </row>
        <row r="676">
          <cell r="D676">
            <v>8835</v>
          </cell>
        </row>
        <row r="677">
          <cell r="D677">
            <v>9527</v>
          </cell>
        </row>
        <row r="678">
          <cell r="D678">
            <v>9583</v>
          </cell>
        </row>
        <row r="679">
          <cell r="D679">
            <v>9872</v>
          </cell>
        </row>
        <row r="680">
          <cell r="D680">
            <v>9707</v>
          </cell>
        </row>
        <row r="681">
          <cell r="D681">
            <v>9912</v>
          </cell>
        </row>
        <row r="682">
          <cell r="D682">
            <v>10219</v>
          </cell>
        </row>
        <row r="683">
          <cell r="D683">
            <v>12222</v>
          </cell>
        </row>
        <row r="684">
          <cell r="D684">
            <v>12476</v>
          </cell>
        </row>
        <row r="685">
          <cell r="D685">
            <v>13008</v>
          </cell>
        </row>
        <row r="686">
          <cell r="D686">
            <v>13123</v>
          </cell>
        </row>
        <row r="687">
          <cell r="D687">
            <v>13611</v>
          </cell>
        </row>
        <row r="688">
          <cell r="D688">
            <v>13602</v>
          </cell>
        </row>
        <row r="689">
          <cell r="D689">
            <v>14336</v>
          </cell>
        </row>
        <row r="690">
          <cell r="D690">
            <v>13737</v>
          </cell>
        </row>
        <row r="691">
          <cell r="D691">
            <v>10290</v>
          </cell>
        </row>
        <row r="692">
          <cell r="D692">
            <v>7455</v>
          </cell>
        </row>
        <row r="693">
          <cell r="D693">
            <v>6942</v>
          </cell>
        </row>
        <row r="694">
          <cell r="D694">
            <v>25754</v>
          </cell>
        </row>
        <row r="695">
          <cell r="D695">
            <v>22385</v>
          </cell>
        </row>
        <row r="696">
          <cell r="D696">
            <v>21980</v>
          </cell>
        </row>
        <row r="697">
          <cell r="D697">
            <v>22037</v>
          </cell>
        </row>
        <row r="698">
          <cell r="D698">
            <v>12260</v>
          </cell>
        </row>
        <row r="699">
          <cell r="D699">
            <v>12828</v>
          </cell>
        </row>
        <row r="700">
          <cell r="D700">
            <v>17372</v>
          </cell>
        </row>
        <row r="701">
          <cell r="D701">
            <v>17573</v>
          </cell>
        </row>
        <row r="702">
          <cell r="D702">
            <v>16102</v>
          </cell>
        </row>
        <row r="703">
          <cell r="D703">
            <v>10402</v>
          </cell>
        </row>
        <row r="704">
          <cell r="D704">
            <v>10184</v>
          </cell>
        </row>
        <row r="705">
          <cell r="D705">
            <v>9696</v>
          </cell>
        </row>
        <row r="706">
          <cell r="D706">
            <v>9433</v>
          </cell>
        </row>
        <row r="707">
          <cell r="D707">
            <v>9500</v>
          </cell>
        </row>
        <row r="708">
          <cell r="D708">
            <v>9628</v>
          </cell>
        </row>
        <row r="709">
          <cell r="D709">
            <v>9623</v>
          </cell>
        </row>
        <row r="710">
          <cell r="D710">
            <v>9913</v>
          </cell>
        </row>
        <row r="711">
          <cell r="D711">
            <v>10070</v>
          </cell>
        </row>
        <row r="712">
          <cell r="D712">
            <v>10002</v>
          </cell>
        </row>
        <row r="713">
          <cell r="D713">
            <v>10092</v>
          </cell>
        </row>
        <row r="714">
          <cell r="D714">
            <v>10225</v>
          </cell>
        </row>
        <row r="715">
          <cell r="D715">
            <v>11014</v>
          </cell>
        </row>
        <row r="716">
          <cell r="D716">
            <v>12203</v>
          </cell>
        </row>
        <row r="717">
          <cell r="D717">
            <v>13632</v>
          </cell>
        </row>
        <row r="718">
          <cell r="D718">
            <v>14186</v>
          </cell>
        </row>
        <row r="719">
          <cell r="D719">
            <v>14639</v>
          </cell>
        </row>
        <row r="720">
          <cell r="D720">
            <v>21830</v>
          </cell>
        </row>
        <row r="721">
          <cell r="D721">
            <v>22510</v>
          </cell>
        </row>
        <row r="722">
          <cell r="D722">
            <v>26541</v>
          </cell>
        </row>
        <row r="723">
          <cell r="D723">
            <v>16560</v>
          </cell>
        </row>
        <row r="724">
          <cell r="D724">
            <v>16621</v>
          </cell>
        </row>
        <row r="725">
          <cell r="D725">
            <v>15140</v>
          </cell>
        </row>
        <row r="726">
          <cell r="D726">
            <v>14905</v>
          </cell>
        </row>
        <row r="727">
          <cell r="D727">
            <v>12848</v>
          </cell>
        </row>
        <row r="728">
          <cell r="D728">
            <v>12384</v>
          </cell>
        </row>
        <row r="729">
          <cell r="D729">
            <v>11560</v>
          </cell>
        </row>
        <row r="730">
          <cell r="D730">
            <v>11559</v>
          </cell>
        </row>
        <row r="731">
          <cell r="D731">
            <v>10725</v>
          </cell>
        </row>
        <row r="732">
          <cell r="D732">
            <v>9884</v>
          </cell>
        </row>
        <row r="733">
          <cell r="D733">
            <v>9492</v>
          </cell>
        </row>
        <row r="734">
          <cell r="D734">
            <v>8790</v>
          </cell>
        </row>
        <row r="735">
          <cell r="D735">
            <v>8663</v>
          </cell>
        </row>
        <row r="736">
          <cell r="D736">
            <v>9817</v>
          </cell>
        </row>
        <row r="737">
          <cell r="D737">
            <v>9699</v>
          </cell>
        </row>
        <row r="738">
          <cell r="D738">
            <v>9787</v>
          </cell>
        </row>
        <row r="739">
          <cell r="D739">
            <v>9699</v>
          </cell>
        </row>
        <row r="740">
          <cell r="D740">
            <v>10044</v>
          </cell>
        </row>
        <row r="741">
          <cell r="D741">
            <v>10186</v>
          </cell>
        </row>
        <row r="742">
          <cell r="D742">
            <v>10575</v>
          </cell>
        </row>
        <row r="743">
          <cell r="D743">
            <v>11617</v>
          </cell>
        </row>
        <row r="744">
          <cell r="D744">
            <v>11572</v>
          </cell>
        </row>
        <row r="745">
          <cell r="D745">
            <v>13289</v>
          </cell>
        </row>
        <row r="746">
          <cell r="D746">
            <v>11442</v>
          </cell>
        </row>
        <row r="747">
          <cell r="D747">
            <v>10919</v>
          </cell>
        </row>
        <row r="748">
          <cell r="D748">
            <v>9616</v>
          </cell>
        </row>
        <row r="749">
          <cell r="D749">
            <v>9465</v>
          </cell>
        </row>
        <row r="750">
          <cell r="D750">
            <v>9205</v>
          </cell>
        </row>
        <row r="751">
          <cell r="D751">
            <v>7554</v>
          </cell>
        </row>
        <row r="752">
          <cell r="D752">
            <v>23301</v>
          </cell>
        </row>
        <row r="753">
          <cell r="D753">
            <v>8436</v>
          </cell>
        </row>
        <row r="754">
          <cell r="D754">
            <v>17056</v>
          </cell>
        </row>
        <row r="755">
          <cell r="D755">
            <v>17739</v>
          </cell>
        </row>
        <row r="756">
          <cell r="D756">
            <v>15600</v>
          </cell>
        </row>
        <row r="757">
          <cell r="D757">
            <v>14336</v>
          </cell>
        </row>
        <row r="758">
          <cell r="D758">
            <v>13583</v>
          </cell>
        </row>
        <row r="759">
          <cell r="D759">
            <v>11402</v>
          </cell>
        </row>
        <row r="760">
          <cell r="D760">
            <v>8722</v>
          </cell>
        </row>
        <row r="761">
          <cell r="D761">
            <v>8743</v>
          </cell>
        </row>
        <row r="762">
          <cell r="D762">
            <v>8853</v>
          </cell>
        </row>
        <row r="763">
          <cell r="D763">
            <v>9520</v>
          </cell>
        </row>
        <row r="764">
          <cell r="D764">
            <v>9502</v>
          </cell>
        </row>
        <row r="765">
          <cell r="D765">
            <v>9462</v>
          </cell>
        </row>
        <row r="766">
          <cell r="D766">
            <v>9773</v>
          </cell>
        </row>
        <row r="767">
          <cell r="D767">
            <v>9768</v>
          </cell>
        </row>
        <row r="768">
          <cell r="D768">
            <v>9777</v>
          </cell>
        </row>
        <row r="769">
          <cell r="D769">
            <v>9751</v>
          </cell>
        </row>
        <row r="770">
          <cell r="D770">
            <v>10649</v>
          </cell>
        </row>
        <row r="771">
          <cell r="D771">
            <v>10701</v>
          </cell>
        </row>
        <row r="772">
          <cell r="D772">
            <v>11412</v>
          </cell>
        </row>
        <row r="773">
          <cell r="D773">
            <v>12484</v>
          </cell>
        </row>
        <row r="774">
          <cell r="D774">
            <v>14271</v>
          </cell>
        </row>
        <row r="775">
          <cell r="D775">
            <v>14479</v>
          </cell>
        </row>
        <row r="776">
          <cell r="D776">
            <v>13548</v>
          </cell>
        </row>
        <row r="777">
          <cell r="D777">
            <v>10062</v>
          </cell>
        </row>
        <row r="778">
          <cell r="D778">
            <v>9015</v>
          </cell>
        </row>
        <row r="779">
          <cell r="D779">
            <v>22003</v>
          </cell>
        </row>
        <row r="780">
          <cell r="D780">
            <v>23328</v>
          </cell>
        </row>
        <row r="781">
          <cell r="D781">
            <v>24916</v>
          </cell>
        </row>
        <row r="782">
          <cell r="D782">
            <v>11421</v>
          </cell>
        </row>
        <row r="783">
          <cell r="D783">
            <v>14714</v>
          </cell>
        </row>
        <row r="784">
          <cell r="D784">
            <v>17201</v>
          </cell>
        </row>
        <row r="785">
          <cell r="D785">
            <v>17620</v>
          </cell>
        </row>
        <row r="786">
          <cell r="D786">
            <v>17802</v>
          </cell>
        </row>
        <row r="787">
          <cell r="D787">
            <v>17892</v>
          </cell>
        </row>
        <row r="788">
          <cell r="D788">
            <v>16490</v>
          </cell>
        </row>
        <row r="789">
          <cell r="D789">
            <v>11932</v>
          </cell>
        </row>
        <row r="790">
          <cell r="D790">
            <v>9776</v>
          </cell>
        </row>
        <row r="791">
          <cell r="D791">
            <v>8924</v>
          </cell>
        </row>
        <row r="792">
          <cell r="D792">
            <v>8815</v>
          </cell>
        </row>
        <row r="793">
          <cell r="D793">
            <v>8697</v>
          </cell>
        </row>
        <row r="794">
          <cell r="D794">
            <v>9660</v>
          </cell>
        </row>
        <row r="795">
          <cell r="D795">
            <v>9851</v>
          </cell>
        </row>
        <row r="796">
          <cell r="D796">
            <v>9698</v>
          </cell>
        </row>
        <row r="797">
          <cell r="D797">
            <v>9565</v>
          </cell>
        </row>
        <row r="798">
          <cell r="D798">
            <v>9787</v>
          </cell>
        </row>
        <row r="799">
          <cell r="D799">
            <v>9901</v>
          </cell>
        </row>
        <row r="800">
          <cell r="D800">
            <v>10128</v>
          </cell>
        </row>
        <row r="801">
          <cell r="D801">
            <v>11244</v>
          </cell>
        </row>
        <row r="802">
          <cell r="D802">
            <v>11364</v>
          </cell>
        </row>
        <row r="803">
          <cell r="D803">
            <v>11595</v>
          </cell>
        </row>
        <row r="804">
          <cell r="D804">
            <v>13794</v>
          </cell>
        </row>
        <row r="805">
          <cell r="D805">
            <v>14111</v>
          </cell>
        </row>
        <row r="806">
          <cell r="D806">
            <v>13173</v>
          </cell>
        </row>
        <row r="807">
          <cell r="D807">
            <v>12092</v>
          </cell>
        </row>
        <row r="808">
          <cell r="D808">
            <v>21923</v>
          </cell>
        </row>
        <row r="809">
          <cell r="D809">
            <v>9036</v>
          </cell>
        </row>
        <row r="810">
          <cell r="D810">
            <v>10119</v>
          </cell>
        </row>
        <row r="811">
          <cell r="D811">
            <v>15198</v>
          </cell>
        </row>
        <row r="812">
          <cell r="D812">
            <v>17766</v>
          </cell>
        </row>
        <row r="813">
          <cell r="D813">
            <v>15680</v>
          </cell>
        </row>
        <row r="814">
          <cell r="D814">
            <v>15011</v>
          </cell>
        </row>
        <row r="815">
          <cell r="D815">
            <v>13972</v>
          </cell>
        </row>
        <row r="816">
          <cell r="D816">
            <v>13856</v>
          </cell>
        </row>
        <row r="817">
          <cell r="D817">
            <v>10407</v>
          </cell>
        </row>
        <row r="818">
          <cell r="D818">
            <v>9537</v>
          </cell>
        </row>
        <row r="819">
          <cell r="D819">
            <v>9548</v>
          </cell>
        </row>
        <row r="820">
          <cell r="D820">
            <v>9467</v>
          </cell>
        </row>
        <row r="821">
          <cell r="D821">
            <v>9426</v>
          </cell>
        </row>
        <row r="822">
          <cell r="D822">
            <v>9844</v>
          </cell>
        </row>
        <row r="823">
          <cell r="D823">
            <v>9743</v>
          </cell>
        </row>
        <row r="824">
          <cell r="D824">
            <v>9722</v>
          </cell>
        </row>
        <row r="825">
          <cell r="D825">
            <v>9748</v>
          </cell>
        </row>
        <row r="826">
          <cell r="D826">
            <v>10785</v>
          </cell>
        </row>
        <row r="827">
          <cell r="D827">
            <v>10980</v>
          </cell>
        </row>
        <row r="828">
          <cell r="D828">
            <v>10980</v>
          </cell>
        </row>
        <row r="829">
          <cell r="D829">
            <v>11544</v>
          </cell>
        </row>
        <row r="830">
          <cell r="D830">
            <v>12573</v>
          </cell>
        </row>
        <row r="831">
          <cell r="D831">
            <v>12791</v>
          </cell>
        </row>
        <row r="832">
          <cell r="D832">
            <v>12911</v>
          </cell>
        </row>
        <row r="833">
          <cell r="D833">
            <v>13867</v>
          </cell>
        </row>
        <row r="834">
          <cell r="D834">
            <v>13867</v>
          </cell>
        </row>
        <row r="835">
          <cell r="D835">
            <v>12837</v>
          </cell>
        </row>
        <row r="836">
          <cell r="D836">
            <v>8942</v>
          </cell>
        </row>
        <row r="837">
          <cell r="D837">
            <v>6877</v>
          </cell>
        </row>
        <row r="838">
          <cell r="D838">
            <v>6851</v>
          </cell>
        </row>
        <row r="839">
          <cell r="D839">
            <v>6934</v>
          </cell>
        </row>
        <row r="840">
          <cell r="D840">
            <v>10596</v>
          </cell>
        </row>
        <row r="841">
          <cell r="D841">
            <v>12237</v>
          </cell>
        </row>
        <row r="842">
          <cell r="D842">
            <v>14552</v>
          </cell>
        </row>
        <row r="843">
          <cell r="D843">
            <v>17916</v>
          </cell>
        </row>
        <row r="844">
          <cell r="D844">
            <v>14170</v>
          </cell>
        </row>
        <row r="845">
          <cell r="D845">
            <v>13998</v>
          </cell>
        </row>
        <row r="846">
          <cell r="D846">
            <v>13307</v>
          </cell>
        </row>
        <row r="847">
          <cell r="D847">
            <v>12208</v>
          </cell>
        </row>
        <row r="848">
          <cell r="D848">
            <v>11785</v>
          </cell>
        </row>
        <row r="849">
          <cell r="D849">
            <v>11041</v>
          </cell>
        </row>
        <row r="850">
          <cell r="D850">
            <v>10251</v>
          </cell>
        </row>
        <row r="851">
          <cell r="D851">
            <v>9017</v>
          </cell>
        </row>
        <row r="852">
          <cell r="D852">
            <v>9764</v>
          </cell>
        </row>
        <row r="853">
          <cell r="D853">
            <v>9640</v>
          </cell>
        </row>
        <row r="854">
          <cell r="D854">
            <v>9399</v>
          </cell>
        </row>
        <row r="855">
          <cell r="D855">
            <v>9431</v>
          </cell>
        </row>
        <row r="856">
          <cell r="D856">
            <v>9867</v>
          </cell>
        </row>
        <row r="857">
          <cell r="D857">
            <v>9874</v>
          </cell>
        </row>
        <row r="858">
          <cell r="D858">
            <v>9855</v>
          </cell>
        </row>
        <row r="859">
          <cell r="D859">
            <v>10078</v>
          </cell>
        </row>
        <row r="860">
          <cell r="D860">
            <v>10166</v>
          </cell>
        </row>
        <row r="861">
          <cell r="D861">
            <v>11759</v>
          </cell>
        </row>
        <row r="862">
          <cell r="D862">
            <v>12733</v>
          </cell>
        </row>
        <row r="863">
          <cell r="D863">
            <v>14503</v>
          </cell>
        </row>
        <row r="864">
          <cell r="D864">
            <v>12016</v>
          </cell>
        </row>
        <row r="865">
          <cell r="D865">
            <v>9771</v>
          </cell>
        </row>
        <row r="866">
          <cell r="D866">
            <v>9489</v>
          </cell>
        </row>
        <row r="867">
          <cell r="D867">
            <v>23101</v>
          </cell>
        </row>
        <row r="868">
          <cell r="D868">
            <v>22261</v>
          </cell>
        </row>
        <row r="869">
          <cell r="D869">
            <v>22089</v>
          </cell>
        </row>
        <row r="870">
          <cell r="D870">
            <v>22125</v>
          </cell>
        </row>
        <row r="871">
          <cell r="D871">
            <v>22309</v>
          </cell>
        </row>
        <row r="872">
          <cell r="D872">
            <v>24123</v>
          </cell>
        </row>
        <row r="873">
          <cell r="D873">
            <v>14487</v>
          </cell>
        </row>
        <row r="874">
          <cell r="D874">
            <v>15041</v>
          </cell>
        </row>
        <row r="875">
          <cell r="D875">
            <v>17414</v>
          </cell>
        </row>
        <row r="876">
          <cell r="D876">
            <v>17401</v>
          </cell>
        </row>
        <row r="877">
          <cell r="D877">
            <v>16641</v>
          </cell>
        </row>
        <row r="878">
          <cell r="D878">
            <v>16168</v>
          </cell>
        </row>
        <row r="879">
          <cell r="D879">
            <v>16048</v>
          </cell>
        </row>
        <row r="880">
          <cell r="D880">
            <v>15593</v>
          </cell>
        </row>
        <row r="881">
          <cell r="D881">
            <v>13712</v>
          </cell>
        </row>
        <row r="882">
          <cell r="D882">
            <v>12989</v>
          </cell>
        </row>
        <row r="883">
          <cell r="D883">
            <v>11797</v>
          </cell>
        </row>
        <row r="884">
          <cell r="D884">
            <v>11709</v>
          </cell>
        </row>
        <row r="885">
          <cell r="D885">
            <v>10546</v>
          </cell>
        </row>
        <row r="886">
          <cell r="D886">
            <v>10440</v>
          </cell>
        </row>
        <row r="887">
          <cell r="D887">
            <v>10005</v>
          </cell>
        </row>
        <row r="888">
          <cell r="D888">
            <v>8796</v>
          </cell>
        </row>
        <row r="889">
          <cell r="D889">
            <v>9653</v>
          </cell>
        </row>
        <row r="890">
          <cell r="D890">
            <v>9425</v>
          </cell>
        </row>
        <row r="891">
          <cell r="D891">
            <v>9852</v>
          </cell>
        </row>
        <row r="892">
          <cell r="D892">
            <v>9663</v>
          </cell>
        </row>
        <row r="893">
          <cell r="D893">
            <v>10475</v>
          </cell>
        </row>
        <row r="894">
          <cell r="D894">
            <v>11763</v>
          </cell>
        </row>
        <row r="895">
          <cell r="D895">
            <v>12803</v>
          </cell>
        </row>
        <row r="896">
          <cell r="D896">
            <v>13755</v>
          </cell>
        </row>
        <row r="897">
          <cell r="D897">
            <v>13958</v>
          </cell>
        </row>
        <row r="898">
          <cell r="D898">
            <v>14213</v>
          </cell>
        </row>
        <row r="899">
          <cell r="D899">
            <v>14236</v>
          </cell>
        </row>
        <row r="900">
          <cell r="D900">
            <v>14138</v>
          </cell>
        </row>
        <row r="901">
          <cell r="D901">
            <v>10343</v>
          </cell>
        </row>
        <row r="902">
          <cell r="D902">
            <v>10140</v>
          </cell>
        </row>
        <row r="903">
          <cell r="D903">
            <v>8118</v>
          </cell>
        </row>
        <row r="904">
          <cell r="D904">
            <v>7802</v>
          </cell>
        </row>
        <row r="905">
          <cell r="D905">
            <v>26712</v>
          </cell>
        </row>
        <row r="906">
          <cell r="D906">
            <v>21843</v>
          </cell>
        </row>
        <row r="907">
          <cell r="D907">
            <v>22335</v>
          </cell>
        </row>
        <row r="908">
          <cell r="D908">
            <v>11195</v>
          </cell>
        </row>
        <row r="909">
          <cell r="D909">
            <v>15594</v>
          </cell>
        </row>
        <row r="910">
          <cell r="D910">
            <v>17694</v>
          </cell>
        </row>
        <row r="911">
          <cell r="D911">
            <v>17675</v>
          </cell>
        </row>
        <row r="912">
          <cell r="D912">
            <v>16870</v>
          </cell>
        </row>
        <row r="913">
          <cell r="D913">
            <v>16583</v>
          </cell>
        </row>
        <row r="914">
          <cell r="D914">
            <v>15745</v>
          </cell>
        </row>
        <row r="915">
          <cell r="D915">
            <v>11630</v>
          </cell>
        </row>
        <row r="916">
          <cell r="D916">
            <v>9183</v>
          </cell>
        </row>
        <row r="917">
          <cell r="D917">
            <v>9414</v>
          </cell>
        </row>
        <row r="918">
          <cell r="D918">
            <v>9713</v>
          </cell>
        </row>
        <row r="919">
          <cell r="D919">
            <v>9813</v>
          </cell>
        </row>
        <row r="920">
          <cell r="D920">
            <v>9696</v>
          </cell>
        </row>
        <row r="921">
          <cell r="D921">
            <v>10035</v>
          </cell>
        </row>
        <row r="922">
          <cell r="D922">
            <v>10069</v>
          </cell>
        </row>
        <row r="923">
          <cell r="D923">
            <v>10130</v>
          </cell>
        </row>
        <row r="924">
          <cell r="D924">
            <v>12919</v>
          </cell>
        </row>
        <row r="925">
          <cell r="D925">
            <v>14549</v>
          </cell>
        </row>
        <row r="926">
          <cell r="D926">
            <v>12514</v>
          </cell>
        </row>
        <row r="927">
          <cell r="D927">
            <v>22139</v>
          </cell>
        </row>
        <row r="928">
          <cell r="D928">
            <v>21708</v>
          </cell>
        </row>
        <row r="929">
          <cell r="D929">
            <v>26237</v>
          </cell>
        </row>
        <row r="930">
          <cell r="D930">
            <v>8560</v>
          </cell>
        </row>
        <row r="931">
          <cell r="D931">
            <v>8680</v>
          </cell>
        </row>
        <row r="932">
          <cell r="D932">
            <v>8789</v>
          </cell>
        </row>
        <row r="933">
          <cell r="D933">
            <v>16859</v>
          </cell>
        </row>
        <row r="934">
          <cell r="D934">
            <v>18002</v>
          </cell>
        </row>
        <row r="935">
          <cell r="D935">
            <v>17008</v>
          </cell>
        </row>
        <row r="936">
          <cell r="D936">
            <v>11908</v>
          </cell>
        </row>
        <row r="937">
          <cell r="D937">
            <v>11540</v>
          </cell>
        </row>
        <row r="938">
          <cell r="D938">
            <v>10807</v>
          </cell>
        </row>
        <row r="939">
          <cell r="D939">
            <v>8696</v>
          </cell>
        </row>
        <row r="940">
          <cell r="D940">
            <v>8986</v>
          </cell>
        </row>
        <row r="941">
          <cell r="D941">
            <v>8978</v>
          </cell>
        </row>
        <row r="942">
          <cell r="D942">
            <v>9409</v>
          </cell>
        </row>
        <row r="943">
          <cell r="D943">
            <v>9493</v>
          </cell>
        </row>
        <row r="944">
          <cell r="D944">
            <v>9736</v>
          </cell>
        </row>
        <row r="945">
          <cell r="D945">
            <v>9676</v>
          </cell>
        </row>
        <row r="946">
          <cell r="D946">
            <v>10064</v>
          </cell>
        </row>
        <row r="947">
          <cell r="D947">
            <v>10268</v>
          </cell>
        </row>
        <row r="948">
          <cell r="D948">
            <v>11297</v>
          </cell>
        </row>
        <row r="949">
          <cell r="D949">
            <v>12286</v>
          </cell>
        </row>
        <row r="950">
          <cell r="D950">
            <v>12727</v>
          </cell>
        </row>
        <row r="951">
          <cell r="D951">
            <v>14143</v>
          </cell>
        </row>
        <row r="952">
          <cell r="D952">
            <v>12716</v>
          </cell>
        </row>
        <row r="953">
          <cell r="D953">
            <v>12240</v>
          </cell>
        </row>
        <row r="954">
          <cell r="D954">
            <v>11295</v>
          </cell>
        </row>
        <row r="955">
          <cell r="D955">
            <v>7308</v>
          </cell>
        </row>
        <row r="956">
          <cell r="D956">
            <v>22063</v>
          </cell>
        </row>
        <row r="957">
          <cell r="D957">
            <v>22099</v>
          </cell>
        </row>
        <row r="958">
          <cell r="D958">
            <v>8346</v>
          </cell>
        </row>
        <row r="959">
          <cell r="D959">
            <v>10444</v>
          </cell>
        </row>
        <row r="960">
          <cell r="D960">
            <v>16094</v>
          </cell>
        </row>
        <row r="961">
          <cell r="D961">
            <v>16881</v>
          </cell>
        </row>
        <row r="962">
          <cell r="D962">
            <v>17127</v>
          </cell>
        </row>
        <row r="963">
          <cell r="D963">
            <v>17445</v>
          </cell>
        </row>
        <row r="964">
          <cell r="D964">
            <v>17386</v>
          </cell>
        </row>
        <row r="965">
          <cell r="D965">
            <v>14712</v>
          </cell>
        </row>
        <row r="966">
          <cell r="D966">
            <v>12383</v>
          </cell>
        </row>
        <row r="967">
          <cell r="D967">
            <v>11304</v>
          </cell>
        </row>
        <row r="968">
          <cell r="D968">
            <v>11178</v>
          </cell>
        </row>
        <row r="969">
          <cell r="D969">
            <v>10678</v>
          </cell>
        </row>
        <row r="970">
          <cell r="D970">
            <v>9316</v>
          </cell>
        </row>
        <row r="971">
          <cell r="D971">
            <v>8715</v>
          </cell>
        </row>
        <row r="972">
          <cell r="D972">
            <v>9263</v>
          </cell>
        </row>
        <row r="973">
          <cell r="D973">
            <v>9627</v>
          </cell>
        </row>
        <row r="974">
          <cell r="D974">
            <v>9643</v>
          </cell>
        </row>
        <row r="975">
          <cell r="D975">
            <v>9723</v>
          </cell>
        </row>
        <row r="976">
          <cell r="D976">
            <v>9501</v>
          </cell>
        </row>
        <row r="977">
          <cell r="D977">
            <v>9847</v>
          </cell>
        </row>
        <row r="978">
          <cell r="D978">
            <v>9702</v>
          </cell>
        </row>
        <row r="979">
          <cell r="D979">
            <v>9612</v>
          </cell>
        </row>
        <row r="980">
          <cell r="D980">
            <v>9933</v>
          </cell>
        </row>
        <row r="981">
          <cell r="D981">
            <v>9940</v>
          </cell>
        </row>
        <row r="982">
          <cell r="D982">
            <v>10332</v>
          </cell>
        </row>
        <row r="983">
          <cell r="D983">
            <v>10457</v>
          </cell>
        </row>
        <row r="984">
          <cell r="D984">
            <v>11147</v>
          </cell>
        </row>
        <row r="985">
          <cell r="D985">
            <v>14005</v>
          </cell>
        </row>
        <row r="986">
          <cell r="D986">
            <v>14454</v>
          </cell>
        </row>
        <row r="987">
          <cell r="D987">
            <v>12988</v>
          </cell>
        </row>
        <row r="988">
          <cell r="D988">
            <v>10461</v>
          </cell>
        </row>
        <row r="989">
          <cell r="D989">
            <v>6859</v>
          </cell>
        </row>
        <row r="990">
          <cell r="D990">
            <v>21942</v>
          </cell>
        </row>
        <row r="991">
          <cell r="D991">
            <v>21643</v>
          </cell>
        </row>
        <row r="992">
          <cell r="D992">
            <v>8389</v>
          </cell>
        </row>
        <row r="993">
          <cell r="D993">
            <v>9445</v>
          </cell>
        </row>
        <row r="994">
          <cell r="D994">
            <v>10672</v>
          </cell>
        </row>
        <row r="995">
          <cell r="D995">
            <v>13161</v>
          </cell>
        </row>
        <row r="996">
          <cell r="D996">
            <v>16148</v>
          </cell>
        </row>
        <row r="997">
          <cell r="D997">
            <v>10404</v>
          </cell>
        </row>
        <row r="998">
          <cell r="D998">
            <v>9924</v>
          </cell>
        </row>
        <row r="999">
          <cell r="D999">
            <v>9647</v>
          </cell>
        </row>
        <row r="1000">
          <cell r="D1000">
            <v>9475</v>
          </cell>
        </row>
        <row r="1001">
          <cell r="D1001">
            <v>9825</v>
          </cell>
        </row>
        <row r="1002">
          <cell r="D1002">
            <v>9765</v>
          </cell>
        </row>
        <row r="1003">
          <cell r="D1003">
            <v>9770</v>
          </cell>
        </row>
        <row r="1004">
          <cell r="D1004">
            <v>9686</v>
          </cell>
        </row>
        <row r="1005">
          <cell r="D1005">
            <v>10000</v>
          </cell>
        </row>
        <row r="1006">
          <cell r="D1006">
            <v>10090</v>
          </cell>
        </row>
        <row r="1007">
          <cell r="D1007">
            <v>10104</v>
          </cell>
        </row>
        <row r="1008">
          <cell r="D1008">
            <v>10055</v>
          </cell>
        </row>
        <row r="1009">
          <cell r="D1009">
            <v>10315</v>
          </cell>
        </row>
        <row r="1010">
          <cell r="D1010">
            <v>10463</v>
          </cell>
        </row>
        <row r="1011">
          <cell r="D1011">
            <v>11840</v>
          </cell>
        </row>
        <row r="1012">
          <cell r="D1012">
            <v>12419</v>
          </cell>
        </row>
        <row r="1013">
          <cell r="D1013">
            <v>12848</v>
          </cell>
        </row>
        <row r="1014">
          <cell r="D1014">
            <v>14164</v>
          </cell>
        </row>
        <row r="1015">
          <cell r="D1015">
            <v>13347</v>
          </cell>
        </row>
        <row r="1016">
          <cell r="D1016">
            <v>9083</v>
          </cell>
        </row>
        <row r="1017">
          <cell r="D1017">
            <v>8315</v>
          </cell>
        </row>
        <row r="1018">
          <cell r="D1018">
            <v>21883</v>
          </cell>
        </row>
        <row r="1019">
          <cell r="D1019">
            <v>9323</v>
          </cell>
        </row>
        <row r="1020">
          <cell r="D1020">
            <v>9816</v>
          </cell>
        </row>
        <row r="1021">
          <cell r="D1021">
            <v>11470</v>
          </cell>
        </row>
        <row r="1022">
          <cell r="D1022">
            <v>13409</v>
          </cell>
        </row>
        <row r="1023">
          <cell r="D1023">
            <v>13799</v>
          </cell>
        </row>
        <row r="1024">
          <cell r="D1024">
            <v>14210</v>
          </cell>
        </row>
        <row r="1025">
          <cell r="D1025">
            <v>14842</v>
          </cell>
        </row>
        <row r="1026">
          <cell r="D1026">
            <v>15840</v>
          </cell>
        </row>
        <row r="1027">
          <cell r="D1027">
            <v>17767</v>
          </cell>
        </row>
        <row r="1028">
          <cell r="D1028">
            <v>16082</v>
          </cell>
        </row>
        <row r="1029">
          <cell r="D1029">
            <v>15322</v>
          </cell>
        </row>
        <row r="1030">
          <cell r="D1030">
            <v>13172</v>
          </cell>
        </row>
        <row r="1031">
          <cell r="D1031">
            <v>12272</v>
          </cell>
        </row>
        <row r="1032">
          <cell r="D1032">
            <v>9641</v>
          </cell>
        </row>
        <row r="1033">
          <cell r="D1033">
            <v>8716</v>
          </cell>
        </row>
        <row r="1034">
          <cell r="D1034">
            <v>8996</v>
          </cell>
        </row>
        <row r="1035">
          <cell r="D1035">
            <v>9555</v>
          </cell>
        </row>
        <row r="1036">
          <cell r="D1036">
            <v>9796</v>
          </cell>
        </row>
        <row r="1037">
          <cell r="D1037">
            <v>9428</v>
          </cell>
        </row>
        <row r="1038">
          <cell r="D1038">
            <v>9510</v>
          </cell>
        </row>
        <row r="1039">
          <cell r="D1039">
            <v>9825</v>
          </cell>
        </row>
        <row r="1040">
          <cell r="D1040">
            <v>9809</v>
          </cell>
        </row>
        <row r="1041">
          <cell r="D1041">
            <v>9617</v>
          </cell>
        </row>
        <row r="1042">
          <cell r="D1042">
            <v>9756</v>
          </cell>
        </row>
        <row r="1043">
          <cell r="D1043">
            <v>9854</v>
          </cell>
        </row>
        <row r="1044">
          <cell r="D1044">
            <v>10262</v>
          </cell>
        </row>
        <row r="1045">
          <cell r="D1045">
            <v>12909</v>
          </cell>
        </row>
        <row r="1046">
          <cell r="D1046">
            <v>11938</v>
          </cell>
        </row>
        <row r="1047">
          <cell r="D1047">
            <v>11726</v>
          </cell>
        </row>
        <row r="1048">
          <cell r="D1048">
            <v>12725</v>
          </cell>
        </row>
        <row r="1049">
          <cell r="D1049">
            <v>17354</v>
          </cell>
        </row>
        <row r="1050">
          <cell r="D1050">
            <v>10471</v>
          </cell>
        </row>
        <row r="1051">
          <cell r="D1051">
            <v>10049</v>
          </cell>
        </row>
        <row r="1052">
          <cell r="D1052">
            <v>9410</v>
          </cell>
        </row>
        <row r="1053">
          <cell r="D1053">
            <v>8729</v>
          </cell>
        </row>
        <row r="1054">
          <cell r="D1054">
            <v>8875</v>
          </cell>
        </row>
        <row r="1055">
          <cell r="D1055">
            <v>9265</v>
          </cell>
        </row>
        <row r="1056">
          <cell r="D1056">
            <v>9364</v>
          </cell>
        </row>
        <row r="1057">
          <cell r="D1057">
            <v>9349</v>
          </cell>
        </row>
        <row r="1058">
          <cell r="D1058">
            <v>9640</v>
          </cell>
        </row>
        <row r="1059">
          <cell r="D1059">
            <v>9737</v>
          </cell>
        </row>
        <row r="1060">
          <cell r="D1060">
            <v>9661</v>
          </cell>
        </row>
        <row r="1061">
          <cell r="D1061">
            <v>10118</v>
          </cell>
        </row>
        <row r="1062">
          <cell r="D1062">
            <v>10031</v>
          </cell>
        </row>
        <row r="1063">
          <cell r="D1063">
            <v>12050</v>
          </cell>
        </row>
        <row r="1064">
          <cell r="D1064">
            <v>12946</v>
          </cell>
        </row>
        <row r="1065">
          <cell r="D1065">
            <v>14465</v>
          </cell>
        </row>
        <row r="1066">
          <cell r="D1066">
            <v>14558</v>
          </cell>
        </row>
        <row r="1067">
          <cell r="D1067">
            <v>7943</v>
          </cell>
        </row>
        <row r="1068">
          <cell r="D1068">
            <v>7221</v>
          </cell>
        </row>
        <row r="1069">
          <cell r="D1069">
            <v>22128</v>
          </cell>
        </row>
        <row r="1070">
          <cell r="D1070">
            <v>21785</v>
          </cell>
        </row>
        <row r="1071">
          <cell r="D1071">
            <v>22949</v>
          </cell>
        </row>
        <row r="1072">
          <cell r="D1072">
            <v>8622</v>
          </cell>
        </row>
        <row r="1073">
          <cell r="D1073">
            <v>17942</v>
          </cell>
        </row>
        <row r="1074">
          <cell r="D1074">
            <v>12903</v>
          </cell>
        </row>
        <row r="1075">
          <cell r="D1075">
            <v>10849</v>
          </cell>
        </row>
        <row r="1076">
          <cell r="D1076">
            <v>10173</v>
          </cell>
        </row>
        <row r="1077">
          <cell r="D1077">
            <v>9433</v>
          </cell>
        </row>
        <row r="1078">
          <cell r="D1078">
            <v>9617</v>
          </cell>
        </row>
        <row r="1079">
          <cell r="D1079">
            <v>9349</v>
          </cell>
        </row>
        <row r="1080">
          <cell r="D1080">
            <v>11014</v>
          </cell>
        </row>
        <row r="1081">
          <cell r="D1081">
            <v>14497</v>
          </cell>
        </row>
        <row r="1082">
          <cell r="D1082">
            <v>6927</v>
          </cell>
        </row>
        <row r="1083">
          <cell r="D1083">
            <v>21988</v>
          </cell>
        </row>
        <row r="1084">
          <cell r="D1084">
            <v>9120</v>
          </cell>
        </row>
        <row r="1085">
          <cell r="D1085">
            <v>11089</v>
          </cell>
        </row>
        <row r="1086">
          <cell r="D1086">
            <v>12422</v>
          </cell>
        </row>
        <row r="1087">
          <cell r="D1087">
            <v>17673</v>
          </cell>
        </row>
        <row r="1088">
          <cell r="D1088">
            <v>12310</v>
          </cell>
        </row>
        <row r="1089">
          <cell r="D1089">
            <v>10453</v>
          </cell>
        </row>
        <row r="1090">
          <cell r="D1090">
            <v>9643</v>
          </cell>
        </row>
        <row r="1091">
          <cell r="D1091">
            <v>9818</v>
          </cell>
        </row>
        <row r="1092">
          <cell r="D1092">
            <v>9692</v>
          </cell>
        </row>
        <row r="1093">
          <cell r="D1093">
            <v>10112</v>
          </cell>
        </row>
        <row r="1094">
          <cell r="D1094">
            <v>12848</v>
          </cell>
        </row>
        <row r="1095">
          <cell r="D1095">
            <v>14553</v>
          </cell>
        </row>
        <row r="1096">
          <cell r="D1096">
            <v>10835</v>
          </cell>
        </row>
        <row r="1097">
          <cell r="D1097">
            <v>9362</v>
          </cell>
        </row>
        <row r="1098">
          <cell r="D1098">
            <v>22051</v>
          </cell>
        </row>
        <row r="1099">
          <cell r="D1099">
            <v>21982</v>
          </cell>
        </row>
        <row r="1100">
          <cell r="D1100">
            <v>21651</v>
          </cell>
        </row>
        <row r="1101">
          <cell r="D1101">
            <v>22194</v>
          </cell>
        </row>
        <row r="1102">
          <cell r="D1102">
            <v>9948</v>
          </cell>
        </row>
        <row r="1103">
          <cell r="D1103">
            <v>18013</v>
          </cell>
        </row>
        <row r="1104">
          <cell r="D1104">
            <v>15462</v>
          </cell>
        </row>
        <row r="1105">
          <cell r="D1105">
            <v>12538</v>
          </cell>
        </row>
        <row r="1106">
          <cell r="D1106">
            <v>11104</v>
          </cell>
        </row>
        <row r="1107">
          <cell r="D1107">
            <v>8909</v>
          </cell>
        </row>
        <row r="1108">
          <cell r="D1108">
            <v>9365</v>
          </cell>
        </row>
        <row r="1109">
          <cell r="D1109">
            <v>9467</v>
          </cell>
        </row>
        <row r="1110">
          <cell r="D1110">
            <v>9597</v>
          </cell>
        </row>
        <row r="1111">
          <cell r="D1111">
            <v>9814</v>
          </cell>
        </row>
        <row r="1112">
          <cell r="D1112">
            <v>9419</v>
          </cell>
        </row>
        <row r="1113">
          <cell r="D1113">
            <v>9778</v>
          </cell>
        </row>
        <row r="1114">
          <cell r="D1114">
            <v>9887</v>
          </cell>
        </row>
        <row r="1115">
          <cell r="D1115">
            <v>9966</v>
          </cell>
        </row>
        <row r="1116">
          <cell r="D1116">
            <v>10541</v>
          </cell>
        </row>
        <row r="1117">
          <cell r="D1117">
            <v>11794</v>
          </cell>
        </row>
        <row r="1118">
          <cell r="D1118">
            <v>13922</v>
          </cell>
        </row>
        <row r="1119">
          <cell r="D1119">
            <v>11584</v>
          </cell>
        </row>
        <row r="1120">
          <cell r="D1120">
            <v>6957</v>
          </cell>
        </row>
        <row r="1121">
          <cell r="D1121">
            <v>22021</v>
          </cell>
        </row>
        <row r="1122">
          <cell r="D1122">
            <v>21567</v>
          </cell>
        </row>
        <row r="1123">
          <cell r="D1123">
            <v>9586</v>
          </cell>
        </row>
        <row r="1124">
          <cell r="D1124">
            <v>9871</v>
          </cell>
        </row>
        <row r="1125">
          <cell r="D1125">
            <v>9861</v>
          </cell>
        </row>
        <row r="1126">
          <cell r="D1126">
            <v>22117</v>
          </cell>
        </row>
        <row r="1127">
          <cell r="D1127">
            <v>21959</v>
          </cell>
        </row>
        <row r="1128">
          <cell r="D1128">
            <v>21747</v>
          </cell>
        </row>
        <row r="1129">
          <cell r="D1129">
            <v>8854</v>
          </cell>
        </row>
        <row r="1130">
          <cell r="D1130">
            <v>9530</v>
          </cell>
        </row>
        <row r="1131">
          <cell r="D1131">
            <v>12453</v>
          </cell>
        </row>
        <row r="1132">
          <cell r="D1132">
            <v>11797</v>
          </cell>
        </row>
        <row r="1133">
          <cell r="D1133">
            <v>9360</v>
          </cell>
        </row>
        <row r="1134">
          <cell r="D1134">
            <v>7150</v>
          </cell>
        </row>
        <row r="1135">
          <cell r="D1135">
            <v>21995</v>
          </cell>
        </row>
        <row r="1136">
          <cell r="D1136">
            <v>11473</v>
          </cell>
        </row>
        <row r="1137">
          <cell r="D1137">
            <v>8724</v>
          </cell>
        </row>
        <row r="1138">
          <cell r="D1138">
            <v>8988</v>
          </cell>
        </row>
        <row r="1139">
          <cell r="D1139">
            <v>9410</v>
          </cell>
        </row>
        <row r="1140">
          <cell r="D1140">
            <v>8812</v>
          </cell>
        </row>
        <row r="1141">
          <cell r="D1141">
            <v>21841</v>
          </cell>
        </row>
        <row r="1142">
          <cell r="D1142">
            <v>21675</v>
          </cell>
        </row>
        <row r="1143">
          <cell r="D1143">
            <v>13100</v>
          </cell>
        </row>
        <row r="1144">
          <cell r="D1144">
            <v>9197</v>
          </cell>
        </row>
        <row r="1145">
          <cell r="D1145">
            <v>9520</v>
          </cell>
        </row>
        <row r="1146">
          <cell r="D1146">
            <v>10019</v>
          </cell>
        </row>
        <row r="1147">
          <cell r="D1147">
            <v>7633</v>
          </cell>
        </row>
        <row r="1148">
          <cell r="D1148">
            <v>21939</v>
          </cell>
        </row>
        <row r="1149">
          <cell r="D1149">
            <v>21422</v>
          </cell>
        </row>
        <row r="1150">
          <cell r="D1150">
            <v>10324</v>
          </cell>
        </row>
        <row r="1151">
          <cell r="D1151">
            <v>9761</v>
          </cell>
        </row>
        <row r="1152">
          <cell r="D1152">
            <v>21657</v>
          </cell>
        </row>
        <row r="1153">
          <cell r="D1153">
            <v>21672</v>
          </cell>
        </row>
        <row r="1154">
          <cell r="D1154">
            <v>21602</v>
          </cell>
        </row>
      </sheetData>
      <sheetData sheetId="3"/>
      <sheetData sheetId="4">
        <row r="2">
          <cell r="B2">
            <v>1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1"/>
  <dimension ref="A1:AP242"/>
  <sheetViews>
    <sheetView tabSelected="1" topLeftCell="A196" zoomScale="185" zoomScaleNormal="100" workbookViewId="0">
      <selection activeCell="Q217" sqref="Q217"/>
    </sheetView>
  </sheetViews>
  <sheetFormatPr baseColWidth="10" defaultColWidth="8.83203125" defaultRowHeight="15" customHeight="1" x14ac:dyDescent="0.2"/>
  <cols>
    <col min="1" max="1" width="8.1640625" customWidth="1"/>
    <col min="2" max="2" width="9.5" customWidth="1"/>
    <col min="3" max="3" width="20.83203125" hidden="1" customWidth="1"/>
    <col min="4" max="4" width="8.83203125" customWidth="1"/>
    <col min="5" max="6" width="26.5" hidden="1" customWidth="1"/>
    <col min="7" max="7" width="8" customWidth="1"/>
    <col min="8" max="10" width="26.5" hidden="1" customWidth="1"/>
    <col min="11" max="11" width="6.5" hidden="1" customWidth="1"/>
    <col min="12" max="12" width="4.5" customWidth="1"/>
    <col min="13" max="13" width="3.5" customWidth="1"/>
    <col min="14" max="14" width="4.83203125" customWidth="1"/>
    <col min="15" max="15" width="4.5" customWidth="1"/>
    <col min="16" max="16" width="15.1640625" customWidth="1"/>
    <col min="17" max="17" width="10.5" style="20" customWidth="1"/>
    <col min="18" max="18" width="15.5" customWidth="1"/>
    <col min="19" max="19" width="12.1640625" customWidth="1"/>
    <col min="20" max="20" width="5.5" bestFit="1" customWidth="1"/>
    <col min="21" max="21" width="8.1640625" customWidth="1"/>
    <col min="22" max="22" width="7.33203125" customWidth="1"/>
    <col min="23" max="23" width="10.83203125" customWidth="1"/>
    <col min="24" max="24" width="9.83203125" customWidth="1"/>
    <col min="25" max="25" width="14.33203125" customWidth="1"/>
    <col min="26" max="26" width="25.83203125" customWidth="1"/>
    <col min="27" max="27" width="47.83203125" customWidth="1"/>
    <col min="28" max="28" width="33.5" style="17" customWidth="1"/>
    <col min="29" max="29" width="50.83203125" customWidth="1"/>
    <col min="30" max="30" width="6.1640625" style="20" customWidth="1"/>
    <col min="31" max="31" width="7.5" style="20" customWidth="1"/>
    <col min="32" max="32" width="7.6640625" style="20" customWidth="1"/>
    <col min="33" max="36" width="17.5" style="20" customWidth="1"/>
    <col min="37" max="37" width="9.6640625" style="20" customWidth="1"/>
    <col min="38" max="38" width="10.5" customWidth="1"/>
    <col min="39" max="39" width="9.6640625" customWidth="1"/>
    <col min="40" max="40" width="12" customWidth="1"/>
  </cols>
  <sheetData>
    <row r="1" spans="1:42" s="7" customFormat="1" ht="162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2" t="s">
        <v>19</v>
      </c>
      <c r="U1" s="5" t="s">
        <v>20</v>
      </c>
      <c r="V1" s="6" t="s">
        <v>21</v>
      </c>
      <c r="W1" s="5" t="s">
        <v>22</v>
      </c>
      <c r="X1" s="7" t="s">
        <v>23</v>
      </c>
      <c r="Y1" s="5" t="s">
        <v>24</v>
      </c>
      <c r="Z1" s="5" t="s">
        <v>25</v>
      </c>
      <c r="AA1" s="5" t="s">
        <v>26</v>
      </c>
      <c r="AB1" s="8" t="s">
        <v>27</v>
      </c>
      <c r="AC1" s="7" t="s">
        <v>28</v>
      </c>
      <c r="AD1" s="4" t="s">
        <v>29</v>
      </c>
      <c r="AE1" s="4" t="s">
        <v>30</v>
      </c>
      <c r="AF1" s="4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35</v>
      </c>
      <c r="AL1" s="1" t="s">
        <v>36</v>
      </c>
      <c r="AM1" s="1" t="s">
        <v>37</v>
      </c>
      <c r="AN1" s="7" t="s">
        <v>38</v>
      </c>
      <c r="AO1" s="7" t="s">
        <v>1956</v>
      </c>
      <c r="AP1" s="7" t="s">
        <v>1957</v>
      </c>
    </row>
    <row r="2" spans="1:42" ht="15" customHeight="1" x14ac:dyDescent="0.2">
      <c r="A2" s="10">
        <v>1</v>
      </c>
      <c r="B2" s="10" t="s">
        <v>39</v>
      </c>
      <c r="C2" s="10" t="s">
        <v>40</v>
      </c>
      <c r="D2" s="10" t="s">
        <v>41</v>
      </c>
      <c r="E2" s="10" t="s">
        <v>42</v>
      </c>
      <c r="F2" s="10" t="s">
        <v>43</v>
      </c>
      <c r="G2" s="10" t="s">
        <v>44</v>
      </c>
      <c r="H2" s="10" t="s">
        <v>45</v>
      </c>
      <c r="I2" s="10" t="s">
        <v>46</v>
      </c>
      <c r="J2" s="10">
        <v>1</v>
      </c>
      <c r="K2" s="10" t="s">
        <v>44</v>
      </c>
      <c r="L2" s="10">
        <v>11</v>
      </c>
      <c r="M2" s="10">
        <v>1</v>
      </c>
      <c r="N2" s="10">
        <v>4</v>
      </c>
      <c r="O2" s="11" t="str">
        <f>HYPERLINK(AL2,"link")</f>
        <v>link</v>
      </c>
      <c r="P2" s="10" t="s">
        <v>47</v>
      </c>
      <c r="Q2" s="12" t="s">
        <v>48</v>
      </c>
      <c r="R2" s="10" t="s">
        <v>49</v>
      </c>
      <c r="S2" t="s">
        <v>50</v>
      </c>
      <c r="T2" s="10" t="s">
        <v>51</v>
      </c>
      <c r="U2" s="13">
        <v>59.322604912831594</v>
      </c>
      <c r="V2" s="14">
        <v>13.715369770712712</v>
      </c>
      <c r="W2" s="15">
        <v>0.46083525588594959</v>
      </c>
      <c r="X2" s="16" t="s">
        <v>52</v>
      </c>
      <c r="Y2" t="s">
        <v>53</v>
      </c>
      <c r="AA2" t="s">
        <v>54</v>
      </c>
      <c r="AC2" s="18" t="s">
        <v>55</v>
      </c>
      <c r="AD2" s="12"/>
      <c r="AE2" s="12" t="s">
        <v>56</v>
      </c>
      <c r="AF2" s="19" t="s">
        <v>56</v>
      </c>
      <c r="AG2" s="12" t="s">
        <v>57</v>
      </c>
      <c r="AH2" s="12" t="s">
        <v>58</v>
      </c>
      <c r="AI2" s="12" t="s">
        <v>59</v>
      </c>
      <c r="AJ2" s="12" t="s">
        <v>60</v>
      </c>
      <c r="AK2" s="12" t="s">
        <v>56</v>
      </c>
      <c r="AL2" s="12" t="s">
        <v>61</v>
      </c>
      <c r="AM2" s="10">
        <v>0.59199999999999997</v>
      </c>
      <c r="AN2" s="10" t="s">
        <v>56</v>
      </c>
      <c r="AO2" t="str">
        <f>_xlfn.CONCAT($AP$1,D2)</f>
        <v>c.11C&gt;A</v>
      </c>
    </row>
    <row r="3" spans="1:42" ht="15" customHeight="1" x14ac:dyDescent="0.2">
      <c r="A3" s="10">
        <v>174</v>
      </c>
      <c r="B3" s="10" t="s">
        <v>39</v>
      </c>
      <c r="C3" s="10" t="s">
        <v>1723</v>
      </c>
      <c r="D3" s="10" t="s">
        <v>1724</v>
      </c>
      <c r="E3" s="10" t="s">
        <v>1725</v>
      </c>
      <c r="F3" s="10" t="s">
        <v>1726</v>
      </c>
      <c r="G3" s="10" t="s">
        <v>1727</v>
      </c>
      <c r="H3" s="26" t="s">
        <v>1728</v>
      </c>
      <c r="I3" s="10"/>
      <c r="J3" s="10">
        <v>174</v>
      </c>
      <c r="K3" s="10" t="s">
        <v>1727</v>
      </c>
      <c r="L3" s="10">
        <v>36</v>
      </c>
      <c r="M3" s="10">
        <v>1</v>
      </c>
      <c r="N3" s="10">
        <v>12</v>
      </c>
      <c r="O3" s="11" t="str">
        <f>HYPERLINK(AL3,"link")</f>
        <v>link</v>
      </c>
      <c r="P3" s="10" t="s">
        <v>306</v>
      </c>
      <c r="Q3" s="12" t="s">
        <v>306</v>
      </c>
      <c r="R3" s="10" t="s">
        <v>49</v>
      </c>
      <c r="S3" t="s">
        <v>50</v>
      </c>
      <c r="T3" s="10" t="e">
        <v>#N/A</v>
      </c>
      <c r="U3" s="13">
        <v>0.1295336787564767</v>
      </c>
      <c r="V3" s="14" t="s">
        <v>56</v>
      </c>
      <c r="W3" s="15">
        <v>6.2637734692632341E-2</v>
      </c>
      <c r="X3" s="16" t="s">
        <v>1729</v>
      </c>
      <c r="Y3" t="s">
        <v>72</v>
      </c>
      <c r="AA3" t="s">
        <v>54</v>
      </c>
      <c r="AC3" s="18" t="s">
        <v>308</v>
      </c>
      <c r="AD3" s="12"/>
      <c r="AE3" s="12" t="s">
        <v>56</v>
      </c>
      <c r="AF3" s="19" t="s">
        <v>56</v>
      </c>
      <c r="AG3" s="12" t="s">
        <v>1620</v>
      </c>
      <c r="AH3" s="12" t="s">
        <v>58</v>
      </c>
      <c r="AI3" s="12" t="s">
        <v>56</v>
      </c>
      <c r="AJ3" s="12" t="s">
        <v>56</v>
      </c>
      <c r="AK3" s="12" t="s">
        <v>56</v>
      </c>
      <c r="AL3" s="12" t="s">
        <v>1730</v>
      </c>
      <c r="AM3" s="10" t="s">
        <v>56</v>
      </c>
      <c r="AN3" s="10" t="s">
        <v>56</v>
      </c>
      <c r="AO3" t="str">
        <f>_xlfn.CONCAT($AP$1,D3)</f>
        <v>c.36delC</v>
      </c>
    </row>
    <row r="4" spans="1:42" ht="15" customHeight="1" x14ac:dyDescent="0.2">
      <c r="A4" s="10">
        <v>175</v>
      </c>
      <c r="B4" s="10" t="s">
        <v>39</v>
      </c>
      <c r="C4" s="10" t="s">
        <v>1731</v>
      </c>
      <c r="D4" s="10" t="s">
        <v>1732</v>
      </c>
      <c r="E4" s="10" t="s">
        <v>1733</v>
      </c>
      <c r="F4" s="10" t="s">
        <v>1734</v>
      </c>
      <c r="G4" s="10" t="s">
        <v>1735</v>
      </c>
      <c r="H4" s="10" t="s">
        <v>1736</v>
      </c>
      <c r="I4" s="10"/>
      <c r="J4" s="10">
        <v>175</v>
      </c>
      <c r="K4" s="10" t="s">
        <v>1735</v>
      </c>
      <c r="L4" s="10">
        <v>35</v>
      </c>
      <c r="M4" s="10">
        <v>1</v>
      </c>
      <c r="N4" s="10">
        <v>12</v>
      </c>
      <c r="O4" s="11" t="str">
        <f>HYPERLINK(AL4,"link")</f>
        <v>link</v>
      </c>
      <c r="P4" s="10" t="s">
        <v>269</v>
      </c>
      <c r="Q4" s="12" t="s">
        <v>270</v>
      </c>
      <c r="R4" s="10" t="s">
        <v>49</v>
      </c>
      <c r="S4" t="s">
        <v>50</v>
      </c>
      <c r="T4" s="10" t="s">
        <v>51</v>
      </c>
      <c r="U4" s="13">
        <v>6.9961489088575108</v>
      </c>
      <c r="V4" s="14" t="s">
        <v>56</v>
      </c>
      <c r="W4" s="15">
        <v>9.4700750370396686E-2</v>
      </c>
      <c r="X4" s="16" t="s">
        <v>1737</v>
      </c>
      <c r="Y4" t="s">
        <v>72</v>
      </c>
      <c r="AA4" t="s">
        <v>54</v>
      </c>
      <c r="AC4" s="18" t="s">
        <v>73</v>
      </c>
      <c r="AD4" s="12"/>
      <c r="AE4" s="12" t="s">
        <v>56</v>
      </c>
      <c r="AF4" s="19" t="s">
        <v>56</v>
      </c>
      <c r="AG4" s="12" t="s">
        <v>1620</v>
      </c>
      <c r="AH4" s="12" t="s">
        <v>58</v>
      </c>
      <c r="AI4" s="12" t="s">
        <v>56</v>
      </c>
      <c r="AJ4" s="12" t="s">
        <v>56</v>
      </c>
      <c r="AK4" s="12" t="s">
        <v>56</v>
      </c>
      <c r="AL4" s="12" t="s">
        <v>1451</v>
      </c>
      <c r="AM4" s="10" t="s">
        <v>56</v>
      </c>
      <c r="AN4" s="10" t="s">
        <v>56</v>
      </c>
      <c r="AO4" t="str">
        <f>_xlfn.CONCAT($AP$1,D4)</f>
        <v>c.35C&gt;G</v>
      </c>
    </row>
    <row r="5" spans="1:42" ht="15" customHeight="1" x14ac:dyDescent="0.2">
      <c r="A5" s="10">
        <v>2</v>
      </c>
      <c r="B5" s="10" t="s">
        <v>39</v>
      </c>
      <c r="C5" s="10" t="s">
        <v>62</v>
      </c>
      <c r="D5" s="10" t="s">
        <v>63</v>
      </c>
      <c r="E5" s="10" t="s">
        <v>64</v>
      </c>
      <c r="F5" s="10" t="s">
        <v>65</v>
      </c>
      <c r="G5" s="10" t="s">
        <v>66</v>
      </c>
      <c r="H5" s="10" t="s">
        <v>67</v>
      </c>
      <c r="I5" s="10" t="s">
        <v>68</v>
      </c>
      <c r="J5" s="10">
        <v>2</v>
      </c>
      <c r="K5" s="10" t="s">
        <v>66</v>
      </c>
      <c r="L5" s="10">
        <v>44</v>
      </c>
      <c r="M5" s="10">
        <v>1</v>
      </c>
      <c r="N5" s="10">
        <v>15</v>
      </c>
      <c r="O5" s="11" t="str">
        <f>HYPERLINK(AL5,"link")</f>
        <v>link</v>
      </c>
      <c r="P5" s="10" t="s">
        <v>69</v>
      </c>
      <c r="Q5" s="12" t="s">
        <v>70</v>
      </c>
      <c r="R5" s="10" t="s">
        <v>49</v>
      </c>
      <c r="S5" t="s">
        <v>50</v>
      </c>
      <c r="T5" s="10" t="s">
        <v>51</v>
      </c>
      <c r="U5" s="13">
        <v>14.305555555555555</v>
      </c>
      <c r="V5" s="14" t="s">
        <v>56</v>
      </c>
      <c r="W5" s="15">
        <v>0.20587383632180328</v>
      </c>
      <c r="X5" s="16" t="s">
        <v>71</v>
      </c>
      <c r="Y5" t="s">
        <v>72</v>
      </c>
      <c r="AA5" t="s">
        <v>54</v>
      </c>
      <c r="AC5" s="18" t="s">
        <v>73</v>
      </c>
      <c r="AD5" s="12"/>
      <c r="AE5" s="12" t="s">
        <v>56</v>
      </c>
      <c r="AF5" s="19" t="s">
        <v>56</v>
      </c>
      <c r="AG5" s="12" t="s">
        <v>57</v>
      </c>
      <c r="AH5" s="12" t="s">
        <v>58</v>
      </c>
      <c r="AI5" s="12" t="s">
        <v>59</v>
      </c>
      <c r="AJ5" s="12" t="s">
        <v>60</v>
      </c>
      <c r="AK5" s="12" t="s">
        <v>56</v>
      </c>
      <c r="AL5" s="12" t="s">
        <v>74</v>
      </c>
      <c r="AM5" s="10">
        <v>0.81799999999999995</v>
      </c>
      <c r="AN5" s="10" t="s">
        <v>56</v>
      </c>
      <c r="AO5" t="str">
        <f>_xlfn.CONCAT($AP$1,D5)</f>
        <v>c.44A&gt;G</v>
      </c>
    </row>
    <row r="6" spans="1:42" ht="15" customHeight="1" x14ac:dyDescent="0.2">
      <c r="A6" s="10">
        <v>3</v>
      </c>
      <c r="B6" s="10" t="s">
        <v>39</v>
      </c>
      <c r="C6" s="10" t="s">
        <v>75</v>
      </c>
      <c r="D6" s="10" t="s">
        <v>76</v>
      </c>
      <c r="E6" s="10" t="s">
        <v>77</v>
      </c>
      <c r="F6" s="10" t="s">
        <v>78</v>
      </c>
      <c r="G6" s="10" t="s">
        <v>79</v>
      </c>
      <c r="H6" s="10" t="s">
        <v>80</v>
      </c>
      <c r="I6" s="10" t="s">
        <v>81</v>
      </c>
      <c r="J6" s="10">
        <v>3</v>
      </c>
      <c r="K6" s="10" t="s">
        <v>79</v>
      </c>
      <c r="L6" s="10">
        <v>50</v>
      </c>
      <c r="M6" s="10">
        <v>1</v>
      </c>
      <c r="N6" s="10">
        <v>17</v>
      </c>
      <c r="O6" s="11" t="str">
        <f>HYPERLINK(AL6,"link")</f>
        <v>link</v>
      </c>
      <c r="P6" s="10" t="s">
        <v>82</v>
      </c>
      <c r="Q6" s="12" t="s">
        <v>48</v>
      </c>
      <c r="R6" s="10" t="s">
        <v>49</v>
      </c>
      <c r="S6" t="s">
        <v>50</v>
      </c>
      <c r="T6" s="10" t="s">
        <v>51</v>
      </c>
      <c r="U6" s="13">
        <v>12.05857019810508</v>
      </c>
      <c r="V6" s="14" t="s">
        <v>56</v>
      </c>
      <c r="W6" s="15">
        <v>0.22648437566652818</v>
      </c>
      <c r="X6" s="16" t="s">
        <v>83</v>
      </c>
      <c r="Y6" t="s">
        <v>72</v>
      </c>
      <c r="AA6" t="s">
        <v>54</v>
      </c>
      <c r="AC6" s="20"/>
      <c r="AD6" s="12" t="s">
        <v>84</v>
      </c>
      <c r="AE6" s="12" t="s">
        <v>56</v>
      </c>
      <c r="AF6" s="19" t="s">
        <v>56</v>
      </c>
      <c r="AG6" s="12" t="s">
        <v>57</v>
      </c>
      <c r="AH6" s="12" t="s">
        <v>58</v>
      </c>
      <c r="AI6" s="12" t="s">
        <v>59</v>
      </c>
      <c r="AJ6" s="12" t="s">
        <v>60</v>
      </c>
      <c r="AK6" s="12" t="s">
        <v>56</v>
      </c>
      <c r="AL6" s="12" t="s">
        <v>85</v>
      </c>
      <c r="AM6" s="10">
        <v>-1.6160000000000001</v>
      </c>
      <c r="AN6" s="10" t="s">
        <v>56</v>
      </c>
      <c r="AO6" t="str">
        <f>_xlfn.CONCAT($AP$1,D6)</f>
        <v>c.50C&gt;T</v>
      </c>
    </row>
    <row r="7" spans="1:42" ht="15" customHeight="1" x14ac:dyDescent="0.2">
      <c r="A7" s="10">
        <v>159</v>
      </c>
      <c r="B7" s="10" t="s">
        <v>1610</v>
      </c>
      <c r="C7" s="10" t="s">
        <v>1611</v>
      </c>
      <c r="D7" s="25" t="s">
        <v>1612</v>
      </c>
      <c r="E7" s="10" t="s">
        <v>1613</v>
      </c>
      <c r="F7" s="10" t="s">
        <v>1614</v>
      </c>
      <c r="G7" s="10" t="s">
        <v>1615</v>
      </c>
      <c r="H7" s="10"/>
      <c r="I7" s="10"/>
      <c r="J7" s="10">
        <v>159</v>
      </c>
      <c r="K7" s="10" t="s">
        <v>1615</v>
      </c>
      <c r="L7" s="10">
        <v>53</v>
      </c>
      <c r="M7" s="10">
        <v>1</v>
      </c>
      <c r="N7" s="10">
        <v>18</v>
      </c>
      <c r="O7" s="11" t="e">
        <f>HYPERLINK(AL7,"link")</f>
        <v>#N/A</v>
      </c>
      <c r="P7" s="10" t="s">
        <v>1616</v>
      </c>
      <c r="Q7" s="12" t="s">
        <v>1616</v>
      </c>
      <c r="R7" s="10" t="s">
        <v>1214</v>
      </c>
      <c r="T7" s="10" t="e">
        <v>#N/A</v>
      </c>
      <c r="U7" s="13">
        <v>27.366486243253181</v>
      </c>
      <c r="V7" s="14">
        <v>5.6717150888653665</v>
      </c>
      <c r="W7" s="15">
        <v>0.2677662878422406</v>
      </c>
      <c r="X7" s="16" t="s">
        <v>1617</v>
      </c>
      <c r="Y7" t="s">
        <v>72</v>
      </c>
      <c r="Z7" t="s">
        <v>1618</v>
      </c>
      <c r="AA7" t="s">
        <v>1619</v>
      </c>
      <c r="AB7" s="17" t="s">
        <v>902</v>
      </c>
      <c r="AC7" s="9"/>
      <c r="AD7" s="12"/>
      <c r="AE7" s="12" t="s">
        <v>56</v>
      </c>
      <c r="AF7" s="19" t="s">
        <v>56</v>
      </c>
      <c r="AG7" s="12" t="s">
        <v>1620</v>
      </c>
      <c r="AH7" s="12" t="s">
        <v>58</v>
      </c>
      <c r="AI7" s="12" t="s">
        <v>56</v>
      </c>
      <c r="AJ7" s="12" t="s">
        <v>56</v>
      </c>
      <c r="AK7" s="12" t="s">
        <v>56</v>
      </c>
      <c r="AL7" s="12" t="e">
        <v>#N/A</v>
      </c>
      <c r="AM7" s="10" t="s">
        <v>56</v>
      </c>
      <c r="AN7" s="10" t="s">
        <v>56</v>
      </c>
      <c r="AO7" t="str">
        <f>_xlfn.CONCAT($AP$1,D7)</f>
        <v>c.53G&gt;A</v>
      </c>
    </row>
    <row r="8" spans="1:42" ht="15" customHeight="1" x14ac:dyDescent="0.2">
      <c r="A8" s="10">
        <v>4</v>
      </c>
      <c r="B8" s="10" t="s">
        <v>39</v>
      </c>
      <c r="C8" s="10" t="s">
        <v>86</v>
      </c>
      <c r="D8" s="10" t="s">
        <v>87</v>
      </c>
      <c r="E8" s="10" t="s">
        <v>88</v>
      </c>
      <c r="F8" s="10" t="s">
        <v>89</v>
      </c>
      <c r="G8" s="10" t="s">
        <v>90</v>
      </c>
      <c r="H8" s="10" t="s">
        <v>91</v>
      </c>
      <c r="I8" s="10" t="s">
        <v>92</v>
      </c>
      <c r="J8" s="10">
        <v>4</v>
      </c>
      <c r="K8" s="10" t="s">
        <v>90</v>
      </c>
      <c r="L8" s="10">
        <v>59</v>
      </c>
      <c r="M8" s="10">
        <v>1</v>
      </c>
      <c r="N8" s="10">
        <v>20</v>
      </c>
      <c r="O8" s="11" t="str">
        <f>HYPERLINK(AL8,"link")</f>
        <v>link</v>
      </c>
      <c r="P8" s="10" t="s">
        <v>93</v>
      </c>
      <c r="Q8" s="12" t="s">
        <v>70</v>
      </c>
      <c r="R8" s="10" t="s">
        <v>49</v>
      </c>
      <c r="S8" t="s">
        <v>50</v>
      </c>
      <c r="T8" s="10" t="s">
        <v>51</v>
      </c>
      <c r="U8" s="13">
        <v>15.884718498659517</v>
      </c>
      <c r="V8" s="14" t="s">
        <v>56</v>
      </c>
      <c r="W8" s="15">
        <v>9.4052781144744579E-2</v>
      </c>
      <c r="X8" s="16" t="s">
        <v>94</v>
      </c>
      <c r="Y8" t="s">
        <v>72</v>
      </c>
      <c r="AA8" t="s">
        <v>54</v>
      </c>
      <c r="AC8" s="20"/>
      <c r="AD8" s="12" t="s">
        <v>95</v>
      </c>
      <c r="AE8" s="12" t="s">
        <v>56</v>
      </c>
      <c r="AF8" s="19" t="s">
        <v>56</v>
      </c>
      <c r="AG8" s="12" t="s">
        <v>96</v>
      </c>
      <c r="AH8" s="12" t="s">
        <v>58</v>
      </c>
      <c r="AI8" s="12" t="s">
        <v>59</v>
      </c>
      <c r="AJ8" s="12" t="s">
        <v>56</v>
      </c>
      <c r="AK8" s="12" t="s">
        <v>56</v>
      </c>
      <c r="AL8" s="12" t="s">
        <v>97</v>
      </c>
      <c r="AM8" s="10">
        <v>3.1859999999999999</v>
      </c>
      <c r="AN8" s="10" t="s">
        <v>56</v>
      </c>
      <c r="AO8" t="str">
        <f>_xlfn.CONCAT($AP$1,D8)</f>
        <v>c.59T&gt;G</v>
      </c>
    </row>
    <row r="9" spans="1:42" ht="15" customHeight="1" x14ac:dyDescent="0.2">
      <c r="A9" s="10">
        <v>163</v>
      </c>
      <c r="B9" s="10" t="s">
        <v>39</v>
      </c>
      <c r="C9" s="10" t="s">
        <v>1641</v>
      </c>
      <c r="D9" s="10" t="s">
        <v>1642</v>
      </c>
      <c r="E9" s="10" t="s">
        <v>1643</v>
      </c>
      <c r="F9" s="10" t="s">
        <v>1644</v>
      </c>
      <c r="G9" s="10" t="s">
        <v>1645</v>
      </c>
      <c r="H9" s="10" t="s">
        <v>1646</v>
      </c>
      <c r="I9" s="10"/>
      <c r="J9" s="10">
        <v>163</v>
      </c>
      <c r="K9" s="10" t="s">
        <v>1645</v>
      </c>
      <c r="L9" s="10">
        <v>61</v>
      </c>
      <c r="M9" s="10">
        <v>1</v>
      </c>
      <c r="N9" s="10">
        <v>21</v>
      </c>
      <c r="O9" s="11" t="str">
        <f>HYPERLINK(AL9,"link")</f>
        <v>link</v>
      </c>
      <c r="P9" s="10" t="s">
        <v>269</v>
      </c>
      <c r="Q9" s="12" t="s">
        <v>270</v>
      </c>
      <c r="R9" s="10" t="s">
        <v>49</v>
      </c>
      <c r="S9" t="s">
        <v>50</v>
      </c>
      <c r="T9" s="10" t="s">
        <v>51</v>
      </c>
      <c r="U9" s="13">
        <v>92.164179104477611</v>
      </c>
      <c r="V9" s="14" t="s">
        <v>56</v>
      </c>
      <c r="W9" s="15">
        <v>3.751004118194579</v>
      </c>
      <c r="X9" s="16" t="s">
        <v>1647</v>
      </c>
      <c r="Y9" t="s">
        <v>214</v>
      </c>
      <c r="AA9" t="s">
        <v>159</v>
      </c>
      <c r="AC9" s="20"/>
      <c r="AD9" s="12"/>
      <c r="AE9" s="12" t="s">
        <v>56</v>
      </c>
      <c r="AF9" s="19" t="s">
        <v>56</v>
      </c>
      <c r="AG9" s="12" t="s">
        <v>1620</v>
      </c>
      <c r="AH9" s="12" t="s">
        <v>58</v>
      </c>
      <c r="AI9" s="12" t="s">
        <v>56</v>
      </c>
      <c r="AJ9" s="12" t="s">
        <v>56</v>
      </c>
      <c r="AK9" s="12" t="s">
        <v>56</v>
      </c>
      <c r="AL9" s="12" t="s">
        <v>1648</v>
      </c>
      <c r="AM9" s="10" t="s">
        <v>56</v>
      </c>
      <c r="AN9" s="10" t="s">
        <v>56</v>
      </c>
      <c r="AO9" t="str">
        <f>_xlfn.CONCAT($AP$1,D9)</f>
        <v>c.61C&gt;T</v>
      </c>
    </row>
    <row r="10" spans="1:42" ht="15" customHeight="1" x14ac:dyDescent="0.2">
      <c r="A10" s="10">
        <v>5</v>
      </c>
      <c r="B10" s="10" t="s">
        <v>39</v>
      </c>
      <c r="C10" s="10" t="s">
        <v>98</v>
      </c>
      <c r="D10" s="10" t="s">
        <v>99</v>
      </c>
      <c r="E10" s="10" t="s">
        <v>100</v>
      </c>
      <c r="F10" s="10" t="s">
        <v>101</v>
      </c>
      <c r="G10" s="10" t="s">
        <v>102</v>
      </c>
      <c r="H10" s="10" t="s">
        <v>103</v>
      </c>
      <c r="I10" s="10" t="s">
        <v>104</v>
      </c>
      <c r="J10" s="10">
        <v>5</v>
      </c>
      <c r="K10" s="10" t="s">
        <v>102</v>
      </c>
      <c r="L10" s="10">
        <v>67</v>
      </c>
      <c r="M10" s="10">
        <v>1</v>
      </c>
      <c r="N10" s="10">
        <v>23</v>
      </c>
      <c r="O10" s="11" t="str">
        <f>HYPERLINK(AL10,"link")</f>
        <v>link</v>
      </c>
      <c r="P10" s="10" t="s">
        <v>105</v>
      </c>
      <c r="Q10" s="12">
        <v>2</v>
      </c>
      <c r="R10" s="10" t="s">
        <v>49</v>
      </c>
      <c r="S10" t="s">
        <v>50</v>
      </c>
      <c r="T10" s="10" t="s">
        <v>51</v>
      </c>
      <c r="U10" s="13">
        <v>9.9638989169675085</v>
      </c>
      <c r="V10" s="14" t="s">
        <v>56</v>
      </c>
      <c r="W10" s="15">
        <v>0.11848379793228672</v>
      </c>
      <c r="X10" s="16" t="s">
        <v>106</v>
      </c>
      <c r="Y10" t="s">
        <v>72</v>
      </c>
      <c r="AA10" t="s">
        <v>54</v>
      </c>
      <c r="AC10" s="20"/>
      <c r="AD10" s="12"/>
      <c r="AE10" s="12" t="s">
        <v>56</v>
      </c>
      <c r="AF10" s="19" t="s">
        <v>56</v>
      </c>
      <c r="AG10" s="12" t="s">
        <v>96</v>
      </c>
      <c r="AH10" s="12" t="s">
        <v>58</v>
      </c>
      <c r="AI10" s="12" t="s">
        <v>59</v>
      </c>
      <c r="AJ10" s="12" t="s">
        <v>56</v>
      </c>
      <c r="AK10" s="12" t="s">
        <v>56</v>
      </c>
      <c r="AL10" s="12" t="s">
        <v>107</v>
      </c>
      <c r="AM10" s="10">
        <v>2.7119999999999997</v>
      </c>
      <c r="AN10" s="10" t="s">
        <v>56</v>
      </c>
      <c r="AO10" t="str">
        <f>_xlfn.CONCAT($AP$1,D10)</f>
        <v>c.67C&gt;G</v>
      </c>
    </row>
    <row r="11" spans="1:42" ht="15" customHeight="1" x14ac:dyDescent="0.2">
      <c r="A11" s="10">
        <v>6</v>
      </c>
      <c r="B11" s="10" t="s">
        <v>39</v>
      </c>
      <c r="C11" s="10" t="s">
        <v>108</v>
      </c>
      <c r="D11" s="10" t="s">
        <v>109</v>
      </c>
      <c r="E11" s="10" t="s">
        <v>110</v>
      </c>
      <c r="F11" s="10" t="s">
        <v>111</v>
      </c>
      <c r="G11" s="10" t="s">
        <v>112</v>
      </c>
      <c r="H11" s="10" t="s">
        <v>113</v>
      </c>
      <c r="I11" s="10" t="s">
        <v>114</v>
      </c>
      <c r="J11" s="10">
        <v>6</v>
      </c>
      <c r="K11" s="10" t="s">
        <v>112</v>
      </c>
      <c r="L11" s="10">
        <v>68</v>
      </c>
      <c r="M11" s="10">
        <v>1</v>
      </c>
      <c r="N11" s="10">
        <v>23</v>
      </c>
      <c r="O11" s="11" t="str">
        <f>HYPERLINK(AL11,"link")</f>
        <v>link</v>
      </c>
      <c r="P11" s="10" t="s">
        <v>105</v>
      </c>
      <c r="Q11" s="12">
        <v>2</v>
      </c>
      <c r="R11" s="10" t="s">
        <v>49</v>
      </c>
      <c r="S11" t="s">
        <v>50</v>
      </c>
      <c r="T11" s="10" t="s">
        <v>51</v>
      </c>
      <c r="U11" s="13">
        <v>17.725268053699505</v>
      </c>
      <c r="V11" s="14">
        <v>1.3752035171717341</v>
      </c>
      <c r="W11" s="15">
        <v>0.41459499421564772</v>
      </c>
      <c r="X11" s="16" t="s">
        <v>115</v>
      </c>
      <c r="Y11" t="s">
        <v>72</v>
      </c>
      <c r="Z11" s="21" t="s">
        <v>116</v>
      </c>
      <c r="AA11" t="s">
        <v>54</v>
      </c>
      <c r="AC11" s="20"/>
      <c r="AD11" s="12"/>
      <c r="AE11" s="12" t="s">
        <v>56</v>
      </c>
      <c r="AF11" s="19" t="s">
        <v>56</v>
      </c>
      <c r="AG11" s="12" t="s">
        <v>96</v>
      </c>
      <c r="AH11" s="12" t="s">
        <v>58</v>
      </c>
      <c r="AI11" s="12" t="s">
        <v>59</v>
      </c>
      <c r="AJ11" s="12" t="s">
        <v>56</v>
      </c>
      <c r="AK11" s="12" t="s">
        <v>56</v>
      </c>
      <c r="AL11" s="12" t="s">
        <v>117</v>
      </c>
      <c r="AM11" s="10">
        <v>15.470000000000002</v>
      </c>
      <c r="AN11" s="10" t="s">
        <v>56</v>
      </c>
      <c r="AO11" t="str">
        <f>_xlfn.CONCAT($AP$1,D11)</f>
        <v>c.68C&gt;A</v>
      </c>
    </row>
    <row r="12" spans="1:42" ht="15" customHeight="1" x14ac:dyDescent="0.2">
      <c r="A12" s="10">
        <v>7</v>
      </c>
      <c r="B12" s="10" t="s">
        <v>39</v>
      </c>
      <c r="C12" s="10" t="s">
        <v>118</v>
      </c>
      <c r="D12" s="10" t="s">
        <v>119</v>
      </c>
      <c r="E12" s="10" t="s">
        <v>120</v>
      </c>
      <c r="F12" s="10" t="s">
        <v>121</v>
      </c>
      <c r="G12" s="10" t="s">
        <v>122</v>
      </c>
      <c r="H12" s="10" t="s">
        <v>123</v>
      </c>
      <c r="I12" s="10" t="s">
        <v>124</v>
      </c>
      <c r="J12" s="10">
        <v>7</v>
      </c>
      <c r="K12" s="10" t="s">
        <v>122</v>
      </c>
      <c r="L12" s="10">
        <v>68</v>
      </c>
      <c r="M12" s="10">
        <v>1</v>
      </c>
      <c r="N12" s="10">
        <v>23</v>
      </c>
      <c r="O12" s="11" t="str">
        <f>HYPERLINK(AL12,"link")</f>
        <v>link</v>
      </c>
      <c r="P12" s="10" t="s">
        <v>125</v>
      </c>
      <c r="Q12" s="12" t="s">
        <v>70</v>
      </c>
      <c r="R12" s="10" t="s">
        <v>49</v>
      </c>
      <c r="S12" t="s">
        <v>50</v>
      </c>
      <c r="T12" s="10" t="s">
        <v>51</v>
      </c>
      <c r="U12" s="13">
        <v>13.202725724020443</v>
      </c>
      <c r="V12" s="14" t="s">
        <v>56</v>
      </c>
      <c r="W12" s="15">
        <v>0.15468654745395494</v>
      </c>
      <c r="X12" s="16" t="s">
        <v>126</v>
      </c>
      <c r="Y12" t="s">
        <v>72</v>
      </c>
      <c r="AA12" t="s">
        <v>54</v>
      </c>
      <c r="AC12" s="20"/>
      <c r="AD12" s="12"/>
      <c r="AE12" s="12" t="s">
        <v>56</v>
      </c>
      <c r="AF12" s="19" t="s">
        <v>56</v>
      </c>
      <c r="AG12" s="12" t="s">
        <v>96</v>
      </c>
      <c r="AH12" s="12" t="s">
        <v>58</v>
      </c>
      <c r="AI12" s="12" t="s">
        <v>59</v>
      </c>
      <c r="AJ12" s="12" t="s">
        <v>56</v>
      </c>
      <c r="AK12" s="12" t="s">
        <v>56</v>
      </c>
      <c r="AL12" s="12" t="s">
        <v>127</v>
      </c>
      <c r="AM12" s="10">
        <v>8.6940000000000008</v>
      </c>
      <c r="AN12" s="10" t="s">
        <v>56</v>
      </c>
      <c r="AO12" t="str">
        <f>_xlfn.CONCAT($AP$1,D12)</f>
        <v>c.68C&gt;T</v>
      </c>
    </row>
    <row r="13" spans="1:42" ht="15" customHeight="1" x14ac:dyDescent="0.2">
      <c r="A13" s="10">
        <v>8</v>
      </c>
      <c r="B13" s="10" t="s">
        <v>39</v>
      </c>
      <c r="C13" s="10" t="s">
        <v>128</v>
      </c>
      <c r="D13" s="10" t="s">
        <v>129</v>
      </c>
      <c r="E13" s="10" t="s">
        <v>130</v>
      </c>
      <c r="F13" s="10" t="s">
        <v>131</v>
      </c>
      <c r="G13" s="10" t="s">
        <v>132</v>
      </c>
      <c r="H13" s="10" t="s">
        <v>133</v>
      </c>
      <c r="I13" s="10" t="s">
        <v>134</v>
      </c>
      <c r="J13" s="10">
        <v>8</v>
      </c>
      <c r="K13" s="10" t="s">
        <v>132</v>
      </c>
      <c r="L13" s="10">
        <v>84</v>
      </c>
      <c r="M13" s="10">
        <v>1</v>
      </c>
      <c r="N13" s="10">
        <v>28</v>
      </c>
      <c r="O13" s="11" t="str">
        <f>HYPERLINK(AL13,"link")</f>
        <v>link</v>
      </c>
      <c r="P13" s="10" t="s">
        <v>93</v>
      </c>
      <c r="Q13" s="12" t="s">
        <v>70</v>
      </c>
      <c r="R13" s="10" t="s">
        <v>49</v>
      </c>
      <c r="S13" t="s">
        <v>50</v>
      </c>
      <c r="T13" s="10" t="s">
        <v>51</v>
      </c>
      <c r="U13" s="13">
        <v>16.984993178717602</v>
      </c>
      <c r="V13" s="14" t="s">
        <v>56</v>
      </c>
      <c r="W13" s="15">
        <v>0.11195840575731324</v>
      </c>
      <c r="X13" s="16" t="s">
        <v>135</v>
      </c>
      <c r="Y13" t="s">
        <v>72</v>
      </c>
      <c r="AA13" t="s">
        <v>54</v>
      </c>
      <c r="AC13" s="20"/>
      <c r="AD13" s="12"/>
      <c r="AE13" s="12" t="s">
        <v>56</v>
      </c>
      <c r="AF13" s="19" t="s">
        <v>56</v>
      </c>
      <c r="AG13" s="12" t="s">
        <v>96</v>
      </c>
      <c r="AH13" s="12" t="s">
        <v>58</v>
      </c>
      <c r="AI13" s="12" t="s">
        <v>59</v>
      </c>
      <c r="AJ13" s="12" t="s">
        <v>56</v>
      </c>
      <c r="AK13" s="12" t="s">
        <v>56</v>
      </c>
      <c r="AL13" s="12" t="s">
        <v>61</v>
      </c>
      <c r="AM13" s="10">
        <v>5.532</v>
      </c>
      <c r="AN13" s="10" t="s">
        <v>56</v>
      </c>
      <c r="AO13" t="str">
        <f>_xlfn.CONCAT($AP$1,D13)</f>
        <v>c.84G&gt;T</v>
      </c>
    </row>
    <row r="14" spans="1:42" ht="15" customHeight="1" x14ac:dyDescent="0.2">
      <c r="A14" s="10">
        <v>162</v>
      </c>
      <c r="B14" s="10" t="s">
        <v>39</v>
      </c>
      <c r="C14" s="10" t="s">
        <v>1638</v>
      </c>
      <c r="D14" s="10" t="s">
        <v>1639</v>
      </c>
      <c r="E14" s="10" t="s">
        <v>130</v>
      </c>
      <c r="F14" s="10" t="s">
        <v>131</v>
      </c>
      <c r="G14" s="10" t="s">
        <v>132</v>
      </c>
      <c r="H14" s="10" t="s">
        <v>134</v>
      </c>
      <c r="I14" s="10"/>
      <c r="J14" s="10">
        <v>162</v>
      </c>
      <c r="K14" s="10" t="s">
        <v>132</v>
      </c>
      <c r="L14" s="10">
        <v>84</v>
      </c>
      <c r="M14" s="10">
        <v>1</v>
      </c>
      <c r="N14" s="10">
        <v>28</v>
      </c>
      <c r="O14" s="11" t="str">
        <f>HYPERLINK(AL14,"link")</f>
        <v>link</v>
      </c>
      <c r="P14" s="10" t="s">
        <v>93</v>
      </c>
      <c r="Q14" s="12" t="s">
        <v>70</v>
      </c>
      <c r="R14" s="10" t="s">
        <v>49</v>
      </c>
      <c r="S14" t="s">
        <v>50</v>
      </c>
      <c r="T14" s="10" t="s">
        <v>51</v>
      </c>
      <c r="U14" s="13">
        <v>8.286852589641434</v>
      </c>
      <c r="V14" s="14" t="s">
        <v>56</v>
      </c>
      <c r="W14" s="15">
        <v>0.13091865715158649</v>
      </c>
      <c r="X14" s="16" t="s">
        <v>1475</v>
      </c>
      <c r="Y14" t="s">
        <v>72</v>
      </c>
      <c r="AA14" t="s">
        <v>54</v>
      </c>
      <c r="AC14" s="20"/>
      <c r="AD14" s="12"/>
      <c r="AE14" s="12" t="s">
        <v>56</v>
      </c>
      <c r="AF14" s="19" t="s">
        <v>56</v>
      </c>
      <c r="AG14" s="12" t="s">
        <v>96</v>
      </c>
      <c r="AH14" s="12" t="s">
        <v>58</v>
      </c>
      <c r="AI14" s="12" t="s">
        <v>59</v>
      </c>
      <c r="AJ14" s="12" t="s">
        <v>56</v>
      </c>
      <c r="AK14" s="12" t="s">
        <v>56</v>
      </c>
      <c r="AL14" s="12" t="s">
        <v>1640</v>
      </c>
      <c r="AM14" s="10">
        <v>5.532</v>
      </c>
      <c r="AN14" s="10" t="s">
        <v>56</v>
      </c>
      <c r="AO14" t="str">
        <f>_xlfn.CONCAT($AP$1,D14)</f>
        <v>c.84G&gt;C</v>
      </c>
    </row>
    <row r="15" spans="1:42" ht="15" customHeight="1" x14ac:dyDescent="0.2">
      <c r="A15" s="10">
        <v>187</v>
      </c>
      <c r="B15" s="10" t="s">
        <v>39</v>
      </c>
      <c r="C15" s="10" t="s">
        <v>1817</v>
      </c>
      <c r="D15" s="10" t="s">
        <v>1818</v>
      </c>
      <c r="E15" s="10" t="s">
        <v>1819</v>
      </c>
      <c r="F15" s="10" t="s">
        <v>1820</v>
      </c>
      <c r="G15" s="10" t="s">
        <v>1821</v>
      </c>
      <c r="H15" s="10" t="s">
        <v>1822</v>
      </c>
      <c r="I15" s="10"/>
      <c r="J15" s="10">
        <v>187</v>
      </c>
      <c r="K15" s="10" t="s">
        <v>1821</v>
      </c>
      <c r="L15" s="10">
        <v>116</v>
      </c>
      <c r="M15" s="10">
        <v>1</v>
      </c>
      <c r="N15" s="10">
        <v>39</v>
      </c>
      <c r="O15" s="11" t="str">
        <f>HYPERLINK(AL15,"link")</f>
        <v>link</v>
      </c>
      <c r="P15" s="10" t="s">
        <v>1823</v>
      </c>
      <c r="Q15" s="12">
        <v>4</v>
      </c>
      <c r="R15" s="10" t="s">
        <v>49</v>
      </c>
      <c r="S15" t="s">
        <v>50</v>
      </c>
      <c r="T15" s="10" t="s">
        <v>51</v>
      </c>
      <c r="U15" s="13">
        <v>33.627608346709472</v>
      </c>
      <c r="V15" s="14" t="s">
        <v>56</v>
      </c>
      <c r="W15" s="15">
        <v>0.13183258975581627</v>
      </c>
      <c r="X15" s="16" t="s">
        <v>1428</v>
      </c>
      <c r="Y15" t="s">
        <v>72</v>
      </c>
      <c r="AA15" t="s">
        <v>54</v>
      </c>
      <c r="AC15" s="20"/>
      <c r="AD15" s="12"/>
      <c r="AE15" s="12" t="s">
        <v>1824</v>
      </c>
      <c r="AF15" s="19" t="s">
        <v>56</v>
      </c>
      <c r="AG15" s="12" t="s">
        <v>275</v>
      </c>
      <c r="AH15" s="12" t="s">
        <v>146</v>
      </c>
      <c r="AI15" s="12" t="s">
        <v>56</v>
      </c>
      <c r="AJ15" s="12" t="s">
        <v>56</v>
      </c>
      <c r="AK15" s="12" t="s">
        <v>56</v>
      </c>
      <c r="AL15" s="12" t="s">
        <v>1800</v>
      </c>
      <c r="AM15" s="10" t="s">
        <v>56</v>
      </c>
      <c r="AN15" s="10" t="s">
        <v>56</v>
      </c>
      <c r="AO15" t="str">
        <f>_xlfn.CONCAT($AP$1,D15)</f>
        <v>c.116T&gt;G</v>
      </c>
    </row>
    <row r="16" spans="1:42" ht="15" customHeight="1" x14ac:dyDescent="0.2">
      <c r="A16" s="10">
        <v>9</v>
      </c>
      <c r="B16" s="10" t="s">
        <v>39</v>
      </c>
      <c r="C16" s="10" t="s">
        <v>136</v>
      </c>
      <c r="D16" s="10" t="s">
        <v>137</v>
      </c>
      <c r="E16" s="10" t="s">
        <v>138</v>
      </c>
      <c r="F16" s="10" t="s">
        <v>139</v>
      </c>
      <c r="G16" s="10" t="s">
        <v>140</v>
      </c>
      <c r="H16" s="10" t="s">
        <v>141</v>
      </c>
      <c r="I16" s="10" t="s">
        <v>142</v>
      </c>
      <c r="J16" s="10">
        <v>9</v>
      </c>
      <c r="K16" s="10" t="s">
        <v>140</v>
      </c>
      <c r="L16" s="10">
        <v>119</v>
      </c>
      <c r="M16" s="10">
        <v>1</v>
      </c>
      <c r="N16" s="10">
        <v>40</v>
      </c>
      <c r="O16" s="11" t="str">
        <f>HYPERLINK(AL16,"link")</f>
        <v>link</v>
      </c>
      <c r="P16" s="10" t="s">
        <v>143</v>
      </c>
      <c r="Q16" s="12">
        <v>2</v>
      </c>
      <c r="R16" s="10" t="s">
        <v>49</v>
      </c>
      <c r="S16" t="s">
        <v>50</v>
      </c>
      <c r="T16" s="10" t="s">
        <v>51</v>
      </c>
      <c r="U16" s="13">
        <v>21.524288107202679</v>
      </c>
      <c r="V16" s="14" t="s">
        <v>56</v>
      </c>
      <c r="W16" s="15">
        <v>0.10545994195554874</v>
      </c>
      <c r="X16" s="16" t="s">
        <v>144</v>
      </c>
      <c r="Y16" t="s">
        <v>72</v>
      </c>
      <c r="AA16" t="s">
        <v>54</v>
      </c>
      <c r="AC16" s="20"/>
      <c r="AD16" s="12"/>
      <c r="AE16" s="12" t="s">
        <v>56</v>
      </c>
      <c r="AF16" s="19" t="s">
        <v>56</v>
      </c>
      <c r="AG16" s="12" t="s">
        <v>145</v>
      </c>
      <c r="AH16" s="12" t="s">
        <v>146</v>
      </c>
      <c r="AI16" s="12" t="s">
        <v>147</v>
      </c>
      <c r="AJ16" s="12" t="s">
        <v>56</v>
      </c>
      <c r="AK16" s="12" t="s">
        <v>56</v>
      </c>
      <c r="AL16" s="12" t="s">
        <v>148</v>
      </c>
      <c r="AM16" s="10">
        <v>5.1240000000000006</v>
      </c>
      <c r="AN16" s="10" t="s">
        <v>56</v>
      </c>
      <c r="AO16" t="str">
        <f>_xlfn.CONCAT($AP$1,D16)</f>
        <v>c.119T&gt;G</v>
      </c>
    </row>
    <row r="17" spans="1:41" ht="15" customHeight="1" x14ac:dyDescent="0.2">
      <c r="A17" s="10">
        <v>10</v>
      </c>
      <c r="B17" s="10" t="s">
        <v>39</v>
      </c>
      <c r="C17" s="10" t="s">
        <v>149</v>
      </c>
      <c r="D17" s="10" t="s">
        <v>150</v>
      </c>
      <c r="E17" s="10" t="s">
        <v>151</v>
      </c>
      <c r="F17" s="10" t="s">
        <v>152</v>
      </c>
      <c r="G17" s="10" t="s">
        <v>153</v>
      </c>
      <c r="H17" s="10" t="s">
        <v>154</v>
      </c>
      <c r="I17" s="10" t="s">
        <v>155</v>
      </c>
      <c r="J17" s="10">
        <v>10</v>
      </c>
      <c r="K17" s="10" t="s">
        <v>153</v>
      </c>
      <c r="L17" s="10">
        <v>131</v>
      </c>
      <c r="M17" s="10">
        <v>1</v>
      </c>
      <c r="N17" s="10">
        <v>44</v>
      </c>
      <c r="O17" s="11" t="str">
        <f>HYPERLINK(AL17,"link")</f>
        <v>link</v>
      </c>
      <c r="P17" s="10" t="s">
        <v>156</v>
      </c>
      <c r="Q17" s="12">
        <v>5</v>
      </c>
      <c r="R17" s="10" t="s">
        <v>49</v>
      </c>
      <c r="S17" t="s">
        <v>50</v>
      </c>
      <c r="T17" s="10" t="s">
        <v>51</v>
      </c>
      <c r="U17" s="13">
        <v>95.330459770114942</v>
      </c>
      <c r="V17" s="14" t="s">
        <v>56</v>
      </c>
      <c r="W17" s="15">
        <v>1.3809748620716766</v>
      </c>
      <c r="X17" s="16" t="s">
        <v>157</v>
      </c>
      <c r="Y17" t="s">
        <v>158</v>
      </c>
      <c r="AA17" t="s">
        <v>159</v>
      </c>
      <c r="AC17" s="20"/>
      <c r="AD17" s="12"/>
      <c r="AE17" s="12" t="s">
        <v>56</v>
      </c>
      <c r="AF17" s="19" t="s">
        <v>56</v>
      </c>
      <c r="AG17" s="12" t="s">
        <v>160</v>
      </c>
      <c r="AH17" s="12" t="s">
        <v>161</v>
      </c>
      <c r="AI17" s="12" t="s">
        <v>147</v>
      </c>
      <c r="AJ17" s="12" t="s">
        <v>56</v>
      </c>
      <c r="AK17" s="12" t="s">
        <v>56</v>
      </c>
      <c r="AL17" s="12" t="s">
        <v>162</v>
      </c>
      <c r="AM17" s="10">
        <v>2.3540000000000001</v>
      </c>
      <c r="AN17" s="10" t="s">
        <v>56</v>
      </c>
      <c r="AO17" t="str">
        <f>_xlfn.CONCAT($AP$1,D17)</f>
        <v>c.131T&gt;C</v>
      </c>
    </row>
    <row r="18" spans="1:41" ht="15" customHeight="1" x14ac:dyDescent="0.2">
      <c r="A18" s="10">
        <v>11</v>
      </c>
      <c r="B18" s="10" t="s">
        <v>39</v>
      </c>
      <c r="C18" s="10" t="s">
        <v>163</v>
      </c>
      <c r="D18" s="10" t="s">
        <v>164</v>
      </c>
      <c r="E18" s="10" t="s">
        <v>165</v>
      </c>
      <c r="F18" s="10" t="s">
        <v>166</v>
      </c>
      <c r="G18" s="10" t="s">
        <v>167</v>
      </c>
      <c r="H18" s="10" t="s">
        <v>168</v>
      </c>
      <c r="I18" s="10" t="s">
        <v>169</v>
      </c>
      <c r="J18" s="10">
        <v>11</v>
      </c>
      <c r="K18" s="10" t="s">
        <v>167</v>
      </c>
      <c r="L18" s="10">
        <v>133</v>
      </c>
      <c r="M18" s="10">
        <v>1</v>
      </c>
      <c r="N18" s="10">
        <v>45</v>
      </c>
      <c r="O18" s="11" t="str">
        <f>HYPERLINK(AL18,"link")</f>
        <v>link</v>
      </c>
      <c r="P18" s="10" t="s">
        <v>170</v>
      </c>
      <c r="Q18" s="12">
        <v>7</v>
      </c>
      <c r="R18" s="10" t="s">
        <v>171</v>
      </c>
      <c r="S18" t="s">
        <v>172</v>
      </c>
      <c r="T18" s="10" t="s">
        <v>173</v>
      </c>
      <c r="U18" s="13">
        <v>93.821356615177976</v>
      </c>
      <c r="V18" s="14" t="s">
        <v>56</v>
      </c>
      <c r="W18" s="15">
        <v>1.8807783654748136</v>
      </c>
      <c r="X18" s="16" t="s">
        <v>174</v>
      </c>
      <c r="Y18" t="s">
        <v>158</v>
      </c>
      <c r="AA18" t="s">
        <v>159</v>
      </c>
      <c r="AC18" s="20"/>
      <c r="AD18" s="12"/>
      <c r="AE18" s="12" t="s">
        <v>175</v>
      </c>
      <c r="AF18" s="19" t="s">
        <v>176</v>
      </c>
      <c r="AG18" s="12" t="s">
        <v>177</v>
      </c>
      <c r="AH18" s="12" t="s">
        <v>146</v>
      </c>
      <c r="AI18" s="12" t="s">
        <v>178</v>
      </c>
      <c r="AJ18" s="12" t="s">
        <v>56</v>
      </c>
      <c r="AK18" s="12" t="s">
        <v>56</v>
      </c>
      <c r="AL18" s="12" t="s">
        <v>179</v>
      </c>
      <c r="AM18" s="10">
        <v>-4.8000000000000001E-2</v>
      </c>
      <c r="AN18" s="10" t="s">
        <v>56</v>
      </c>
      <c r="AO18" t="str">
        <f>_xlfn.CONCAT($AP$1,D18)</f>
        <v>c.133T&gt;C</v>
      </c>
    </row>
    <row r="19" spans="1:41" ht="15" customHeight="1" x14ac:dyDescent="0.2">
      <c r="A19" s="10">
        <v>12</v>
      </c>
      <c r="B19" s="10" t="s">
        <v>39</v>
      </c>
      <c r="C19" s="10" t="s">
        <v>180</v>
      </c>
      <c r="D19" s="10" t="s">
        <v>181</v>
      </c>
      <c r="E19" s="10" t="s">
        <v>182</v>
      </c>
      <c r="F19" s="10" t="s">
        <v>183</v>
      </c>
      <c r="G19" s="10" t="s">
        <v>184</v>
      </c>
      <c r="H19" s="10" t="s">
        <v>185</v>
      </c>
      <c r="I19" s="10" t="s">
        <v>186</v>
      </c>
      <c r="J19" s="10">
        <v>12</v>
      </c>
      <c r="K19" s="10" t="s">
        <v>184</v>
      </c>
      <c r="L19" s="10">
        <v>137</v>
      </c>
      <c r="M19" s="10">
        <v>1</v>
      </c>
      <c r="N19" s="10">
        <v>46</v>
      </c>
      <c r="O19" s="11" t="str">
        <f>HYPERLINK(AL19,"link")</f>
        <v>link</v>
      </c>
      <c r="P19" s="10" t="s">
        <v>187</v>
      </c>
      <c r="Q19" s="12">
        <v>2</v>
      </c>
      <c r="R19" s="10" t="s">
        <v>49</v>
      </c>
      <c r="S19" t="s">
        <v>50</v>
      </c>
      <c r="T19" s="10" t="s">
        <v>51</v>
      </c>
      <c r="U19" s="13">
        <v>10</v>
      </c>
      <c r="V19" s="14" t="s">
        <v>56</v>
      </c>
      <c r="W19" s="15">
        <v>7.9786736635510516E-2</v>
      </c>
      <c r="X19" s="16" t="s">
        <v>188</v>
      </c>
      <c r="Y19" t="s">
        <v>72</v>
      </c>
      <c r="AA19" t="s">
        <v>54</v>
      </c>
      <c r="AC19" s="20"/>
      <c r="AD19" s="12" t="s">
        <v>189</v>
      </c>
      <c r="AE19" s="12" t="s">
        <v>190</v>
      </c>
      <c r="AF19" s="19" t="s">
        <v>56</v>
      </c>
      <c r="AG19" s="12" t="s">
        <v>177</v>
      </c>
      <c r="AH19" s="12" t="s">
        <v>146</v>
      </c>
      <c r="AI19" s="12" t="s">
        <v>178</v>
      </c>
      <c r="AJ19" s="12" t="s">
        <v>56</v>
      </c>
      <c r="AK19" s="12" t="s">
        <v>56</v>
      </c>
      <c r="AL19" s="12" t="s">
        <v>191</v>
      </c>
      <c r="AM19" s="10">
        <v>0.29199999999999998</v>
      </c>
      <c r="AN19" s="10" t="s">
        <v>56</v>
      </c>
      <c r="AO19" t="str">
        <f>_xlfn.CONCAT($AP$1,D19)</f>
        <v>c.137T&gt;G</v>
      </c>
    </row>
    <row r="20" spans="1:41" ht="15" customHeight="1" x14ac:dyDescent="0.2">
      <c r="A20" s="10">
        <v>186</v>
      </c>
      <c r="B20" s="10" t="s">
        <v>39</v>
      </c>
      <c r="C20" s="10" t="s">
        <v>1807</v>
      </c>
      <c r="D20" s="10" t="s">
        <v>1808</v>
      </c>
      <c r="E20" s="10" t="s">
        <v>1809</v>
      </c>
      <c r="F20" s="10" t="s">
        <v>1810</v>
      </c>
      <c r="G20" s="10" t="s">
        <v>1811</v>
      </c>
      <c r="H20" s="10" t="s">
        <v>1812</v>
      </c>
      <c r="I20" s="10"/>
      <c r="J20" s="10">
        <v>186</v>
      </c>
      <c r="K20" s="10" t="s">
        <v>1811</v>
      </c>
      <c r="L20" s="10">
        <v>140</v>
      </c>
      <c r="M20" s="10">
        <v>1</v>
      </c>
      <c r="N20" s="10">
        <v>47</v>
      </c>
      <c r="O20" s="11" t="str">
        <f>HYPERLINK(AL20,"link")</f>
        <v>link</v>
      </c>
      <c r="P20" s="10" t="s">
        <v>618</v>
      </c>
      <c r="Q20" s="12" t="s">
        <v>619</v>
      </c>
      <c r="R20" s="10" t="s">
        <v>49</v>
      </c>
      <c r="S20" t="s">
        <v>172</v>
      </c>
      <c r="T20" s="10" t="s">
        <v>173</v>
      </c>
      <c r="U20" s="13">
        <v>11.229946524064172</v>
      </c>
      <c r="V20" s="14" t="s">
        <v>56</v>
      </c>
      <c r="W20" s="15">
        <v>0.1490873901301881</v>
      </c>
      <c r="X20" s="16" t="s">
        <v>1813</v>
      </c>
      <c r="Y20" t="s">
        <v>72</v>
      </c>
      <c r="Z20" t="s">
        <v>1814</v>
      </c>
      <c r="AA20" t="s">
        <v>1815</v>
      </c>
      <c r="AB20" s="17" t="s">
        <v>273</v>
      </c>
      <c r="AC20" s="20"/>
      <c r="AD20" s="12"/>
      <c r="AE20" s="12" t="s">
        <v>56</v>
      </c>
      <c r="AF20" s="19" t="s">
        <v>56</v>
      </c>
      <c r="AG20" s="12" t="s">
        <v>1816</v>
      </c>
      <c r="AH20" s="12" t="s">
        <v>161</v>
      </c>
      <c r="AI20" s="12" t="s">
        <v>56</v>
      </c>
      <c r="AJ20" s="12" t="s">
        <v>56</v>
      </c>
      <c r="AK20" s="12" t="s">
        <v>56</v>
      </c>
      <c r="AL20" s="12" t="s">
        <v>1677</v>
      </c>
      <c r="AM20" s="10" t="s">
        <v>56</v>
      </c>
      <c r="AN20" s="10" t="s">
        <v>56</v>
      </c>
      <c r="AO20" t="str">
        <f>_xlfn.CONCAT($AP$1,D20)</f>
        <v>c.140T&gt;G</v>
      </c>
    </row>
    <row r="21" spans="1:41" ht="15" customHeight="1" x14ac:dyDescent="0.2">
      <c r="A21" s="10">
        <v>13</v>
      </c>
      <c r="B21" s="10" t="s">
        <v>39</v>
      </c>
      <c r="C21" s="10" t="s">
        <v>192</v>
      </c>
      <c r="D21" s="10" t="s">
        <v>193</v>
      </c>
      <c r="E21" s="10" t="s">
        <v>194</v>
      </c>
      <c r="F21" s="10" t="s">
        <v>195</v>
      </c>
      <c r="G21" s="10" t="s">
        <v>196</v>
      </c>
      <c r="H21" s="10" t="s">
        <v>197</v>
      </c>
      <c r="I21" s="10" t="s">
        <v>198</v>
      </c>
      <c r="J21" s="10">
        <v>13</v>
      </c>
      <c r="K21" s="10" t="s">
        <v>196</v>
      </c>
      <c r="L21" s="10">
        <v>151</v>
      </c>
      <c r="M21" s="10">
        <v>1</v>
      </c>
      <c r="N21" s="10">
        <v>51</v>
      </c>
      <c r="O21" s="11" t="str">
        <f>HYPERLINK(AL21,"link")</f>
        <v>link</v>
      </c>
      <c r="P21" s="10" t="s">
        <v>105</v>
      </c>
      <c r="Q21" s="12">
        <v>2</v>
      </c>
      <c r="R21" s="10" t="s">
        <v>49</v>
      </c>
      <c r="S21" t="s">
        <v>50</v>
      </c>
      <c r="T21" s="10" t="s">
        <v>51</v>
      </c>
      <c r="U21" s="13">
        <v>47.166434043897887</v>
      </c>
      <c r="V21" s="14">
        <v>7.6424339763042717</v>
      </c>
      <c r="W21" s="15">
        <v>0.24182735293670091</v>
      </c>
      <c r="X21" s="16" t="s">
        <v>199</v>
      </c>
      <c r="Y21" t="s">
        <v>53</v>
      </c>
      <c r="AA21" t="s">
        <v>200</v>
      </c>
      <c r="AB21" s="17" t="s">
        <v>201</v>
      </c>
      <c r="AC21" s="20"/>
      <c r="AD21" s="12"/>
      <c r="AE21" s="12" t="s">
        <v>202</v>
      </c>
      <c r="AF21" s="19" t="s">
        <v>56</v>
      </c>
      <c r="AG21" s="12" t="s">
        <v>145</v>
      </c>
      <c r="AH21" s="12" t="s">
        <v>146</v>
      </c>
      <c r="AI21" s="12" t="s">
        <v>147</v>
      </c>
      <c r="AJ21" s="12" t="s">
        <v>56</v>
      </c>
      <c r="AK21" s="12" t="s">
        <v>56</v>
      </c>
      <c r="AL21" s="12" t="s">
        <v>203</v>
      </c>
      <c r="AM21" s="10">
        <v>14.906000000000001</v>
      </c>
      <c r="AN21" s="10" t="s">
        <v>56</v>
      </c>
      <c r="AO21" t="str">
        <f>_xlfn.CONCAT($AP$1,D21)</f>
        <v>c.151G&gt;C</v>
      </c>
    </row>
    <row r="22" spans="1:41" ht="15" customHeight="1" x14ac:dyDescent="0.2">
      <c r="A22" s="10">
        <v>14</v>
      </c>
      <c r="B22" s="10" t="s">
        <v>39</v>
      </c>
      <c r="C22" s="10" t="s">
        <v>204</v>
      </c>
      <c r="D22" s="10" t="s">
        <v>205</v>
      </c>
      <c r="E22" s="10" t="s">
        <v>206</v>
      </c>
      <c r="F22" s="10" t="s">
        <v>207</v>
      </c>
      <c r="G22" s="10" t="s">
        <v>208</v>
      </c>
      <c r="H22" s="10" t="s">
        <v>209</v>
      </c>
      <c r="I22" s="10" t="s">
        <v>210</v>
      </c>
      <c r="J22" s="10">
        <v>14</v>
      </c>
      <c r="K22" s="10" t="s">
        <v>208</v>
      </c>
      <c r="L22" s="10">
        <v>152</v>
      </c>
      <c r="M22" s="10">
        <v>1</v>
      </c>
      <c r="N22" s="10">
        <v>51</v>
      </c>
      <c r="O22" s="11" t="str">
        <f>HYPERLINK(AL22,"link")</f>
        <v>link</v>
      </c>
      <c r="P22" s="10" t="s">
        <v>211</v>
      </c>
      <c r="Q22" s="12" t="s">
        <v>212</v>
      </c>
      <c r="R22" s="10" t="s">
        <v>171</v>
      </c>
      <c r="S22" t="s">
        <v>50</v>
      </c>
      <c r="T22" s="10" t="s">
        <v>51</v>
      </c>
      <c r="U22" s="13">
        <v>96.47519582245431</v>
      </c>
      <c r="V22" s="14" t="s">
        <v>56</v>
      </c>
      <c r="W22" s="15">
        <v>3.1638678092038899</v>
      </c>
      <c r="X22" s="16" t="s">
        <v>213</v>
      </c>
      <c r="Y22" t="s">
        <v>214</v>
      </c>
      <c r="AA22" t="s">
        <v>159</v>
      </c>
      <c r="AC22" s="20"/>
      <c r="AD22" s="12"/>
      <c r="AE22" s="12" t="s">
        <v>202</v>
      </c>
      <c r="AF22" s="19" t="s">
        <v>56</v>
      </c>
      <c r="AG22" s="12" t="s">
        <v>145</v>
      </c>
      <c r="AH22" s="12" t="s">
        <v>146</v>
      </c>
      <c r="AI22" s="12" t="s">
        <v>147</v>
      </c>
      <c r="AJ22" s="12" t="s">
        <v>56</v>
      </c>
      <c r="AK22" s="12" t="s">
        <v>56</v>
      </c>
      <c r="AL22" s="12" t="s">
        <v>215</v>
      </c>
      <c r="AM22" s="10">
        <v>0.85000000000000009</v>
      </c>
      <c r="AN22" s="10" t="s">
        <v>56</v>
      </c>
      <c r="AO22" t="str">
        <f>_xlfn.CONCAT($AP$1,D22)</f>
        <v>c.152G&gt;C</v>
      </c>
    </row>
    <row r="23" spans="1:41" ht="15" customHeight="1" x14ac:dyDescent="0.2">
      <c r="A23" s="10">
        <v>15</v>
      </c>
      <c r="B23" s="10" t="s">
        <v>39</v>
      </c>
      <c r="C23" s="10" t="s">
        <v>216</v>
      </c>
      <c r="D23" s="10" t="s">
        <v>217</v>
      </c>
      <c r="E23" s="10" t="s">
        <v>218</v>
      </c>
      <c r="F23" s="10" t="s">
        <v>219</v>
      </c>
      <c r="G23" s="10" t="s">
        <v>220</v>
      </c>
      <c r="H23" s="10" t="s">
        <v>221</v>
      </c>
      <c r="I23" s="10" t="s">
        <v>222</v>
      </c>
      <c r="J23" s="10">
        <v>15</v>
      </c>
      <c r="K23" s="10" t="s">
        <v>220</v>
      </c>
      <c r="L23" s="10">
        <v>152</v>
      </c>
      <c r="M23" s="10">
        <v>1</v>
      </c>
      <c r="N23" s="10">
        <v>51</v>
      </c>
      <c r="O23" s="11" t="str">
        <f>HYPERLINK(AL23,"link")</f>
        <v>link</v>
      </c>
      <c r="P23" s="10" t="s">
        <v>105</v>
      </c>
      <c r="Q23" s="12">
        <v>2</v>
      </c>
      <c r="R23" s="10" t="s">
        <v>49</v>
      </c>
      <c r="S23" t="s">
        <v>50</v>
      </c>
      <c r="T23" s="10" t="s">
        <v>51</v>
      </c>
      <c r="U23" s="13">
        <v>95.538312318137713</v>
      </c>
      <c r="V23" s="14" t="s">
        <v>56</v>
      </c>
      <c r="W23" s="15">
        <v>1.6851638247465288</v>
      </c>
      <c r="X23" s="16" t="s">
        <v>223</v>
      </c>
      <c r="Y23" t="s">
        <v>158</v>
      </c>
      <c r="AA23" t="s">
        <v>224</v>
      </c>
      <c r="AB23" s="17" t="s">
        <v>225</v>
      </c>
      <c r="AC23" s="20"/>
      <c r="AD23" s="12"/>
      <c r="AE23" s="12" t="s">
        <v>202</v>
      </c>
      <c r="AF23" s="19" t="s">
        <v>56</v>
      </c>
      <c r="AG23" s="12" t="s">
        <v>145</v>
      </c>
      <c r="AH23" s="12" t="s">
        <v>146</v>
      </c>
      <c r="AI23" s="12" t="s">
        <v>147</v>
      </c>
      <c r="AJ23" s="12" t="s">
        <v>56</v>
      </c>
      <c r="AK23" s="12" t="s">
        <v>56</v>
      </c>
      <c r="AL23" s="12" t="s">
        <v>226</v>
      </c>
      <c r="AM23" s="10">
        <v>3.476</v>
      </c>
      <c r="AN23" s="10" t="s">
        <v>56</v>
      </c>
      <c r="AO23" t="str">
        <f>_xlfn.CONCAT($AP$1,D23)</f>
        <v>c.152G&gt;T</v>
      </c>
    </row>
    <row r="24" spans="1:41" ht="15" customHeight="1" x14ac:dyDescent="0.2">
      <c r="A24" s="10">
        <v>16</v>
      </c>
      <c r="B24" s="10" t="s">
        <v>39</v>
      </c>
      <c r="C24" s="10" t="s">
        <v>227</v>
      </c>
      <c r="D24" s="10" t="s">
        <v>228</v>
      </c>
      <c r="E24" s="10" t="s">
        <v>229</v>
      </c>
      <c r="F24" s="10" t="s">
        <v>230</v>
      </c>
      <c r="G24" s="10" t="s">
        <v>231</v>
      </c>
      <c r="H24" s="10" t="s">
        <v>232</v>
      </c>
      <c r="I24" s="10" t="s">
        <v>233</v>
      </c>
      <c r="J24" s="10">
        <v>16</v>
      </c>
      <c r="K24" s="10" t="s">
        <v>231</v>
      </c>
      <c r="L24" s="10">
        <v>155</v>
      </c>
      <c r="M24" s="10">
        <v>1</v>
      </c>
      <c r="N24" s="10">
        <v>52</v>
      </c>
      <c r="O24" s="11" t="str">
        <f>HYPERLINK(AL24,"link")</f>
        <v>link</v>
      </c>
      <c r="P24" s="10" t="s">
        <v>234</v>
      </c>
      <c r="Q24" s="12">
        <v>2</v>
      </c>
      <c r="R24" s="10" t="s">
        <v>235</v>
      </c>
      <c r="S24" t="s">
        <v>50</v>
      </c>
      <c r="T24" s="10" t="s">
        <v>51</v>
      </c>
      <c r="U24" s="13">
        <v>83.311432325886997</v>
      </c>
      <c r="V24" s="14" t="s">
        <v>56</v>
      </c>
      <c r="W24" s="15">
        <v>1.7909901582685952</v>
      </c>
      <c r="X24" s="16" t="s">
        <v>236</v>
      </c>
      <c r="Y24" t="s">
        <v>158</v>
      </c>
      <c r="AA24" t="s">
        <v>224</v>
      </c>
      <c r="AB24" s="17" t="s">
        <v>237</v>
      </c>
      <c r="AC24" s="20"/>
      <c r="AD24" s="12" t="s">
        <v>238</v>
      </c>
      <c r="AE24" s="12" t="s">
        <v>56</v>
      </c>
      <c r="AF24" s="19" t="s">
        <v>56</v>
      </c>
      <c r="AG24" s="12" t="s">
        <v>239</v>
      </c>
      <c r="AH24" s="12" t="s">
        <v>146</v>
      </c>
      <c r="AI24" s="12" t="s">
        <v>178</v>
      </c>
      <c r="AJ24" s="12" t="s">
        <v>240</v>
      </c>
      <c r="AK24" s="12" t="s">
        <v>56</v>
      </c>
      <c r="AL24" s="12" t="s">
        <v>241</v>
      </c>
      <c r="AM24" s="10">
        <v>0.18400000000000002</v>
      </c>
      <c r="AN24" s="10" t="s">
        <v>56</v>
      </c>
      <c r="AO24" t="str">
        <f>_xlfn.CONCAT($AP$1,D24)</f>
        <v>c.155T&gt;A</v>
      </c>
    </row>
    <row r="25" spans="1:41" ht="15" customHeight="1" x14ac:dyDescent="0.2">
      <c r="A25" s="10">
        <v>17</v>
      </c>
      <c r="B25" s="10" t="s">
        <v>39</v>
      </c>
      <c r="C25" s="10" t="s">
        <v>242</v>
      </c>
      <c r="D25" s="10" t="s">
        <v>243</v>
      </c>
      <c r="E25" s="10" t="s">
        <v>244</v>
      </c>
      <c r="F25" s="10" t="s">
        <v>245</v>
      </c>
      <c r="G25" s="10" t="s">
        <v>246</v>
      </c>
      <c r="H25" s="10" t="s">
        <v>247</v>
      </c>
      <c r="I25" s="10" t="s">
        <v>248</v>
      </c>
      <c r="J25" s="10">
        <v>17</v>
      </c>
      <c r="K25" s="10" t="s">
        <v>246</v>
      </c>
      <c r="L25" s="10">
        <v>158</v>
      </c>
      <c r="M25" s="10">
        <v>1</v>
      </c>
      <c r="N25" s="10">
        <v>53</v>
      </c>
      <c r="O25" s="11" t="str">
        <f>HYPERLINK(AL25,"link")</f>
        <v>link</v>
      </c>
      <c r="P25" s="10" t="s">
        <v>249</v>
      </c>
      <c r="Q25" s="12">
        <v>2</v>
      </c>
      <c r="R25" s="10" t="s">
        <v>49</v>
      </c>
      <c r="S25" t="s">
        <v>50</v>
      </c>
      <c r="T25" s="10" t="s">
        <v>51</v>
      </c>
      <c r="U25" s="13">
        <v>11.275720164609055</v>
      </c>
      <c r="V25" s="14" t="s">
        <v>56</v>
      </c>
      <c r="W25" s="15">
        <v>0.14980189878479602</v>
      </c>
      <c r="X25" s="16" t="s">
        <v>250</v>
      </c>
      <c r="Y25" t="s">
        <v>72</v>
      </c>
      <c r="AA25" t="s">
        <v>54</v>
      </c>
      <c r="AC25" s="20"/>
      <c r="AD25" s="12"/>
      <c r="AE25" s="12" t="s">
        <v>56</v>
      </c>
      <c r="AF25" s="19" t="s">
        <v>56</v>
      </c>
      <c r="AG25" s="12" t="s">
        <v>239</v>
      </c>
      <c r="AH25" s="12" t="s">
        <v>146</v>
      </c>
      <c r="AI25" s="12" t="s">
        <v>178</v>
      </c>
      <c r="AJ25" s="12" t="s">
        <v>240</v>
      </c>
      <c r="AK25" s="12" t="s">
        <v>56</v>
      </c>
      <c r="AL25" s="12" t="s">
        <v>251</v>
      </c>
      <c r="AM25" s="10">
        <v>0.35599999999999998</v>
      </c>
      <c r="AN25" s="10" t="s">
        <v>56</v>
      </c>
      <c r="AO25" t="str">
        <f>_xlfn.CONCAT($AP$1,D25)</f>
        <v>c.158C&gt;G</v>
      </c>
    </row>
    <row r="26" spans="1:41" ht="15" customHeight="1" x14ac:dyDescent="0.2">
      <c r="A26" s="10">
        <v>193</v>
      </c>
      <c r="B26" s="10" t="s">
        <v>1850</v>
      </c>
      <c r="C26" s="10" t="s">
        <v>1851</v>
      </c>
      <c r="D26" s="10" t="s">
        <v>1852</v>
      </c>
      <c r="E26" s="10" t="s">
        <v>1853</v>
      </c>
      <c r="F26" s="10" t="s">
        <v>1854</v>
      </c>
      <c r="G26" s="10" t="s">
        <v>1855</v>
      </c>
      <c r="H26" s="10" t="s">
        <v>1855</v>
      </c>
      <c r="I26" s="10" t="s">
        <v>1856</v>
      </c>
      <c r="J26" s="10">
        <v>193</v>
      </c>
      <c r="K26" s="10" t="s">
        <v>1855</v>
      </c>
      <c r="L26" s="10">
        <v>165</v>
      </c>
      <c r="M26" s="10">
        <v>1</v>
      </c>
      <c r="N26" s="10">
        <v>55</v>
      </c>
      <c r="O26" s="11" t="str">
        <f>HYPERLINK(AL26,"link")</f>
        <v>link</v>
      </c>
      <c r="P26" s="10" t="s">
        <v>1823</v>
      </c>
      <c r="Q26" s="12">
        <v>4</v>
      </c>
      <c r="R26" s="10" t="s">
        <v>49</v>
      </c>
      <c r="T26" s="10" t="e">
        <v>#N/A</v>
      </c>
      <c r="U26" s="13">
        <v>67.153293129300906</v>
      </c>
      <c r="V26" s="14">
        <v>6.2755788319553236</v>
      </c>
      <c r="W26" s="15">
        <v>0.41716296593941565</v>
      </c>
      <c r="X26" s="16" t="s">
        <v>1857</v>
      </c>
      <c r="Y26" t="s">
        <v>53</v>
      </c>
      <c r="AA26" t="s">
        <v>54</v>
      </c>
      <c r="AC26" s="20"/>
      <c r="AD26" s="12"/>
      <c r="AE26" s="12" t="s">
        <v>56</v>
      </c>
      <c r="AF26" s="19" t="s">
        <v>56</v>
      </c>
      <c r="AG26" s="12" t="s">
        <v>275</v>
      </c>
      <c r="AH26" s="12" t="s">
        <v>146</v>
      </c>
      <c r="AI26" s="12" t="s">
        <v>56</v>
      </c>
      <c r="AJ26" s="12" t="s">
        <v>56</v>
      </c>
      <c r="AK26" s="12" t="s">
        <v>56</v>
      </c>
      <c r="AL26" s="12" t="s">
        <v>1858</v>
      </c>
      <c r="AM26" s="10" t="s">
        <v>56</v>
      </c>
      <c r="AN26" s="10" t="s">
        <v>56</v>
      </c>
      <c r="AO26" t="str">
        <f>_xlfn.CONCAT($AP$1,D26)</f>
        <v>c.165C&gt;G</v>
      </c>
    </row>
    <row r="27" spans="1:41" ht="15" customHeight="1" x14ac:dyDescent="0.2">
      <c r="A27" s="10">
        <v>18</v>
      </c>
      <c r="B27" s="10" t="s">
        <v>39</v>
      </c>
      <c r="C27" s="10" t="s">
        <v>252</v>
      </c>
      <c r="D27" s="10" t="s">
        <v>253</v>
      </c>
      <c r="E27" s="10" t="s">
        <v>254</v>
      </c>
      <c r="F27" s="10" t="s">
        <v>255</v>
      </c>
      <c r="G27" s="10" t="s">
        <v>256</v>
      </c>
      <c r="H27" s="10" t="s">
        <v>257</v>
      </c>
      <c r="I27" s="10" t="s">
        <v>258</v>
      </c>
      <c r="J27" s="10">
        <v>18</v>
      </c>
      <c r="K27" s="10" t="s">
        <v>256</v>
      </c>
      <c r="L27" s="10">
        <v>167</v>
      </c>
      <c r="M27" s="10">
        <v>1</v>
      </c>
      <c r="N27" s="10">
        <v>56</v>
      </c>
      <c r="O27" s="11" t="str">
        <f>HYPERLINK(AL27,"link")</f>
        <v>link</v>
      </c>
      <c r="P27" s="10" t="s">
        <v>234</v>
      </c>
      <c r="Q27" s="12">
        <v>2</v>
      </c>
      <c r="R27" s="10" t="s">
        <v>235</v>
      </c>
      <c r="S27" t="s">
        <v>50</v>
      </c>
      <c r="T27" s="10" t="s">
        <v>51</v>
      </c>
      <c r="U27" s="13">
        <v>94.916739702015775</v>
      </c>
      <c r="V27" s="14" t="s">
        <v>56</v>
      </c>
      <c r="W27" s="15">
        <v>1.7162260768512114</v>
      </c>
      <c r="X27" s="16" t="s">
        <v>259</v>
      </c>
      <c r="Y27" t="s">
        <v>158</v>
      </c>
      <c r="AA27" t="s">
        <v>224</v>
      </c>
      <c r="AB27" s="17" t="s">
        <v>237</v>
      </c>
      <c r="AC27" s="20"/>
      <c r="AD27" s="12"/>
      <c r="AE27" s="12" t="s">
        <v>260</v>
      </c>
      <c r="AF27" s="19" t="s">
        <v>56</v>
      </c>
      <c r="AG27" s="12" t="s">
        <v>239</v>
      </c>
      <c r="AH27" s="12" t="s">
        <v>146</v>
      </c>
      <c r="AI27" s="12" t="s">
        <v>178</v>
      </c>
      <c r="AJ27" s="12" t="s">
        <v>240</v>
      </c>
      <c r="AK27" s="12" t="s">
        <v>56</v>
      </c>
      <c r="AL27" s="12" t="s">
        <v>261</v>
      </c>
      <c r="AM27" s="10">
        <v>0.19600000000000001</v>
      </c>
      <c r="AN27" s="10" t="s">
        <v>56</v>
      </c>
      <c r="AO27" t="str">
        <f>_xlfn.CONCAT($AP$1,D27)</f>
        <v>c.167T&gt;A</v>
      </c>
    </row>
    <row r="28" spans="1:41" ht="15" customHeight="1" x14ac:dyDescent="0.2">
      <c r="A28" s="10">
        <v>19</v>
      </c>
      <c r="B28" s="10" t="s">
        <v>39</v>
      </c>
      <c r="C28" s="10" t="s">
        <v>262</v>
      </c>
      <c r="D28" s="10" t="s">
        <v>263</v>
      </c>
      <c r="E28" s="10" t="s">
        <v>264</v>
      </c>
      <c r="F28" s="10" t="s">
        <v>265</v>
      </c>
      <c r="G28" s="10" t="s">
        <v>266</v>
      </c>
      <c r="H28" s="10" t="s">
        <v>267</v>
      </c>
      <c r="I28" s="10" t="s">
        <v>268</v>
      </c>
      <c r="J28" s="10">
        <v>19</v>
      </c>
      <c r="K28" s="10" t="s">
        <v>266</v>
      </c>
      <c r="L28" s="10">
        <v>170</v>
      </c>
      <c r="M28" s="10">
        <v>1</v>
      </c>
      <c r="N28" s="10">
        <v>57</v>
      </c>
      <c r="O28" s="11" t="str">
        <f>HYPERLINK(AL28,"link")</f>
        <v>link</v>
      </c>
      <c r="P28" s="10" t="s">
        <v>269</v>
      </c>
      <c r="Q28" s="12" t="s">
        <v>270</v>
      </c>
      <c r="R28" s="10" t="s">
        <v>49</v>
      </c>
      <c r="S28" t="s">
        <v>50</v>
      </c>
      <c r="T28" s="10" t="s">
        <v>51</v>
      </c>
      <c r="U28" s="13">
        <v>17.743702081051481</v>
      </c>
      <c r="V28" s="14" t="s">
        <v>56</v>
      </c>
      <c r="W28" s="15">
        <v>0.15435965422346348</v>
      </c>
      <c r="X28" s="16" t="s">
        <v>271</v>
      </c>
      <c r="Y28" t="s">
        <v>72</v>
      </c>
      <c r="AA28" t="s">
        <v>272</v>
      </c>
      <c r="AB28" s="17" t="s">
        <v>273</v>
      </c>
      <c r="AC28" s="20"/>
      <c r="AD28" s="12"/>
      <c r="AE28" s="12" t="s">
        <v>274</v>
      </c>
      <c r="AF28" s="19" t="s">
        <v>56</v>
      </c>
      <c r="AG28" s="12" t="s">
        <v>275</v>
      </c>
      <c r="AH28" s="12" t="s">
        <v>146</v>
      </c>
      <c r="AI28" s="12" t="s">
        <v>56</v>
      </c>
      <c r="AJ28" s="12" t="s">
        <v>56</v>
      </c>
      <c r="AK28" s="12" t="s">
        <v>56</v>
      </c>
      <c r="AL28" s="12" t="s">
        <v>276</v>
      </c>
      <c r="AM28" s="10" t="s">
        <v>56</v>
      </c>
      <c r="AN28" s="10" t="s">
        <v>56</v>
      </c>
      <c r="AO28" t="str">
        <f>_xlfn.CONCAT($AP$1,D28)</f>
        <v>c.170T&gt;G</v>
      </c>
    </row>
    <row r="29" spans="1:41" ht="15" customHeight="1" x14ac:dyDescent="0.2">
      <c r="A29" s="10">
        <v>20</v>
      </c>
      <c r="B29" s="10" t="s">
        <v>39</v>
      </c>
      <c r="C29" s="10" t="s">
        <v>277</v>
      </c>
      <c r="D29" s="10" t="s">
        <v>278</v>
      </c>
      <c r="E29" s="10" t="s">
        <v>279</v>
      </c>
      <c r="F29" s="10" t="s">
        <v>280</v>
      </c>
      <c r="G29" s="10" t="s">
        <v>281</v>
      </c>
      <c r="H29" s="10" t="s">
        <v>282</v>
      </c>
      <c r="I29" s="10" t="s">
        <v>283</v>
      </c>
      <c r="J29" s="10">
        <v>20</v>
      </c>
      <c r="K29" s="10" t="s">
        <v>281</v>
      </c>
      <c r="L29" s="10">
        <v>173</v>
      </c>
      <c r="M29" s="10">
        <v>1</v>
      </c>
      <c r="N29" s="10">
        <v>58</v>
      </c>
      <c r="O29" s="11" t="str">
        <f>HYPERLINK(AL29,"link")</f>
        <v>link</v>
      </c>
      <c r="P29" s="10" t="s">
        <v>105</v>
      </c>
      <c r="Q29" s="12">
        <v>2</v>
      </c>
      <c r="R29" s="10" t="s">
        <v>235</v>
      </c>
      <c r="S29" t="s">
        <v>50</v>
      </c>
      <c r="T29" s="10" t="s">
        <v>51</v>
      </c>
      <c r="U29" s="13">
        <v>69.110089580794252</v>
      </c>
      <c r="V29" s="14">
        <v>1.5006906977113146</v>
      </c>
      <c r="W29" s="15">
        <v>1.2767146354046188</v>
      </c>
      <c r="X29" s="16" t="s">
        <v>284</v>
      </c>
      <c r="Y29" t="s">
        <v>53</v>
      </c>
      <c r="AA29" t="s">
        <v>200</v>
      </c>
      <c r="AB29" s="17" t="s">
        <v>201</v>
      </c>
      <c r="AC29" s="20"/>
      <c r="AD29" s="12"/>
      <c r="AE29" s="12" t="s">
        <v>56</v>
      </c>
      <c r="AF29" s="19" t="s">
        <v>56</v>
      </c>
      <c r="AG29" s="12" t="s">
        <v>145</v>
      </c>
      <c r="AH29" s="12" t="s">
        <v>146</v>
      </c>
      <c r="AI29" s="12" t="s">
        <v>147</v>
      </c>
      <c r="AJ29" s="12" t="s">
        <v>56</v>
      </c>
      <c r="AK29" s="12" t="s">
        <v>56</v>
      </c>
      <c r="AL29" s="12" t="s">
        <v>285</v>
      </c>
      <c r="AM29" s="10">
        <v>4.87</v>
      </c>
      <c r="AN29" s="10" t="s">
        <v>56</v>
      </c>
      <c r="AO29" t="str">
        <f>_xlfn.CONCAT($AP$1,D29)</f>
        <v>c.173C&gt;G</v>
      </c>
    </row>
    <row r="30" spans="1:41" ht="15" customHeight="1" x14ac:dyDescent="0.2">
      <c r="A30" s="10">
        <v>21</v>
      </c>
      <c r="B30" s="10" t="s">
        <v>39</v>
      </c>
      <c r="C30" s="10" t="s">
        <v>286</v>
      </c>
      <c r="D30" s="10" t="s">
        <v>287</v>
      </c>
      <c r="E30" s="10" t="s">
        <v>288</v>
      </c>
      <c r="F30" s="10" t="s">
        <v>289</v>
      </c>
      <c r="G30" s="10" t="s">
        <v>290</v>
      </c>
      <c r="H30" s="10" t="s">
        <v>291</v>
      </c>
      <c r="I30" s="10" t="s">
        <v>292</v>
      </c>
      <c r="J30" s="10">
        <v>21</v>
      </c>
      <c r="K30" s="10" t="s">
        <v>290</v>
      </c>
      <c r="L30" s="10">
        <v>173</v>
      </c>
      <c r="M30" s="10">
        <v>1</v>
      </c>
      <c r="N30" s="10">
        <v>58</v>
      </c>
      <c r="O30" s="11" t="str">
        <f>HYPERLINK(AL30,"link")</f>
        <v>link</v>
      </c>
      <c r="P30" s="10" t="s">
        <v>293</v>
      </c>
      <c r="Q30" s="12">
        <v>2</v>
      </c>
      <c r="R30" s="10" t="s">
        <v>294</v>
      </c>
      <c r="S30" t="s">
        <v>50</v>
      </c>
      <c r="T30" s="10" t="s">
        <v>51</v>
      </c>
      <c r="U30" s="13">
        <v>94.917257683215126</v>
      </c>
      <c r="V30" s="14" t="s">
        <v>56</v>
      </c>
      <c r="W30" s="15">
        <v>1.9097992835716102</v>
      </c>
      <c r="X30" s="16" t="s">
        <v>295</v>
      </c>
      <c r="Y30" t="s">
        <v>158</v>
      </c>
      <c r="AA30" t="s">
        <v>224</v>
      </c>
      <c r="AB30" s="17" t="s">
        <v>296</v>
      </c>
      <c r="AC30" s="20"/>
      <c r="AD30" s="12"/>
      <c r="AE30" s="12" t="s">
        <v>56</v>
      </c>
      <c r="AF30" s="19" t="s">
        <v>56</v>
      </c>
      <c r="AG30" s="12" t="s">
        <v>275</v>
      </c>
      <c r="AH30" s="12" t="s">
        <v>146</v>
      </c>
      <c r="AI30" s="12" t="s">
        <v>56</v>
      </c>
      <c r="AJ30" s="12" t="s">
        <v>56</v>
      </c>
      <c r="AK30" s="12" t="s">
        <v>56</v>
      </c>
      <c r="AL30" s="12" t="s">
        <v>297</v>
      </c>
      <c r="AM30" s="10" t="s">
        <v>56</v>
      </c>
      <c r="AN30" s="10" t="s">
        <v>56</v>
      </c>
      <c r="AO30" t="str">
        <f>_xlfn.CONCAT($AP$1,D30)</f>
        <v>c.173C&gt;T</v>
      </c>
    </row>
    <row r="31" spans="1:41" ht="15" customHeight="1" x14ac:dyDescent="0.2">
      <c r="A31" s="10">
        <v>185</v>
      </c>
      <c r="B31" s="10" t="s">
        <v>39</v>
      </c>
      <c r="C31" s="10" t="s">
        <v>1801</v>
      </c>
      <c r="D31" s="10" t="s">
        <v>1802</v>
      </c>
      <c r="E31" s="10" t="s">
        <v>1803</v>
      </c>
      <c r="F31" s="10" t="s">
        <v>1804</v>
      </c>
      <c r="G31" s="10" t="s">
        <v>1805</v>
      </c>
      <c r="H31" s="10" t="s">
        <v>1806</v>
      </c>
      <c r="I31" s="10"/>
      <c r="J31" s="10">
        <v>185</v>
      </c>
      <c r="K31" s="10" t="s">
        <v>1805</v>
      </c>
      <c r="L31" s="10">
        <v>180</v>
      </c>
      <c r="M31" s="10">
        <v>1</v>
      </c>
      <c r="N31" s="10">
        <v>60</v>
      </c>
      <c r="O31" s="11" t="str">
        <f>HYPERLINK(AL31,"link")</f>
        <v>link</v>
      </c>
      <c r="P31" s="10" t="s">
        <v>305</v>
      </c>
      <c r="Q31" s="12" t="s">
        <v>306</v>
      </c>
      <c r="R31" s="10" t="s">
        <v>49</v>
      </c>
      <c r="S31" t="s">
        <v>50</v>
      </c>
      <c r="T31" s="10" t="s">
        <v>51</v>
      </c>
      <c r="U31" s="13">
        <v>2.8624192059095108</v>
      </c>
      <c r="V31" s="14" t="s">
        <v>56</v>
      </c>
      <c r="W31" s="15">
        <v>0.12476651109948364</v>
      </c>
      <c r="X31" s="16" t="s">
        <v>1114</v>
      </c>
      <c r="Y31" t="s">
        <v>72</v>
      </c>
      <c r="AA31" t="s">
        <v>54</v>
      </c>
      <c r="AC31" s="18" t="s">
        <v>308</v>
      </c>
      <c r="AD31" s="12"/>
      <c r="AE31" s="12" t="s">
        <v>56</v>
      </c>
      <c r="AF31" s="19" t="s">
        <v>56</v>
      </c>
      <c r="AG31" s="12" t="s">
        <v>275</v>
      </c>
      <c r="AH31" s="12" t="s">
        <v>146</v>
      </c>
      <c r="AI31" s="12" t="s">
        <v>56</v>
      </c>
      <c r="AJ31" s="12" t="s">
        <v>56</v>
      </c>
      <c r="AK31" s="12" t="s">
        <v>56</v>
      </c>
      <c r="AL31" s="12" t="s">
        <v>1451</v>
      </c>
      <c r="AM31" s="10" t="s">
        <v>56</v>
      </c>
      <c r="AN31" s="10" t="s">
        <v>56</v>
      </c>
      <c r="AO31" t="str">
        <f>_xlfn.CONCAT($AP$1,D31)</f>
        <v>c.180C&gt;A</v>
      </c>
    </row>
    <row r="32" spans="1:41" ht="15" customHeight="1" x14ac:dyDescent="0.2">
      <c r="A32" s="10">
        <v>194</v>
      </c>
      <c r="B32" s="10" t="s">
        <v>1610</v>
      </c>
      <c r="C32" s="10" t="s">
        <v>1859</v>
      </c>
      <c r="D32" s="10" t="s">
        <v>1860</v>
      </c>
      <c r="E32" s="10" t="s">
        <v>1861</v>
      </c>
      <c r="F32" s="10" t="s">
        <v>1862</v>
      </c>
      <c r="G32" s="10" t="s">
        <v>1863</v>
      </c>
      <c r="H32" s="10"/>
      <c r="I32" s="10" t="s">
        <v>1859</v>
      </c>
      <c r="J32" s="10">
        <v>194</v>
      </c>
      <c r="K32" s="10" t="s">
        <v>1863</v>
      </c>
      <c r="L32" s="10">
        <v>178</v>
      </c>
      <c r="M32" s="10">
        <v>1</v>
      </c>
      <c r="N32" s="10">
        <v>60</v>
      </c>
      <c r="O32" s="11"/>
      <c r="P32" s="10" t="s">
        <v>1616</v>
      </c>
      <c r="Q32" s="12" t="s">
        <v>1616</v>
      </c>
      <c r="R32" s="10" t="s">
        <v>49</v>
      </c>
      <c r="T32" s="10" t="e">
        <v>#N/A</v>
      </c>
      <c r="U32" s="13">
        <v>90.409207161125309</v>
      </c>
      <c r="V32" s="14" t="s">
        <v>56</v>
      </c>
      <c r="W32" s="15">
        <v>3.9529738784232276</v>
      </c>
      <c r="X32" s="16" t="s">
        <v>1864</v>
      </c>
      <c r="Y32" t="s">
        <v>214</v>
      </c>
      <c r="AA32" t="s">
        <v>159</v>
      </c>
      <c r="AC32" s="20"/>
      <c r="AD32" s="12"/>
      <c r="AE32" s="12" t="s">
        <v>56</v>
      </c>
      <c r="AF32" s="19" t="s">
        <v>56</v>
      </c>
      <c r="AG32" s="12" t="s">
        <v>275</v>
      </c>
      <c r="AH32" s="12" t="s">
        <v>146</v>
      </c>
      <c r="AI32" s="12" t="s">
        <v>56</v>
      </c>
      <c r="AJ32" s="12" t="s">
        <v>56</v>
      </c>
      <c r="AK32" s="12" t="s">
        <v>56</v>
      </c>
      <c r="AL32" s="12" t="e">
        <v>#N/A</v>
      </c>
      <c r="AM32" s="10" t="s">
        <v>56</v>
      </c>
      <c r="AN32" s="10" t="s">
        <v>56</v>
      </c>
      <c r="AO32" t="str">
        <f>_xlfn.CONCAT($AP$1,D32)</f>
        <v>c.178T&gt;C</v>
      </c>
    </row>
    <row r="33" spans="1:41" ht="15" customHeight="1" x14ac:dyDescent="0.2">
      <c r="A33" s="10">
        <v>195</v>
      </c>
      <c r="B33" s="10" t="s">
        <v>1610</v>
      </c>
      <c r="C33" s="10" t="s">
        <v>1865</v>
      </c>
      <c r="D33" s="10" t="s">
        <v>1866</v>
      </c>
      <c r="E33" s="10" t="s">
        <v>1867</v>
      </c>
      <c r="F33" s="10" t="s">
        <v>1868</v>
      </c>
      <c r="G33" s="10" t="s">
        <v>1869</v>
      </c>
      <c r="H33" s="10"/>
      <c r="I33" s="10" t="s">
        <v>1865</v>
      </c>
      <c r="J33" s="10">
        <v>195</v>
      </c>
      <c r="K33" s="10" t="s">
        <v>1869</v>
      </c>
      <c r="L33" s="10">
        <v>185</v>
      </c>
      <c r="M33" s="10">
        <v>1</v>
      </c>
      <c r="N33" s="10">
        <v>62</v>
      </c>
      <c r="O33" s="11"/>
      <c r="P33" s="10" t="s">
        <v>1616</v>
      </c>
      <c r="Q33" s="12" t="s">
        <v>1616</v>
      </c>
      <c r="R33" s="10" t="s">
        <v>1214</v>
      </c>
      <c r="T33" s="10" t="e">
        <v>#N/A</v>
      </c>
      <c r="U33" s="13">
        <v>94.882619741835185</v>
      </c>
      <c r="V33" s="14">
        <v>0.32829015456113309</v>
      </c>
      <c r="W33" s="15">
        <v>4.5444726731692215</v>
      </c>
      <c r="X33" s="16" t="s">
        <v>1870</v>
      </c>
      <c r="Y33" t="s">
        <v>214</v>
      </c>
      <c r="AA33" t="s">
        <v>159</v>
      </c>
      <c r="AC33" s="20"/>
      <c r="AD33" s="12"/>
      <c r="AE33" s="12" t="s">
        <v>56</v>
      </c>
      <c r="AF33" s="19" t="s">
        <v>56</v>
      </c>
      <c r="AG33" s="12" t="s">
        <v>275</v>
      </c>
      <c r="AH33" s="12" t="s">
        <v>146</v>
      </c>
      <c r="AI33" s="12" t="s">
        <v>56</v>
      </c>
      <c r="AJ33" s="12" t="s">
        <v>56</v>
      </c>
      <c r="AK33" s="12" t="s">
        <v>56</v>
      </c>
      <c r="AL33" s="12" t="e">
        <v>#N/A</v>
      </c>
      <c r="AM33" s="10" t="s">
        <v>56</v>
      </c>
      <c r="AN33" s="10" t="s">
        <v>56</v>
      </c>
      <c r="AO33" t="str">
        <f>_xlfn.CONCAT($AP$1,D33)</f>
        <v>c.185C&gt;A</v>
      </c>
    </row>
    <row r="34" spans="1:41" ht="15" customHeight="1" x14ac:dyDescent="0.2">
      <c r="A34" s="10">
        <v>22</v>
      </c>
      <c r="B34" s="10" t="s">
        <v>39</v>
      </c>
      <c r="C34" s="10" t="s">
        <v>298</v>
      </c>
      <c r="D34" s="10" t="s">
        <v>299</v>
      </c>
      <c r="E34" s="10" t="s">
        <v>300</v>
      </c>
      <c r="F34" s="10" t="s">
        <v>301</v>
      </c>
      <c r="G34" s="10" t="s">
        <v>302</v>
      </c>
      <c r="H34" s="10" t="s">
        <v>303</v>
      </c>
      <c r="I34" s="10" t="s">
        <v>304</v>
      </c>
      <c r="J34" s="10">
        <v>22</v>
      </c>
      <c r="K34" s="10" t="s">
        <v>302</v>
      </c>
      <c r="L34" s="10">
        <v>190</v>
      </c>
      <c r="M34" s="10">
        <v>1</v>
      </c>
      <c r="N34" s="10">
        <v>64</v>
      </c>
      <c r="O34" s="11" t="str">
        <f>HYPERLINK(AL34,"link")</f>
        <v>link</v>
      </c>
      <c r="P34" s="10" t="s">
        <v>305</v>
      </c>
      <c r="Q34" s="12" t="s">
        <v>306</v>
      </c>
      <c r="R34" s="10" t="s">
        <v>49</v>
      </c>
      <c r="S34" t="s">
        <v>50</v>
      </c>
      <c r="T34" s="10" t="s">
        <v>51</v>
      </c>
      <c r="U34" s="13">
        <v>0.61538461538461542</v>
      </c>
      <c r="V34" s="14" t="s">
        <v>56</v>
      </c>
      <c r="W34" s="15">
        <v>0.19900929583420271</v>
      </c>
      <c r="X34" s="16" t="s">
        <v>307</v>
      </c>
      <c r="Y34" t="s">
        <v>72</v>
      </c>
      <c r="AA34" t="s">
        <v>54</v>
      </c>
      <c r="AC34" s="18" t="s">
        <v>308</v>
      </c>
      <c r="AD34" s="12"/>
      <c r="AE34" s="12" t="s">
        <v>56</v>
      </c>
      <c r="AF34" s="19" t="s">
        <v>56</v>
      </c>
      <c r="AG34" s="12" t="s">
        <v>275</v>
      </c>
      <c r="AH34" s="12" t="s">
        <v>146</v>
      </c>
      <c r="AI34" s="12" t="s">
        <v>56</v>
      </c>
      <c r="AJ34" s="12" t="s">
        <v>56</v>
      </c>
      <c r="AK34" s="12" t="s">
        <v>56</v>
      </c>
      <c r="AL34" s="12" t="s">
        <v>309</v>
      </c>
      <c r="AM34" s="10" t="s">
        <v>56</v>
      </c>
      <c r="AN34" s="10" t="s">
        <v>56</v>
      </c>
      <c r="AO34" t="str">
        <f>_xlfn.CONCAT($AP$1,D34)</f>
        <v>c.190C&gt;T</v>
      </c>
    </row>
    <row r="35" spans="1:41" ht="15" customHeight="1" x14ac:dyDescent="0.2">
      <c r="A35" s="10">
        <v>147</v>
      </c>
      <c r="B35" s="10" t="s">
        <v>39</v>
      </c>
      <c r="C35" s="10" t="s">
        <v>1526</v>
      </c>
      <c r="D35" s="10" t="s">
        <v>1527</v>
      </c>
      <c r="E35" s="10" t="s">
        <v>1528</v>
      </c>
      <c r="F35" s="10" t="s">
        <v>1529</v>
      </c>
      <c r="G35" s="10" t="s">
        <v>1530</v>
      </c>
      <c r="H35" s="10" t="s">
        <v>1531</v>
      </c>
      <c r="I35" s="10"/>
      <c r="J35" s="10">
        <v>147</v>
      </c>
      <c r="K35" s="10" t="s">
        <v>1530</v>
      </c>
      <c r="L35" s="10">
        <v>204</v>
      </c>
      <c r="M35" s="10">
        <v>1</v>
      </c>
      <c r="N35" s="10">
        <v>68</v>
      </c>
      <c r="O35" s="11" t="str">
        <f>HYPERLINK(AL35,"link")</f>
        <v>link</v>
      </c>
      <c r="P35" s="10" t="s">
        <v>1505</v>
      </c>
      <c r="Q35" s="12" t="s">
        <v>1505</v>
      </c>
      <c r="R35" s="10" t="s">
        <v>49</v>
      </c>
      <c r="S35" t="s">
        <v>50</v>
      </c>
      <c r="T35" s="10" t="e">
        <v>#N/A</v>
      </c>
      <c r="U35" s="13">
        <v>12.045616535994299</v>
      </c>
      <c r="V35" s="14" t="s">
        <v>56</v>
      </c>
      <c r="W35" s="15">
        <v>0.12509015646279684</v>
      </c>
      <c r="X35" s="16" t="s">
        <v>1532</v>
      </c>
      <c r="Y35" t="s">
        <v>72</v>
      </c>
      <c r="AA35" t="s">
        <v>54</v>
      </c>
      <c r="AC35" s="9"/>
      <c r="AD35" s="12"/>
      <c r="AE35" s="12" t="s">
        <v>56</v>
      </c>
      <c r="AF35" s="19" t="s">
        <v>56</v>
      </c>
      <c r="AG35" s="12" t="s">
        <v>1205</v>
      </c>
      <c r="AH35" s="12" t="s">
        <v>56</v>
      </c>
      <c r="AI35" s="12" t="s">
        <v>56</v>
      </c>
      <c r="AJ35" s="12" t="s">
        <v>56</v>
      </c>
      <c r="AK35" s="12" t="s">
        <v>56</v>
      </c>
      <c r="AL35" s="12" t="s">
        <v>1149</v>
      </c>
      <c r="AM35" s="10" t="s">
        <v>56</v>
      </c>
      <c r="AN35" s="10" t="s">
        <v>56</v>
      </c>
      <c r="AO35" t="str">
        <f>_xlfn.CONCAT($AP$1,D35)</f>
        <v>c.204_215del12</v>
      </c>
    </row>
    <row r="36" spans="1:41" ht="15" customHeight="1" x14ac:dyDescent="0.2">
      <c r="A36" s="10">
        <v>184</v>
      </c>
      <c r="B36" s="10" t="s">
        <v>39</v>
      </c>
      <c r="C36" s="10" t="s">
        <v>1791</v>
      </c>
      <c r="D36" s="10" t="s">
        <v>1792</v>
      </c>
      <c r="E36" s="10" t="s">
        <v>1793</v>
      </c>
      <c r="F36" s="10" t="s">
        <v>1794</v>
      </c>
      <c r="G36" s="10" t="s">
        <v>1795</v>
      </c>
      <c r="H36" s="10" t="s">
        <v>1796</v>
      </c>
      <c r="I36" s="10"/>
      <c r="J36" s="10">
        <v>184</v>
      </c>
      <c r="K36" s="10" t="s">
        <v>1795</v>
      </c>
      <c r="L36" s="10">
        <v>206</v>
      </c>
      <c r="M36" s="10">
        <v>1</v>
      </c>
      <c r="N36" s="10">
        <v>69</v>
      </c>
      <c r="O36" s="11" t="str">
        <f>HYPERLINK(AL36,"link")</f>
        <v>link</v>
      </c>
      <c r="P36" s="10" t="s">
        <v>618</v>
      </c>
      <c r="Q36" s="12" t="s">
        <v>619</v>
      </c>
      <c r="R36" s="10" t="s">
        <v>49</v>
      </c>
      <c r="S36" t="s">
        <v>172</v>
      </c>
      <c r="T36" s="10" t="s">
        <v>173</v>
      </c>
      <c r="U36" s="13">
        <v>93.738819320214674</v>
      </c>
      <c r="V36" s="14" t="s">
        <v>56</v>
      </c>
      <c r="W36" s="15">
        <v>3.6461393637960073</v>
      </c>
      <c r="X36" s="16" t="s">
        <v>1797</v>
      </c>
      <c r="Y36" t="s">
        <v>214</v>
      </c>
      <c r="AA36" t="s">
        <v>159</v>
      </c>
      <c r="AC36" s="20"/>
      <c r="AD36" s="12"/>
      <c r="AE36" s="12" t="s">
        <v>56</v>
      </c>
      <c r="AF36" s="19" t="s">
        <v>56</v>
      </c>
      <c r="AG36" s="12" t="s">
        <v>1798</v>
      </c>
      <c r="AH36" s="12" t="s">
        <v>1799</v>
      </c>
      <c r="AI36" s="12" t="s">
        <v>56</v>
      </c>
      <c r="AJ36" s="12" t="s">
        <v>56</v>
      </c>
      <c r="AK36" s="12" t="s">
        <v>56</v>
      </c>
      <c r="AL36" s="12" t="s">
        <v>1800</v>
      </c>
      <c r="AM36" s="10" t="s">
        <v>56</v>
      </c>
      <c r="AN36" s="10" t="s">
        <v>56</v>
      </c>
      <c r="AO36" t="str">
        <f>_xlfn.CONCAT($AP$1,D36)</f>
        <v>c.206G&gt;A</v>
      </c>
    </row>
    <row r="37" spans="1:41" ht="15" customHeight="1" x14ac:dyDescent="0.2">
      <c r="A37" s="10">
        <v>183</v>
      </c>
      <c r="B37" s="10" t="s">
        <v>39</v>
      </c>
      <c r="C37" s="10" t="s">
        <v>1783</v>
      </c>
      <c r="D37" s="10" t="s">
        <v>1784</v>
      </c>
      <c r="E37" s="10" t="s">
        <v>1785</v>
      </c>
      <c r="F37" s="10" t="s">
        <v>1786</v>
      </c>
      <c r="G37" s="10" t="s">
        <v>1787</v>
      </c>
      <c r="H37" s="26" t="s">
        <v>1788</v>
      </c>
      <c r="I37" s="10"/>
      <c r="J37" s="10">
        <v>183</v>
      </c>
      <c r="K37" s="10" t="s">
        <v>1787</v>
      </c>
      <c r="L37" s="10">
        <v>217</v>
      </c>
      <c r="M37" s="10">
        <v>1</v>
      </c>
      <c r="N37" s="10">
        <v>73</v>
      </c>
      <c r="O37" s="11" t="str">
        <f>HYPERLINK(AL37,"link")</f>
        <v>link</v>
      </c>
      <c r="P37" s="10" t="s">
        <v>1505</v>
      </c>
      <c r="Q37" s="12" t="s">
        <v>1505</v>
      </c>
      <c r="R37" s="10" t="s">
        <v>49</v>
      </c>
      <c r="S37" t="s">
        <v>50</v>
      </c>
      <c r="T37" s="10" t="e">
        <v>#N/A</v>
      </c>
      <c r="U37" s="13">
        <v>12.22707423580786</v>
      </c>
      <c r="V37" s="14" t="s">
        <v>56</v>
      </c>
      <c r="W37" s="15">
        <v>0.19671589430989045</v>
      </c>
      <c r="X37" s="16" t="s">
        <v>1789</v>
      </c>
      <c r="Y37" t="s">
        <v>72</v>
      </c>
      <c r="AA37" t="s">
        <v>54</v>
      </c>
      <c r="AC37" s="20"/>
      <c r="AD37" s="12"/>
      <c r="AE37" s="12" t="s">
        <v>56</v>
      </c>
      <c r="AF37" s="19" t="s">
        <v>56</v>
      </c>
      <c r="AG37" s="12" t="s">
        <v>318</v>
      </c>
      <c r="AH37" s="12" t="s">
        <v>319</v>
      </c>
      <c r="AI37" s="12" t="s">
        <v>56</v>
      </c>
      <c r="AJ37" s="12" t="s">
        <v>56</v>
      </c>
      <c r="AK37" s="12" t="s">
        <v>56</v>
      </c>
      <c r="AL37" s="12" t="s">
        <v>1790</v>
      </c>
      <c r="AM37" s="10" t="s">
        <v>56</v>
      </c>
      <c r="AN37" s="10" t="s">
        <v>56</v>
      </c>
      <c r="AO37" t="str">
        <f>_xlfn.CONCAT($AP$1,D37)</f>
        <v>c.217_219delAAC</v>
      </c>
    </row>
    <row r="38" spans="1:41" ht="15" customHeight="1" x14ac:dyDescent="0.2">
      <c r="A38" s="10">
        <v>196</v>
      </c>
      <c r="B38" s="10" t="s">
        <v>1610</v>
      </c>
      <c r="C38" s="10" t="s">
        <v>1871</v>
      </c>
      <c r="D38" s="10" t="s">
        <v>1872</v>
      </c>
      <c r="E38" s="10" t="s">
        <v>1873</v>
      </c>
      <c r="F38" s="10" t="s">
        <v>1874</v>
      </c>
      <c r="G38" s="10" t="s">
        <v>1875</v>
      </c>
      <c r="H38" s="10"/>
      <c r="I38" s="10" t="s">
        <v>1871</v>
      </c>
      <c r="J38" s="10">
        <v>196</v>
      </c>
      <c r="K38" s="10" t="s">
        <v>1875</v>
      </c>
      <c r="L38" s="10">
        <v>218</v>
      </c>
      <c r="M38" s="10">
        <v>1</v>
      </c>
      <c r="N38" s="10">
        <v>73</v>
      </c>
      <c r="O38" s="11"/>
      <c r="P38" s="10" t="s">
        <v>1616</v>
      </c>
      <c r="Q38" s="12" t="s">
        <v>1616</v>
      </c>
      <c r="R38" s="10" t="s">
        <v>1214</v>
      </c>
      <c r="T38" s="10" t="e">
        <v>#N/A</v>
      </c>
      <c r="U38" s="13">
        <v>94.811902207181063</v>
      </c>
      <c r="V38" s="14">
        <v>1.0826412801134848</v>
      </c>
      <c r="W38" s="15">
        <v>2.9381550230184179</v>
      </c>
      <c r="X38" s="16" t="s">
        <v>1876</v>
      </c>
      <c r="Y38" t="s">
        <v>214</v>
      </c>
      <c r="AA38" t="s">
        <v>159</v>
      </c>
      <c r="AC38" s="20"/>
      <c r="AD38" s="12"/>
      <c r="AE38" s="12" t="s">
        <v>56</v>
      </c>
      <c r="AF38" s="19" t="s">
        <v>56</v>
      </c>
      <c r="AG38" s="12" t="s">
        <v>318</v>
      </c>
      <c r="AH38" s="12" t="s">
        <v>319</v>
      </c>
      <c r="AI38" s="12" t="s">
        <v>56</v>
      </c>
      <c r="AJ38" s="12" t="s">
        <v>56</v>
      </c>
      <c r="AK38" s="12" t="s">
        <v>56</v>
      </c>
      <c r="AL38" s="12" t="e">
        <v>#N/A</v>
      </c>
      <c r="AM38" s="10" t="s">
        <v>56</v>
      </c>
      <c r="AN38" s="10" t="s">
        <v>56</v>
      </c>
      <c r="AO38" t="str">
        <f>_xlfn.CONCAT($AP$1,D38)</f>
        <v>c.218A&gt;G</v>
      </c>
    </row>
    <row r="39" spans="1:41" ht="15" customHeight="1" x14ac:dyDescent="0.2">
      <c r="A39" s="10">
        <v>23</v>
      </c>
      <c r="B39" s="10" t="s">
        <v>39</v>
      </c>
      <c r="C39" s="10" t="s">
        <v>310</v>
      </c>
      <c r="D39" s="10" t="s">
        <v>311</v>
      </c>
      <c r="E39" s="10" t="s">
        <v>312</v>
      </c>
      <c r="F39" s="10" t="s">
        <v>313</v>
      </c>
      <c r="G39" s="10" t="s">
        <v>314</v>
      </c>
      <c r="H39" s="10" t="s">
        <v>315</v>
      </c>
      <c r="I39" s="10" t="s">
        <v>316</v>
      </c>
      <c r="J39" s="10">
        <v>23</v>
      </c>
      <c r="K39" s="10" t="s">
        <v>314</v>
      </c>
      <c r="L39" s="10">
        <v>233</v>
      </c>
      <c r="M39" s="10">
        <v>1</v>
      </c>
      <c r="N39" s="10">
        <v>78</v>
      </c>
      <c r="O39" s="11" t="str">
        <f>HYPERLINK(AL39,"link")</f>
        <v>link</v>
      </c>
      <c r="P39" s="10" t="s">
        <v>269</v>
      </c>
      <c r="Q39" s="12" t="s">
        <v>270</v>
      </c>
      <c r="R39" s="10" t="s">
        <v>49</v>
      </c>
      <c r="S39" t="s">
        <v>50</v>
      </c>
      <c r="T39" s="10" t="s">
        <v>51</v>
      </c>
      <c r="U39" s="13">
        <v>22.748091603053435</v>
      </c>
      <c r="V39" s="14" t="s">
        <v>56</v>
      </c>
      <c r="W39" s="15">
        <v>0.13292710681739561</v>
      </c>
      <c r="X39" s="16" t="s">
        <v>317</v>
      </c>
      <c r="Y39" t="s">
        <v>72</v>
      </c>
      <c r="AA39" t="s">
        <v>272</v>
      </c>
      <c r="AB39" s="17" t="s">
        <v>273</v>
      </c>
      <c r="AC39" s="20"/>
      <c r="AD39" s="12"/>
      <c r="AE39" s="12" t="s">
        <v>56</v>
      </c>
      <c r="AF39" s="19" t="s">
        <v>56</v>
      </c>
      <c r="AG39" s="12" t="s">
        <v>318</v>
      </c>
      <c r="AH39" s="12" t="s">
        <v>319</v>
      </c>
      <c r="AI39" s="12" t="s">
        <v>56</v>
      </c>
      <c r="AJ39" s="12" t="s">
        <v>56</v>
      </c>
      <c r="AK39" s="12" t="s">
        <v>56</v>
      </c>
      <c r="AL39" s="12" t="s">
        <v>320</v>
      </c>
      <c r="AM39" s="10" t="s">
        <v>56</v>
      </c>
      <c r="AN39" s="10" t="s">
        <v>56</v>
      </c>
      <c r="AO39" t="str">
        <f>_xlfn.CONCAT($AP$1,D39)</f>
        <v>c.233A&gt;T</v>
      </c>
    </row>
    <row r="40" spans="1:41" ht="15" customHeight="1" x14ac:dyDescent="0.2">
      <c r="A40" s="10">
        <v>182</v>
      </c>
      <c r="B40" s="10" t="s">
        <v>39</v>
      </c>
      <c r="C40" s="10" t="s">
        <v>1776</v>
      </c>
      <c r="D40" s="10" t="s">
        <v>1777</v>
      </c>
      <c r="E40" s="10" t="s">
        <v>1778</v>
      </c>
      <c r="F40" s="10" t="s">
        <v>1779</v>
      </c>
      <c r="G40" s="10" t="s">
        <v>1780</v>
      </c>
      <c r="H40" s="10" t="s">
        <v>1781</v>
      </c>
      <c r="I40" s="10"/>
      <c r="J40" s="10">
        <v>182</v>
      </c>
      <c r="K40" s="10" t="s">
        <v>1780</v>
      </c>
      <c r="L40" s="10">
        <v>236</v>
      </c>
      <c r="M40" s="10">
        <v>1</v>
      </c>
      <c r="N40" s="10">
        <v>79</v>
      </c>
      <c r="O40" s="11" t="str">
        <f>HYPERLINK(AL40,"link")</f>
        <v>link</v>
      </c>
      <c r="P40" s="10" t="s">
        <v>269</v>
      </c>
      <c r="Q40" s="12" t="s">
        <v>270</v>
      </c>
      <c r="R40" s="10" t="s">
        <v>49</v>
      </c>
      <c r="S40" t="s">
        <v>50</v>
      </c>
      <c r="T40" s="10" t="s">
        <v>51</v>
      </c>
      <c r="U40" s="13">
        <v>70.809007506255213</v>
      </c>
      <c r="V40" s="14" t="s">
        <v>56</v>
      </c>
      <c r="W40" s="15">
        <v>0.90304322426949757</v>
      </c>
      <c r="X40" s="16" t="s">
        <v>1782</v>
      </c>
      <c r="Y40" t="s">
        <v>53</v>
      </c>
      <c r="AA40" t="s">
        <v>901</v>
      </c>
      <c r="AB40" s="17" t="s">
        <v>902</v>
      </c>
      <c r="AC40" s="20"/>
      <c r="AD40" s="12"/>
      <c r="AE40" s="12" t="s">
        <v>56</v>
      </c>
      <c r="AF40" s="19" t="s">
        <v>56</v>
      </c>
      <c r="AG40" s="12" t="s">
        <v>318</v>
      </c>
      <c r="AH40" s="12" t="s">
        <v>319</v>
      </c>
      <c r="AI40" s="12" t="s">
        <v>56</v>
      </c>
      <c r="AJ40" s="12" t="s">
        <v>56</v>
      </c>
      <c r="AK40" s="12" t="s">
        <v>56</v>
      </c>
      <c r="AL40" s="12" t="s">
        <v>1640</v>
      </c>
      <c r="AM40" s="10" t="s">
        <v>56</v>
      </c>
      <c r="AN40" s="10" t="s">
        <v>56</v>
      </c>
      <c r="AO40" t="str">
        <f>_xlfn.CONCAT($AP$1,D40)</f>
        <v>c.236T&gt;C</v>
      </c>
    </row>
    <row r="41" spans="1:41" ht="15" customHeight="1" x14ac:dyDescent="0.2">
      <c r="A41" s="10">
        <v>24</v>
      </c>
      <c r="B41" s="10" t="s">
        <v>39</v>
      </c>
      <c r="C41" s="10" t="s">
        <v>321</v>
      </c>
      <c r="D41" s="10" t="s">
        <v>322</v>
      </c>
      <c r="E41" s="10" t="s">
        <v>323</v>
      </c>
      <c r="F41" s="10" t="s">
        <v>324</v>
      </c>
      <c r="G41" s="10" t="s">
        <v>325</v>
      </c>
      <c r="H41" s="10" t="s">
        <v>326</v>
      </c>
      <c r="I41" s="10" t="s">
        <v>327</v>
      </c>
      <c r="J41" s="10">
        <v>24</v>
      </c>
      <c r="K41" s="10" t="s">
        <v>325</v>
      </c>
      <c r="L41" s="10">
        <v>260</v>
      </c>
      <c r="M41" s="10">
        <v>1</v>
      </c>
      <c r="N41" s="10">
        <v>87</v>
      </c>
      <c r="O41" s="11" t="str">
        <f>HYPERLINK(AL41,"link")</f>
        <v>link</v>
      </c>
      <c r="P41" s="10" t="s">
        <v>105</v>
      </c>
      <c r="Q41" s="12">
        <v>2</v>
      </c>
      <c r="R41" s="10" t="s">
        <v>49</v>
      </c>
      <c r="S41" t="s">
        <v>50</v>
      </c>
      <c r="T41" s="10" t="s">
        <v>51</v>
      </c>
      <c r="U41" s="13">
        <v>24.92378048780488</v>
      </c>
      <c r="V41" s="14" t="s">
        <v>56</v>
      </c>
      <c r="W41" s="15">
        <v>0.14427145145089637</v>
      </c>
      <c r="X41" s="16" t="s">
        <v>328</v>
      </c>
      <c r="Y41" t="s">
        <v>72</v>
      </c>
      <c r="AA41" t="s">
        <v>54</v>
      </c>
      <c r="AC41" s="20"/>
      <c r="AD41" s="12"/>
      <c r="AE41" s="12" t="s">
        <v>56</v>
      </c>
      <c r="AF41" s="19" t="s">
        <v>56</v>
      </c>
      <c r="AG41" s="12" t="s">
        <v>329</v>
      </c>
      <c r="AH41" s="12" t="s">
        <v>319</v>
      </c>
      <c r="AI41" s="12" t="s">
        <v>147</v>
      </c>
      <c r="AJ41" s="12" t="s">
        <v>56</v>
      </c>
      <c r="AK41" s="12" t="s">
        <v>56</v>
      </c>
      <c r="AL41" s="12" t="s">
        <v>330</v>
      </c>
      <c r="AM41" s="10">
        <v>3.7099999999999995</v>
      </c>
      <c r="AN41" s="10" t="s">
        <v>56</v>
      </c>
      <c r="AO41" t="str">
        <f>_xlfn.CONCAT($AP$1,D41)</f>
        <v>c.260T&gt;A</v>
      </c>
    </row>
    <row r="42" spans="1:41" ht="15" customHeight="1" x14ac:dyDescent="0.2">
      <c r="A42" s="10">
        <v>181</v>
      </c>
      <c r="B42" s="10" t="s">
        <v>39</v>
      </c>
      <c r="C42" s="10" t="s">
        <v>1768</v>
      </c>
      <c r="D42" s="10" t="s">
        <v>1769</v>
      </c>
      <c r="E42" s="10" t="s">
        <v>1770</v>
      </c>
      <c r="F42" s="10" t="s">
        <v>1771</v>
      </c>
      <c r="G42" s="10" t="s">
        <v>1772</v>
      </c>
      <c r="H42" s="10" t="s">
        <v>1773</v>
      </c>
      <c r="I42" s="10"/>
      <c r="J42" s="10">
        <v>181</v>
      </c>
      <c r="K42" s="10" t="s">
        <v>1772</v>
      </c>
      <c r="L42" s="10">
        <v>259</v>
      </c>
      <c r="M42" s="10">
        <v>1</v>
      </c>
      <c r="N42" s="10">
        <v>87</v>
      </c>
      <c r="O42" s="11" t="str">
        <f>HYPERLINK(AL42,"link")</f>
        <v>link</v>
      </c>
      <c r="P42" s="10" t="s">
        <v>269</v>
      </c>
      <c r="Q42" s="12" t="s">
        <v>270</v>
      </c>
      <c r="R42" s="10" t="s">
        <v>49</v>
      </c>
      <c r="S42" t="s">
        <v>50</v>
      </c>
      <c r="T42" s="10" t="s">
        <v>51</v>
      </c>
      <c r="U42" s="13">
        <v>90.066225165562912</v>
      </c>
      <c r="V42" s="14" t="s">
        <v>56</v>
      </c>
      <c r="W42" s="15">
        <v>3.983113204577347</v>
      </c>
      <c r="X42" s="16" t="s">
        <v>1774</v>
      </c>
      <c r="Y42" t="s">
        <v>214</v>
      </c>
      <c r="AA42" t="s">
        <v>159</v>
      </c>
      <c r="AC42" s="20"/>
      <c r="AD42" s="12"/>
      <c r="AE42" s="12" t="s">
        <v>56</v>
      </c>
      <c r="AF42" s="19" t="s">
        <v>56</v>
      </c>
      <c r="AG42" s="12" t="s">
        <v>318</v>
      </c>
      <c r="AH42" s="12" t="s">
        <v>319</v>
      </c>
      <c r="AI42" s="12" t="s">
        <v>56</v>
      </c>
      <c r="AJ42" s="12" t="s">
        <v>56</v>
      </c>
      <c r="AK42" s="12" t="s">
        <v>56</v>
      </c>
      <c r="AL42" s="12" t="s">
        <v>1775</v>
      </c>
      <c r="AM42" s="10" t="s">
        <v>56</v>
      </c>
      <c r="AN42" s="10" t="s">
        <v>56</v>
      </c>
      <c r="AO42" t="str">
        <f>_xlfn.CONCAT($AP$1,D42)</f>
        <v>c.259G&gt;C</v>
      </c>
    </row>
    <row r="43" spans="1:41" ht="15" customHeight="1" x14ac:dyDescent="0.2">
      <c r="A43" s="10">
        <v>25</v>
      </c>
      <c r="B43" s="10" t="s">
        <v>39</v>
      </c>
      <c r="C43" s="10" t="s">
        <v>331</v>
      </c>
      <c r="D43" s="10" t="s">
        <v>332</v>
      </c>
      <c r="E43" s="10" t="s">
        <v>333</v>
      </c>
      <c r="F43" s="10" t="s">
        <v>334</v>
      </c>
      <c r="G43" s="10" t="s">
        <v>335</v>
      </c>
      <c r="H43" s="10" t="s">
        <v>336</v>
      </c>
      <c r="I43" s="10" t="s">
        <v>337</v>
      </c>
      <c r="J43" s="10">
        <v>25</v>
      </c>
      <c r="K43" s="10" t="s">
        <v>335</v>
      </c>
      <c r="L43" s="10">
        <v>263</v>
      </c>
      <c r="M43" s="10">
        <v>1</v>
      </c>
      <c r="N43" s="10">
        <v>88</v>
      </c>
      <c r="O43" s="11" t="str">
        <f>HYPERLINK(AL43,"link")</f>
        <v>link</v>
      </c>
      <c r="P43" s="10" t="s">
        <v>338</v>
      </c>
      <c r="Q43" s="12">
        <v>2</v>
      </c>
      <c r="R43" s="10" t="s">
        <v>49</v>
      </c>
      <c r="S43" t="s">
        <v>50</v>
      </c>
      <c r="T43" s="10" t="s">
        <v>51</v>
      </c>
      <c r="U43" s="13">
        <v>58.773212493332323</v>
      </c>
      <c r="V43" s="14">
        <v>2.5250261944983858</v>
      </c>
      <c r="W43" s="15">
        <v>0.35653011823325848</v>
      </c>
      <c r="X43" s="16" t="s">
        <v>339</v>
      </c>
      <c r="Y43" t="s">
        <v>53</v>
      </c>
      <c r="AA43" t="s">
        <v>200</v>
      </c>
      <c r="AB43" s="17" t="s">
        <v>340</v>
      </c>
      <c r="AC43" s="20"/>
      <c r="AD43" s="12"/>
      <c r="AE43" s="12" t="s">
        <v>341</v>
      </c>
      <c r="AF43" s="19" t="s">
        <v>56</v>
      </c>
      <c r="AG43" s="12" t="s">
        <v>318</v>
      </c>
      <c r="AH43" s="12" t="s">
        <v>319</v>
      </c>
      <c r="AI43" s="12" t="s">
        <v>56</v>
      </c>
      <c r="AJ43" s="12" t="s">
        <v>56</v>
      </c>
      <c r="AK43" s="12" t="s">
        <v>56</v>
      </c>
      <c r="AL43" s="12" t="s">
        <v>342</v>
      </c>
      <c r="AM43" s="10" t="s">
        <v>56</v>
      </c>
      <c r="AN43" s="10" t="s">
        <v>56</v>
      </c>
      <c r="AO43" t="str">
        <f>_xlfn.CONCAT($AP$1,D43)</f>
        <v>c.263T&gt;C</v>
      </c>
    </row>
    <row r="44" spans="1:41" ht="15" customHeight="1" x14ac:dyDescent="0.2">
      <c r="A44" s="10">
        <v>26</v>
      </c>
      <c r="B44" s="10" t="s">
        <v>39</v>
      </c>
      <c r="C44" s="10" t="s">
        <v>343</v>
      </c>
      <c r="D44" s="10" t="s">
        <v>344</v>
      </c>
      <c r="E44" s="10" t="s">
        <v>345</v>
      </c>
      <c r="F44" s="10" t="s">
        <v>346</v>
      </c>
      <c r="G44" s="10" t="s">
        <v>347</v>
      </c>
      <c r="H44" s="10" t="s">
        <v>348</v>
      </c>
      <c r="I44" s="10" t="s">
        <v>349</v>
      </c>
      <c r="J44" s="10">
        <v>26</v>
      </c>
      <c r="K44" s="10" t="s">
        <v>347</v>
      </c>
      <c r="L44" s="10">
        <v>266</v>
      </c>
      <c r="M44" s="10">
        <v>1</v>
      </c>
      <c r="N44" s="10">
        <v>89</v>
      </c>
      <c r="O44" s="11" t="str">
        <f>HYPERLINK(AL44,"link")</f>
        <v>link</v>
      </c>
      <c r="P44" s="10" t="s">
        <v>105</v>
      </c>
      <c r="Q44" s="12">
        <v>2</v>
      </c>
      <c r="R44" s="10" t="s">
        <v>171</v>
      </c>
      <c r="S44" t="s">
        <v>50</v>
      </c>
      <c r="T44" s="10" t="s">
        <v>51</v>
      </c>
      <c r="U44" s="13">
        <v>33.849780355475929</v>
      </c>
      <c r="V44" s="14">
        <v>2.0992459998794653</v>
      </c>
      <c r="W44" s="15">
        <v>0.22542643164079737</v>
      </c>
      <c r="X44" s="16" t="s">
        <v>350</v>
      </c>
      <c r="Y44" t="s">
        <v>72</v>
      </c>
      <c r="AA44" t="s">
        <v>351</v>
      </c>
      <c r="AC44" s="20"/>
      <c r="AD44" s="12" t="s">
        <v>352</v>
      </c>
      <c r="AE44" s="12" t="s">
        <v>353</v>
      </c>
      <c r="AF44" s="19" t="s">
        <v>56</v>
      </c>
      <c r="AG44" s="12" t="s">
        <v>329</v>
      </c>
      <c r="AH44" s="12" t="s">
        <v>319</v>
      </c>
      <c r="AI44" s="12" t="s">
        <v>147</v>
      </c>
      <c r="AJ44" s="12" t="s">
        <v>56</v>
      </c>
      <c r="AK44" s="12" t="s">
        <v>56</v>
      </c>
      <c r="AL44" s="12" t="s">
        <v>354</v>
      </c>
      <c r="AM44" s="10">
        <v>14.868</v>
      </c>
      <c r="AN44" s="10" t="s">
        <v>56</v>
      </c>
      <c r="AO44" t="str">
        <f>_xlfn.CONCAT($AP$1,D44)</f>
        <v>c.266G&gt;A</v>
      </c>
    </row>
    <row r="45" spans="1:41" ht="15" customHeight="1" x14ac:dyDescent="0.2">
      <c r="A45" s="10">
        <v>27</v>
      </c>
      <c r="B45" s="10" t="s">
        <v>39</v>
      </c>
      <c r="C45" s="10" t="s">
        <v>355</v>
      </c>
      <c r="D45" s="10" t="s">
        <v>356</v>
      </c>
      <c r="E45" s="10" t="s">
        <v>357</v>
      </c>
      <c r="F45" s="10" t="s">
        <v>358</v>
      </c>
      <c r="G45" s="10" t="s">
        <v>359</v>
      </c>
      <c r="H45" s="10" t="s">
        <v>360</v>
      </c>
      <c r="I45" s="10" t="s">
        <v>361</v>
      </c>
      <c r="J45" s="10">
        <v>27</v>
      </c>
      <c r="K45" s="10" t="s">
        <v>359</v>
      </c>
      <c r="L45" s="10">
        <v>269</v>
      </c>
      <c r="M45" s="10">
        <v>1</v>
      </c>
      <c r="N45" s="10">
        <v>90</v>
      </c>
      <c r="O45" s="11" t="str">
        <f>HYPERLINK(AL45,"link")</f>
        <v>link</v>
      </c>
      <c r="P45" s="10" t="s">
        <v>362</v>
      </c>
      <c r="Q45" s="12">
        <v>6</v>
      </c>
      <c r="R45" s="10" t="s">
        <v>363</v>
      </c>
      <c r="S45" t="s">
        <v>50</v>
      </c>
      <c r="T45" s="10" t="s">
        <v>51</v>
      </c>
      <c r="U45" s="13">
        <v>78.864824495892464</v>
      </c>
      <c r="V45" s="14" t="s">
        <v>56</v>
      </c>
      <c r="W45" s="15">
        <v>2.2995821111754728</v>
      </c>
      <c r="X45" s="16" t="s">
        <v>364</v>
      </c>
      <c r="Y45" t="s">
        <v>158</v>
      </c>
      <c r="AA45" t="s">
        <v>159</v>
      </c>
      <c r="AC45" s="20"/>
      <c r="AD45" s="12"/>
      <c r="AE45" s="12" t="s">
        <v>56</v>
      </c>
      <c r="AF45" s="19" t="s">
        <v>56</v>
      </c>
      <c r="AG45" s="12" t="s">
        <v>329</v>
      </c>
      <c r="AH45" s="12" t="s">
        <v>319</v>
      </c>
      <c r="AI45" s="12" t="s">
        <v>147</v>
      </c>
      <c r="AJ45" s="12" t="s">
        <v>56</v>
      </c>
      <c r="AK45" s="12" t="s">
        <v>56</v>
      </c>
      <c r="AL45" s="12" t="s">
        <v>365</v>
      </c>
      <c r="AM45" s="10">
        <v>6.8280000000000003</v>
      </c>
      <c r="AN45" s="10" t="s">
        <v>56</v>
      </c>
      <c r="AO45" t="str">
        <f>_xlfn.CONCAT($AP$1,D45)</f>
        <v>c.269G&gt;A</v>
      </c>
    </row>
    <row r="46" spans="1:41" ht="15" customHeight="1" x14ac:dyDescent="0.2">
      <c r="A46" s="10">
        <v>28</v>
      </c>
      <c r="B46" s="10" t="s">
        <v>39</v>
      </c>
      <c r="C46" s="10" t="s">
        <v>366</v>
      </c>
      <c r="D46" s="10" t="s">
        <v>367</v>
      </c>
      <c r="E46" s="10" t="s">
        <v>368</v>
      </c>
      <c r="F46" s="10" t="s">
        <v>369</v>
      </c>
      <c r="G46" s="10" t="s">
        <v>370</v>
      </c>
      <c r="H46" s="10" t="s">
        <v>371</v>
      </c>
      <c r="I46" s="10" t="s">
        <v>372</v>
      </c>
      <c r="J46" s="10">
        <v>28</v>
      </c>
      <c r="K46" s="10" t="s">
        <v>370</v>
      </c>
      <c r="L46" s="10">
        <v>269</v>
      </c>
      <c r="M46" s="10">
        <v>1</v>
      </c>
      <c r="N46" s="10">
        <v>90</v>
      </c>
      <c r="O46" s="11" t="str">
        <f>HYPERLINK(AL46,"link")</f>
        <v>link</v>
      </c>
      <c r="P46" s="10" t="s">
        <v>373</v>
      </c>
      <c r="Q46" s="12">
        <v>4</v>
      </c>
      <c r="R46" s="10" t="s">
        <v>49</v>
      </c>
      <c r="S46" t="s">
        <v>50</v>
      </c>
      <c r="T46" s="10" t="s">
        <v>51</v>
      </c>
      <c r="U46" s="13">
        <v>89.513422818791938</v>
      </c>
      <c r="V46" s="14" t="s">
        <v>56</v>
      </c>
      <c r="W46" s="15">
        <v>2.8617680640094685</v>
      </c>
      <c r="X46" s="16" t="s">
        <v>374</v>
      </c>
      <c r="Y46" t="s">
        <v>214</v>
      </c>
      <c r="AA46" t="s">
        <v>159</v>
      </c>
      <c r="AC46" s="20"/>
      <c r="AD46" s="12"/>
      <c r="AE46" s="12" t="s">
        <v>56</v>
      </c>
      <c r="AF46" s="19" t="s">
        <v>56</v>
      </c>
      <c r="AG46" s="12" t="s">
        <v>329</v>
      </c>
      <c r="AH46" s="12" t="s">
        <v>319</v>
      </c>
      <c r="AI46" s="12" t="s">
        <v>147</v>
      </c>
      <c r="AJ46" s="12" t="s">
        <v>56</v>
      </c>
      <c r="AK46" s="12" t="s">
        <v>56</v>
      </c>
      <c r="AL46" s="12" t="s">
        <v>375</v>
      </c>
      <c r="AM46" s="10">
        <v>3.2039999999999997</v>
      </c>
      <c r="AN46" s="10" t="s">
        <v>56</v>
      </c>
      <c r="AO46" t="str">
        <f>_xlfn.CONCAT($AP$1,D46)</f>
        <v>c.269G&gt;T</v>
      </c>
    </row>
    <row r="47" spans="1:41" ht="15" customHeight="1" x14ac:dyDescent="0.2">
      <c r="A47" s="10">
        <v>180</v>
      </c>
      <c r="B47" s="10" t="s">
        <v>39</v>
      </c>
      <c r="C47" s="10" t="s">
        <v>1761</v>
      </c>
      <c r="D47" s="10" t="s">
        <v>1762</v>
      </c>
      <c r="E47" s="10" t="s">
        <v>1763</v>
      </c>
      <c r="F47" s="10" t="s">
        <v>1764</v>
      </c>
      <c r="G47" s="10" t="s">
        <v>1765</v>
      </c>
      <c r="H47" s="10" t="s">
        <v>1766</v>
      </c>
      <c r="I47" s="10"/>
      <c r="J47" s="10">
        <v>180</v>
      </c>
      <c r="K47" s="10" t="s">
        <v>1765</v>
      </c>
      <c r="L47" s="10">
        <v>275</v>
      </c>
      <c r="M47" s="10">
        <v>1</v>
      </c>
      <c r="N47" s="10">
        <v>92</v>
      </c>
      <c r="O47" s="11" t="str">
        <f>HYPERLINK(AL47,"link")</f>
        <v>link</v>
      </c>
      <c r="P47" s="10" t="s">
        <v>269</v>
      </c>
      <c r="Q47" s="12" t="s">
        <v>270</v>
      </c>
      <c r="R47" s="10" t="s">
        <v>235</v>
      </c>
      <c r="S47" t="s">
        <v>50</v>
      </c>
      <c r="T47" s="10" t="s">
        <v>51</v>
      </c>
      <c r="U47" s="13">
        <v>93.994211287988421</v>
      </c>
      <c r="V47" s="14" t="s">
        <v>56</v>
      </c>
      <c r="W47" s="15">
        <v>4.0161013695140468</v>
      </c>
      <c r="X47" s="16" t="s">
        <v>1767</v>
      </c>
      <c r="Y47" t="s">
        <v>214</v>
      </c>
      <c r="AA47" t="s">
        <v>159</v>
      </c>
      <c r="AC47" s="20"/>
      <c r="AD47" s="12"/>
      <c r="AE47" s="12" t="s">
        <v>56</v>
      </c>
      <c r="AF47" s="19" t="s">
        <v>56</v>
      </c>
      <c r="AG47" s="12" t="s">
        <v>318</v>
      </c>
      <c r="AH47" s="12" t="s">
        <v>319</v>
      </c>
      <c r="AI47" s="12" t="s">
        <v>56</v>
      </c>
      <c r="AJ47" s="12" t="s">
        <v>56</v>
      </c>
      <c r="AK47" s="12" t="s">
        <v>56</v>
      </c>
      <c r="AL47" s="12" t="s">
        <v>1648</v>
      </c>
      <c r="AM47" s="10" t="s">
        <v>56</v>
      </c>
      <c r="AN47" s="10" t="s">
        <v>56</v>
      </c>
      <c r="AO47" t="str">
        <f>_xlfn.CONCAT($AP$1,D47)</f>
        <v>c.275C&gt;T</v>
      </c>
    </row>
    <row r="48" spans="1:41" ht="15" customHeight="1" x14ac:dyDescent="0.2">
      <c r="A48" s="10">
        <v>29</v>
      </c>
      <c r="B48" s="10" t="s">
        <v>39</v>
      </c>
      <c r="C48" s="10" t="s">
        <v>376</v>
      </c>
      <c r="D48" s="10" t="s">
        <v>377</v>
      </c>
      <c r="E48" s="10" t="s">
        <v>378</v>
      </c>
      <c r="F48" s="10" t="s">
        <v>379</v>
      </c>
      <c r="G48" s="10" t="s">
        <v>380</v>
      </c>
      <c r="H48" s="10" t="s">
        <v>381</v>
      </c>
      <c r="I48" s="10" t="s">
        <v>382</v>
      </c>
      <c r="J48" s="10">
        <v>29</v>
      </c>
      <c r="K48" s="10" t="s">
        <v>380</v>
      </c>
      <c r="L48" s="10">
        <v>281</v>
      </c>
      <c r="M48" s="10">
        <v>1</v>
      </c>
      <c r="N48" s="10">
        <v>94</v>
      </c>
      <c r="O48" s="11" t="str">
        <f>HYPERLINK(AL48,"link")</f>
        <v>link</v>
      </c>
      <c r="P48" s="10" t="s">
        <v>383</v>
      </c>
      <c r="Q48" s="12">
        <v>6</v>
      </c>
      <c r="R48" s="10" t="s">
        <v>363</v>
      </c>
      <c r="S48" t="s">
        <v>50</v>
      </c>
      <c r="T48" s="10" t="s">
        <v>51</v>
      </c>
      <c r="U48" s="13">
        <v>95.47892720306514</v>
      </c>
      <c r="V48" s="14" t="s">
        <v>56</v>
      </c>
      <c r="W48" s="15">
        <v>1.9218846934315228</v>
      </c>
      <c r="X48" s="16" t="s">
        <v>384</v>
      </c>
      <c r="Y48" t="s">
        <v>158</v>
      </c>
      <c r="AA48" t="s">
        <v>159</v>
      </c>
      <c r="AC48" s="20"/>
      <c r="AD48" s="12"/>
      <c r="AE48" s="12" t="s">
        <v>56</v>
      </c>
      <c r="AF48" s="19" t="s">
        <v>56</v>
      </c>
      <c r="AG48" s="12" t="s">
        <v>329</v>
      </c>
      <c r="AH48" s="12" t="s">
        <v>319</v>
      </c>
      <c r="AI48" s="12" t="s">
        <v>147</v>
      </c>
      <c r="AJ48" s="12" t="s">
        <v>56</v>
      </c>
      <c r="AK48" s="12" t="s">
        <v>56</v>
      </c>
      <c r="AL48" s="12" t="s">
        <v>385</v>
      </c>
      <c r="AM48" s="10">
        <v>5.4340000000000002</v>
      </c>
      <c r="AN48" s="10" t="s">
        <v>56</v>
      </c>
      <c r="AO48" t="str">
        <f>_xlfn.CONCAT($AP$1,D48)</f>
        <v>c.281C&gt;T</v>
      </c>
    </row>
    <row r="49" spans="1:41" ht="15" customHeight="1" x14ac:dyDescent="0.2">
      <c r="A49" s="10">
        <v>136</v>
      </c>
      <c r="B49" s="10" t="s">
        <v>1431</v>
      </c>
      <c r="C49" s="10" t="s">
        <v>1432</v>
      </c>
      <c r="D49" s="10" t="s">
        <v>1433</v>
      </c>
      <c r="E49" s="10" t="s">
        <v>1434</v>
      </c>
      <c r="F49" s="10" t="s">
        <v>1435</v>
      </c>
      <c r="G49" s="10" t="s">
        <v>1436</v>
      </c>
      <c r="H49" s="10" t="s">
        <v>1437</v>
      </c>
      <c r="I49" s="10" t="s">
        <v>1437</v>
      </c>
      <c r="J49" s="10">
        <v>136</v>
      </c>
      <c r="K49" s="10" t="s">
        <v>1436</v>
      </c>
      <c r="L49" s="10">
        <v>281</v>
      </c>
      <c r="M49" s="10">
        <v>1</v>
      </c>
      <c r="N49" s="10">
        <v>94</v>
      </c>
      <c r="O49" s="11" t="str">
        <f>HYPERLINK(AL49,"link")</f>
        <v>link</v>
      </c>
      <c r="P49" s="10" t="s">
        <v>1438</v>
      </c>
      <c r="Q49" s="12">
        <v>6</v>
      </c>
      <c r="R49" s="10" t="s">
        <v>363</v>
      </c>
      <c r="T49" s="10" t="e">
        <v>#N/A</v>
      </c>
      <c r="U49" s="13">
        <v>93.970714900947456</v>
      </c>
      <c r="V49" s="14" t="s">
        <v>56</v>
      </c>
      <c r="W49" s="15">
        <v>5.5616714292911746</v>
      </c>
      <c r="X49" s="16" t="s">
        <v>1439</v>
      </c>
      <c r="Y49" t="s">
        <v>214</v>
      </c>
      <c r="AA49" t="s">
        <v>159</v>
      </c>
      <c r="AC49" s="20"/>
      <c r="AD49" s="12"/>
      <c r="AE49" s="12" t="s">
        <v>56</v>
      </c>
      <c r="AF49" s="19" t="s">
        <v>56</v>
      </c>
      <c r="AG49" s="12" t="s">
        <v>329</v>
      </c>
      <c r="AH49" s="12" t="s">
        <v>319</v>
      </c>
      <c r="AI49" s="12" t="s">
        <v>147</v>
      </c>
      <c r="AJ49" s="12" t="s">
        <v>56</v>
      </c>
      <c r="AK49" s="12" t="s">
        <v>56</v>
      </c>
      <c r="AL49" s="12" t="s">
        <v>1440</v>
      </c>
      <c r="AM49" s="10">
        <v>0.56499999999999995</v>
      </c>
      <c r="AN49" s="10" t="s">
        <v>56</v>
      </c>
      <c r="AO49" t="str">
        <f>_xlfn.CONCAT($AP$1,D49)</f>
        <v>c.281C&gt;G</v>
      </c>
    </row>
    <row r="50" spans="1:41" ht="15" customHeight="1" x14ac:dyDescent="0.2">
      <c r="A50" s="10">
        <v>179</v>
      </c>
      <c r="B50" s="10" t="s">
        <v>39</v>
      </c>
      <c r="C50" s="10" t="s">
        <v>1754</v>
      </c>
      <c r="D50" s="10" t="s">
        <v>1755</v>
      </c>
      <c r="E50" s="10" t="s">
        <v>1756</v>
      </c>
      <c r="F50" s="10" t="s">
        <v>1757</v>
      </c>
      <c r="G50" s="10" t="s">
        <v>1758</v>
      </c>
      <c r="H50" s="10" t="s">
        <v>1759</v>
      </c>
      <c r="I50" s="10"/>
      <c r="J50" s="10">
        <v>179</v>
      </c>
      <c r="K50" s="10" t="s">
        <v>1758</v>
      </c>
      <c r="L50" s="10">
        <v>290</v>
      </c>
      <c r="M50" s="10">
        <v>1</v>
      </c>
      <c r="N50" s="10">
        <v>97</v>
      </c>
      <c r="O50" s="11" t="str">
        <f>HYPERLINK(AL50,"link")</f>
        <v>link</v>
      </c>
      <c r="P50" s="10" t="s">
        <v>269</v>
      </c>
      <c r="Q50" s="12" t="s">
        <v>270</v>
      </c>
      <c r="R50" s="10" t="s">
        <v>49</v>
      </c>
      <c r="S50" t="s">
        <v>50</v>
      </c>
      <c r="T50" s="10" t="s">
        <v>51</v>
      </c>
      <c r="U50" s="13">
        <v>65.074626865671647</v>
      </c>
      <c r="V50" s="14" t="s">
        <v>56</v>
      </c>
      <c r="W50" s="15">
        <v>2.0280015506670859</v>
      </c>
      <c r="X50" s="16" t="s">
        <v>1760</v>
      </c>
      <c r="Y50" t="s">
        <v>53</v>
      </c>
      <c r="AA50" t="s">
        <v>54</v>
      </c>
      <c r="AC50" s="20"/>
      <c r="AD50" s="12"/>
      <c r="AE50" s="12" t="s">
        <v>56</v>
      </c>
      <c r="AF50" s="19" t="s">
        <v>56</v>
      </c>
      <c r="AG50" s="12" t="s">
        <v>318</v>
      </c>
      <c r="AH50" s="12" t="s">
        <v>319</v>
      </c>
      <c r="AI50" s="12" t="s">
        <v>56</v>
      </c>
      <c r="AJ50" s="12" t="s">
        <v>56</v>
      </c>
      <c r="AK50" s="12" t="s">
        <v>56</v>
      </c>
      <c r="AL50" s="12" t="s">
        <v>1640</v>
      </c>
      <c r="AM50" s="10" t="s">
        <v>56</v>
      </c>
      <c r="AN50" s="10" t="s">
        <v>56</v>
      </c>
      <c r="AO50" t="str">
        <f>_xlfn.CONCAT($AP$1,D50)</f>
        <v>c.290C&gt;T</v>
      </c>
    </row>
    <row r="51" spans="1:41" ht="15" customHeight="1" x14ac:dyDescent="0.2">
      <c r="A51" s="10">
        <v>178</v>
      </c>
      <c r="B51" s="10" t="s">
        <v>39</v>
      </c>
      <c r="C51" s="10" t="s">
        <v>1746</v>
      </c>
      <c r="D51" s="10" t="s">
        <v>1747</v>
      </c>
      <c r="E51" s="10" t="s">
        <v>1748</v>
      </c>
      <c r="F51" s="10" t="s">
        <v>1749</v>
      </c>
      <c r="G51" s="10" t="s">
        <v>1750</v>
      </c>
      <c r="H51" s="10" t="s">
        <v>1751</v>
      </c>
      <c r="I51" s="10"/>
      <c r="J51" s="10">
        <v>178</v>
      </c>
      <c r="K51" s="10" t="s">
        <v>1750</v>
      </c>
      <c r="L51" s="10">
        <v>302</v>
      </c>
      <c r="M51" s="10">
        <v>1</v>
      </c>
      <c r="N51" s="10">
        <v>101</v>
      </c>
      <c r="O51" s="11" t="str">
        <f>HYPERLINK(AL51,"link")</f>
        <v>link</v>
      </c>
      <c r="P51" s="10" t="s">
        <v>270</v>
      </c>
      <c r="Q51" s="12" t="s">
        <v>270</v>
      </c>
      <c r="R51" s="10" t="s">
        <v>235</v>
      </c>
      <c r="S51" t="s">
        <v>50</v>
      </c>
      <c r="T51" s="10" t="s">
        <v>51</v>
      </c>
      <c r="U51" s="13">
        <v>74.734775514257095</v>
      </c>
      <c r="V51" s="14">
        <v>5.3261743462440982</v>
      </c>
      <c r="W51" s="15">
        <v>0.57420048834375126</v>
      </c>
      <c r="X51" s="16" t="s">
        <v>1752</v>
      </c>
      <c r="Y51" t="s">
        <v>53</v>
      </c>
      <c r="AA51" t="s">
        <v>1753</v>
      </c>
      <c r="AB51" s="17" t="s">
        <v>902</v>
      </c>
      <c r="AC51" s="20"/>
      <c r="AD51" s="12"/>
      <c r="AE51" s="12" t="s">
        <v>56</v>
      </c>
      <c r="AF51" s="19" t="s">
        <v>56</v>
      </c>
      <c r="AG51" s="12" t="s">
        <v>395</v>
      </c>
      <c r="AH51" s="12" t="s">
        <v>396</v>
      </c>
      <c r="AI51" s="12" t="s">
        <v>56</v>
      </c>
      <c r="AJ51" s="12" t="s">
        <v>56</v>
      </c>
      <c r="AK51" s="12" t="s">
        <v>56</v>
      </c>
      <c r="AL51" s="12" t="s">
        <v>1730</v>
      </c>
      <c r="AM51" s="10" t="s">
        <v>56</v>
      </c>
      <c r="AN51" s="10" t="s">
        <v>56</v>
      </c>
      <c r="AO51" t="str">
        <f>_xlfn.CONCAT($AP$1,D51)</f>
        <v>c.302G&gt;A</v>
      </c>
    </row>
    <row r="52" spans="1:41" ht="15" customHeight="1" x14ac:dyDescent="0.2">
      <c r="A52" s="10">
        <v>197</v>
      </c>
      <c r="B52" s="10" t="s">
        <v>1610</v>
      </c>
      <c r="C52" s="10" t="s">
        <v>1877</v>
      </c>
      <c r="D52" s="10" t="s">
        <v>1878</v>
      </c>
      <c r="E52" s="10" t="s">
        <v>1879</v>
      </c>
      <c r="F52" s="10" t="s">
        <v>1880</v>
      </c>
      <c r="G52" s="10" t="s">
        <v>1881</v>
      </c>
      <c r="H52" s="10"/>
      <c r="I52" s="10" t="s">
        <v>1877</v>
      </c>
      <c r="J52" s="10">
        <v>197</v>
      </c>
      <c r="K52" s="10" t="s">
        <v>1881</v>
      </c>
      <c r="L52" s="10">
        <v>302</v>
      </c>
      <c r="M52" s="10">
        <v>1</v>
      </c>
      <c r="N52" s="10">
        <v>101</v>
      </c>
      <c r="O52" s="11"/>
      <c r="P52" s="10" t="s">
        <v>1616</v>
      </c>
      <c r="Q52" s="12" t="s">
        <v>1616</v>
      </c>
      <c r="R52" s="10" t="s">
        <v>1214</v>
      </c>
      <c r="T52" s="10" t="e">
        <v>#N/A</v>
      </c>
      <c r="U52" s="13">
        <v>63.544611851233824</v>
      </c>
      <c r="V52" s="14">
        <v>2.429947877341875</v>
      </c>
      <c r="W52" s="15">
        <v>0.47635702600964586</v>
      </c>
      <c r="X52" s="16" t="s">
        <v>1882</v>
      </c>
      <c r="Y52" t="s">
        <v>53</v>
      </c>
      <c r="Z52" t="s">
        <v>1618</v>
      </c>
      <c r="AA52" t="s">
        <v>1619</v>
      </c>
      <c r="AB52" s="17" t="s">
        <v>902</v>
      </c>
      <c r="AC52" s="20"/>
      <c r="AD52" s="12"/>
      <c r="AE52" s="12" t="s">
        <v>56</v>
      </c>
      <c r="AF52" s="19" t="s">
        <v>56</v>
      </c>
      <c r="AG52" s="12" t="s">
        <v>395</v>
      </c>
      <c r="AH52" s="12" t="s">
        <v>396</v>
      </c>
      <c r="AI52" s="12" t="s">
        <v>56</v>
      </c>
      <c r="AJ52" s="12" t="s">
        <v>56</v>
      </c>
      <c r="AK52" s="12" t="s">
        <v>56</v>
      </c>
      <c r="AL52" s="12" t="e">
        <v>#N/A</v>
      </c>
      <c r="AM52" s="10" t="s">
        <v>56</v>
      </c>
      <c r="AN52" s="10" t="s">
        <v>56</v>
      </c>
      <c r="AO52" t="str">
        <f>_xlfn.CONCAT($AP$1,D52)</f>
        <v>c.302G&gt;T</v>
      </c>
    </row>
    <row r="53" spans="1:41" ht="15" customHeight="1" x14ac:dyDescent="0.2">
      <c r="A53" s="10">
        <v>30</v>
      </c>
      <c r="B53" s="10" t="s">
        <v>39</v>
      </c>
      <c r="C53" s="10" t="s">
        <v>386</v>
      </c>
      <c r="D53" s="10" t="s">
        <v>387</v>
      </c>
      <c r="E53" s="10" t="s">
        <v>388</v>
      </c>
      <c r="F53" s="10" t="s">
        <v>389</v>
      </c>
      <c r="G53" s="10" t="s">
        <v>390</v>
      </c>
      <c r="H53" s="10" t="s">
        <v>391</v>
      </c>
      <c r="I53" s="10" t="s">
        <v>392</v>
      </c>
      <c r="J53" s="10">
        <v>30</v>
      </c>
      <c r="K53" s="10" t="s">
        <v>390</v>
      </c>
      <c r="L53" s="10">
        <v>310</v>
      </c>
      <c r="M53" s="10">
        <v>1</v>
      </c>
      <c r="N53" s="10">
        <v>104</v>
      </c>
      <c r="O53" s="11" t="str">
        <f>HYPERLINK(AL53,"link")</f>
        <v>link</v>
      </c>
      <c r="P53" s="10" t="s">
        <v>269</v>
      </c>
      <c r="Q53" s="12" t="s">
        <v>270</v>
      </c>
      <c r="R53" s="10" t="s">
        <v>49</v>
      </c>
      <c r="S53" t="s">
        <v>50</v>
      </c>
      <c r="T53" s="10" t="s">
        <v>51</v>
      </c>
      <c r="U53" s="13">
        <v>95.624603677869374</v>
      </c>
      <c r="V53" s="14" t="s">
        <v>56</v>
      </c>
      <c r="W53" s="15">
        <v>3.6789567106979426</v>
      </c>
      <c r="X53" s="16" t="s">
        <v>393</v>
      </c>
      <c r="Y53" t="s">
        <v>214</v>
      </c>
      <c r="AA53" t="s">
        <v>159</v>
      </c>
      <c r="AC53" s="20"/>
      <c r="AD53" s="12"/>
      <c r="AE53" s="12" t="s">
        <v>394</v>
      </c>
      <c r="AF53" s="19" t="s">
        <v>56</v>
      </c>
      <c r="AG53" s="12" t="s">
        <v>395</v>
      </c>
      <c r="AH53" s="12" t="s">
        <v>396</v>
      </c>
      <c r="AI53" s="12" t="s">
        <v>56</v>
      </c>
      <c r="AJ53" s="12" t="s">
        <v>56</v>
      </c>
      <c r="AK53" s="12" t="s">
        <v>56</v>
      </c>
      <c r="AL53" s="12" t="s">
        <v>397</v>
      </c>
      <c r="AM53" s="10" t="s">
        <v>56</v>
      </c>
      <c r="AN53" s="10" t="s">
        <v>56</v>
      </c>
      <c r="AO53" t="str">
        <f>_xlfn.CONCAT($AP$1,D53)</f>
        <v>c.310G&gt;T</v>
      </c>
    </row>
    <row r="54" spans="1:41" ht="15" customHeight="1" x14ac:dyDescent="0.2">
      <c r="A54" s="10">
        <v>137</v>
      </c>
      <c r="B54" s="10" t="s">
        <v>1431</v>
      </c>
      <c r="C54" s="10" t="s">
        <v>1441</v>
      </c>
      <c r="D54" s="10" t="s">
        <v>1442</v>
      </c>
      <c r="E54" s="10" t="s">
        <v>1443</v>
      </c>
      <c r="F54" s="10" t="s">
        <v>1444</v>
      </c>
      <c r="G54" s="10" t="s">
        <v>1445</v>
      </c>
      <c r="H54" s="10" t="s">
        <v>1446</v>
      </c>
      <c r="I54" s="10" t="s">
        <v>1446</v>
      </c>
      <c r="J54" s="10">
        <v>137</v>
      </c>
      <c r="K54" s="10" t="s">
        <v>1445</v>
      </c>
      <c r="L54" s="10">
        <v>310</v>
      </c>
      <c r="M54" s="10">
        <v>1</v>
      </c>
      <c r="N54" s="10">
        <v>104</v>
      </c>
      <c r="O54" s="11" t="str">
        <f>HYPERLINK(AL54,"link")</f>
        <v>link</v>
      </c>
      <c r="P54" s="10" t="s">
        <v>1447</v>
      </c>
      <c r="Q54" s="12" t="s">
        <v>212</v>
      </c>
      <c r="R54" s="10" t="s">
        <v>171</v>
      </c>
      <c r="S54" t="s">
        <v>172</v>
      </c>
      <c r="T54" s="10" t="s">
        <v>173</v>
      </c>
      <c r="U54" s="13">
        <v>93.974883624555559</v>
      </c>
      <c r="V54" s="14">
        <v>0.54215025934501027</v>
      </c>
      <c r="W54" s="15">
        <v>4.1805285893625195</v>
      </c>
      <c r="X54" s="16" t="s">
        <v>1448</v>
      </c>
      <c r="Y54" t="s">
        <v>214</v>
      </c>
      <c r="AA54" t="s">
        <v>159</v>
      </c>
      <c r="AC54" s="20" t="s">
        <v>1449</v>
      </c>
      <c r="AD54" s="12" t="s">
        <v>1450</v>
      </c>
      <c r="AE54" s="12" t="s">
        <v>394</v>
      </c>
      <c r="AF54" s="19" t="s">
        <v>176</v>
      </c>
      <c r="AG54" s="12" t="s">
        <v>406</v>
      </c>
      <c r="AH54" s="12" t="s">
        <v>396</v>
      </c>
      <c r="AI54" s="12" t="s">
        <v>59</v>
      </c>
      <c r="AJ54" s="12" t="s">
        <v>56</v>
      </c>
      <c r="AK54" s="12" t="s">
        <v>56</v>
      </c>
      <c r="AL54" s="12" t="s">
        <v>1451</v>
      </c>
      <c r="AM54" s="10">
        <v>-0.10599999999999998</v>
      </c>
      <c r="AN54" s="10" t="s">
        <v>56</v>
      </c>
      <c r="AO54" t="str">
        <f>_xlfn.CONCAT($AP$1,D54)</f>
        <v>c.310G&gt;A</v>
      </c>
    </row>
    <row r="55" spans="1:41" ht="15" customHeight="1" x14ac:dyDescent="0.2">
      <c r="A55" s="10">
        <v>177</v>
      </c>
      <c r="B55" s="10" t="s">
        <v>39</v>
      </c>
      <c r="C55" s="10" t="s">
        <v>1441</v>
      </c>
      <c r="D55" s="10" t="s">
        <v>1442</v>
      </c>
      <c r="E55" s="10" t="s">
        <v>1443</v>
      </c>
      <c r="F55" s="10" t="s">
        <v>1444</v>
      </c>
      <c r="G55" s="10" t="s">
        <v>1445</v>
      </c>
      <c r="H55" s="10" t="s">
        <v>1446</v>
      </c>
      <c r="I55" s="10" t="s">
        <v>1744</v>
      </c>
      <c r="J55" s="10">
        <v>177</v>
      </c>
      <c r="K55" s="10" t="s">
        <v>1445</v>
      </c>
      <c r="L55" s="10">
        <v>310</v>
      </c>
      <c r="M55" s="10">
        <v>1</v>
      </c>
      <c r="N55" s="10">
        <v>104</v>
      </c>
      <c r="O55" s="11" t="str">
        <f>HYPERLINK(AL55,"link")</f>
        <v>link</v>
      </c>
      <c r="P55" s="10" t="s">
        <v>1447</v>
      </c>
      <c r="Q55" s="12" t="s">
        <v>212</v>
      </c>
      <c r="R55" s="10" t="s">
        <v>294</v>
      </c>
      <c r="S55" t="s">
        <v>172</v>
      </c>
      <c r="T55" s="10" t="s">
        <v>173</v>
      </c>
      <c r="U55" s="13">
        <v>93.877291578489505</v>
      </c>
      <c r="V55" s="14">
        <v>0.65410656976602755</v>
      </c>
      <c r="W55" s="15">
        <v>4.1805285893625195</v>
      </c>
      <c r="X55" s="16" t="s">
        <v>1448</v>
      </c>
      <c r="Y55" t="s">
        <v>214</v>
      </c>
      <c r="AA55" t="s">
        <v>159</v>
      </c>
      <c r="AC55" s="20" t="s">
        <v>1745</v>
      </c>
      <c r="AD55" s="12" t="s">
        <v>1450</v>
      </c>
      <c r="AE55" s="12" t="s">
        <v>394</v>
      </c>
      <c r="AF55" s="19" t="s">
        <v>176</v>
      </c>
      <c r="AG55" s="12" t="s">
        <v>406</v>
      </c>
      <c r="AH55" s="12" t="s">
        <v>396</v>
      </c>
      <c r="AI55" s="12" t="s">
        <v>59</v>
      </c>
      <c r="AJ55" s="12" t="s">
        <v>56</v>
      </c>
      <c r="AK55" s="12" t="s">
        <v>56</v>
      </c>
      <c r="AL55" s="12" t="s">
        <v>1451</v>
      </c>
      <c r="AM55" s="10">
        <v>-0.10599999999999998</v>
      </c>
      <c r="AN55" s="10" t="s">
        <v>56</v>
      </c>
      <c r="AO55" t="str">
        <f>_xlfn.CONCAT($AP$1,D55)</f>
        <v>c.310G&gt;A</v>
      </c>
    </row>
    <row r="56" spans="1:41" ht="15" customHeight="1" x14ac:dyDescent="0.2">
      <c r="A56" s="10">
        <v>31</v>
      </c>
      <c r="B56" s="10" t="s">
        <v>39</v>
      </c>
      <c r="C56" s="10" t="s">
        <v>398</v>
      </c>
      <c r="D56" s="10" t="s">
        <v>399</v>
      </c>
      <c r="E56" s="10" t="s">
        <v>400</v>
      </c>
      <c r="F56" s="10" t="s">
        <v>401</v>
      </c>
      <c r="G56" s="10" t="s">
        <v>402</v>
      </c>
      <c r="H56" s="10" t="s">
        <v>403</v>
      </c>
      <c r="I56" s="10" t="s">
        <v>404</v>
      </c>
      <c r="J56" s="10">
        <v>31</v>
      </c>
      <c r="K56" s="10" t="s">
        <v>402</v>
      </c>
      <c r="L56" s="10">
        <v>316</v>
      </c>
      <c r="M56" s="10">
        <v>1</v>
      </c>
      <c r="N56" s="10">
        <v>106</v>
      </c>
      <c r="O56" s="11" t="str">
        <f>HYPERLINK(AL56,"link")</f>
        <v>link</v>
      </c>
      <c r="P56" s="10" t="s">
        <v>105</v>
      </c>
      <c r="Q56" s="12">
        <v>2</v>
      </c>
      <c r="R56" s="10" t="s">
        <v>49</v>
      </c>
      <c r="S56" t="s">
        <v>50</v>
      </c>
      <c r="T56" s="10" t="s">
        <v>51</v>
      </c>
      <c r="U56" s="13">
        <v>35.420762922530464</v>
      </c>
      <c r="V56" s="14">
        <v>3.2804882807744757</v>
      </c>
      <c r="W56" s="15">
        <v>0.32417585021975986</v>
      </c>
      <c r="X56" s="16" t="s">
        <v>405</v>
      </c>
      <c r="Y56" t="s">
        <v>72</v>
      </c>
      <c r="AA56" t="s">
        <v>54</v>
      </c>
      <c r="AC56" s="20"/>
      <c r="AD56" s="12"/>
      <c r="AE56" s="12" t="s">
        <v>56</v>
      </c>
      <c r="AF56" s="19" t="s">
        <v>56</v>
      </c>
      <c r="AG56" s="12" t="s">
        <v>406</v>
      </c>
      <c r="AH56" s="12" t="s">
        <v>396</v>
      </c>
      <c r="AI56" s="12" t="s">
        <v>59</v>
      </c>
      <c r="AJ56" s="12" t="s">
        <v>56</v>
      </c>
      <c r="AK56" s="12" t="s">
        <v>56</v>
      </c>
      <c r="AL56" s="12" t="s">
        <v>407</v>
      </c>
      <c r="AM56" s="10">
        <v>1.778</v>
      </c>
      <c r="AN56" s="10">
        <v>71.2</v>
      </c>
      <c r="AO56" t="str">
        <f>_xlfn.CONCAT($AP$1,D56)</f>
        <v>c.316G&gt;A</v>
      </c>
    </row>
    <row r="57" spans="1:41" ht="15" customHeight="1" x14ac:dyDescent="0.2">
      <c r="A57" s="10">
        <v>32</v>
      </c>
      <c r="B57" s="10" t="s">
        <v>39</v>
      </c>
      <c r="C57" s="10" t="s">
        <v>408</v>
      </c>
      <c r="D57" s="10" t="s">
        <v>409</v>
      </c>
      <c r="E57" s="10" t="s">
        <v>410</v>
      </c>
      <c r="F57" s="10" t="s">
        <v>411</v>
      </c>
      <c r="G57" s="10" t="s">
        <v>412</v>
      </c>
      <c r="H57" s="10" t="s">
        <v>413</v>
      </c>
      <c r="I57" s="10" t="s">
        <v>414</v>
      </c>
      <c r="J57" s="10">
        <v>32</v>
      </c>
      <c r="K57" s="10" t="s">
        <v>412</v>
      </c>
      <c r="L57" s="10">
        <v>316</v>
      </c>
      <c r="M57" s="10">
        <v>1</v>
      </c>
      <c r="N57" s="10">
        <v>106</v>
      </c>
      <c r="O57" s="11" t="str">
        <f>HYPERLINK(AL57,"link")</f>
        <v>link</v>
      </c>
      <c r="P57" s="10" t="s">
        <v>105</v>
      </c>
      <c r="Q57" s="12">
        <v>2</v>
      </c>
      <c r="R57" s="10" t="s">
        <v>49</v>
      </c>
      <c r="S57" t="s">
        <v>50</v>
      </c>
      <c r="T57" s="10" t="s">
        <v>51</v>
      </c>
      <c r="U57" s="13">
        <v>15.793918918918919</v>
      </c>
      <c r="V57" s="14" t="s">
        <v>56</v>
      </c>
      <c r="W57" s="15">
        <v>0.27235030471328042</v>
      </c>
      <c r="X57" s="16" t="s">
        <v>415</v>
      </c>
      <c r="Y57" t="s">
        <v>72</v>
      </c>
      <c r="AA57" t="s">
        <v>54</v>
      </c>
      <c r="AC57" s="20"/>
      <c r="AD57" s="12"/>
      <c r="AE57" s="12" t="s">
        <v>56</v>
      </c>
      <c r="AF57" s="19" t="s">
        <v>56</v>
      </c>
      <c r="AG57" s="12" t="s">
        <v>406</v>
      </c>
      <c r="AH57" s="12" t="s">
        <v>396</v>
      </c>
      <c r="AI57" s="12" t="s">
        <v>59</v>
      </c>
      <c r="AJ57" s="12" t="s">
        <v>56</v>
      </c>
      <c r="AK57" s="12" t="s">
        <v>56</v>
      </c>
      <c r="AL57" s="12" t="s">
        <v>330</v>
      </c>
      <c r="AM57" s="10">
        <v>2.73</v>
      </c>
      <c r="AN57" s="10" t="s">
        <v>56</v>
      </c>
      <c r="AO57" t="str">
        <f>_xlfn.CONCAT($AP$1,D57)</f>
        <v>c.316G&gt;T</v>
      </c>
    </row>
    <row r="58" spans="1:41" ht="15" customHeight="1" x14ac:dyDescent="0.2">
      <c r="A58" s="10">
        <v>33</v>
      </c>
      <c r="B58" s="10" t="s">
        <v>39</v>
      </c>
      <c r="C58" s="10" t="s">
        <v>416</v>
      </c>
      <c r="D58" s="10" t="s">
        <v>417</v>
      </c>
      <c r="E58" s="10" t="s">
        <v>418</v>
      </c>
      <c r="F58" s="10" t="s">
        <v>419</v>
      </c>
      <c r="G58" s="10" t="s">
        <v>420</v>
      </c>
      <c r="H58" s="10" t="s">
        <v>421</v>
      </c>
      <c r="I58" s="10" t="s">
        <v>422</v>
      </c>
      <c r="J58" s="10">
        <v>33</v>
      </c>
      <c r="K58" s="10" t="s">
        <v>420</v>
      </c>
      <c r="L58" s="10">
        <v>325</v>
      </c>
      <c r="M58" s="10">
        <v>1</v>
      </c>
      <c r="N58" s="10">
        <v>109</v>
      </c>
      <c r="O58" s="11" t="str">
        <f>HYPERLINK(AL58,"link")</f>
        <v>link</v>
      </c>
      <c r="P58" s="10" t="s">
        <v>143</v>
      </c>
      <c r="Q58" s="12">
        <v>2</v>
      </c>
      <c r="R58" s="10" t="s">
        <v>49</v>
      </c>
      <c r="S58" t="s">
        <v>50</v>
      </c>
      <c r="T58" s="10" t="s">
        <v>51</v>
      </c>
      <c r="U58" s="13">
        <v>76.881233000906619</v>
      </c>
      <c r="V58" s="14" t="s">
        <v>56</v>
      </c>
      <c r="W58" s="15">
        <v>1.026654396917418</v>
      </c>
      <c r="X58" s="16" t="s">
        <v>423</v>
      </c>
      <c r="Y58" t="s">
        <v>53</v>
      </c>
      <c r="Z58" s="22" t="s">
        <v>424</v>
      </c>
      <c r="AA58" t="s">
        <v>200</v>
      </c>
      <c r="AB58" s="17" t="s">
        <v>425</v>
      </c>
      <c r="AC58" s="20"/>
      <c r="AD58" s="12" t="s">
        <v>426</v>
      </c>
      <c r="AE58" s="12" t="s">
        <v>56</v>
      </c>
      <c r="AF58" s="19" t="s">
        <v>56</v>
      </c>
      <c r="AG58" s="12" t="s">
        <v>427</v>
      </c>
      <c r="AH58" s="12" t="s">
        <v>428</v>
      </c>
      <c r="AI58" s="12" t="s">
        <v>59</v>
      </c>
      <c r="AJ58" s="12" t="s">
        <v>56</v>
      </c>
      <c r="AK58" s="12" t="s">
        <v>56</v>
      </c>
      <c r="AL58" s="12" t="s">
        <v>429</v>
      </c>
      <c r="AM58" s="10">
        <v>11.394</v>
      </c>
      <c r="AN58" s="10" t="s">
        <v>56</v>
      </c>
      <c r="AO58" t="str">
        <f>_xlfn.CONCAT($AP$1,D58)</f>
        <v>c.325G&gt;A</v>
      </c>
    </row>
    <row r="59" spans="1:41" ht="15" customHeight="1" x14ac:dyDescent="0.2">
      <c r="A59" s="10">
        <v>34</v>
      </c>
      <c r="B59" s="10" t="s">
        <v>39</v>
      </c>
      <c r="C59" s="10" t="s">
        <v>430</v>
      </c>
      <c r="D59" s="10" t="s">
        <v>431</v>
      </c>
      <c r="E59" s="10" t="s">
        <v>432</v>
      </c>
      <c r="F59" s="10" t="s">
        <v>433</v>
      </c>
      <c r="G59" s="10" t="s">
        <v>434</v>
      </c>
      <c r="H59" s="10" t="s">
        <v>435</v>
      </c>
      <c r="I59" s="10" t="s">
        <v>436</v>
      </c>
      <c r="J59" s="10">
        <v>34</v>
      </c>
      <c r="K59" s="10" t="s">
        <v>434</v>
      </c>
      <c r="L59" s="10">
        <v>328</v>
      </c>
      <c r="M59" s="10">
        <v>1</v>
      </c>
      <c r="N59" s="10">
        <v>110</v>
      </c>
      <c r="O59" s="11" t="str">
        <f>HYPERLINK(AL59,"link")</f>
        <v>link</v>
      </c>
      <c r="P59" s="10" t="s">
        <v>105</v>
      </c>
      <c r="Q59" s="12">
        <v>2</v>
      </c>
      <c r="R59" s="10" t="s">
        <v>49</v>
      </c>
      <c r="S59" t="s">
        <v>50</v>
      </c>
      <c r="T59" s="10" t="s">
        <v>51</v>
      </c>
      <c r="U59" s="13">
        <v>13.90728476821192</v>
      </c>
      <c r="V59" s="14" t="s">
        <v>56</v>
      </c>
      <c r="W59" s="15">
        <v>0.31628887122601268</v>
      </c>
      <c r="X59" s="16" t="s">
        <v>437</v>
      </c>
      <c r="Y59" t="s">
        <v>72</v>
      </c>
      <c r="AA59" t="s">
        <v>54</v>
      </c>
      <c r="AC59" s="20"/>
      <c r="AD59" s="12"/>
      <c r="AE59" s="12" t="s">
        <v>56</v>
      </c>
      <c r="AF59" s="19" t="s">
        <v>56</v>
      </c>
      <c r="AG59" s="12" t="s">
        <v>438</v>
      </c>
      <c r="AH59" s="12" t="s">
        <v>428</v>
      </c>
      <c r="AI59" s="12" t="s">
        <v>147</v>
      </c>
      <c r="AJ59" s="12" t="s">
        <v>439</v>
      </c>
      <c r="AK59" s="12" t="s">
        <v>56</v>
      </c>
      <c r="AL59" s="12" t="s">
        <v>440</v>
      </c>
      <c r="AM59" s="10">
        <v>11.318</v>
      </c>
      <c r="AN59" s="10" t="s">
        <v>56</v>
      </c>
      <c r="AO59" t="str">
        <f>_xlfn.CONCAT($AP$1,D59)</f>
        <v>c.328T&gt;C</v>
      </c>
    </row>
    <row r="60" spans="1:41" ht="15" customHeight="1" x14ac:dyDescent="0.2">
      <c r="A60" s="10">
        <v>35</v>
      </c>
      <c r="B60" s="10" t="s">
        <v>39</v>
      </c>
      <c r="C60" s="10" t="s">
        <v>441</v>
      </c>
      <c r="D60" s="10" t="s">
        <v>442</v>
      </c>
      <c r="E60" s="10" t="s">
        <v>443</v>
      </c>
      <c r="F60" s="10" t="s">
        <v>444</v>
      </c>
      <c r="G60" s="10" t="s">
        <v>445</v>
      </c>
      <c r="H60" s="10" t="s">
        <v>446</v>
      </c>
      <c r="I60" s="10" t="s">
        <v>447</v>
      </c>
      <c r="J60" s="10">
        <v>35</v>
      </c>
      <c r="K60" s="10" t="s">
        <v>445</v>
      </c>
      <c r="L60" s="10">
        <v>329</v>
      </c>
      <c r="M60" s="10">
        <v>1</v>
      </c>
      <c r="N60" s="10">
        <v>110</v>
      </c>
      <c r="O60" s="11" t="str">
        <f>HYPERLINK(AL60,"link")</f>
        <v>link</v>
      </c>
      <c r="P60" s="10" t="s">
        <v>105</v>
      </c>
      <c r="Q60" s="12">
        <v>2</v>
      </c>
      <c r="R60" s="10" t="s">
        <v>49</v>
      </c>
      <c r="S60" t="s">
        <v>50</v>
      </c>
      <c r="T60" s="10" t="s">
        <v>51</v>
      </c>
      <c r="U60" s="13">
        <v>10.453808752025932</v>
      </c>
      <c r="V60" s="14" t="s">
        <v>56</v>
      </c>
      <c r="W60" s="15">
        <v>0.18276117689722915</v>
      </c>
      <c r="X60" s="16" t="s">
        <v>448</v>
      </c>
      <c r="Y60" t="s">
        <v>72</v>
      </c>
      <c r="AA60" t="s">
        <v>54</v>
      </c>
      <c r="AC60" s="20"/>
      <c r="AD60" s="12"/>
      <c r="AE60" s="12" t="s">
        <v>56</v>
      </c>
      <c r="AF60" s="19" t="s">
        <v>56</v>
      </c>
      <c r="AG60" s="12" t="s">
        <v>438</v>
      </c>
      <c r="AH60" s="12" t="s">
        <v>428</v>
      </c>
      <c r="AI60" s="12" t="s">
        <v>147</v>
      </c>
      <c r="AJ60" s="12" t="s">
        <v>439</v>
      </c>
      <c r="AK60" s="12" t="s">
        <v>56</v>
      </c>
      <c r="AL60" s="12" t="s">
        <v>449</v>
      </c>
      <c r="AM60" s="10">
        <v>26.526</v>
      </c>
      <c r="AN60" s="10" t="s">
        <v>56</v>
      </c>
      <c r="AO60" t="str">
        <f>_xlfn.CONCAT($AP$1,D60)</f>
        <v>c.329G&gt;A</v>
      </c>
    </row>
    <row r="61" spans="1:41" ht="15" customHeight="1" x14ac:dyDescent="0.2">
      <c r="A61" s="10">
        <v>36</v>
      </c>
      <c r="B61" s="10" t="s">
        <v>39</v>
      </c>
      <c r="C61" s="10" t="s">
        <v>450</v>
      </c>
      <c r="D61" s="10" t="s">
        <v>451</v>
      </c>
      <c r="E61" s="10" t="s">
        <v>452</v>
      </c>
      <c r="F61" s="10" t="s">
        <v>453</v>
      </c>
      <c r="G61" s="10" t="s">
        <v>454</v>
      </c>
      <c r="H61" s="10" t="s">
        <v>455</v>
      </c>
      <c r="I61" s="10" t="s">
        <v>456</v>
      </c>
      <c r="J61" s="10">
        <v>36</v>
      </c>
      <c r="K61" s="10" t="s">
        <v>454</v>
      </c>
      <c r="L61" s="10">
        <v>329</v>
      </c>
      <c r="M61" s="10">
        <v>1</v>
      </c>
      <c r="N61" s="10">
        <v>110</v>
      </c>
      <c r="O61" s="11" t="str">
        <f>HYPERLINK(AL61,"link")</f>
        <v>link</v>
      </c>
      <c r="P61" s="10" t="s">
        <v>105</v>
      </c>
      <c r="Q61" s="12">
        <v>2</v>
      </c>
      <c r="R61" s="10" t="s">
        <v>49</v>
      </c>
      <c r="S61" t="s">
        <v>50</v>
      </c>
      <c r="T61" s="10" t="s">
        <v>51</v>
      </c>
      <c r="U61" s="13">
        <v>13.431613431613428</v>
      </c>
      <c r="V61" s="14" t="s">
        <v>56</v>
      </c>
      <c r="W61" s="15">
        <v>0.13024712819870554</v>
      </c>
      <c r="X61" s="16" t="s">
        <v>457</v>
      </c>
      <c r="Y61" t="s">
        <v>72</v>
      </c>
      <c r="AA61" t="s">
        <v>54</v>
      </c>
      <c r="AC61" s="20"/>
      <c r="AD61" s="12"/>
      <c r="AE61" s="12" t="s">
        <v>56</v>
      </c>
      <c r="AF61" s="19" t="s">
        <v>56</v>
      </c>
      <c r="AG61" s="12" t="s">
        <v>438</v>
      </c>
      <c r="AH61" s="12" t="s">
        <v>428</v>
      </c>
      <c r="AI61" s="12" t="s">
        <v>147</v>
      </c>
      <c r="AJ61" s="12" t="s">
        <v>439</v>
      </c>
      <c r="AK61" s="12" t="s">
        <v>56</v>
      </c>
      <c r="AL61" s="12" t="s">
        <v>458</v>
      </c>
      <c r="AM61" s="10">
        <v>25.169999999999998</v>
      </c>
      <c r="AN61" s="10" t="s">
        <v>56</v>
      </c>
      <c r="AO61" t="str">
        <f>_xlfn.CONCAT($AP$1,D61)</f>
        <v>c.329G&gt;T</v>
      </c>
    </row>
    <row r="62" spans="1:41" ht="15" customHeight="1" x14ac:dyDescent="0.2">
      <c r="A62" s="10">
        <v>176</v>
      </c>
      <c r="B62" s="10" t="s">
        <v>39</v>
      </c>
      <c r="C62" s="10" t="s">
        <v>1738</v>
      </c>
      <c r="D62" s="10" t="s">
        <v>1739</v>
      </c>
      <c r="E62" s="10" t="s">
        <v>1740</v>
      </c>
      <c r="F62" s="10" t="s">
        <v>1741</v>
      </c>
      <c r="G62" s="10" t="s">
        <v>1742</v>
      </c>
      <c r="H62" s="10" t="s">
        <v>1743</v>
      </c>
      <c r="I62" s="10"/>
      <c r="J62" s="10">
        <v>176</v>
      </c>
      <c r="K62" s="10" t="s">
        <v>1742</v>
      </c>
      <c r="L62" s="10">
        <v>329</v>
      </c>
      <c r="M62" s="10">
        <v>1</v>
      </c>
      <c r="N62" s="10">
        <v>110</v>
      </c>
      <c r="O62" s="11" t="str">
        <f>HYPERLINK(AL62,"link")</f>
        <v>link</v>
      </c>
      <c r="P62" s="10" t="s">
        <v>293</v>
      </c>
      <c r="Q62" s="12">
        <v>2</v>
      </c>
      <c r="R62" s="10" t="s">
        <v>49</v>
      </c>
      <c r="S62" t="s">
        <v>50</v>
      </c>
      <c r="T62" s="10" t="s">
        <v>51</v>
      </c>
      <c r="U62" s="13">
        <v>10.684273709483794</v>
      </c>
      <c r="V62" s="14" t="s">
        <v>56</v>
      </c>
      <c r="W62" s="15">
        <v>9.4748089043633063E-2</v>
      </c>
      <c r="X62" s="16" t="s">
        <v>94</v>
      </c>
      <c r="Y62" t="s">
        <v>72</v>
      </c>
      <c r="AA62" t="s">
        <v>54</v>
      </c>
      <c r="AC62" s="20"/>
      <c r="AD62" s="12"/>
      <c r="AE62" s="12" t="s">
        <v>56</v>
      </c>
      <c r="AF62" s="19" t="s">
        <v>56</v>
      </c>
      <c r="AG62" s="12" t="s">
        <v>571</v>
      </c>
      <c r="AH62" s="12" t="s">
        <v>428</v>
      </c>
      <c r="AI62" s="12" t="s">
        <v>56</v>
      </c>
      <c r="AJ62" s="12" t="s">
        <v>56</v>
      </c>
      <c r="AK62" s="12" t="s">
        <v>56</v>
      </c>
      <c r="AL62" s="12" t="s">
        <v>1648</v>
      </c>
      <c r="AM62" s="10" t="s">
        <v>56</v>
      </c>
      <c r="AN62" s="10" t="s">
        <v>56</v>
      </c>
      <c r="AO62" t="str">
        <f>_xlfn.CONCAT($AP$1,D62)</f>
        <v>c.329G&gt;C</v>
      </c>
    </row>
    <row r="63" spans="1:41" ht="15" customHeight="1" x14ac:dyDescent="0.2">
      <c r="A63" s="10">
        <v>37</v>
      </c>
      <c r="B63" s="10" t="s">
        <v>39</v>
      </c>
      <c r="C63" s="10" t="s">
        <v>459</v>
      </c>
      <c r="D63" s="10" t="s">
        <v>460</v>
      </c>
      <c r="E63" s="10" t="s">
        <v>461</v>
      </c>
      <c r="F63" s="10" t="s">
        <v>462</v>
      </c>
      <c r="G63" s="10" t="s">
        <v>463</v>
      </c>
      <c r="H63" s="10" t="s">
        <v>464</v>
      </c>
      <c r="I63" s="10" t="s">
        <v>465</v>
      </c>
      <c r="J63" s="10">
        <v>37</v>
      </c>
      <c r="K63" s="10" t="s">
        <v>463</v>
      </c>
      <c r="L63" s="10">
        <v>341</v>
      </c>
      <c r="M63" s="10">
        <v>1</v>
      </c>
      <c r="N63" s="10">
        <v>114</v>
      </c>
      <c r="O63" s="11" t="str">
        <f>HYPERLINK(AL63,"link")</f>
        <v>link</v>
      </c>
      <c r="P63" s="10" t="s">
        <v>143</v>
      </c>
      <c r="Q63" s="12">
        <v>2</v>
      </c>
      <c r="R63" s="10" t="s">
        <v>49</v>
      </c>
      <c r="S63" t="s">
        <v>50</v>
      </c>
      <c r="T63" s="10" t="s">
        <v>51</v>
      </c>
      <c r="U63" s="13">
        <v>9.5792300805729624</v>
      </c>
      <c r="V63" s="14" t="s">
        <v>56</v>
      </c>
      <c r="W63" s="15">
        <v>0.26900145542874837</v>
      </c>
      <c r="X63" s="16" t="s">
        <v>466</v>
      </c>
      <c r="Y63" t="s">
        <v>72</v>
      </c>
      <c r="AA63" t="s">
        <v>54</v>
      </c>
      <c r="AC63" s="20"/>
      <c r="AD63" s="12"/>
      <c r="AE63" s="12" t="s">
        <v>56</v>
      </c>
      <c r="AF63" s="19" t="s">
        <v>56</v>
      </c>
      <c r="AG63" s="12" t="s">
        <v>467</v>
      </c>
      <c r="AH63" s="12" t="s">
        <v>468</v>
      </c>
      <c r="AI63" s="12" t="s">
        <v>147</v>
      </c>
      <c r="AJ63" s="12" t="s">
        <v>469</v>
      </c>
      <c r="AK63" s="12" t="s">
        <v>56</v>
      </c>
      <c r="AL63" s="12" t="s">
        <v>470</v>
      </c>
      <c r="AM63" s="10">
        <v>23.494</v>
      </c>
      <c r="AN63" s="10" t="s">
        <v>56</v>
      </c>
      <c r="AO63" t="str">
        <f>_xlfn.CONCAT($AP$1,D63)</f>
        <v>c.341G&gt;A</v>
      </c>
    </row>
    <row r="64" spans="1:41" ht="15" customHeight="1" x14ac:dyDescent="0.2">
      <c r="A64" s="10">
        <v>38</v>
      </c>
      <c r="B64" s="10" t="s">
        <v>39</v>
      </c>
      <c r="C64" s="10" t="s">
        <v>471</v>
      </c>
      <c r="D64" s="10" t="s">
        <v>472</v>
      </c>
      <c r="E64" s="10" t="s">
        <v>473</v>
      </c>
      <c r="F64" s="10" t="s">
        <v>474</v>
      </c>
      <c r="G64" s="10" t="s">
        <v>475</v>
      </c>
      <c r="H64" s="10" t="s">
        <v>476</v>
      </c>
      <c r="I64" s="10" t="s">
        <v>477</v>
      </c>
      <c r="J64" s="10">
        <v>38</v>
      </c>
      <c r="K64" s="10" t="s">
        <v>475</v>
      </c>
      <c r="L64" s="10">
        <v>341</v>
      </c>
      <c r="M64" s="10">
        <v>1</v>
      </c>
      <c r="N64" s="10">
        <v>114</v>
      </c>
      <c r="O64" s="11" t="str">
        <f>HYPERLINK(AL64,"link")</f>
        <v>link</v>
      </c>
      <c r="P64" s="10" t="s">
        <v>143</v>
      </c>
      <c r="Q64" s="12">
        <v>2</v>
      </c>
      <c r="R64" s="10" t="s">
        <v>49</v>
      </c>
      <c r="S64" t="s">
        <v>50</v>
      </c>
      <c r="T64" s="10" t="s">
        <v>51</v>
      </c>
      <c r="U64" s="13">
        <v>15.176606695943725</v>
      </c>
      <c r="V64" s="14">
        <v>5.0563968147588945</v>
      </c>
      <c r="W64" s="15">
        <v>0.16059125208512676</v>
      </c>
      <c r="X64" s="16" t="s">
        <v>126</v>
      </c>
      <c r="Y64" t="s">
        <v>72</v>
      </c>
      <c r="AA64" t="s">
        <v>54</v>
      </c>
      <c r="AC64" s="20"/>
      <c r="AD64" s="12"/>
      <c r="AE64" s="12" t="s">
        <v>56</v>
      </c>
      <c r="AF64" s="19" t="s">
        <v>56</v>
      </c>
      <c r="AG64" s="12" t="s">
        <v>467</v>
      </c>
      <c r="AH64" s="12" t="s">
        <v>468</v>
      </c>
      <c r="AI64" s="12" t="s">
        <v>147</v>
      </c>
      <c r="AJ64" s="12" t="s">
        <v>469</v>
      </c>
      <c r="AK64" s="12" t="s">
        <v>56</v>
      </c>
      <c r="AL64" s="12" t="s">
        <v>478</v>
      </c>
      <c r="AM64" s="10">
        <v>17.88</v>
      </c>
      <c r="AN64" s="10" t="s">
        <v>56</v>
      </c>
      <c r="AO64" t="str">
        <f>_xlfn.CONCAT($AP$1,D64)</f>
        <v>c.341G&gt;T</v>
      </c>
    </row>
    <row r="65" spans="1:41" ht="15" customHeight="1" x14ac:dyDescent="0.2">
      <c r="A65" s="10">
        <v>138</v>
      </c>
      <c r="B65" s="10" t="s">
        <v>1431</v>
      </c>
      <c r="C65" s="10" t="s">
        <v>1452</v>
      </c>
      <c r="D65" s="10" t="s">
        <v>1453</v>
      </c>
      <c r="E65" s="10" t="s">
        <v>1454</v>
      </c>
      <c r="F65" s="10" t="s">
        <v>1455</v>
      </c>
      <c r="G65" s="10" t="s">
        <v>1456</v>
      </c>
      <c r="H65" s="10" t="s">
        <v>1457</v>
      </c>
      <c r="I65" s="10" t="s">
        <v>1457</v>
      </c>
      <c r="J65" s="10">
        <v>138</v>
      </c>
      <c r="K65" s="10" t="s">
        <v>1456</v>
      </c>
      <c r="L65" s="10">
        <v>351</v>
      </c>
      <c r="M65" s="10">
        <v>1</v>
      </c>
      <c r="N65" s="10">
        <v>117</v>
      </c>
      <c r="O65" s="11" t="str">
        <f>HYPERLINK(AL65,"link")</f>
        <v>link</v>
      </c>
      <c r="P65" s="10" t="s">
        <v>1458</v>
      </c>
      <c r="Q65" s="12" t="s">
        <v>212</v>
      </c>
      <c r="R65" s="10" t="s">
        <v>171</v>
      </c>
      <c r="T65" s="10" t="e">
        <v>#N/A</v>
      </c>
      <c r="U65" s="13">
        <v>92.621060722521136</v>
      </c>
      <c r="V65" s="14" t="s">
        <v>56</v>
      </c>
      <c r="W65" s="15">
        <v>3.9630358847532774</v>
      </c>
      <c r="X65" s="16" t="s">
        <v>1459</v>
      </c>
      <c r="Y65" t="s">
        <v>214</v>
      </c>
      <c r="AA65" t="s">
        <v>159</v>
      </c>
      <c r="AC65" s="20"/>
      <c r="AD65" s="12"/>
      <c r="AE65" s="12" t="s">
        <v>56</v>
      </c>
      <c r="AF65" s="19" t="s">
        <v>56</v>
      </c>
      <c r="AG65" s="12" t="s">
        <v>467</v>
      </c>
      <c r="AH65" s="12" t="s">
        <v>468</v>
      </c>
      <c r="AI65" s="12" t="s">
        <v>147</v>
      </c>
      <c r="AJ65" s="12" t="s">
        <v>469</v>
      </c>
      <c r="AK65" s="12" t="s">
        <v>56</v>
      </c>
      <c r="AL65" s="12" t="s">
        <v>1440</v>
      </c>
      <c r="AM65" s="10">
        <v>1.0760000000000001</v>
      </c>
      <c r="AN65" s="10" t="s">
        <v>56</v>
      </c>
      <c r="AO65" t="str">
        <f>_xlfn.CONCAT($AP$1,D65)</f>
        <v>c.350C&gt;G</v>
      </c>
    </row>
    <row r="66" spans="1:41" ht="15" customHeight="1" x14ac:dyDescent="0.2">
      <c r="A66" s="10">
        <v>39</v>
      </c>
      <c r="B66" s="10" t="s">
        <v>39</v>
      </c>
      <c r="C66" s="10" t="s">
        <v>479</v>
      </c>
      <c r="D66" s="10" t="s">
        <v>480</v>
      </c>
      <c r="E66" s="10" t="s">
        <v>481</v>
      </c>
      <c r="F66" s="10" t="s">
        <v>482</v>
      </c>
      <c r="G66" s="10" t="s">
        <v>483</v>
      </c>
      <c r="H66" s="10" t="s">
        <v>484</v>
      </c>
      <c r="I66" s="10" t="s">
        <v>485</v>
      </c>
      <c r="J66" s="10">
        <v>39</v>
      </c>
      <c r="K66" s="10" t="s">
        <v>483</v>
      </c>
      <c r="L66" s="10">
        <v>365</v>
      </c>
      <c r="M66" s="10">
        <v>2</v>
      </c>
      <c r="N66" s="10">
        <v>122</v>
      </c>
      <c r="O66" s="11" t="str">
        <f>HYPERLINK(AL66,"link")</f>
        <v>link</v>
      </c>
      <c r="P66" s="10" t="s">
        <v>269</v>
      </c>
      <c r="Q66" s="12" t="s">
        <v>270</v>
      </c>
      <c r="R66" s="10" t="s">
        <v>49</v>
      </c>
      <c r="S66" t="s">
        <v>50</v>
      </c>
      <c r="T66" s="10" t="s">
        <v>51</v>
      </c>
      <c r="U66" s="13">
        <v>89.423300262474314</v>
      </c>
      <c r="V66" s="14">
        <v>2.1565052604801842</v>
      </c>
      <c r="W66" s="15">
        <v>0.48918353955356186</v>
      </c>
      <c r="X66" s="16" t="s">
        <v>486</v>
      </c>
      <c r="Y66" t="s">
        <v>158</v>
      </c>
      <c r="AA66" t="s">
        <v>159</v>
      </c>
      <c r="AC66" s="20"/>
      <c r="AD66" s="12"/>
      <c r="AE66" s="12" t="s">
        <v>56</v>
      </c>
      <c r="AF66" s="19" t="s">
        <v>56</v>
      </c>
      <c r="AG66" s="12" t="s">
        <v>487</v>
      </c>
      <c r="AH66" s="12" t="s">
        <v>488</v>
      </c>
      <c r="AI66" s="12" t="s">
        <v>56</v>
      </c>
      <c r="AJ66" s="12" t="s">
        <v>56</v>
      </c>
      <c r="AK66" s="12" t="s">
        <v>56</v>
      </c>
      <c r="AL66" s="12" t="s">
        <v>489</v>
      </c>
      <c r="AM66" s="10" t="s">
        <v>56</v>
      </c>
      <c r="AN66" s="10" t="s">
        <v>56</v>
      </c>
      <c r="AO66" t="str">
        <f>_xlfn.CONCAT($AP$1,D66)</f>
        <v>c.365A&gt;G</v>
      </c>
    </row>
    <row r="67" spans="1:41" ht="15" customHeight="1" x14ac:dyDescent="0.2">
      <c r="A67" s="10">
        <v>40</v>
      </c>
      <c r="B67" s="10" t="s">
        <v>39</v>
      </c>
      <c r="C67" s="10" t="s">
        <v>490</v>
      </c>
      <c r="D67" s="10" t="s">
        <v>491</v>
      </c>
      <c r="E67" s="10" t="s">
        <v>492</v>
      </c>
      <c r="F67" s="10" t="s">
        <v>493</v>
      </c>
      <c r="G67" s="10" t="s">
        <v>494</v>
      </c>
      <c r="H67" s="10" t="s">
        <v>495</v>
      </c>
      <c r="I67" s="10" t="s">
        <v>496</v>
      </c>
      <c r="J67" s="10">
        <v>40</v>
      </c>
      <c r="K67" s="10" t="s">
        <v>494</v>
      </c>
      <c r="L67" s="10">
        <v>374</v>
      </c>
      <c r="M67" s="10">
        <v>2</v>
      </c>
      <c r="N67" s="10">
        <v>125</v>
      </c>
      <c r="O67" s="11" t="str">
        <f>HYPERLINK(AL67,"link")</f>
        <v>link</v>
      </c>
      <c r="P67" s="10" t="s">
        <v>105</v>
      </c>
      <c r="Q67" s="12">
        <v>2</v>
      </c>
      <c r="R67" s="10" t="s">
        <v>49</v>
      </c>
      <c r="S67" t="s">
        <v>50</v>
      </c>
      <c r="T67" s="10" t="s">
        <v>51</v>
      </c>
      <c r="U67" s="13">
        <v>91.571969696969688</v>
      </c>
      <c r="V67" s="14" t="s">
        <v>56</v>
      </c>
      <c r="W67" s="15">
        <v>2.5706759088512765</v>
      </c>
      <c r="X67" s="16" t="s">
        <v>497</v>
      </c>
      <c r="Y67" t="s">
        <v>214</v>
      </c>
      <c r="AA67" t="s">
        <v>498</v>
      </c>
      <c r="AB67" s="17" t="s">
        <v>225</v>
      </c>
      <c r="AC67" s="20"/>
      <c r="AD67" s="12"/>
      <c r="AE67" s="12" t="s">
        <v>56</v>
      </c>
      <c r="AF67" s="19" t="s">
        <v>56</v>
      </c>
      <c r="AG67" s="12" t="s">
        <v>499</v>
      </c>
      <c r="AH67" s="12" t="s">
        <v>428</v>
      </c>
      <c r="AI67" s="12" t="s">
        <v>147</v>
      </c>
      <c r="AJ67" s="12" t="s">
        <v>469</v>
      </c>
      <c r="AK67" s="12" t="s">
        <v>56</v>
      </c>
      <c r="AL67" s="12" t="s">
        <v>500</v>
      </c>
      <c r="AM67" s="10" t="s">
        <v>501</v>
      </c>
      <c r="AN67" s="10" t="s">
        <v>56</v>
      </c>
      <c r="AO67" t="str">
        <f>_xlfn.CONCAT($AP$1,D67)</f>
        <v>c.374T&gt;G</v>
      </c>
    </row>
    <row r="68" spans="1:41" ht="15" customHeight="1" x14ac:dyDescent="0.2">
      <c r="A68" s="10">
        <v>172</v>
      </c>
      <c r="B68" s="10" t="s">
        <v>39</v>
      </c>
      <c r="C68" s="10" t="s">
        <v>1708</v>
      </c>
      <c r="D68" s="10" t="s">
        <v>1709</v>
      </c>
      <c r="E68" s="10" t="s">
        <v>1710</v>
      </c>
      <c r="F68" s="10" t="s">
        <v>1711</v>
      </c>
      <c r="G68" s="10" t="s">
        <v>1712</v>
      </c>
      <c r="H68" s="10" t="s">
        <v>1713</v>
      </c>
      <c r="I68" s="10"/>
      <c r="J68" s="10">
        <v>172</v>
      </c>
      <c r="K68" s="10" t="s">
        <v>1712</v>
      </c>
      <c r="L68" s="10">
        <v>378</v>
      </c>
      <c r="M68" s="10">
        <v>2</v>
      </c>
      <c r="N68" s="10">
        <v>126</v>
      </c>
      <c r="O68" s="11" t="str">
        <f>HYPERLINK(AL68,"link")</f>
        <v>link</v>
      </c>
      <c r="P68" s="10" t="s">
        <v>305</v>
      </c>
      <c r="Q68" s="12" t="s">
        <v>306</v>
      </c>
      <c r="R68" s="10" t="s">
        <v>49</v>
      </c>
      <c r="S68" t="s">
        <v>50</v>
      </c>
      <c r="T68" s="10" t="s">
        <v>51</v>
      </c>
      <c r="U68" s="13">
        <v>4.909560723514212</v>
      </c>
      <c r="V68" s="14" t="s">
        <v>56</v>
      </c>
      <c r="W68" s="15">
        <v>0.15052617720184039</v>
      </c>
      <c r="X68" s="16" t="s">
        <v>1714</v>
      </c>
      <c r="Y68" t="s">
        <v>72</v>
      </c>
      <c r="AA68" t="s">
        <v>54</v>
      </c>
      <c r="AC68" s="18" t="s">
        <v>308</v>
      </c>
      <c r="AD68" s="12"/>
      <c r="AE68" s="12" t="s">
        <v>56</v>
      </c>
      <c r="AF68" s="19" t="s">
        <v>56</v>
      </c>
      <c r="AG68" s="12" t="s">
        <v>571</v>
      </c>
      <c r="AH68" s="12" t="s">
        <v>428</v>
      </c>
      <c r="AI68" s="12" t="s">
        <v>56</v>
      </c>
      <c r="AJ68" s="12" t="s">
        <v>56</v>
      </c>
      <c r="AK68" s="12" t="s">
        <v>56</v>
      </c>
      <c r="AL68" s="12" t="s">
        <v>1640</v>
      </c>
      <c r="AM68" s="10" t="s">
        <v>56</v>
      </c>
      <c r="AN68" s="10" t="s">
        <v>56</v>
      </c>
      <c r="AO68" t="str">
        <f>_xlfn.CONCAT($AP$1,D68)</f>
        <v>c.378G&gt;A</v>
      </c>
    </row>
    <row r="69" spans="1:41" ht="15" customHeight="1" x14ac:dyDescent="0.2">
      <c r="A69" s="10">
        <v>173</v>
      </c>
      <c r="B69" s="10" t="s">
        <v>39</v>
      </c>
      <c r="C69" s="10" t="s">
        <v>1715</v>
      </c>
      <c r="D69" s="10" t="s">
        <v>1716</v>
      </c>
      <c r="E69" s="10" t="s">
        <v>1717</v>
      </c>
      <c r="F69" s="10" t="s">
        <v>1718</v>
      </c>
      <c r="G69" s="10" t="s">
        <v>1719</v>
      </c>
      <c r="H69" s="10" t="s">
        <v>1720</v>
      </c>
      <c r="I69" s="10"/>
      <c r="J69" s="10">
        <v>173</v>
      </c>
      <c r="K69" s="10" t="s">
        <v>1719</v>
      </c>
      <c r="L69" s="10">
        <v>377</v>
      </c>
      <c r="M69" s="10">
        <v>2</v>
      </c>
      <c r="N69" s="10">
        <v>126</v>
      </c>
      <c r="O69" s="11" t="str">
        <f>HYPERLINK(AL69,"link")</f>
        <v>link</v>
      </c>
      <c r="P69" s="10" t="s">
        <v>269</v>
      </c>
      <c r="Q69" s="12" t="s">
        <v>270</v>
      </c>
      <c r="R69" s="10" t="s">
        <v>49</v>
      </c>
      <c r="S69" t="s">
        <v>50</v>
      </c>
      <c r="T69" s="10" t="s">
        <v>51</v>
      </c>
      <c r="U69" s="13">
        <v>65.701559020044542</v>
      </c>
      <c r="V69" s="14" t="s">
        <v>56</v>
      </c>
      <c r="W69" s="15">
        <v>1.7749896078613225</v>
      </c>
      <c r="X69" s="16" t="s">
        <v>1721</v>
      </c>
      <c r="Y69" t="s">
        <v>53</v>
      </c>
      <c r="AA69" t="s">
        <v>54</v>
      </c>
      <c r="AC69" s="20"/>
      <c r="AD69" s="12"/>
      <c r="AE69" s="12" t="s">
        <v>56</v>
      </c>
      <c r="AF69" s="19" t="s">
        <v>56</v>
      </c>
      <c r="AG69" s="12" t="s">
        <v>571</v>
      </c>
      <c r="AH69" s="12" t="s">
        <v>428</v>
      </c>
      <c r="AI69" s="12" t="s">
        <v>56</v>
      </c>
      <c r="AJ69" s="12" t="s">
        <v>56</v>
      </c>
      <c r="AK69" s="12" t="s">
        <v>56</v>
      </c>
      <c r="AL69" s="12" t="s">
        <v>1722</v>
      </c>
      <c r="AM69" s="10" t="s">
        <v>56</v>
      </c>
      <c r="AN69" s="10" t="s">
        <v>56</v>
      </c>
      <c r="AO69" t="str">
        <f>_xlfn.CONCAT($AP$1,D69)</f>
        <v>c.377G&gt;T</v>
      </c>
    </row>
    <row r="70" spans="1:41" ht="15" customHeight="1" x14ac:dyDescent="0.2">
      <c r="A70" s="10">
        <v>41</v>
      </c>
      <c r="B70" s="10" t="s">
        <v>39</v>
      </c>
      <c r="C70" s="10" t="s">
        <v>502</v>
      </c>
      <c r="D70" s="10" t="s">
        <v>503</v>
      </c>
      <c r="E70" s="10" t="s">
        <v>504</v>
      </c>
      <c r="F70" s="10" t="s">
        <v>505</v>
      </c>
      <c r="G70" s="10" t="s">
        <v>506</v>
      </c>
      <c r="H70" s="10" t="s">
        <v>507</v>
      </c>
      <c r="I70" s="10" t="s">
        <v>508</v>
      </c>
      <c r="J70" s="10">
        <v>41</v>
      </c>
      <c r="K70" s="10" t="s">
        <v>506</v>
      </c>
      <c r="L70" s="10">
        <v>380</v>
      </c>
      <c r="M70" s="10">
        <v>2</v>
      </c>
      <c r="N70" s="10">
        <v>127</v>
      </c>
      <c r="O70" s="11" t="str">
        <f>HYPERLINK(AL70,"link")</f>
        <v>link</v>
      </c>
      <c r="P70" s="10" t="s">
        <v>143</v>
      </c>
      <c r="Q70" s="12">
        <v>2</v>
      </c>
      <c r="R70" s="10" t="s">
        <v>49</v>
      </c>
      <c r="S70" t="s">
        <v>50</v>
      </c>
      <c r="T70" s="10" t="s">
        <v>51</v>
      </c>
      <c r="U70" s="13">
        <v>15.977653631284916</v>
      </c>
      <c r="V70" s="14" t="s">
        <v>56</v>
      </c>
      <c r="W70" s="15">
        <v>0.20474111634631445</v>
      </c>
      <c r="X70" s="16" t="s">
        <v>509</v>
      </c>
      <c r="Y70" t="s">
        <v>72</v>
      </c>
      <c r="AA70" t="s">
        <v>54</v>
      </c>
      <c r="AC70" s="20"/>
      <c r="AD70" s="12" t="s">
        <v>510</v>
      </c>
      <c r="AE70" s="12" t="s">
        <v>56</v>
      </c>
      <c r="AF70" s="19" t="s">
        <v>56</v>
      </c>
      <c r="AG70" s="12" t="s">
        <v>511</v>
      </c>
      <c r="AH70" s="12" t="s">
        <v>428</v>
      </c>
      <c r="AI70" s="12" t="s">
        <v>147</v>
      </c>
      <c r="AJ70" s="12" t="s">
        <v>56</v>
      </c>
      <c r="AK70" s="12" t="s">
        <v>56</v>
      </c>
      <c r="AL70" s="12" t="s">
        <v>512</v>
      </c>
      <c r="AM70" s="10">
        <v>8.52</v>
      </c>
      <c r="AN70" s="10" t="s">
        <v>56</v>
      </c>
      <c r="AO70" t="str">
        <f>_xlfn.CONCAT($AP$1,D70)</f>
        <v>c.380C&gt;T</v>
      </c>
    </row>
    <row r="71" spans="1:41" ht="15" customHeight="1" x14ac:dyDescent="0.2">
      <c r="A71" s="10">
        <v>42</v>
      </c>
      <c r="B71" s="10" t="s">
        <v>39</v>
      </c>
      <c r="C71" s="10" t="s">
        <v>513</v>
      </c>
      <c r="D71" s="10" t="s">
        <v>514</v>
      </c>
      <c r="E71" s="10" t="s">
        <v>515</v>
      </c>
      <c r="F71" s="10" t="s">
        <v>516</v>
      </c>
      <c r="G71" s="10" t="s">
        <v>517</v>
      </c>
      <c r="H71" s="10" t="s">
        <v>518</v>
      </c>
      <c r="I71" s="10" t="s">
        <v>519</v>
      </c>
      <c r="J71" s="10">
        <v>42</v>
      </c>
      <c r="K71" s="10" t="s">
        <v>517</v>
      </c>
      <c r="L71" s="10">
        <v>392</v>
      </c>
      <c r="M71" s="10">
        <v>2</v>
      </c>
      <c r="N71" s="10">
        <v>131</v>
      </c>
      <c r="O71" s="11" t="str">
        <f>HYPERLINK(AL71,"link")</f>
        <v>link</v>
      </c>
      <c r="P71" s="10" t="s">
        <v>143</v>
      </c>
      <c r="Q71" s="12">
        <v>2</v>
      </c>
      <c r="R71" s="10" t="s">
        <v>49</v>
      </c>
      <c r="S71" t="s">
        <v>50</v>
      </c>
      <c r="T71" s="10" t="s">
        <v>51</v>
      </c>
      <c r="U71" s="13">
        <v>20.594639790181869</v>
      </c>
      <c r="V71" s="14">
        <v>1.1015813062039097</v>
      </c>
      <c r="W71" s="15">
        <v>0.34132063211263403</v>
      </c>
      <c r="X71" s="16" t="s">
        <v>520</v>
      </c>
      <c r="Y71" t="s">
        <v>72</v>
      </c>
      <c r="AA71" t="s">
        <v>54</v>
      </c>
      <c r="AC71" s="20"/>
      <c r="AD71" s="12"/>
      <c r="AE71" s="12" t="s">
        <v>56</v>
      </c>
      <c r="AF71" s="19" t="s">
        <v>56</v>
      </c>
      <c r="AG71" s="12" t="s">
        <v>511</v>
      </c>
      <c r="AH71" s="12" t="s">
        <v>428</v>
      </c>
      <c r="AI71" s="12" t="s">
        <v>147</v>
      </c>
      <c r="AJ71" s="12" t="s">
        <v>56</v>
      </c>
      <c r="AK71" s="12" t="s">
        <v>56</v>
      </c>
      <c r="AL71" s="12" t="s">
        <v>458</v>
      </c>
      <c r="AM71" s="10">
        <v>6.8260000000000005</v>
      </c>
      <c r="AN71" s="10" t="s">
        <v>56</v>
      </c>
      <c r="AO71" t="str">
        <f>_xlfn.CONCAT($AP$1,D71)</f>
        <v>c.392T&gt;C</v>
      </c>
    </row>
    <row r="72" spans="1:41" ht="15" customHeight="1" x14ac:dyDescent="0.2">
      <c r="A72" s="10">
        <v>43</v>
      </c>
      <c r="B72" s="10" t="s">
        <v>39</v>
      </c>
      <c r="C72" s="10" t="s">
        <v>521</v>
      </c>
      <c r="D72" s="10" t="s">
        <v>522</v>
      </c>
      <c r="E72" s="10" t="s">
        <v>523</v>
      </c>
      <c r="F72" s="10" t="s">
        <v>524</v>
      </c>
      <c r="G72" s="10" t="s">
        <v>525</v>
      </c>
      <c r="H72" s="10" t="s">
        <v>526</v>
      </c>
      <c r="I72" s="10" t="s">
        <v>527</v>
      </c>
      <c r="J72" s="10">
        <v>43</v>
      </c>
      <c r="K72" s="10" t="s">
        <v>525</v>
      </c>
      <c r="L72" s="10">
        <v>403</v>
      </c>
      <c r="M72" s="10">
        <v>2</v>
      </c>
      <c r="N72" s="10">
        <v>135</v>
      </c>
      <c r="O72" s="11" t="str">
        <f>HYPERLINK(AL72,"link")</f>
        <v>link</v>
      </c>
      <c r="P72" s="10" t="s">
        <v>528</v>
      </c>
      <c r="Q72" s="12">
        <v>3</v>
      </c>
      <c r="R72" s="10" t="s">
        <v>49</v>
      </c>
      <c r="S72" t="s">
        <v>50</v>
      </c>
      <c r="T72" s="10" t="s">
        <v>51</v>
      </c>
      <c r="U72" s="13">
        <v>66.666666666666671</v>
      </c>
      <c r="V72" s="14" t="s">
        <v>56</v>
      </c>
      <c r="W72" s="15">
        <v>0.91803787963269901</v>
      </c>
      <c r="X72" s="16" t="s">
        <v>529</v>
      </c>
      <c r="Y72" t="s">
        <v>53</v>
      </c>
      <c r="AA72" t="s">
        <v>54</v>
      </c>
      <c r="AC72" s="20"/>
      <c r="AD72" s="12"/>
      <c r="AE72" s="12" t="s">
        <v>56</v>
      </c>
      <c r="AF72" s="19" t="s">
        <v>56</v>
      </c>
      <c r="AG72" s="12" t="s">
        <v>530</v>
      </c>
      <c r="AH72" s="12" t="s">
        <v>428</v>
      </c>
      <c r="AI72" s="12" t="s">
        <v>531</v>
      </c>
      <c r="AJ72" s="12" t="s">
        <v>532</v>
      </c>
      <c r="AK72" s="12" t="s">
        <v>56</v>
      </c>
      <c r="AL72" s="12" t="s">
        <v>533</v>
      </c>
      <c r="AM72" s="10">
        <v>4.8780000000000001</v>
      </c>
      <c r="AN72" s="10" t="s">
        <v>56</v>
      </c>
      <c r="AO72" t="str">
        <f>_xlfn.CONCAT($AP$1,D72)</f>
        <v>c.403C&gt;G</v>
      </c>
    </row>
    <row r="73" spans="1:41" ht="15" customHeight="1" x14ac:dyDescent="0.2">
      <c r="A73" s="10">
        <v>44</v>
      </c>
      <c r="B73" s="10" t="s">
        <v>39</v>
      </c>
      <c r="C73" s="10" t="s">
        <v>534</v>
      </c>
      <c r="D73" s="10" t="s">
        <v>535</v>
      </c>
      <c r="E73" s="10" t="s">
        <v>536</v>
      </c>
      <c r="F73" s="10" t="s">
        <v>537</v>
      </c>
      <c r="G73" s="10" t="s">
        <v>538</v>
      </c>
      <c r="H73" s="10" t="s">
        <v>539</v>
      </c>
      <c r="I73" s="10" t="s">
        <v>540</v>
      </c>
      <c r="J73" s="10">
        <v>44</v>
      </c>
      <c r="K73" s="10" t="s">
        <v>538</v>
      </c>
      <c r="L73" s="10">
        <v>403</v>
      </c>
      <c r="M73" s="10">
        <v>2</v>
      </c>
      <c r="N73" s="10">
        <v>135</v>
      </c>
      <c r="O73" s="11" t="str">
        <f>HYPERLINK(AL73,"link")</f>
        <v>link</v>
      </c>
      <c r="P73" s="10" t="s">
        <v>528</v>
      </c>
      <c r="Q73" s="12">
        <v>3</v>
      </c>
      <c r="R73" s="10" t="s">
        <v>49</v>
      </c>
      <c r="S73" t="s">
        <v>50</v>
      </c>
      <c r="T73" s="10" t="s">
        <v>51</v>
      </c>
      <c r="U73" s="13">
        <v>18.608918948146975</v>
      </c>
      <c r="V73" s="14">
        <v>2.5850691194389745</v>
      </c>
      <c r="W73" s="15">
        <v>0.3086407787092269</v>
      </c>
      <c r="X73" s="16" t="s">
        <v>541</v>
      </c>
      <c r="Y73" t="s">
        <v>72</v>
      </c>
      <c r="AA73" t="s">
        <v>54</v>
      </c>
      <c r="AC73" s="20"/>
      <c r="AD73" s="12"/>
      <c r="AE73" s="12" t="s">
        <v>56</v>
      </c>
      <c r="AF73" s="19" t="s">
        <v>56</v>
      </c>
      <c r="AG73" s="12" t="s">
        <v>530</v>
      </c>
      <c r="AH73" s="12" t="s">
        <v>428</v>
      </c>
      <c r="AI73" s="12" t="s">
        <v>531</v>
      </c>
      <c r="AJ73" s="12" t="s">
        <v>532</v>
      </c>
      <c r="AK73" s="12" t="s">
        <v>56</v>
      </c>
      <c r="AL73" s="12" t="s">
        <v>542</v>
      </c>
      <c r="AM73" s="10">
        <v>11.639999999999999</v>
      </c>
      <c r="AN73" s="10" t="s">
        <v>56</v>
      </c>
      <c r="AO73" t="str">
        <f>_xlfn.CONCAT($AP$1,D73)</f>
        <v>c.403C&gt;T</v>
      </c>
    </row>
    <row r="74" spans="1:41" ht="15" customHeight="1" x14ac:dyDescent="0.2">
      <c r="A74" s="10">
        <v>45</v>
      </c>
      <c r="B74" s="10" t="s">
        <v>39</v>
      </c>
      <c r="C74" s="10" t="s">
        <v>543</v>
      </c>
      <c r="D74" s="10" t="s">
        <v>544</v>
      </c>
      <c r="E74" s="10" t="s">
        <v>545</v>
      </c>
      <c r="F74" s="10" t="s">
        <v>546</v>
      </c>
      <c r="G74" s="10" t="s">
        <v>547</v>
      </c>
      <c r="H74" s="10" t="s">
        <v>548</v>
      </c>
      <c r="I74" s="10" t="s">
        <v>549</v>
      </c>
      <c r="J74" s="10">
        <v>45</v>
      </c>
      <c r="K74" s="10" t="s">
        <v>547</v>
      </c>
      <c r="L74" s="10">
        <v>404</v>
      </c>
      <c r="M74" s="10">
        <v>2</v>
      </c>
      <c r="N74" s="10">
        <v>135</v>
      </c>
      <c r="O74" s="11" t="str">
        <f>HYPERLINK(AL74,"link")</f>
        <v>link</v>
      </c>
      <c r="P74" s="10" t="s">
        <v>550</v>
      </c>
      <c r="Q74" s="12">
        <v>3</v>
      </c>
      <c r="R74" s="10" t="s">
        <v>49</v>
      </c>
      <c r="S74" t="s">
        <v>50</v>
      </c>
      <c r="T74" s="10" t="s">
        <v>51</v>
      </c>
      <c r="U74" s="13">
        <v>42.984468425875185</v>
      </c>
      <c r="V74" s="14">
        <v>4.1196498439779079</v>
      </c>
      <c r="W74" s="15">
        <v>0.26630913987229976</v>
      </c>
      <c r="X74" s="16" t="s">
        <v>551</v>
      </c>
      <c r="Y74" t="s">
        <v>53</v>
      </c>
      <c r="AA74" t="s">
        <v>54</v>
      </c>
      <c r="AC74" s="20"/>
      <c r="AD74" s="12"/>
      <c r="AE74" s="12" t="s">
        <v>56</v>
      </c>
      <c r="AF74" s="19" t="s">
        <v>56</v>
      </c>
      <c r="AG74" s="12" t="s">
        <v>530</v>
      </c>
      <c r="AH74" s="12" t="s">
        <v>428</v>
      </c>
      <c r="AI74" s="12" t="s">
        <v>531</v>
      </c>
      <c r="AJ74" s="12" t="s">
        <v>532</v>
      </c>
      <c r="AK74" s="12" t="s">
        <v>56</v>
      </c>
      <c r="AL74" s="12" t="s">
        <v>552</v>
      </c>
      <c r="AM74" s="10">
        <v>9.67</v>
      </c>
      <c r="AN74" s="10" t="s">
        <v>56</v>
      </c>
      <c r="AO74" t="str">
        <f>_xlfn.CONCAT($AP$1,D74)</f>
        <v>c.404G&gt;C</v>
      </c>
    </row>
    <row r="75" spans="1:41" ht="15" customHeight="1" x14ac:dyDescent="0.2">
      <c r="A75" s="10">
        <v>46</v>
      </c>
      <c r="B75" s="10" t="s">
        <v>39</v>
      </c>
      <c r="C75" s="10" t="s">
        <v>553</v>
      </c>
      <c r="D75" s="10" t="s">
        <v>554</v>
      </c>
      <c r="E75" s="10" t="s">
        <v>555</v>
      </c>
      <c r="F75" s="10" t="s">
        <v>556</v>
      </c>
      <c r="G75" s="10" t="s">
        <v>557</v>
      </c>
      <c r="H75" s="10" t="s">
        <v>558</v>
      </c>
      <c r="I75" s="10" t="s">
        <v>559</v>
      </c>
      <c r="J75" s="10">
        <v>46</v>
      </c>
      <c r="K75" s="10" t="s">
        <v>557</v>
      </c>
      <c r="L75" s="10">
        <v>404</v>
      </c>
      <c r="M75" s="10">
        <v>2</v>
      </c>
      <c r="N75" s="10">
        <v>135</v>
      </c>
      <c r="O75" s="11" t="str">
        <f>HYPERLINK(AL75,"link")</f>
        <v>link</v>
      </c>
      <c r="P75" s="10" t="s">
        <v>550</v>
      </c>
      <c r="Q75" s="12">
        <v>3</v>
      </c>
      <c r="R75" s="10" t="s">
        <v>49</v>
      </c>
      <c r="S75" t="s">
        <v>50</v>
      </c>
      <c r="T75" s="10" t="s">
        <v>51</v>
      </c>
      <c r="U75" s="13">
        <v>47.121817892780918</v>
      </c>
      <c r="V75" s="14">
        <v>8.9856547754486442</v>
      </c>
      <c r="W75" s="15">
        <v>0.58482849264508274</v>
      </c>
      <c r="X75" s="16" t="s">
        <v>560</v>
      </c>
      <c r="Y75" t="s">
        <v>53</v>
      </c>
      <c r="AA75" t="s">
        <v>54</v>
      </c>
      <c r="AC75" s="20"/>
      <c r="AD75" s="12"/>
      <c r="AE75" s="12" t="s">
        <v>56</v>
      </c>
      <c r="AF75" s="19" t="s">
        <v>56</v>
      </c>
      <c r="AG75" s="12" t="s">
        <v>530</v>
      </c>
      <c r="AH75" s="12" t="s">
        <v>428</v>
      </c>
      <c r="AI75" s="12" t="s">
        <v>531</v>
      </c>
      <c r="AJ75" s="12" t="s">
        <v>532</v>
      </c>
      <c r="AK75" s="12" t="s">
        <v>56</v>
      </c>
      <c r="AL75" s="12" t="s">
        <v>561</v>
      </c>
      <c r="AM75" s="10">
        <v>1.2839999999999998</v>
      </c>
      <c r="AN75" s="10" t="s">
        <v>56</v>
      </c>
      <c r="AO75" t="str">
        <f>_xlfn.CONCAT($AP$1,D75)</f>
        <v>c.404G&gt;T</v>
      </c>
    </row>
    <row r="76" spans="1:41" ht="15" customHeight="1" x14ac:dyDescent="0.2">
      <c r="A76" s="10">
        <v>139</v>
      </c>
      <c r="B76" s="10" t="s">
        <v>1431</v>
      </c>
      <c r="C76" s="10" t="s">
        <v>1460</v>
      </c>
      <c r="D76" s="10" t="s">
        <v>1461</v>
      </c>
      <c r="E76" s="10" t="s">
        <v>1462</v>
      </c>
      <c r="F76" s="10" t="s">
        <v>1463</v>
      </c>
      <c r="G76" s="10" t="s">
        <v>1464</v>
      </c>
      <c r="H76" s="10" t="s">
        <v>1465</v>
      </c>
      <c r="I76" s="10" t="s">
        <v>1465</v>
      </c>
      <c r="J76" s="10">
        <v>139</v>
      </c>
      <c r="K76" s="10" t="s">
        <v>1464</v>
      </c>
      <c r="L76" s="10">
        <v>403</v>
      </c>
      <c r="M76" s="10">
        <v>2</v>
      </c>
      <c r="N76" s="10">
        <v>135</v>
      </c>
      <c r="O76" s="11" t="str">
        <f>HYPERLINK(AL76,"link")</f>
        <v>link</v>
      </c>
      <c r="P76" s="10" t="s">
        <v>1466</v>
      </c>
      <c r="Q76" s="12">
        <v>3</v>
      </c>
      <c r="R76" s="10" t="s">
        <v>49</v>
      </c>
      <c r="T76" s="10" t="e">
        <v>#N/A</v>
      </c>
      <c r="U76" s="13">
        <v>30.847212165097755</v>
      </c>
      <c r="V76" s="14" t="s">
        <v>56</v>
      </c>
      <c r="W76" s="15">
        <v>0.15568037759585848</v>
      </c>
      <c r="X76" s="16" t="s">
        <v>1467</v>
      </c>
      <c r="Y76" t="s">
        <v>72</v>
      </c>
      <c r="AA76" t="s">
        <v>54</v>
      </c>
      <c r="AC76" s="20"/>
      <c r="AD76" s="12"/>
      <c r="AE76" s="12" t="s">
        <v>56</v>
      </c>
      <c r="AF76" s="19" t="s">
        <v>56</v>
      </c>
      <c r="AG76" s="12" t="s">
        <v>571</v>
      </c>
      <c r="AH76" s="12" t="s">
        <v>428</v>
      </c>
      <c r="AI76" s="12" t="s">
        <v>56</v>
      </c>
      <c r="AJ76" s="12" t="s">
        <v>56</v>
      </c>
      <c r="AK76" s="12" t="s">
        <v>56</v>
      </c>
      <c r="AL76" s="12" t="s">
        <v>1440</v>
      </c>
      <c r="AM76" s="10" t="s">
        <v>56</v>
      </c>
      <c r="AN76" s="10" t="s">
        <v>56</v>
      </c>
      <c r="AO76" t="str">
        <f>_xlfn.CONCAT($AP$1,D76)</f>
        <v>c.403_405delCGGinsTAC</v>
      </c>
    </row>
    <row r="77" spans="1:41" ht="15" customHeight="1" x14ac:dyDescent="0.2">
      <c r="A77" s="10">
        <v>155</v>
      </c>
      <c r="B77" s="10" t="s">
        <v>39</v>
      </c>
      <c r="C77" s="10" t="s">
        <v>1590</v>
      </c>
      <c r="D77" s="10" t="s">
        <v>1591</v>
      </c>
      <c r="E77" s="10" t="s">
        <v>555</v>
      </c>
      <c r="F77" s="10" t="s">
        <v>556</v>
      </c>
      <c r="G77" s="10" t="s">
        <v>557</v>
      </c>
      <c r="H77" s="24" t="s">
        <v>558</v>
      </c>
      <c r="I77" s="10"/>
      <c r="J77" s="10">
        <v>155</v>
      </c>
      <c r="K77" s="10" t="s">
        <v>557</v>
      </c>
      <c r="L77" s="10">
        <v>404</v>
      </c>
      <c r="M77" s="10">
        <v>2</v>
      </c>
      <c r="N77" s="10">
        <v>135</v>
      </c>
      <c r="O77" s="11" t="str">
        <f>HYPERLINK(AL77,"link")</f>
        <v>link</v>
      </c>
      <c r="P77" s="10" t="s">
        <v>550</v>
      </c>
      <c r="Q77" s="12">
        <v>3</v>
      </c>
      <c r="R77" s="10" t="s">
        <v>49</v>
      </c>
      <c r="S77" t="s">
        <v>50</v>
      </c>
      <c r="T77" s="10" t="e">
        <v>#N/A</v>
      </c>
      <c r="U77" s="13">
        <v>43.042043190254574</v>
      </c>
      <c r="V77" s="14">
        <v>5.2353240218255133</v>
      </c>
      <c r="W77" s="15">
        <v>0.31823961241058696</v>
      </c>
      <c r="X77" s="16" t="s">
        <v>1592</v>
      </c>
      <c r="Y77" t="s">
        <v>53</v>
      </c>
      <c r="AA77" t="s">
        <v>54</v>
      </c>
      <c r="AC77" s="9"/>
      <c r="AD77" s="12"/>
      <c r="AE77" s="12" t="s">
        <v>56</v>
      </c>
      <c r="AF77" s="19" t="s">
        <v>56</v>
      </c>
      <c r="AG77" s="12" t="s">
        <v>530</v>
      </c>
      <c r="AH77" s="12" t="s">
        <v>428</v>
      </c>
      <c r="AI77" s="12" t="s">
        <v>531</v>
      </c>
      <c r="AJ77" s="12" t="s">
        <v>532</v>
      </c>
      <c r="AK77" s="12" t="s">
        <v>56</v>
      </c>
      <c r="AL77" s="12" t="s">
        <v>1593</v>
      </c>
      <c r="AM77" s="10">
        <v>1.2839999999999998</v>
      </c>
      <c r="AN77" s="10" t="s">
        <v>56</v>
      </c>
      <c r="AO77" t="str">
        <f>_xlfn.CONCAT($AP$1,D77)</f>
        <v>c.404_405delGGinsTT</v>
      </c>
    </row>
    <row r="78" spans="1:41" ht="15" customHeight="1" x14ac:dyDescent="0.2">
      <c r="A78" s="10">
        <v>47</v>
      </c>
      <c r="B78" s="10" t="s">
        <v>39</v>
      </c>
      <c r="C78" s="10" t="s">
        <v>562</v>
      </c>
      <c r="D78" s="10" t="s">
        <v>563</v>
      </c>
      <c r="E78" s="10" t="s">
        <v>564</v>
      </c>
      <c r="F78" s="10" t="s">
        <v>565</v>
      </c>
      <c r="G78" s="10" t="s">
        <v>566</v>
      </c>
      <c r="H78" s="10" t="s">
        <v>567</v>
      </c>
      <c r="I78" s="10" t="s">
        <v>568</v>
      </c>
      <c r="J78" s="10">
        <v>47</v>
      </c>
      <c r="K78" s="10" t="s">
        <v>566</v>
      </c>
      <c r="L78" s="10">
        <v>408</v>
      </c>
      <c r="M78" s="10">
        <v>2</v>
      </c>
      <c r="N78" s="10">
        <v>136</v>
      </c>
      <c r="O78" s="11" t="str">
        <f>HYPERLINK(AL78,"link")</f>
        <v>link</v>
      </c>
      <c r="P78" s="10" t="s">
        <v>569</v>
      </c>
      <c r="Q78" s="12" t="s">
        <v>306</v>
      </c>
      <c r="R78" s="10" t="s">
        <v>49</v>
      </c>
      <c r="S78" t="s">
        <v>50</v>
      </c>
      <c r="T78" s="10" t="s">
        <v>51</v>
      </c>
      <c r="U78" s="13">
        <v>1.7408123791102514</v>
      </c>
      <c r="V78" s="14" t="s">
        <v>56</v>
      </c>
      <c r="W78" s="15">
        <v>8.3501948059762118E-2</v>
      </c>
      <c r="X78" s="16" t="s">
        <v>570</v>
      </c>
      <c r="Y78" t="s">
        <v>72</v>
      </c>
      <c r="AA78" t="s">
        <v>54</v>
      </c>
      <c r="AC78" s="18" t="s">
        <v>308</v>
      </c>
      <c r="AD78" s="12"/>
      <c r="AE78" s="12" t="s">
        <v>56</v>
      </c>
      <c r="AF78" s="19" t="s">
        <v>56</v>
      </c>
      <c r="AG78" s="12" t="s">
        <v>571</v>
      </c>
      <c r="AH78" s="12" t="s">
        <v>428</v>
      </c>
      <c r="AI78" s="12" t="s">
        <v>56</v>
      </c>
      <c r="AJ78" s="12" t="s">
        <v>56</v>
      </c>
      <c r="AK78" s="12" t="s">
        <v>56</v>
      </c>
      <c r="AL78" s="12" t="s">
        <v>572</v>
      </c>
      <c r="AM78" s="10" t="s">
        <v>56</v>
      </c>
      <c r="AN78" s="10" t="s">
        <v>56</v>
      </c>
      <c r="AO78" t="str">
        <f>_xlfn.CONCAT($AP$1,D78)</f>
        <v>c.408C&gt;A</v>
      </c>
    </row>
    <row r="79" spans="1:41" ht="15" customHeight="1" x14ac:dyDescent="0.2">
      <c r="A79" s="10">
        <v>48</v>
      </c>
      <c r="B79" s="10" t="s">
        <v>39</v>
      </c>
      <c r="C79" s="10" t="s">
        <v>573</v>
      </c>
      <c r="D79" s="10" t="s">
        <v>574</v>
      </c>
      <c r="E79" s="10" t="s">
        <v>575</v>
      </c>
      <c r="F79" s="10" t="s">
        <v>576</v>
      </c>
      <c r="G79" s="10" t="s">
        <v>577</v>
      </c>
      <c r="H79" s="10" t="s">
        <v>578</v>
      </c>
      <c r="I79" s="10" t="s">
        <v>579</v>
      </c>
      <c r="J79" s="10">
        <v>48</v>
      </c>
      <c r="K79" s="10" t="s">
        <v>577</v>
      </c>
      <c r="L79" s="10">
        <v>409</v>
      </c>
      <c r="M79" s="10">
        <v>2</v>
      </c>
      <c r="N79" s="10">
        <v>137</v>
      </c>
      <c r="O79" s="11" t="str">
        <f>HYPERLINK(AL79,"link")</f>
        <v>link</v>
      </c>
      <c r="P79" s="10" t="s">
        <v>580</v>
      </c>
      <c r="Q79" s="12">
        <v>5</v>
      </c>
      <c r="R79" s="10" t="s">
        <v>171</v>
      </c>
      <c r="S79" t="s">
        <v>50</v>
      </c>
      <c r="T79" s="10" t="s">
        <v>51</v>
      </c>
      <c r="U79" s="13">
        <v>96.181556195965427</v>
      </c>
      <c r="V79" s="14" t="s">
        <v>56</v>
      </c>
      <c r="W79" s="15">
        <v>2.7501411070675945</v>
      </c>
      <c r="X79" s="16" t="s">
        <v>581</v>
      </c>
      <c r="Y79" t="s">
        <v>214</v>
      </c>
      <c r="AA79" t="s">
        <v>159</v>
      </c>
      <c r="AC79" s="20"/>
      <c r="AD79" s="19" t="s">
        <v>582</v>
      </c>
      <c r="AE79" s="12" t="s">
        <v>583</v>
      </c>
      <c r="AF79" s="19" t="s">
        <v>176</v>
      </c>
      <c r="AG79" s="12" t="s">
        <v>584</v>
      </c>
      <c r="AH79" s="12" t="s">
        <v>428</v>
      </c>
      <c r="AI79" s="12" t="s">
        <v>531</v>
      </c>
      <c r="AJ79" s="12" t="s">
        <v>56</v>
      </c>
      <c r="AK79" s="12" t="s">
        <v>56</v>
      </c>
      <c r="AL79" s="12" t="s">
        <v>585</v>
      </c>
      <c r="AM79" s="10">
        <v>-0.75600000000000012</v>
      </c>
      <c r="AN79" s="10" t="s">
        <v>56</v>
      </c>
      <c r="AO79" t="str">
        <f>_xlfn.CONCAT($AP$1,D79)</f>
        <v>c.409G&gt;A</v>
      </c>
    </row>
    <row r="80" spans="1:41" ht="15" customHeight="1" x14ac:dyDescent="0.2">
      <c r="A80" s="10">
        <v>171</v>
      </c>
      <c r="B80" s="10" t="s">
        <v>39</v>
      </c>
      <c r="C80" s="10" t="s">
        <v>1701</v>
      </c>
      <c r="D80" s="10" t="s">
        <v>1702</v>
      </c>
      <c r="E80" s="10" t="s">
        <v>1703</v>
      </c>
      <c r="F80" s="10" t="s">
        <v>1704</v>
      </c>
      <c r="G80" s="10" t="s">
        <v>1705</v>
      </c>
      <c r="H80" s="10" t="s">
        <v>1706</v>
      </c>
      <c r="I80" s="10"/>
      <c r="J80" s="10">
        <v>171</v>
      </c>
      <c r="K80" s="10" t="s">
        <v>1705</v>
      </c>
      <c r="L80" s="10">
        <v>409</v>
      </c>
      <c r="M80" s="10">
        <v>2</v>
      </c>
      <c r="N80" s="10">
        <v>137</v>
      </c>
      <c r="O80" s="11" t="str">
        <f>HYPERLINK(AL80,"link")</f>
        <v>link</v>
      </c>
      <c r="P80" s="10" t="s">
        <v>1505</v>
      </c>
      <c r="Q80" s="12" t="s">
        <v>1505</v>
      </c>
      <c r="R80" s="10" t="s">
        <v>49</v>
      </c>
      <c r="S80" t="s">
        <v>50</v>
      </c>
      <c r="T80" s="10" t="e">
        <v>#N/A</v>
      </c>
      <c r="U80" s="13">
        <v>74.041811846689896</v>
      </c>
      <c r="V80" s="14" t="s">
        <v>56</v>
      </c>
      <c r="W80" s="15">
        <v>2.1254097725198093</v>
      </c>
      <c r="X80" s="16" t="s">
        <v>1707</v>
      </c>
      <c r="Y80" t="s">
        <v>53</v>
      </c>
      <c r="AA80" t="s">
        <v>54</v>
      </c>
      <c r="AC80" s="20"/>
      <c r="AD80" s="12"/>
      <c r="AE80" s="12" t="s">
        <v>583</v>
      </c>
      <c r="AF80" s="19" t="s">
        <v>56</v>
      </c>
      <c r="AG80" s="12" t="s">
        <v>571</v>
      </c>
      <c r="AH80" s="12" t="s">
        <v>428</v>
      </c>
      <c r="AI80" s="12" t="s">
        <v>56</v>
      </c>
      <c r="AJ80" s="12" t="s">
        <v>56</v>
      </c>
      <c r="AK80" s="12" t="s">
        <v>56</v>
      </c>
      <c r="AL80" s="12" t="s">
        <v>1648</v>
      </c>
      <c r="AM80" s="10" t="s">
        <v>56</v>
      </c>
      <c r="AN80" s="10" t="s">
        <v>56</v>
      </c>
      <c r="AO80" t="str">
        <f>_xlfn.CONCAT($AP$1,D80)</f>
        <v>c.409_426del18</v>
      </c>
    </row>
    <row r="81" spans="1:41" ht="15" customHeight="1" x14ac:dyDescent="0.2">
      <c r="A81" s="10">
        <v>49</v>
      </c>
      <c r="B81" s="10" t="s">
        <v>39</v>
      </c>
      <c r="C81" s="10" t="s">
        <v>586</v>
      </c>
      <c r="D81" s="10" t="s">
        <v>587</v>
      </c>
      <c r="E81" s="10" t="s">
        <v>588</v>
      </c>
      <c r="F81" s="10" t="s">
        <v>589</v>
      </c>
      <c r="G81" s="10" t="s">
        <v>590</v>
      </c>
      <c r="H81" s="10" t="s">
        <v>591</v>
      </c>
      <c r="I81" s="10" t="s">
        <v>592</v>
      </c>
      <c r="J81" s="10">
        <v>49</v>
      </c>
      <c r="K81" s="10" t="s">
        <v>590</v>
      </c>
      <c r="L81" s="10">
        <v>419</v>
      </c>
      <c r="M81" s="10">
        <v>2</v>
      </c>
      <c r="N81" s="10">
        <v>140</v>
      </c>
      <c r="O81" s="11" t="str">
        <f>HYPERLINK(AL81,"link")</f>
        <v>link</v>
      </c>
      <c r="P81" s="10" t="s">
        <v>593</v>
      </c>
      <c r="Q81" s="12">
        <v>7</v>
      </c>
      <c r="R81" s="10" t="s">
        <v>49</v>
      </c>
      <c r="S81" t="s">
        <v>50</v>
      </c>
      <c r="T81" s="10" t="s">
        <v>51</v>
      </c>
      <c r="U81" s="13">
        <v>93.593919652551577</v>
      </c>
      <c r="V81" s="14" t="s">
        <v>56</v>
      </c>
      <c r="W81" s="15">
        <v>3.7156996259876296</v>
      </c>
      <c r="X81" s="16" t="s">
        <v>594</v>
      </c>
      <c r="Y81" t="s">
        <v>214</v>
      </c>
      <c r="AA81" t="s">
        <v>159</v>
      </c>
      <c r="AC81" s="20"/>
      <c r="AD81" s="12"/>
      <c r="AE81" s="12" t="s">
        <v>56</v>
      </c>
      <c r="AF81" s="19" t="s">
        <v>56</v>
      </c>
      <c r="AG81" s="12" t="s">
        <v>595</v>
      </c>
      <c r="AH81" s="12" t="s">
        <v>56</v>
      </c>
      <c r="AI81" s="12" t="s">
        <v>531</v>
      </c>
      <c r="AJ81" s="12" t="s">
        <v>596</v>
      </c>
      <c r="AK81" s="12" t="s">
        <v>56</v>
      </c>
      <c r="AL81" s="12" t="s">
        <v>597</v>
      </c>
      <c r="AM81" s="10">
        <v>0.32</v>
      </c>
      <c r="AN81" s="10" t="s">
        <v>56</v>
      </c>
      <c r="AO81" t="str">
        <f>_xlfn.CONCAT($AP$1,D81)</f>
        <v>c.419G&gt;C</v>
      </c>
    </row>
    <row r="82" spans="1:41" ht="15" customHeight="1" x14ac:dyDescent="0.2">
      <c r="A82" s="10">
        <v>198</v>
      </c>
      <c r="B82" s="10" t="s">
        <v>1610</v>
      </c>
      <c r="C82" s="10" t="s">
        <v>1883</v>
      </c>
      <c r="D82" s="10" t="s">
        <v>1884</v>
      </c>
      <c r="E82" s="10" t="s">
        <v>1885</v>
      </c>
      <c r="F82" s="10" t="s">
        <v>1886</v>
      </c>
      <c r="G82" s="10" t="s">
        <v>1887</v>
      </c>
      <c r="H82" s="10"/>
      <c r="I82" s="10" t="s">
        <v>1883</v>
      </c>
      <c r="J82" s="10">
        <v>198</v>
      </c>
      <c r="K82" s="10" t="s">
        <v>1887</v>
      </c>
      <c r="L82" s="10">
        <v>439</v>
      </c>
      <c r="M82" s="10">
        <v>2</v>
      </c>
      <c r="N82" s="10">
        <v>147</v>
      </c>
      <c r="O82" s="11"/>
      <c r="P82" s="10" t="s">
        <v>1616</v>
      </c>
      <c r="Q82" s="12" t="s">
        <v>1616</v>
      </c>
      <c r="R82" s="10" t="s">
        <v>1214</v>
      </c>
      <c r="T82" s="10" t="e">
        <v>#N/A</v>
      </c>
      <c r="U82" s="13">
        <v>87.619620834745163</v>
      </c>
      <c r="V82" s="14">
        <v>0.9094812909299852</v>
      </c>
      <c r="W82" s="15">
        <v>3.2490251487622945</v>
      </c>
      <c r="X82" s="16" t="s">
        <v>1888</v>
      </c>
      <c r="Y82" t="s">
        <v>214</v>
      </c>
      <c r="AA82" t="s">
        <v>159</v>
      </c>
      <c r="AC82" s="20"/>
      <c r="AD82" s="12"/>
      <c r="AE82" s="12" t="s">
        <v>56</v>
      </c>
      <c r="AF82" s="19" t="s">
        <v>56</v>
      </c>
      <c r="AG82" s="12" t="s">
        <v>1205</v>
      </c>
      <c r="AH82" s="12" t="s">
        <v>56</v>
      </c>
      <c r="AI82" s="12" t="s">
        <v>56</v>
      </c>
      <c r="AJ82" s="12" t="s">
        <v>56</v>
      </c>
      <c r="AK82" s="12" t="s">
        <v>56</v>
      </c>
      <c r="AL82" s="12" t="e">
        <v>#N/A</v>
      </c>
      <c r="AM82" s="10" t="s">
        <v>56</v>
      </c>
      <c r="AN82" s="10" t="s">
        <v>56</v>
      </c>
      <c r="AO82" t="str">
        <f>_xlfn.CONCAT($AP$1,D82)</f>
        <v>c.439C&gt;T</v>
      </c>
    </row>
    <row r="83" spans="1:41" ht="15" customHeight="1" x14ac:dyDescent="0.2">
      <c r="A83" s="10">
        <v>50</v>
      </c>
      <c r="B83" s="10" t="s">
        <v>39</v>
      </c>
      <c r="C83" s="10" t="s">
        <v>598</v>
      </c>
      <c r="D83" s="10" t="s">
        <v>599</v>
      </c>
      <c r="E83" s="10" t="s">
        <v>600</v>
      </c>
      <c r="F83" s="10" t="s">
        <v>601</v>
      </c>
      <c r="G83" s="10" t="s">
        <v>602</v>
      </c>
      <c r="H83" s="10" t="s">
        <v>603</v>
      </c>
      <c r="I83" s="10" t="s">
        <v>604</v>
      </c>
      <c r="J83" s="10">
        <v>50</v>
      </c>
      <c r="K83" s="10" t="s">
        <v>602</v>
      </c>
      <c r="L83" s="10">
        <v>448</v>
      </c>
      <c r="M83" s="10">
        <v>2</v>
      </c>
      <c r="N83" s="10">
        <v>150</v>
      </c>
      <c r="O83" s="11" t="str">
        <f>HYPERLINK(AL83,"link")</f>
        <v>link</v>
      </c>
      <c r="P83" s="10" t="s">
        <v>605</v>
      </c>
      <c r="Q83" s="12">
        <v>2</v>
      </c>
      <c r="R83" s="10" t="s">
        <v>294</v>
      </c>
      <c r="S83" t="s">
        <v>50</v>
      </c>
      <c r="T83" s="10" t="s">
        <v>51</v>
      </c>
      <c r="U83" s="13">
        <v>97.27272727272728</v>
      </c>
      <c r="V83" s="14" t="s">
        <v>56</v>
      </c>
      <c r="W83" s="15">
        <v>2.2559147348735489</v>
      </c>
      <c r="X83" s="16" t="s">
        <v>606</v>
      </c>
      <c r="Y83" t="s">
        <v>214</v>
      </c>
      <c r="AA83" t="s">
        <v>498</v>
      </c>
      <c r="AB83" s="17" t="s">
        <v>607</v>
      </c>
      <c r="AC83" s="20"/>
      <c r="AD83" s="12" t="s">
        <v>608</v>
      </c>
      <c r="AE83" s="12" t="s">
        <v>56</v>
      </c>
      <c r="AF83" s="19" t="s">
        <v>56</v>
      </c>
      <c r="AG83" s="12" t="s">
        <v>609</v>
      </c>
      <c r="AH83" s="12" t="s">
        <v>610</v>
      </c>
      <c r="AI83" s="12" t="s">
        <v>147</v>
      </c>
      <c r="AJ83" s="12" t="s">
        <v>56</v>
      </c>
      <c r="AK83" s="12" t="s">
        <v>56</v>
      </c>
      <c r="AL83" s="12" t="s">
        <v>611</v>
      </c>
      <c r="AM83" s="10">
        <v>1.5839999999999999</v>
      </c>
      <c r="AN83" s="10" t="s">
        <v>56</v>
      </c>
      <c r="AO83" t="str">
        <f>_xlfn.CONCAT($AP$1,D83)</f>
        <v>c.448G&gt;A</v>
      </c>
    </row>
    <row r="84" spans="1:41" ht="15" customHeight="1" x14ac:dyDescent="0.2">
      <c r="A84" s="10">
        <v>51</v>
      </c>
      <c r="B84" s="10" t="s">
        <v>39</v>
      </c>
      <c r="C84" s="10" t="s">
        <v>612</v>
      </c>
      <c r="D84" s="10" t="s">
        <v>613</v>
      </c>
      <c r="E84" s="10" t="s">
        <v>614</v>
      </c>
      <c r="F84" s="10" t="s">
        <v>614</v>
      </c>
      <c r="G84" s="10" t="s">
        <v>615</v>
      </c>
      <c r="H84" s="10" t="s">
        <v>616</v>
      </c>
      <c r="I84" s="10" t="s">
        <v>617</v>
      </c>
      <c r="J84" s="10">
        <v>51</v>
      </c>
      <c r="K84" s="10" t="s">
        <v>615</v>
      </c>
      <c r="L84" s="10">
        <v>480</v>
      </c>
      <c r="M84" s="10">
        <v>2</v>
      </c>
      <c r="N84" s="10">
        <v>160</v>
      </c>
      <c r="O84" s="11" t="str">
        <f>HYPERLINK(AL84,"link")</f>
        <v>link</v>
      </c>
      <c r="P84" s="10" t="s">
        <v>618</v>
      </c>
      <c r="Q84" s="12" t="s">
        <v>619</v>
      </c>
      <c r="R84" s="10" t="s">
        <v>49</v>
      </c>
      <c r="S84" t="s">
        <v>171</v>
      </c>
      <c r="T84" s="10" t="s">
        <v>620</v>
      </c>
      <c r="U84" s="13">
        <v>92.321219226260268</v>
      </c>
      <c r="V84" s="14" t="s">
        <v>56</v>
      </c>
      <c r="W84" s="15">
        <v>2.9521720044062203</v>
      </c>
      <c r="X84" s="16" t="s">
        <v>621</v>
      </c>
      <c r="Y84" t="s">
        <v>214</v>
      </c>
      <c r="AA84" t="s">
        <v>159</v>
      </c>
      <c r="AC84" s="20"/>
      <c r="AD84" s="12"/>
      <c r="AE84" s="12" t="s">
        <v>202</v>
      </c>
      <c r="AF84" s="19" t="s">
        <v>56</v>
      </c>
      <c r="AG84" s="12" t="s">
        <v>622</v>
      </c>
      <c r="AH84" s="12" t="s">
        <v>610</v>
      </c>
      <c r="AI84" s="12" t="s">
        <v>56</v>
      </c>
      <c r="AJ84" s="12" t="s">
        <v>56</v>
      </c>
      <c r="AK84" s="12" t="s">
        <v>56</v>
      </c>
      <c r="AL84" s="12" t="s">
        <v>623</v>
      </c>
      <c r="AM84" s="10" t="s">
        <v>56</v>
      </c>
      <c r="AN84" s="10" t="s">
        <v>56</v>
      </c>
      <c r="AO84" t="str">
        <f>_xlfn.CONCAT($AP$1,D84)</f>
        <v>c.480C&gt;A</v>
      </c>
    </row>
    <row r="85" spans="1:41" ht="15" customHeight="1" x14ac:dyDescent="0.2">
      <c r="A85" s="10">
        <v>52</v>
      </c>
      <c r="B85" s="10" t="s">
        <v>39</v>
      </c>
      <c r="C85" s="10" t="s">
        <v>624</v>
      </c>
      <c r="D85" s="10" t="s">
        <v>625</v>
      </c>
      <c r="E85" s="10" t="s">
        <v>626</v>
      </c>
      <c r="F85" s="10" t="s">
        <v>627</v>
      </c>
      <c r="G85" s="10" t="s">
        <v>628</v>
      </c>
      <c r="H85" s="10" t="s">
        <v>629</v>
      </c>
      <c r="I85" s="10" t="s">
        <v>630</v>
      </c>
      <c r="J85" s="10">
        <v>52</v>
      </c>
      <c r="K85" s="10" t="s">
        <v>628</v>
      </c>
      <c r="L85" s="10">
        <v>481</v>
      </c>
      <c r="M85" s="10">
        <v>2</v>
      </c>
      <c r="N85" s="10">
        <v>161</v>
      </c>
      <c r="O85" s="11" t="str">
        <f>HYPERLINK(AL85,"link")</f>
        <v>link</v>
      </c>
      <c r="P85" s="10" t="s">
        <v>293</v>
      </c>
      <c r="Q85" s="12">
        <v>2</v>
      </c>
      <c r="R85" s="10" t="s">
        <v>49</v>
      </c>
      <c r="S85" t="s">
        <v>50</v>
      </c>
      <c r="T85" s="10" t="s">
        <v>51</v>
      </c>
      <c r="U85" s="13">
        <v>17.686318131256954</v>
      </c>
      <c r="V85" s="14" t="s">
        <v>56</v>
      </c>
      <c r="W85" s="15">
        <v>0.27964716550080132</v>
      </c>
      <c r="X85" s="16" t="s">
        <v>631</v>
      </c>
      <c r="Y85" t="s">
        <v>72</v>
      </c>
      <c r="AA85" t="s">
        <v>54</v>
      </c>
      <c r="AC85" s="20"/>
      <c r="AD85" s="12"/>
      <c r="AE85" s="12" t="s">
        <v>56</v>
      </c>
      <c r="AF85" s="19" t="s">
        <v>56</v>
      </c>
      <c r="AG85" s="12" t="s">
        <v>622</v>
      </c>
      <c r="AH85" s="12" t="s">
        <v>610</v>
      </c>
      <c r="AI85" s="12" t="s">
        <v>56</v>
      </c>
      <c r="AJ85" s="12" t="s">
        <v>56</v>
      </c>
      <c r="AK85" s="12" t="s">
        <v>56</v>
      </c>
      <c r="AL85" s="12" t="s">
        <v>632</v>
      </c>
      <c r="AM85" s="10" t="s">
        <v>56</v>
      </c>
      <c r="AN85" s="10" t="s">
        <v>56</v>
      </c>
      <c r="AO85" t="str">
        <f>_xlfn.CONCAT($AP$1,D85)</f>
        <v>c.481T&gt;C</v>
      </c>
    </row>
    <row r="86" spans="1:41" ht="15" customHeight="1" x14ac:dyDescent="0.2">
      <c r="A86" s="10">
        <v>53</v>
      </c>
      <c r="B86" s="10" t="s">
        <v>39</v>
      </c>
      <c r="C86" s="10" t="s">
        <v>633</v>
      </c>
      <c r="D86" s="10" t="s">
        <v>634</v>
      </c>
      <c r="E86" s="10" t="s">
        <v>635</v>
      </c>
      <c r="F86" s="10" t="s">
        <v>636</v>
      </c>
      <c r="G86" s="10" t="s">
        <v>637</v>
      </c>
      <c r="H86" s="10" t="s">
        <v>638</v>
      </c>
      <c r="I86" s="10" t="s">
        <v>639</v>
      </c>
      <c r="J86" s="10">
        <v>53</v>
      </c>
      <c r="K86" s="10" t="s">
        <v>637</v>
      </c>
      <c r="L86" s="10">
        <v>482</v>
      </c>
      <c r="M86" s="10">
        <v>2</v>
      </c>
      <c r="N86" s="10">
        <v>161</v>
      </c>
      <c r="O86" s="11" t="str">
        <f>HYPERLINK(AL86,"link")</f>
        <v>link</v>
      </c>
      <c r="P86" s="10" t="s">
        <v>640</v>
      </c>
      <c r="Q86" s="12">
        <v>2</v>
      </c>
      <c r="R86" s="10" t="s">
        <v>294</v>
      </c>
      <c r="S86" t="s">
        <v>50</v>
      </c>
      <c r="T86" s="10" t="s">
        <v>51</v>
      </c>
      <c r="U86" s="13">
        <v>1.9505851755526655</v>
      </c>
      <c r="V86" s="14" t="s">
        <v>56</v>
      </c>
      <c r="W86" s="15">
        <v>0.16074309698989769</v>
      </c>
      <c r="X86" s="16" t="s">
        <v>641</v>
      </c>
      <c r="Y86" t="s">
        <v>72</v>
      </c>
      <c r="AA86" t="s">
        <v>54</v>
      </c>
      <c r="AC86" s="18" t="s">
        <v>308</v>
      </c>
      <c r="AD86" s="12"/>
      <c r="AE86" s="12" t="s">
        <v>56</v>
      </c>
      <c r="AF86" s="19" t="s">
        <v>56</v>
      </c>
      <c r="AG86" s="12" t="s">
        <v>622</v>
      </c>
      <c r="AH86" s="12" t="s">
        <v>610</v>
      </c>
      <c r="AI86" s="12" t="s">
        <v>56</v>
      </c>
      <c r="AJ86" s="12" t="s">
        <v>56</v>
      </c>
      <c r="AK86" s="12" t="s">
        <v>56</v>
      </c>
      <c r="AL86" s="12" t="s">
        <v>642</v>
      </c>
      <c r="AM86" s="10" t="s">
        <v>56</v>
      </c>
      <c r="AN86" s="10" t="s">
        <v>56</v>
      </c>
      <c r="AO86" t="str">
        <f>_xlfn.CONCAT($AP$1,D86)</f>
        <v>c.482G&gt;A</v>
      </c>
    </row>
    <row r="87" spans="1:41" ht="15" customHeight="1" x14ac:dyDescent="0.2">
      <c r="A87" s="10">
        <v>170</v>
      </c>
      <c r="B87" s="10" t="s">
        <v>39</v>
      </c>
      <c r="C87" s="10" t="s">
        <v>1694</v>
      </c>
      <c r="D87" s="10" t="s">
        <v>1695</v>
      </c>
      <c r="E87" s="10" t="s">
        <v>1696</v>
      </c>
      <c r="F87" s="10" t="s">
        <v>1697</v>
      </c>
      <c r="G87" s="10" t="s">
        <v>1698</v>
      </c>
      <c r="H87" s="10" t="s">
        <v>1699</v>
      </c>
      <c r="I87" s="10"/>
      <c r="J87" s="10">
        <v>170</v>
      </c>
      <c r="K87" s="10" t="s">
        <v>1698</v>
      </c>
      <c r="L87" s="10">
        <v>488</v>
      </c>
      <c r="M87" s="10">
        <v>2</v>
      </c>
      <c r="N87" s="10">
        <v>163</v>
      </c>
      <c r="O87" s="11" t="str">
        <f>HYPERLINK(AL87,"link")</f>
        <v>link</v>
      </c>
      <c r="P87" s="10" t="s">
        <v>269</v>
      </c>
      <c r="Q87" s="12" t="s">
        <v>270</v>
      </c>
      <c r="R87" s="10" t="s">
        <v>49</v>
      </c>
      <c r="S87" t="s">
        <v>50</v>
      </c>
      <c r="T87" s="10" t="s">
        <v>51</v>
      </c>
      <c r="U87" s="13">
        <v>91.751183231913444</v>
      </c>
      <c r="V87" s="14" t="s">
        <v>56</v>
      </c>
      <c r="W87" s="15">
        <v>2.8465452483718265</v>
      </c>
      <c r="X87" s="16" t="s">
        <v>1700</v>
      </c>
      <c r="Y87" t="s">
        <v>214</v>
      </c>
      <c r="AA87" t="s">
        <v>159</v>
      </c>
      <c r="AC87" s="20"/>
      <c r="AD87" s="12"/>
      <c r="AE87" s="12" t="s">
        <v>56</v>
      </c>
      <c r="AF87" s="19" t="s">
        <v>56</v>
      </c>
      <c r="AG87" s="12" t="s">
        <v>622</v>
      </c>
      <c r="AH87" s="12" t="s">
        <v>610</v>
      </c>
      <c r="AI87" s="12" t="s">
        <v>56</v>
      </c>
      <c r="AJ87" s="12" t="s">
        <v>56</v>
      </c>
      <c r="AK87" s="12" t="s">
        <v>56</v>
      </c>
      <c r="AL87" s="12" t="s">
        <v>1640</v>
      </c>
      <c r="AM87" s="10" t="s">
        <v>56</v>
      </c>
      <c r="AN87" s="10" t="s">
        <v>56</v>
      </c>
      <c r="AO87" t="str">
        <f>_xlfn.CONCAT($AP$1,D87)</f>
        <v>c.488T&gt;C</v>
      </c>
    </row>
    <row r="88" spans="1:41" ht="15" customHeight="1" x14ac:dyDescent="0.2">
      <c r="A88" s="10">
        <v>54</v>
      </c>
      <c r="B88" s="10" t="s">
        <v>39</v>
      </c>
      <c r="C88" s="10" t="s">
        <v>643</v>
      </c>
      <c r="D88" s="10" t="s">
        <v>644</v>
      </c>
      <c r="E88" s="10" t="s">
        <v>645</v>
      </c>
      <c r="F88" s="10" t="s">
        <v>646</v>
      </c>
      <c r="G88" s="10" t="s">
        <v>647</v>
      </c>
      <c r="H88" s="10" t="s">
        <v>648</v>
      </c>
      <c r="I88" s="10" t="s">
        <v>649</v>
      </c>
      <c r="J88" s="10">
        <v>54</v>
      </c>
      <c r="K88" s="10" t="s">
        <v>647</v>
      </c>
      <c r="L88" s="10">
        <v>491</v>
      </c>
      <c r="M88" s="10">
        <v>2</v>
      </c>
      <c r="N88" s="10">
        <v>164</v>
      </c>
      <c r="O88" s="11" t="str">
        <f>HYPERLINK(AL88,"link")</f>
        <v>link</v>
      </c>
      <c r="P88" s="10" t="s">
        <v>105</v>
      </c>
      <c r="Q88" s="12">
        <v>2</v>
      </c>
      <c r="R88" s="10" t="s">
        <v>49</v>
      </c>
      <c r="S88" t="s">
        <v>50</v>
      </c>
      <c r="T88" s="10" t="s">
        <v>51</v>
      </c>
      <c r="U88" s="13">
        <v>15.364916773367476</v>
      </c>
      <c r="V88" s="14" t="s">
        <v>56</v>
      </c>
      <c r="W88" s="15">
        <v>0.22809135561996072</v>
      </c>
      <c r="X88" s="16" t="s">
        <v>650</v>
      </c>
      <c r="Y88" t="s">
        <v>72</v>
      </c>
      <c r="AA88" t="s">
        <v>54</v>
      </c>
      <c r="AC88" s="20"/>
      <c r="AD88" s="12"/>
      <c r="AE88" s="12" t="s">
        <v>56</v>
      </c>
      <c r="AF88" s="19" t="s">
        <v>56</v>
      </c>
      <c r="AG88" s="12" t="s">
        <v>609</v>
      </c>
      <c r="AH88" s="12" t="s">
        <v>610</v>
      </c>
      <c r="AI88" s="12" t="s">
        <v>147</v>
      </c>
      <c r="AJ88" s="12" t="s">
        <v>56</v>
      </c>
      <c r="AK88" s="12" t="s">
        <v>56</v>
      </c>
      <c r="AL88" s="12" t="s">
        <v>470</v>
      </c>
      <c r="AM88" s="10">
        <v>10.7</v>
      </c>
      <c r="AN88" s="10" t="s">
        <v>56</v>
      </c>
      <c r="AO88" t="str">
        <f>_xlfn.CONCAT($AP$1,D88)</f>
        <v>c.491C&gt;A</v>
      </c>
    </row>
    <row r="89" spans="1:41" ht="15" customHeight="1" x14ac:dyDescent="0.2">
      <c r="A89" s="10">
        <v>55</v>
      </c>
      <c r="B89" s="10" t="s">
        <v>39</v>
      </c>
      <c r="C89" s="10" t="s">
        <v>651</v>
      </c>
      <c r="D89" s="10" t="s">
        <v>652</v>
      </c>
      <c r="E89" s="10" t="s">
        <v>653</v>
      </c>
      <c r="F89" s="10" t="s">
        <v>654</v>
      </c>
      <c r="G89" s="10" t="s">
        <v>655</v>
      </c>
      <c r="H89" s="10" t="s">
        <v>656</v>
      </c>
      <c r="I89" s="10" t="s">
        <v>657</v>
      </c>
      <c r="J89" s="10">
        <v>55</v>
      </c>
      <c r="K89" s="10" t="s">
        <v>655</v>
      </c>
      <c r="L89" s="10">
        <v>491</v>
      </c>
      <c r="M89" s="10">
        <v>2</v>
      </c>
      <c r="N89" s="10">
        <v>164</v>
      </c>
      <c r="O89" s="11" t="str">
        <f>HYPERLINK(AL89,"link")</f>
        <v>link</v>
      </c>
      <c r="P89" s="10" t="s">
        <v>105</v>
      </c>
      <c r="Q89" s="12">
        <v>2</v>
      </c>
      <c r="R89" s="10" t="s">
        <v>49</v>
      </c>
      <c r="S89" t="s">
        <v>50</v>
      </c>
      <c r="T89" s="10" t="s">
        <v>51</v>
      </c>
      <c r="U89" s="13">
        <v>85.008375209380233</v>
      </c>
      <c r="V89" s="14" t="s">
        <v>56</v>
      </c>
      <c r="W89" s="15">
        <v>2.1006747784145894</v>
      </c>
      <c r="X89" s="16" t="s">
        <v>658</v>
      </c>
      <c r="Y89" t="s">
        <v>158</v>
      </c>
      <c r="Z89" s="22" t="s">
        <v>424</v>
      </c>
      <c r="AA89" t="s">
        <v>224</v>
      </c>
      <c r="AB89" s="17" t="s">
        <v>225</v>
      </c>
      <c r="AC89" s="20"/>
      <c r="AD89" s="12"/>
      <c r="AE89" s="12" t="s">
        <v>56</v>
      </c>
      <c r="AF89" s="19" t="s">
        <v>56</v>
      </c>
      <c r="AG89" s="12" t="s">
        <v>609</v>
      </c>
      <c r="AH89" s="12" t="s">
        <v>610</v>
      </c>
      <c r="AI89" s="12" t="s">
        <v>147</v>
      </c>
      <c r="AJ89" s="12" t="s">
        <v>56</v>
      </c>
      <c r="AK89" s="12" t="s">
        <v>56</v>
      </c>
      <c r="AL89" s="12" t="s">
        <v>458</v>
      </c>
      <c r="AM89" s="10">
        <v>4.532</v>
      </c>
      <c r="AN89" s="10" t="s">
        <v>56</v>
      </c>
      <c r="AO89" t="str">
        <f>_xlfn.CONCAT($AP$1,D89)</f>
        <v>c.491C&gt;T</v>
      </c>
    </row>
    <row r="90" spans="1:41" ht="15" customHeight="1" x14ac:dyDescent="0.2">
      <c r="A90" s="10">
        <v>56</v>
      </c>
      <c r="B90" s="10" t="s">
        <v>39</v>
      </c>
      <c r="C90" s="10" t="s">
        <v>659</v>
      </c>
      <c r="D90" s="10" t="s">
        <v>660</v>
      </c>
      <c r="E90" s="10" t="s">
        <v>661</v>
      </c>
      <c r="F90" s="10" t="s">
        <v>662</v>
      </c>
      <c r="G90" s="10" t="s">
        <v>663</v>
      </c>
      <c r="H90" s="10" t="s">
        <v>664</v>
      </c>
      <c r="I90" s="10" t="s">
        <v>665</v>
      </c>
      <c r="J90" s="10">
        <v>56</v>
      </c>
      <c r="K90" s="10" t="s">
        <v>663</v>
      </c>
      <c r="L90" s="10">
        <v>499</v>
      </c>
      <c r="M90" s="10">
        <v>2</v>
      </c>
      <c r="N90" s="10">
        <v>167</v>
      </c>
      <c r="O90" s="11" t="str">
        <f>HYPERLINK(AL90,"link")</f>
        <v>link</v>
      </c>
      <c r="P90" s="10" t="s">
        <v>666</v>
      </c>
      <c r="Q90" s="12">
        <v>2</v>
      </c>
      <c r="R90" s="10" t="s">
        <v>49</v>
      </c>
      <c r="S90" t="s">
        <v>50</v>
      </c>
      <c r="T90" s="10" t="s">
        <v>51</v>
      </c>
      <c r="U90" s="13">
        <v>52.859027140298828</v>
      </c>
      <c r="V90" s="14">
        <v>2.4031655033398498</v>
      </c>
      <c r="W90" s="15">
        <v>0.53295236418282077</v>
      </c>
      <c r="X90" s="16" t="s">
        <v>667</v>
      </c>
      <c r="Y90" t="s">
        <v>53</v>
      </c>
      <c r="AA90" t="s">
        <v>200</v>
      </c>
      <c r="AB90" s="17" t="s">
        <v>668</v>
      </c>
      <c r="AC90" s="20"/>
      <c r="AD90" s="12"/>
      <c r="AE90" s="12" t="s">
        <v>56</v>
      </c>
      <c r="AF90" s="19" t="s">
        <v>56</v>
      </c>
      <c r="AG90" s="12" t="s">
        <v>669</v>
      </c>
      <c r="AH90" s="12" t="s">
        <v>670</v>
      </c>
      <c r="AI90" s="12" t="s">
        <v>147</v>
      </c>
      <c r="AJ90" s="12" t="s">
        <v>469</v>
      </c>
      <c r="AK90" s="12" t="s">
        <v>56</v>
      </c>
      <c r="AL90" s="12" t="s">
        <v>500</v>
      </c>
      <c r="AM90" s="10">
        <v>11.884</v>
      </c>
      <c r="AN90" s="10" t="s">
        <v>56</v>
      </c>
      <c r="AO90" t="str">
        <f>_xlfn.CONCAT($AP$1,D90)</f>
        <v>c.499T&gt;C</v>
      </c>
    </row>
    <row r="91" spans="1:41" ht="15" customHeight="1" x14ac:dyDescent="0.2">
      <c r="A91" s="10">
        <v>57</v>
      </c>
      <c r="B91" s="10" t="s">
        <v>39</v>
      </c>
      <c r="C91" s="10" t="s">
        <v>671</v>
      </c>
      <c r="D91" s="10" t="s">
        <v>672</v>
      </c>
      <c r="E91" s="10" t="s">
        <v>673</v>
      </c>
      <c r="F91" s="10" t="s">
        <v>674</v>
      </c>
      <c r="G91" s="10" t="s">
        <v>675</v>
      </c>
      <c r="H91" s="10" t="s">
        <v>676</v>
      </c>
      <c r="I91" s="10" t="s">
        <v>677</v>
      </c>
      <c r="J91" s="10">
        <v>57</v>
      </c>
      <c r="K91" s="10" t="s">
        <v>675</v>
      </c>
      <c r="L91" s="10">
        <v>501</v>
      </c>
      <c r="M91" s="10">
        <v>2</v>
      </c>
      <c r="N91" s="10">
        <v>167</v>
      </c>
      <c r="O91" s="11" t="str">
        <f>HYPERLINK(AL91,"link")</f>
        <v>link</v>
      </c>
      <c r="P91" s="10" t="s">
        <v>666</v>
      </c>
      <c r="Q91" s="12">
        <v>2</v>
      </c>
      <c r="R91" s="10" t="s">
        <v>171</v>
      </c>
      <c r="S91" t="s">
        <v>50</v>
      </c>
      <c r="T91" s="10" t="s">
        <v>51</v>
      </c>
      <c r="U91" s="13">
        <v>17.543859649122808</v>
      </c>
      <c r="V91" s="14" t="s">
        <v>56</v>
      </c>
      <c r="W91" s="15">
        <v>0.17803885335879815</v>
      </c>
      <c r="X91" s="16" t="s">
        <v>678</v>
      </c>
      <c r="Y91" t="s">
        <v>72</v>
      </c>
      <c r="AA91" t="s">
        <v>351</v>
      </c>
      <c r="AC91" s="20"/>
      <c r="AD91" s="12"/>
      <c r="AE91" s="12" t="s">
        <v>56</v>
      </c>
      <c r="AF91" s="19" t="s">
        <v>56</v>
      </c>
      <c r="AG91" s="12" t="s">
        <v>669</v>
      </c>
      <c r="AH91" s="12" t="s">
        <v>670</v>
      </c>
      <c r="AI91" s="12" t="s">
        <v>147</v>
      </c>
      <c r="AJ91" s="12" t="s">
        <v>469</v>
      </c>
      <c r="AK91" s="12" t="s">
        <v>56</v>
      </c>
      <c r="AL91" s="12" t="s">
        <v>679</v>
      </c>
      <c r="AM91" s="10">
        <v>7.93</v>
      </c>
      <c r="AN91" s="10" t="s">
        <v>56</v>
      </c>
      <c r="AO91" t="str">
        <f>_xlfn.CONCAT($AP$1,D91)</f>
        <v>c.501C&gt;G</v>
      </c>
    </row>
    <row r="92" spans="1:41" ht="15" customHeight="1" x14ac:dyDescent="0.2">
      <c r="A92" s="10">
        <v>169</v>
      </c>
      <c r="B92" s="10" t="s">
        <v>39</v>
      </c>
      <c r="C92" s="10" t="s">
        <v>1686</v>
      </c>
      <c r="D92" s="10" t="s">
        <v>1687</v>
      </c>
      <c r="E92" s="10" t="s">
        <v>1688</v>
      </c>
      <c r="F92" s="10" t="s">
        <v>1689</v>
      </c>
      <c r="G92" s="10" t="s">
        <v>1690</v>
      </c>
      <c r="H92" s="10" t="s">
        <v>1691</v>
      </c>
      <c r="I92" s="10"/>
      <c r="J92" s="10">
        <v>169</v>
      </c>
      <c r="K92" s="10" t="s">
        <v>1690</v>
      </c>
      <c r="L92" s="10">
        <v>500</v>
      </c>
      <c r="M92" s="10">
        <v>2</v>
      </c>
      <c r="N92" s="10">
        <v>167</v>
      </c>
      <c r="O92" s="11" t="str">
        <f>HYPERLINK(AL92,"link")</f>
        <v>link</v>
      </c>
      <c r="P92" s="10" t="s">
        <v>270</v>
      </c>
      <c r="Q92" s="12" t="s">
        <v>270</v>
      </c>
      <c r="R92" s="10" t="s">
        <v>49</v>
      </c>
      <c r="S92" t="s">
        <v>50</v>
      </c>
      <c r="T92" s="10" t="s">
        <v>51</v>
      </c>
      <c r="U92" s="13">
        <v>48.592371413155</v>
      </c>
      <c r="V92" s="14">
        <v>5.0563824029398079</v>
      </c>
      <c r="W92" s="15">
        <v>0.31190171165357955</v>
      </c>
      <c r="X92" s="16" t="s">
        <v>1692</v>
      </c>
      <c r="Y92" t="s">
        <v>53</v>
      </c>
      <c r="AA92" t="s">
        <v>901</v>
      </c>
      <c r="AB92" s="17" t="s">
        <v>902</v>
      </c>
      <c r="AC92" s="20"/>
      <c r="AD92" s="12"/>
      <c r="AE92" s="12" t="s">
        <v>56</v>
      </c>
      <c r="AF92" s="19" t="s">
        <v>56</v>
      </c>
      <c r="AG92" s="12" t="s">
        <v>1693</v>
      </c>
      <c r="AH92" s="12" t="s">
        <v>670</v>
      </c>
      <c r="AI92" s="12" t="s">
        <v>56</v>
      </c>
      <c r="AJ92" s="12" t="s">
        <v>56</v>
      </c>
      <c r="AK92" s="12" t="s">
        <v>56</v>
      </c>
      <c r="AL92" s="12" t="s">
        <v>1640</v>
      </c>
      <c r="AM92" s="10" t="s">
        <v>56</v>
      </c>
      <c r="AN92" s="10" t="s">
        <v>56</v>
      </c>
      <c r="AO92" t="str">
        <f>_xlfn.CONCAT($AP$1,D92)</f>
        <v>c.500G&gt;A</v>
      </c>
    </row>
    <row r="93" spans="1:41" ht="15" customHeight="1" x14ac:dyDescent="0.2">
      <c r="A93" s="10">
        <v>135</v>
      </c>
      <c r="B93" s="10" t="s">
        <v>1420</v>
      </c>
      <c r="C93" s="10" t="s">
        <v>1421</v>
      </c>
      <c r="D93" s="10" t="s">
        <v>1422</v>
      </c>
      <c r="E93" s="10" t="s">
        <v>1423</v>
      </c>
      <c r="F93" s="10" t="s">
        <v>1424</v>
      </c>
      <c r="G93" s="10" t="s">
        <v>1425</v>
      </c>
      <c r="H93" s="10" t="s">
        <v>1426</v>
      </c>
      <c r="I93" s="10" t="s">
        <v>1427</v>
      </c>
      <c r="J93" s="10">
        <v>135</v>
      </c>
      <c r="K93" s="10" t="s">
        <v>1425</v>
      </c>
      <c r="L93" s="10">
        <v>505</v>
      </c>
      <c r="M93" s="10">
        <v>2</v>
      </c>
      <c r="N93" s="10">
        <v>169</v>
      </c>
      <c r="O93" s="11" t="str">
        <f>HYPERLINK(AL93,"link")</f>
        <v>link</v>
      </c>
      <c r="P93" s="10" t="s">
        <v>269</v>
      </c>
      <c r="Q93" s="12" t="s">
        <v>270</v>
      </c>
      <c r="R93" s="10" t="s">
        <v>49</v>
      </c>
      <c r="S93" t="s">
        <v>50</v>
      </c>
      <c r="T93" s="10" t="s">
        <v>51</v>
      </c>
      <c r="U93" s="13">
        <v>26.025791324736229</v>
      </c>
      <c r="V93" s="14" t="s">
        <v>56</v>
      </c>
      <c r="W93" s="15">
        <v>0.13311197133992794</v>
      </c>
      <c r="X93" s="16" t="s">
        <v>1428</v>
      </c>
      <c r="Y93" t="s">
        <v>72</v>
      </c>
      <c r="AA93" t="s">
        <v>272</v>
      </c>
      <c r="AB93" s="17" t="s">
        <v>273</v>
      </c>
      <c r="AC93" s="20"/>
      <c r="AD93" s="12"/>
      <c r="AE93" s="12" t="s">
        <v>1429</v>
      </c>
      <c r="AF93" s="19" t="s">
        <v>56</v>
      </c>
      <c r="AG93" s="12" t="s">
        <v>622</v>
      </c>
      <c r="AH93" s="12" t="s">
        <v>610</v>
      </c>
      <c r="AI93" s="12" t="s">
        <v>56</v>
      </c>
      <c r="AJ93" s="12" t="s">
        <v>56</v>
      </c>
      <c r="AK93" s="12" t="s">
        <v>56</v>
      </c>
      <c r="AL93" s="12" t="s">
        <v>1430</v>
      </c>
      <c r="AM93" s="10" t="s">
        <v>56</v>
      </c>
      <c r="AN93" s="10" t="s">
        <v>56</v>
      </c>
      <c r="AO93" t="str">
        <f>_xlfn.CONCAT($AP$1,D93)</f>
        <v>c.505G&gt;C</v>
      </c>
    </row>
    <row r="94" spans="1:41" ht="15" customHeight="1" x14ac:dyDescent="0.2">
      <c r="A94" s="10">
        <v>58</v>
      </c>
      <c r="B94" s="10" t="s">
        <v>39</v>
      </c>
      <c r="C94" s="10" t="s">
        <v>680</v>
      </c>
      <c r="D94" s="10" t="s">
        <v>681</v>
      </c>
      <c r="E94" s="10" t="s">
        <v>682</v>
      </c>
      <c r="F94" s="10" t="s">
        <v>683</v>
      </c>
      <c r="G94" s="10" t="s">
        <v>684</v>
      </c>
      <c r="H94" s="10" t="s">
        <v>685</v>
      </c>
      <c r="I94" s="10" t="s">
        <v>686</v>
      </c>
      <c r="J94" s="10">
        <v>58</v>
      </c>
      <c r="K94" s="10" t="s">
        <v>684</v>
      </c>
      <c r="L94" s="10">
        <v>509</v>
      </c>
      <c r="M94" s="10">
        <v>2</v>
      </c>
      <c r="N94" s="10">
        <v>170</v>
      </c>
      <c r="O94" s="11" t="str">
        <f>HYPERLINK(AL94,"link")</f>
        <v>link</v>
      </c>
      <c r="P94" s="10" t="s">
        <v>143</v>
      </c>
      <c r="Q94" s="12">
        <v>2</v>
      </c>
      <c r="R94" s="10" t="s">
        <v>49</v>
      </c>
      <c r="S94" t="s">
        <v>50</v>
      </c>
      <c r="T94" s="10" t="s">
        <v>51</v>
      </c>
      <c r="U94" s="13">
        <v>18.391866913123845</v>
      </c>
      <c r="V94" s="14" t="s">
        <v>56</v>
      </c>
      <c r="W94" s="15">
        <v>0.21750377059516149</v>
      </c>
      <c r="X94" s="16" t="s">
        <v>687</v>
      </c>
      <c r="Y94" t="s">
        <v>72</v>
      </c>
      <c r="AA94" t="s">
        <v>54</v>
      </c>
      <c r="AC94" s="20"/>
      <c r="AD94" s="12"/>
      <c r="AE94" s="12" t="s">
        <v>56</v>
      </c>
      <c r="AF94" s="19" t="s">
        <v>56</v>
      </c>
      <c r="AG94" s="12" t="s">
        <v>688</v>
      </c>
      <c r="AH94" s="12" t="s">
        <v>610</v>
      </c>
      <c r="AI94" s="12" t="s">
        <v>59</v>
      </c>
      <c r="AJ94" s="12" t="s">
        <v>56</v>
      </c>
      <c r="AK94" s="12" t="s">
        <v>56</v>
      </c>
      <c r="AL94" s="12" t="s">
        <v>689</v>
      </c>
      <c r="AM94" s="10">
        <v>1.9700000000000002</v>
      </c>
      <c r="AN94" s="10" t="s">
        <v>56</v>
      </c>
      <c r="AO94" t="str">
        <f>_xlfn.CONCAT($AP$1,D94)</f>
        <v>c.509C&gt;G</v>
      </c>
    </row>
    <row r="95" spans="1:41" ht="15" customHeight="1" x14ac:dyDescent="0.2">
      <c r="A95" s="10">
        <v>168</v>
      </c>
      <c r="B95" s="10" t="s">
        <v>39</v>
      </c>
      <c r="C95" s="10" t="s">
        <v>1678</v>
      </c>
      <c r="D95" s="10" t="s">
        <v>1679</v>
      </c>
      <c r="E95" s="10" t="s">
        <v>1680</v>
      </c>
      <c r="F95" s="10" t="s">
        <v>1681</v>
      </c>
      <c r="G95" s="10" t="s">
        <v>1682</v>
      </c>
      <c r="H95" s="10" t="s">
        <v>1683</v>
      </c>
      <c r="I95" s="10"/>
      <c r="J95" s="10">
        <v>168</v>
      </c>
      <c r="K95" s="10" t="s">
        <v>1682</v>
      </c>
      <c r="L95" s="10">
        <v>509</v>
      </c>
      <c r="M95" s="10">
        <v>2</v>
      </c>
      <c r="N95" s="10">
        <v>170</v>
      </c>
      <c r="O95" s="11" t="str">
        <f>HYPERLINK(AL95,"link")</f>
        <v>link</v>
      </c>
      <c r="P95" s="10" t="s">
        <v>269</v>
      </c>
      <c r="Q95" s="12" t="s">
        <v>270</v>
      </c>
      <c r="R95" s="10" t="s">
        <v>49</v>
      </c>
      <c r="S95" t="s">
        <v>50</v>
      </c>
      <c r="T95" s="10" t="s">
        <v>51</v>
      </c>
      <c r="U95" s="13">
        <v>9.3996361431170428</v>
      </c>
      <c r="V95" s="14" t="s">
        <v>56</v>
      </c>
      <c r="W95" s="15">
        <v>0.26533765914495722</v>
      </c>
      <c r="X95" s="16" t="s">
        <v>1684</v>
      </c>
      <c r="Y95" t="s">
        <v>72</v>
      </c>
      <c r="AA95" t="s">
        <v>272</v>
      </c>
      <c r="AB95" s="17" t="s">
        <v>273</v>
      </c>
      <c r="AC95" s="20"/>
      <c r="AD95" s="12"/>
      <c r="AE95" s="12" t="s">
        <v>56</v>
      </c>
      <c r="AF95" s="19" t="s">
        <v>56</v>
      </c>
      <c r="AG95" s="12" t="s">
        <v>622</v>
      </c>
      <c r="AH95" s="12" t="s">
        <v>610</v>
      </c>
      <c r="AI95" s="12" t="s">
        <v>56</v>
      </c>
      <c r="AJ95" s="12" t="s">
        <v>56</v>
      </c>
      <c r="AK95" s="12" t="s">
        <v>56</v>
      </c>
      <c r="AL95" s="12" t="s">
        <v>1685</v>
      </c>
      <c r="AM95" s="10" t="s">
        <v>56</v>
      </c>
      <c r="AN95" s="10" t="s">
        <v>56</v>
      </c>
      <c r="AO95" t="str">
        <f>_xlfn.CONCAT($AP$1,D95)</f>
        <v>c.509C&gt;A</v>
      </c>
    </row>
    <row r="96" spans="1:41" ht="15" customHeight="1" x14ac:dyDescent="0.2">
      <c r="A96" s="10">
        <v>59</v>
      </c>
      <c r="B96" s="10" t="s">
        <v>39</v>
      </c>
      <c r="C96" s="10" t="s">
        <v>690</v>
      </c>
      <c r="D96" s="10" t="s">
        <v>691</v>
      </c>
      <c r="E96" s="10" t="s">
        <v>692</v>
      </c>
      <c r="F96" s="10" t="s">
        <v>693</v>
      </c>
      <c r="G96" s="10" t="s">
        <v>694</v>
      </c>
      <c r="H96" s="10" t="s">
        <v>695</v>
      </c>
      <c r="I96" s="10" t="s">
        <v>696</v>
      </c>
      <c r="J96" s="10">
        <v>59</v>
      </c>
      <c r="K96" s="10" t="s">
        <v>694</v>
      </c>
      <c r="L96" s="10">
        <v>511</v>
      </c>
      <c r="M96" s="10">
        <v>2</v>
      </c>
      <c r="N96" s="10">
        <v>171</v>
      </c>
      <c r="O96" s="11" t="str">
        <f>HYPERLINK(AL96,"link")</f>
        <v>link</v>
      </c>
      <c r="P96" s="10" t="s">
        <v>105</v>
      </c>
      <c r="Q96" s="12">
        <v>2</v>
      </c>
      <c r="R96" s="10" t="s">
        <v>49</v>
      </c>
      <c r="S96" t="s">
        <v>50</v>
      </c>
      <c r="T96" s="10" t="s">
        <v>51</v>
      </c>
      <c r="U96" s="13">
        <v>12.628255722178375</v>
      </c>
      <c r="V96" s="14" t="s">
        <v>56</v>
      </c>
      <c r="W96" s="15">
        <v>0.18079035839813379</v>
      </c>
      <c r="X96" s="16" t="s">
        <v>697</v>
      </c>
      <c r="Y96" t="s">
        <v>72</v>
      </c>
      <c r="AA96" t="s">
        <v>54</v>
      </c>
      <c r="AC96" s="20"/>
      <c r="AD96" s="12"/>
      <c r="AE96" s="12" t="s">
        <v>56</v>
      </c>
      <c r="AF96" s="19" t="s">
        <v>56</v>
      </c>
      <c r="AG96" s="12" t="s">
        <v>688</v>
      </c>
      <c r="AH96" s="12" t="s">
        <v>610</v>
      </c>
      <c r="AI96" s="12" t="s">
        <v>59</v>
      </c>
      <c r="AJ96" s="12" t="s">
        <v>56</v>
      </c>
      <c r="AK96" s="12" t="s">
        <v>56</v>
      </c>
      <c r="AL96" s="12" t="s">
        <v>470</v>
      </c>
      <c r="AM96" s="10">
        <v>3.4979999999999998</v>
      </c>
      <c r="AN96" s="10" t="s">
        <v>56</v>
      </c>
      <c r="AO96" t="str">
        <f>_xlfn.CONCAT($AP$1,D96)</f>
        <v>c.511C&gt;T</v>
      </c>
    </row>
    <row r="97" spans="1:41" ht="15" customHeight="1" x14ac:dyDescent="0.2">
      <c r="A97" s="10">
        <v>60</v>
      </c>
      <c r="B97" s="10" t="s">
        <v>39</v>
      </c>
      <c r="C97" s="10" t="s">
        <v>698</v>
      </c>
      <c r="D97" s="10" t="s">
        <v>699</v>
      </c>
      <c r="E97" s="10" t="s">
        <v>700</v>
      </c>
      <c r="F97" s="10" t="s">
        <v>701</v>
      </c>
      <c r="G97" s="10" t="s">
        <v>702</v>
      </c>
      <c r="H97" s="10" t="s">
        <v>703</v>
      </c>
      <c r="I97" s="10" t="s">
        <v>704</v>
      </c>
      <c r="J97" s="10">
        <v>60</v>
      </c>
      <c r="K97" s="10" t="s">
        <v>702</v>
      </c>
      <c r="L97" s="10">
        <v>512</v>
      </c>
      <c r="M97" s="10">
        <v>2</v>
      </c>
      <c r="N97" s="10">
        <v>171</v>
      </c>
      <c r="O97" s="11" t="str">
        <f>HYPERLINK(AL97,"link")</f>
        <v>link</v>
      </c>
      <c r="P97" s="10" t="s">
        <v>105</v>
      </c>
      <c r="Q97" s="12">
        <v>2</v>
      </c>
      <c r="R97" s="10" t="s">
        <v>49</v>
      </c>
      <c r="S97" t="s">
        <v>50</v>
      </c>
      <c r="T97" s="10" t="s">
        <v>51</v>
      </c>
      <c r="U97" s="13">
        <v>10.547320410490309</v>
      </c>
      <c r="V97" s="14" t="s">
        <v>56</v>
      </c>
      <c r="W97" s="15">
        <v>0.36209898023289644</v>
      </c>
      <c r="X97" s="16" t="s">
        <v>705</v>
      </c>
      <c r="Y97" t="s">
        <v>72</v>
      </c>
      <c r="AA97" t="s">
        <v>54</v>
      </c>
      <c r="AC97" s="20"/>
      <c r="AD97" s="12"/>
      <c r="AE97" s="12" t="s">
        <v>56</v>
      </c>
      <c r="AF97" s="19" t="s">
        <v>56</v>
      </c>
      <c r="AG97" s="12" t="s">
        <v>688</v>
      </c>
      <c r="AH97" s="12" t="s">
        <v>610</v>
      </c>
      <c r="AI97" s="12" t="s">
        <v>59</v>
      </c>
      <c r="AJ97" s="12" t="s">
        <v>56</v>
      </c>
      <c r="AK97" s="12" t="s">
        <v>56</v>
      </c>
      <c r="AL97" s="12" t="s">
        <v>706</v>
      </c>
      <c r="AM97" s="10">
        <v>8.6859999999999982</v>
      </c>
      <c r="AN97" s="10" t="s">
        <v>56</v>
      </c>
      <c r="AO97" t="str">
        <f>_xlfn.CONCAT($AP$1,D97)</f>
        <v>c.512C&gt;A</v>
      </c>
    </row>
    <row r="98" spans="1:41" ht="15" customHeight="1" x14ac:dyDescent="0.2">
      <c r="A98" s="10">
        <v>61</v>
      </c>
      <c r="B98" s="10" t="s">
        <v>39</v>
      </c>
      <c r="C98" s="10" t="s">
        <v>707</v>
      </c>
      <c r="D98" s="10" t="s">
        <v>708</v>
      </c>
      <c r="E98" s="10" t="s">
        <v>709</v>
      </c>
      <c r="F98" s="10" t="s">
        <v>710</v>
      </c>
      <c r="G98" s="10" t="s">
        <v>711</v>
      </c>
      <c r="H98" s="10" t="s">
        <v>712</v>
      </c>
      <c r="I98" s="10" t="s">
        <v>713</v>
      </c>
      <c r="J98" s="10">
        <v>61</v>
      </c>
      <c r="K98" s="10" t="s">
        <v>711</v>
      </c>
      <c r="L98" s="10">
        <v>512</v>
      </c>
      <c r="M98" s="10">
        <v>2</v>
      </c>
      <c r="N98" s="10">
        <v>171</v>
      </c>
      <c r="O98" s="11" t="str">
        <f>HYPERLINK(AL98,"link")</f>
        <v>link</v>
      </c>
      <c r="P98" s="10" t="s">
        <v>105</v>
      </c>
      <c r="Q98" s="12">
        <v>2</v>
      </c>
      <c r="R98" s="10" t="s">
        <v>49</v>
      </c>
      <c r="S98" t="s">
        <v>50</v>
      </c>
      <c r="T98" s="10" t="s">
        <v>51</v>
      </c>
      <c r="U98" s="13">
        <v>19.529983792544574</v>
      </c>
      <c r="V98" s="14" t="s">
        <v>56</v>
      </c>
      <c r="W98" s="15">
        <v>0.16781343436526222</v>
      </c>
      <c r="X98" s="16" t="s">
        <v>714</v>
      </c>
      <c r="Y98" t="s">
        <v>72</v>
      </c>
      <c r="AA98" t="s">
        <v>54</v>
      </c>
      <c r="AC98" s="20"/>
      <c r="AD98" s="12"/>
      <c r="AE98" s="12" t="s">
        <v>56</v>
      </c>
      <c r="AF98" s="19" t="s">
        <v>56</v>
      </c>
      <c r="AG98" s="12" t="s">
        <v>688</v>
      </c>
      <c r="AH98" s="12" t="s">
        <v>610</v>
      </c>
      <c r="AI98" s="12" t="s">
        <v>59</v>
      </c>
      <c r="AJ98" s="12" t="s">
        <v>56</v>
      </c>
      <c r="AK98" s="12" t="s">
        <v>56</v>
      </c>
      <c r="AL98" s="12" t="s">
        <v>500</v>
      </c>
      <c r="AM98" s="10">
        <v>7.3439999999999994</v>
      </c>
      <c r="AN98" s="10" t="s">
        <v>56</v>
      </c>
      <c r="AO98" t="str">
        <f>_xlfn.CONCAT($AP$1,D98)</f>
        <v>c.512C&gt;T</v>
      </c>
    </row>
    <row r="99" spans="1:41" ht="15" customHeight="1" x14ac:dyDescent="0.2">
      <c r="A99" s="10">
        <v>140</v>
      </c>
      <c r="B99" s="10" t="s">
        <v>1431</v>
      </c>
      <c r="C99" s="10" t="s">
        <v>1468</v>
      </c>
      <c r="D99" s="10" t="s">
        <v>1469</v>
      </c>
      <c r="E99" s="10" t="s">
        <v>1470</v>
      </c>
      <c r="F99" s="10" t="s">
        <v>1471</v>
      </c>
      <c r="G99" s="10" t="s">
        <v>1472</v>
      </c>
      <c r="H99" s="10" t="s">
        <v>1473</v>
      </c>
      <c r="I99" s="10" t="s">
        <v>1473</v>
      </c>
      <c r="J99" s="10">
        <v>140</v>
      </c>
      <c r="K99" s="10" t="s">
        <v>1472</v>
      </c>
      <c r="L99" s="10">
        <v>511</v>
      </c>
      <c r="M99" s="10">
        <v>2</v>
      </c>
      <c r="N99" s="10">
        <v>171</v>
      </c>
      <c r="O99" s="11" t="str">
        <f>HYPERLINK(AL99,"link")</f>
        <v>link</v>
      </c>
      <c r="P99" s="10" t="s">
        <v>1474</v>
      </c>
      <c r="Q99" s="12">
        <v>2</v>
      </c>
      <c r="R99" s="10" t="s">
        <v>49</v>
      </c>
      <c r="S99" t="s">
        <v>50</v>
      </c>
      <c r="T99" s="10" t="e">
        <v>#N/A</v>
      </c>
      <c r="U99" s="13">
        <v>12.347266881028938</v>
      </c>
      <c r="V99" s="14" t="s">
        <v>56</v>
      </c>
      <c r="W99" s="15">
        <v>0.13156705842718269</v>
      </c>
      <c r="X99" s="16" t="s">
        <v>1475</v>
      </c>
      <c r="Y99" t="s">
        <v>72</v>
      </c>
      <c r="AA99" t="s">
        <v>54</v>
      </c>
      <c r="AC99" s="20"/>
      <c r="AD99" s="12"/>
      <c r="AE99" s="12" t="s">
        <v>56</v>
      </c>
      <c r="AF99" s="19" t="s">
        <v>56</v>
      </c>
      <c r="AG99" s="12" t="s">
        <v>688</v>
      </c>
      <c r="AH99" s="12" t="s">
        <v>610</v>
      </c>
      <c r="AI99" s="12" t="s">
        <v>59</v>
      </c>
      <c r="AJ99" s="12" t="s">
        <v>56</v>
      </c>
      <c r="AK99" s="12" t="s">
        <v>56</v>
      </c>
      <c r="AL99" s="12" t="s">
        <v>679</v>
      </c>
      <c r="AM99" s="10">
        <v>8.3619999999999983</v>
      </c>
      <c r="AN99" s="10" t="s">
        <v>56</v>
      </c>
      <c r="AO99" t="str">
        <f>_xlfn.CONCAT($AP$1,D99)</f>
        <v>c.511_512delCCinsGA</v>
      </c>
    </row>
    <row r="100" spans="1:41" ht="15" customHeight="1" x14ac:dyDescent="0.2">
      <c r="A100" s="10">
        <v>62</v>
      </c>
      <c r="B100" s="10" t="s">
        <v>39</v>
      </c>
      <c r="C100" s="10" t="s">
        <v>715</v>
      </c>
      <c r="D100" s="10" t="s">
        <v>716</v>
      </c>
      <c r="E100" s="10" t="s">
        <v>717</v>
      </c>
      <c r="F100" s="10" t="s">
        <v>718</v>
      </c>
      <c r="G100" s="10" t="s">
        <v>719</v>
      </c>
      <c r="H100" s="10" t="s">
        <v>720</v>
      </c>
      <c r="I100" s="10" t="s">
        <v>721</v>
      </c>
      <c r="J100" s="10">
        <v>62</v>
      </c>
      <c r="K100" s="10" t="s">
        <v>719</v>
      </c>
      <c r="L100" s="10">
        <v>520</v>
      </c>
      <c r="M100" s="10">
        <v>2</v>
      </c>
      <c r="N100" s="10">
        <v>174</v>
      </c>
      <c r="O100" s="11" t="str">
        <f>HYPERLINK(AL100,"link")</f>
        <v>link</v>
      </c>
      <c r="P100" s="10" t="s">
        <v>270</v>
      </c>
      <c r="Q100" s="12" t="s">
        <v>270</v>
      </c>
      <c r="R100" s="10" t="s">
        <v>294</v>
      </c>
      <c r="S100" t="s">
        <v>50</v>
      </c>
      <c r="T100" s="10" t="s">
        <v>51</v>
      </c>
      <c r="U100" s="13">
        <v>85.808779314491886</v>
      </c>
      <c r="V100" s="14" t="s">
        <v>56</v>
      </c>
      <c r="W100" s="15">
        <v>2.1976154209661343</v>
      </c>
      <c r="X100" s="16" t="s">
        <v>722</v>
      </c>
      <c r="Y100" t="s">
        <v>158</v>
      </c>
      <c r="AA100" t="s">
        <v>159</v>
      </c>
      <c r="AC100" s="20"/>
      <c r="AD100" s="12"/>
      <c r="AE100" s="12" t="s">
        <v>56</v>
      </c>
      <c r="AF100" s="19" t="s">
        <v>56</v>
      </c>
      <c r="AG100" s="12" t="s">
        <v>723</v>
      </c>
      <c r="AH100" s="12" t="s">
        <v>724</v>
      </c>
      <c r="AI100" s="12" t="s">
        <v>56</v>
      </c>
      <c r="AJ100" s="12" t="s">
        <v>56</v>
      </c>
      <c r="AK100" s="12" t="s">
        <v>56</v>
      </c>
      <c r="AL100" s="12" t="s">
        <v>725</v>
      </c>
      <c r="AM100" s="10" t="s">
        <v>56</v>
      </c>
      <c r="AN100" s="10" t="s">
        <v>56</v>
      </c>
      <c r="AO100" t="str">
        <f>_xlfn.CONCAT($AP$1,D100)</f>
        <v>c.520G&gt;A</v>
      </c>
    </row>
    <row r="101" spans="1:41" ht="15" customHeight="1" x14ac:dyDescent="0.2">
      <c r="A101" s="10">
        <v>63</v>
      </c>
      <c r="B101" s="10" t="s">
        <v>39</v>
      </c>
      <c r="C101" s="10" t="s">
        <v>726</v>
      </c>
      <c r="D101" s="10" t="s">
        <v>727</v>
      </c>
      <c r="E101" s="10" t="s">
        <v>728</v>
      </c>
      <c r="F101" s="10" t="s">
        <v>729</v>
      </c>
      <c r="G101" s="10" t="s">
        <v>730</v>
      </c>
      <c r="H101" s="10" t="s">
        <v>731</v>
      </c>
      <c r="I101" s="10" t="s">
        <v>732</v>
      </c>
      <c r="J101" s="10">
        <v>63</v>
      </c>
      <c r="K101" s="10" t="s">
        <v>730</v>
      </c>
      <c r="L101" s="10">
        <v>527</v>
      </c>
      <c r="M101" s="10">
        <v>2</v>
      </c>
      <c r="N101" s="10">
        <v>176</v>
      </c>
      <c r="O101" s="11" t="str">
        <f>HYPERLINK(AL101,"link")</f>
        <v>link</v>
      </c>
      <c r="P101" s="10" t="s">
        <v>143</v>
      </c>
      <c r="Q101" s="12">
        <v>2</v>
      </c>
      <c r="R101" s="10" t="s">
        <v>49</v>
      </c>
      <c r="S101" t="s">
        <v>50</v>
      </c>
      <c r="T101" s="10" t="s">
        <v>51</v>
      </c>
      <c r="U101" s="13">
        <v>5.794270833333333</v>
      </c>
      <c r="V101" s="14" t="s">
        <v>56</v>
      </c>
      <c r="W101" s="15">
        <v>0.16649796956216117</v>
      </c>
      <c r="X101" s="16" t="s">
        <v>733</v>
      </c>
      <c r="Y101" t="s">
        <v>72</v>
      </c>
      <c r="AA101" t="s">
        <v>54</v>
      </c>
      <c r="AC101" s="20"/>
      <c r="AD101" s="12"/>
      <c r="AE101" s="12" t="s">
        <v>56</v>
      </c>
      <c r="AF101" s="19" t="s">
        <v>56</v>
      </c>
      <c r="AG101" s="12" t="s">
        <v>734</v>
      </c>
      <c r="AH101" s="12" t="s">
        <v>724</v>
      </c>
      <c r="AI101" s="12" t="s">
        <v>59</v>
      </c>
      <c r="AJ101" s="12" t="s">
        <v>56</v>
      </c>
      <c r="AK101" s="12" t="s">
        <v>56</v>
      </c>
      <c r="AL101" s="12" t="s">
        <v>735</v>
      </c>
      <c r="AM101" s="10">
        <v>19.451999999999998</v>
      </c>
      <c r="AN101" s="10" t="s">
        <v>56</v>
      </c>
      <c r="AO101" t="str">
        <f>_xlfn.CONCAT($AP$1,D101)</f>
        <v>c.527C&gt;T</v>
      </c>
    </row>
    <row r="102" spans="1:41" ht="15" customHeight="1" x14ac:dyDescent="0.2">
      <c r="A102" s="10">
        <v>64</v>
      </c>
      <c r="B102" s="10" t="s">
        <v>39</v>
      </c>
      <c r="C102" s="10" t="s">
        <v>736</v>
      </c>
      <c r="D102" s="10" t="s">
        <v>737</v>
      </c>
      <c r="E102" s="10" t="s">
        <v>738</v>
      </c>
      <c r="F102" s="10" t="s">
        <v>739</v>
      </c>
      <c r="G102" s="10" t="s">
        <v>740</v>
      </c>
      <c r="H102" s="10" t="s">
        <v>741</v>
      </c>
      <c r="I102" s="10" t="s">
        <v>742</v>
      </c>
      <c r="J102" s="10">
        <v>64</v>
      </c>
      <c r="K102" s="10" t="s">
        <v>740</v>
      </c>
      <c r="L102" s="10">
        <v>532</v>
      </c>
      <c r="M102" s="10">
        <v>3</v>
      </c>
      <c r="N102" s="10">
        <v>178</v>
      </c>
      <c r="O102" s="11" t="str">
        <f>HYPERLINK(AL102,"link")</f>
        <v>link</v>
      </c>
      <c r="P102" s="10" t="s">
        <v>666</v>
      </c>
      <c r="Q102" s="12">
        <v>2</v>
      </c>
      <c r="R102" s="10" t="s">
        <v>49</v>
      </c>
      <c r="S102" t="s">
        <v>50</v>
      </c>
      <c r="T102" s="10" t="s">
        <v>51</v>
      </c>
      <c r="U102" s="13">
        <v>10.357403355215171</v>
      </c>
      <c r="V102" s="14" t="s">
        <v>56</v>
      </c>
      <c r="W102" s="15">
        <v>0.14233011177139654</v>
      </c>
      <c r="X102" s="16" t="s">
        <v>743</v>
      </c>
      <c r="Y102" t="s">
        <v>72</v>
      </c>
      <c r="AA102" t="s">
        <v>54</v>
      </c>
      <c r="AC102" s="20"/>
      <c r="AD102" s="12"/>
      <c r="AE102" s="12" t="s">
        <v>56</v>
      </c>
      <c r="AF102" s="19" t="s">
        <v>56</v>
      </c>
      <c r="AG102" s="12" t="s">
        <v>744</v>
      </c>
      <c r="AH102" s="12" t="s">
        <v>724</v>
      </c>
      <c r="AI102" s="12" t="s">
        <v>147</v>
      </c>
      <c r="AJ102" s="12" t="s">
        <v>469</v>
      </c>
      <c r="AK102" s="12" t="s">
        <v>56</v>
      </c>
      <c r="AL102" s="12" t="s">
        <v>512</v>
      </c>
      <c r="AM102" s="10">
        <v>4.4380000000000006</v>
      </c>
      <c r="AN102" s="10" t="s">
        <v>56</v>
      </c>
      <c r="AO102" t="str">
        <f>_xlfn.CONCAT($AP$1,D102)</f>
        <v>c.532T&gt;A</v>
      </c>
    </row>
    <row r="103" spans="1:41" ht="15" customHeight="1" x14ac:dyDescent="0.2">
      <c r="A103" s="10">
        <v>65</v>
      </c>
      <c r="B103" s="10" t="s">
        <v>39</v>
      </c>
      <c r="C103" s="10" t="s">
        <v>745</v>
      </c>
      <c r="D103" s="10" t="s">
        <v>746</v>
      </c>
      <c r="E103" s="10" t="s">
        <v>747</v>
      </c>
      <c r="F103" s="10" t="s">
        <v>748</v>
      </c>
      <c r="G103" s="10" t="s">
        <v>749</v>
      </c>
      <c r="H103" s="10" t="s">
        <v>750</v>
      </c>
      <c r="I103" s="10" t="s">
        <v>751</v>
      </c>
      <c r="J103" s="10">
        <v>65</v>
      </c>
      <c r="K103" s="10" t="s">
        <v>749</v>
      </c>
      <c r="L103" s="10">
        <v>533</v>
      </c>
      <c r="M103" s="10">
        <v>3</v>
      </c>
      <c r="N103" s="10">
        <v>178</v>
      </c>
      <c r="O103" s="11" t="str">
        <f>HYPERLINK(AL103,"link")</f>
        <v>link</v>
      </c>
      <c r="P103" s="10" t="s">
        <v>666</v>
      </c>
      <c r="Q103" s="12">
        <v>2</v>
      </c>
      <c r="R103" s="10" t="s">
        <v>49</v>
      </c>
      <c r="S103" t="s">
        <v>50</v>
      </c>
      <c r="T103" s="10" t="s">
        <v>51</v>
      </c>
      <c r="U103" s="13">
        <v>9.0204369274136713</v>
      </c>
      <c r="V103" s="14" t="s">
        <v>56</v>
      </c>
      <c r="W103" s="15">
        <v>0.26279355310644603</v>
      </c>
      <c r="X103" s="16" t="s">
        <v>752</v>
      </c>
      <c r="Y103" t="s">
        <v>72</v>
      </c>
      <c r="AA103" t="s">
        <v>54</v>
      </c>
      <c r="AC103" s="20"/>
      <c r="AD103" s="12"/>
      <c r="AE103" s="12" t="s">
        <v>56</v>
      </c>
      <c r="AF103" s="19" t="s">
        <v>56</v>
      </c>
      <c r="AG103" s="12" t="s">
        <v>744</v>
      </c>
      <c r="AH103" s="12" t="s">
        <v>724</v>
      </c>
      <c r="AI103" s="12" t="s">
        <v>147</v>
      </c>
      <c r="AJ103" s="12" t="s">
        <v>469</v>
      </c>
      <c r="AK103" s="12" t="s">
        <v>56</v>
      </c>
      <c r="AL103" s="12" t="s">
        <v>753</v>
      </c>
      <c r="AM103" s="10">
        <v>4.1180000000000003</v>
      </c>
      <c r="AN103" s="10" t="s">
        <v>56</v>
      </c>
      <c r="AO103" t="str">
        <f>_xlfn.CONCAT($AP$1,D103)</f>
        <v>c.533A&gt;G</v>
      </c>
    </row>
    <row r="104" spans="1:41" ht="15" customHeight="1" x14ac:dyDescent="0.2">
      <c r="A104" s="10">
        <v>167</v>
      </c>
      <c r="B104" s="10" t="s">
        <v>39</v>
      </c>
      <c r="C104" s="10" t="s">
        <v>1671</v>
      </c>
      <c r="D104" s="10" t="s">
        <v>1672</v>
      </c>
      <c r="E104" s="10" t="s">
        <v>1673</v>
      </c>
      <c r="F104" s="10" t="s">
        <v>1674</v>
      </c>
      <c r="G104" s="10" t="s">
        <v>1675</v>
      </c>
      <c r="H104" s="10" t="s">
        <v>1676</v>
      </c>
      <c r="I104" s="10"/>
      <c r="J104" s="10">
        <v>167</v>
      </c>
      <c r="K104" s="10" t="s">
        <v>1675</v>
      </c>
      <c r="L104" s="10">
        <v>532</v>
      </c>
      <c r="M104" s="10">
        <v>3</v>
      </c>
      <c r="N104" s="10">
        <v>178</v>
      </c>
      <c r="O104" s="11" t="str">
        <f>HYPERLINK(AL104,"link")</f>
        <v>link</v>
      </c>
      <c r="P104" s="10" t="s">
        <v>293</v>
      </c>
      <c r="Q104" s="12">
        <v>2</v>
      </c>
      <c r="R104" s="10" t="s">
        <v>49</v>
      </c>
      <c r="S104" t="s">
        <v>50</v>
      </c>
      <c r="T104" s="10" t="s">
        <v>51</v>
      </c>
      <c r="U104" s="13">
        <v>9.8052384150436538</v>
      </c>
      <c r="V104" s="14" t="s">
        <v>56</v>
      </c>
      <c r="W104" s="15">
        <v>0.1302468926884327</v>
      </c>
      <c r="X104" s="16" t="s">
        <v>317</v>
      </c>
      <c r="Y104" t="s">
        <v>72</v>
      </c>
      <c r="AA104" t="s">
        <v>54</v>
      </c>
      <c r="AC104" s="20"/>
      <c r="AD104" s="12"/>
      <c r="AE104" s="12" t="s">
        <v>56</v>
      </c>
      <c r="AF104" s="19" t="s">
        <v>56</v>
      </c>
      <c r="AG104" s="12" t="s">
        <v>723</v>
      </c>
      <c r="AH104" s="12" t="s">
        <v>724</v>
      </c>
      <c r="AI104" s="12" t="s">
        <v>56</v>
      </c>
      <c r="AJ104" s="12" t="s">
        <v>56</v>
      </c>
      <c r="AK104" s="12" t="s">
        <v>56</v>
      </c>
      <c r="AL104" s="12" t="s">
        <v>1677</v>
      </c>
      <c r="AM104" s="10" t="s">
        <v>56</v>
      </c>
      <c r="AN104" s="10" t="s">
        <v>56</v>
      </c>
      <c r="AO104" t="str">
        <f>_xlfn.CONCAT($AP$1,D104)</f>
        <v>c.532T&gt;G</v>
      </c>
    </row>
    <row r="105" spans="1:41" ht="15" customHeight="1" x14ac:dyDescent="0.2">
      <c r="A105" s="10">
        <v>66</v>
      </c>
      <c r="B105" s="10" t="s">
        <v>39</v>
      </c>
      <c r="C105" s="10" t="s">
        <v>754</v>
      </c>
      <c r="D105" s="10" t="s">
        <v>755</v>
      </c>
      <c r="E105" s="10" t="s">
        <v>756</v>
      </c>
      <c r="F105" s="10" t="s">
        <v>757</v>
      </c>
      <c r="G105" s="10" t="s">
        <v>758</v>
      </c>
      <c r="H105" s="10" t="s">
        <v>759</v>
      </c>
      <c r="I105" s="10" t="s">
        <v>760</v>
      </c>
      <c r="J105" s="10">
        <v>66</v>
      </c>
      <c r="K105" s="10" t="s">
        <v>758</v>
      </c>
      <c r="L105" s="10">
        <v>535</v>
      </c>
      <c r="M105" s="10">
        <v>3</v>
      </c>
      <c r="N105" s="10">
        <v>179</v>
      </c>
      <c r="O105" s="11" t="str">
        <f>HYPERLINK(AL105,"link")</f>
        <v>link</v>
      </c>
      <c r="P105" s="10" t="s">
        <v>270</v>
      </c>
      <c r="Q105" s="12" t="s">
        <v>270</v>
      </c>
      <c r="R105" s="10" t="s">
        <v>49</v>
      </c>
      <c r="S105" t="s">
        <v>50</v>
      </c>
      <c r="T105" s="10" t="s">
        <v>51</v>
      </c>
      <c r="U105" s="13">
        <v>23.452380952380953</v>
      </c>
      <c r="V105" s="14" t="s">
        <v>56</v>
      </c>
      <c r="W105" s="15">
        <v>0.12685052176450928</v>
      </c>
      <c r="X105" s="16" t="s">
        <v>761</v>
      </c>
      <c r="Y105" t="s">
        <v>72</v>
      </c>
      <c r="AA105" t="s">
        <v>272</v>
      </c>
      <c r="AB105" s="17" t="s">
        <v>273</v>
      </c>
      <c r="AC105" s="20"/>
      <c r="AD105" s="12"/>
      <c r="AE105" s="12" t="s">
        <v>56</v>
      </c>
      <c r="AF105" s="19" t="s">
        <v>56</v>
      </c>
      <c r="AG105" s="12" t="s">
        <v>723</v>
      </c>
      <c r="AH105" s="12" t="s">
        <v>724</v>
      </c>
      <c r="AI105" s="12" t="s">
        <v>56</v>
      </c>
      <c r="AJ105" s="12" t="s">
        <v>56</v>
      </c>
      <c r="AK105" s="12" t="s">
        <v>56</v>
      </c>
      <c r="AL105" s="12" t="s">
        <v>762</v>
      </c>
      <c r="AM105" s="10" t="s">
        <v>56</v>
      </c>
      <c r="AN105" s="10" t="s">
        <v>56</v>
      </c>
      <c r="AO105" t="str">
        <f>_xlfn.CONCAT($AP$1,D105)</f>
        <v>c.535A&gt;T</v>
      </c>
    </row>
    <row r="106" spans="1:41" ht="15" customHeight="1" x14ac:dyDescent="0.2">
      <c r="A106" s="10">
        <v>67</v>
      </c>
      <c r="B106" s="10" t="s">
        <v>39</v>
      </c>
      <c r="C106" s="10" t="s">
        <v>763</v>
      </c>
      <c r="D106" s="10" t="s">
        <v>764</v>
      </c>
      <c r="E106" s="10" t="s">
        <v>765</v>
      </c>
      <c r="F106" s="10" t="s">
        <v>766</v>
      </c>
      <c r="G106" s="10" t="s">
        <v>767</v>
      </c>
      <c r="H106" s="10" t="s">
        <v>768</v>
      </c>
      <c r="I106" s="10" t="s">
        <v>769</v>
      </c>
      <c r="J106" s="10">
        <v>67</v>
      </c>
      <c r="K106" s="10" t="s">
        <v>767</v>
      </c>
      <c r="L106" s="10">
        <v>538</v>
      </c>
      <c r="M106" s="10">
        <v>3</v>
      </c>
      <c r="N106" s="10">
        <v>180</v>
      </c>
      <c r="O106" s="11" t="str">
        <f>HYPERLINK(AL106,"link")</f>
        <v>link</v>
      </c>
      <c r="P106" s="10" t="s">
        <v>143</v>
      </c>
      <c r="Q106" s="12">
        <v>2</v>
      </c>
      <c r="R106" s="10" t="s">
        <v>171</v>
      </c>
      <c r="S106" t="s">
        <v>50</v>
      </c>
      <c r="T106" s="10" t="s">
        <v>51</v>
      </c>
      <c r="U106" s="13">
        <v>25.338253382533825</v>
      </c>
      <c r="V106" s="14" t="s">
        <v>56</v>
      </c>
      <c r="W106" s="15">
        <v>0.16346432328721364</v>
      </c>
      <c r="X106" s="16" t="s">
        <v>770</v>
      </c>
      <c r="Y106" t="s">
        <v>72</v>
      </c>
      <c r="AA106" t="s">
        <v>351</v>
      </c>
      <c r="AC106" s="20"/>
      <c r="AD106" s="12"/>
      <c r="AE106" s="12" t="s">
        <v>56</v>
      </c>
      <c r="AF106" s="19" t="s">
        <v>56</v>
      </c>
      <c r="AG106" s="12" t="s">
        <v>734</v>
      </c>
      <c r="AH106" s="12" t="s">
        <v>724</v>
      </c>
      <c r="AI106" s="12" t="s">
        <v>59</v>
      </c>
      <c r="AJ106" s="12" t="s">
        <v>56</v>
      </c>
      <c r="AK106" s="12" t="s">
        <v>56</v>
      </c>
      <c r="AL106" s="12" t="s">
        <v>689</v>
      </c>
      <c r="AM106" s="10">
        <v>2.798</v>
      </c>
      <c r="AN106" s="10" t="s">
        <v>56</v>
      </c>
      <c r="AO106" t="str">
        <f>_xlfn.CONCAT($AP$1,D106)</f>
        <v>c.538C&gt;G</v>
      </c>
    </row>
    <row r="107" spans="1:41" ht="15" customHeight="1" x14ac:dyDescent="0.2">
      <c r="A107" s="10">
        <v>68</v>
      </c>
      <c r="B107" s="10" t="s">
        <v>39</v>
      </c>
      <c r="C107" s="10" t="s">
        <v>771</v>
      </c>
      <c r="D107" s="10" t="s">
        <v>772</v>
      </c>
      <c r="E107" s="10" t="s">
        <v>773</v>
      </c>
      <c r="F107" s="10" t="s">
        <v>774</v>
      </c>
      <c r="G107" s="10" t="s">
        <v>775</v>
      </c>
      <c r="H107" s="10" t="s">
        <v>776</v>
      </c>
      <c r="I107" s="10" t="s">
        <v>777</v>
      </c>
      <c r="J107" s="10">
        <v>68</v>
      </c>
      <c r="K107" s="10" t="s">
        <v>775</v>
      </c>
      <c r="L107" s="10">
        <v>538</v>
      </c>
      <c r="M107" s="10">
        <v>3</v>
      </c>
      <c r="N107" s="10">
        <v>180</v>
      </c>
      <c r="O107" s="11" t="str">
        <f>HYPERLINK(AL107,"link")</f>
        <v>link</v>
      </c>
      <c r="P107" s="10" t="s">
        <v>269</v>
      </c>
      <c r="Q107" s="12" t="s">
        <v>270</v>
      </c>
      <c r="R107" s="10" t="s">
        <v>49</v>
      </c>
      <c r="S107" t="s">
        <v>50</v>
      </c>
      <c r="T107" s="10" t="s">
        <v>51</v>
      </c>
      <c r="U107" s="13">
        <v>10.948905109489052</v>
      </c>
      <c r="V107" s="14" t="s">
        <v>56</v>
      </c>
      <c r="W107" s="15">
        <v>0.18485233602505785</v>
      </c>
      <c r="X107" s="16" t="s">
        <v>778</v>
      </c>
      <c r="Y107" t="s">
        <v>72</v>
      </c>
      <c r="AA107" t="s">
        <v>272</v>
      </c>
      <c r="AB107" s="17" t="s">
        <v>273</v>
      </c>
      <c r="AC107" s="20"/>
      <c r="AD107" s="12"/>
      <c r="AE107" s="12" t="s">
        <v>56</v>
      </c>
      <c r="AF107" s="19" t="s">
        <v>56</v>
      </c>
      <c r="AG107" s="12" t="s">
        <v>723</v>
      </c>
      <c r="AH107" s="12" t="s">
        <v>724</v>
      </c>
      <c r="AI107" s="12" t="s">
        <v>56</v>
      </c>
      <c r="AJ107" s="12" t="s">
        <v>56</v>
      </c>
      <c r="AK107" s="12" t="s">
        <v>56</v>
      </c>
      <c r="AL107" s="12" t="s">
        <v>779</v>
      </c>
      <c r="AM107" s="10" t="s">
        <v>56</v>
      </c>
      <c r="AN107" s="10" t="s">
        <v>56</v>
      </c>
      <c r="AO107" t="str">
        <f>_xlfn.CONCAT($AP$1,D107)</f>
        <v>c.538C&gt;T</v>
      </c>
    </row>
    <row r="108" spans="1:41" ht="15" customHeight="1" x14ac:dyDescent="0.2">
      <c r="A108" s="10">
        <v>203</v>
      </c>
      <c r="B108" s="10" t="s">
        <v>1610</v>
      </c>
      <c r="C108" s="10" t="s">
        <v>1907</v>
      </c>
      <c r="D108" s="10" t="s">
        <v>1908</v>
      </c>
      <c r="E108" s="10" t="s">
        <v>1909</v>
      </c>
      <c r="F108" s="10" t="s">
        <v>1910</v>
      </c>
      <c r="G108" s="10" t="s">
        <v>1911</v>
      </c>
      <c r="H108" s="10"/>
      <c r="I108" s="10" t="s">
        <v>1907</v>
      </c>
      <c r="J108" s="10">
        <v>203</v>
      </c>
      <c r="K108" s="10" t="s">
        <v>1911</v>
      </c>
      <c r="L108" s="10">
        <v>538</v>
      </c>
      <c r="M108" s="10">
        <v>3</v>
      </c>
      <c r="N108" s="10">
        <v>180</v>
      </c>
      <c r="O108" s="11"/>
      <c r="P108" s="10" t="s">
        <v>1616</v>
      </c>
      <c r="Q108" s="12" t="s">
        <v>1616</v>
      </c>
      <c r="R108" s="10" t="s">
        <v>1214</v>
      </c>
      <c r="T108" s="10" t="e">
        <v>#N/A</v>
      </c>
      <c r="U108" s="13">
        <v>10.064610364253989</v>
      </c>
      <c r="V108" s="14">
        <v>1.4446402647511893</v>
      </c>
      <c r="W108" s="15">
        <v>0.33448814008964051</v>
      </c>
      <c r="X108" s="16" t="s">
        <v>1912</v>
      </c>
      <c r="Y108" t="s">
        <v>72</v>
      </c>
      <c r="Z108" t="s">
        <v>1814</v>
      </c>
      <c r="AA108" t="s">
        <v>1619</v>
      </c>
      <c r="AB108" s="17" t="s">
        <v>273</v>
      </c>
      <c r="AC108" s="20"/>
      <c r="AD108" s="12"/>
      <c r="AE108" s="12" t="s">
        <v>56</v>
      </c>
      <c r="AF108" s="19" t="s">
        <v>56</v>
      </c>
      <c r="AG108" s="12" t="s">
        <v>723</v>
      </c>
      <c r="AH108" s="12" t="s">
        <v>724</v>
      </c>
      <c r="AI108" s="12" t="s">
        <v>56</v>
      </c>
      <c r="AJ108" s="12" t="s">
        <v>56</v>
      </c>
      <c r="AK108" s="12" t="s">
        <v>56</v>
      </c>
      <c r="AL108" s="12" t="e">
        <v>#N/A</v>
      </c>
      <c r="AM108" s="10" t="s">
        <v>56</v>
      </c>
      <c r="AN108" s="10" t="s">
        <v>56</v>
      </c>
      <c r="AO108" t="str">
        <f>_xlfn.CONCAT($AP$1,D108)</f>
        <v>c.538C&gt;A</v>
      </c>
    </row>
    <row r="109" spans="1:41" ht="15" customHeight="1" x14ac:dyDescent="0.2">
      <c r="A109" s="10">
        <v>69</v>
      </c>
      <c r="B109" s="10" t="s">
        <v>39</v>
      </c>
      <c r="C109" s="10" t="s">
        <v>780</v>
      </c>
      <c r="D109" s="10" t="s">
        <v>781</v>
      </c>
      <c r="E109" s="10" t="s">
        <v>782</v>
      </c>
      <c r="F109" s="10" t="s">
        <v>783</v>
      </c>
      <c r="G109" s="10" t="s">
        <v>784</v>
      </c>
      <c r="H109" s="10" t="s">
        <v>785</v>
      </c>
      <c r="I109" s="10" t="s">
        <v>786</v>
      </c>
      <c r="J109" s="10">
        <v>69</v>
      </c>
      <c r="K109" s="10" t="s">
        <v>784</v>
      </c>
      <c r="L109" s="10">
        <v>541</v>
      </c>
      <c r="M109" s="10">
        <v>3</v>
      </c>
      <c r="N109" s="10">
        <v>181</v>
      </c>
      <c r="O109" s="11" t="str">
        <f>HYPERLINK(AL109,"link")</f>
        <v>link</v>
      </c>
      <c r="P109" s="10" t="s">
        <v>666</v>
      </c>
      <c r="Q109" s="12">
        <v>2</v>
      </c>
      <c r="R109" s="10" t="s">
        <v>49</v>
      </c>
      <c r="S109" t="s">
        <v>50</v>
      </c>
      <c r="T109" s="10" t="s">
        <v>51</v>
      </c>
      <c r="U109" s="13">
        <v>15.927272727272726</v>
      </c>
      <c r="V109" s="14" t="s">
        <v>56</v>
      </c>
      <c r="W109" s="15">
        <v>0.23638311446889751</v>
      </c>
      <c r="X109" s="16" t="s">
        <v>787</v>
      </c>
      <c r="Y109" t="s">
        <v>72</v>
      </c>
      <c r="AA109" t="s">
        <v>54</v>
      </c>
      <c r="AC109" s="20"/>
      <c r="AD109" s="12" t="s">
        <v>788</v>
      </c>
      <c r="AE109" s="12" t="s">
        <v>56</v>
      </c>
      <c r="AF109" s="19" t="s">
        <v>56</v>
      </c>
      <c r="AG109" s="12" t="s">
        <v>789</v>
      </c>
      <c r="AH109" s="12" t="s">
        <v>724</v>
      </c>
      <c r="AI109" s="12" t="s">
        <v>147</v>
      </c>
      <c r="AJ109" s="12" t="s">
        <v>469</v>
      </c>
      <c r="AK109" s="12" t="s">
        <v>790</v>
      </c>
      <c r="AL109" s="12" t="s">
        <v>791</v>
      </c>
      <c r="AM109" s="10">
        <v>2.5840000000000005</v>
      </c>
      <c r="AN109" s="10" t="s">
        <v>56</v>
      </c>
      <c r="AO109" t="str">
        <f>_xlfn.CONCAT($AP$1,D109)</f>
        <v>c.541G&gt;A</v>
      </c>
    </row>
    <row r="110" spans="1:41" ht="15" customHeight="1" x14ac:dyDescent="0.2">
      <c r="A110" s="10">
        <v>70</v>
      </c>
      <c r="B110" s="10" t="s">
        <v>39</v>
      </c>
      <c r="C110" s="10" t="s">
        <v>792</v>
      </c>
      <c r="D110" s="10" t="s">
        <v>793</v>
      </c>
      <c r="E110" s="10" t="s">
        <v>794</v>
      </c>
      <c r="F110" s="10" t="s">
        <v>795</v>
      </c>
      <c r="G110" s="10" t="s">
        <v>796</v>
      </c>
      <c r="H110" s="10" t="s">
        <v>797</v>
      </c>
      <c r="I110" s="10" t="s">
        <v>798</v>
      </c>
      <c r="J110" s="10">
        <v>70</v>
      </c>
      <c r="K110" s="10" t="s">
        <v>796</v>
      </c>
      <c r="L110" s="10">
        <v>544</v>
      </c>
      <c r="M110" s="10">
        <v>3</v>
      </c>
      <c r="N110" s="10">
        <v>182</v>
      </c>
      <c r="O110" s="11" t="str">
        <f>HYPERLINK(AL110,"link")</f>
        <v>link</v>
      </c>
      <c r="P110" s="10" t="s">
        <v>105</v>
      </c>
      <c r="Q110" s="12">
        <v>2</v>
      </c>
      <c r="R110" s="10" t="s">
        <v>49</v>
      </c>
      <c r="S110" t="s">
        <v>50</v>
      </c>
      <c r="T110" s="10" t="s">
        <v>51</v>
      </c>
      <c r="U110" s="13">
        <v>12.697220135236664</v>
      </c>
      <c r="V110" s="14" t="s">
        <v>56</v>
      </c>
      <c r="W110" s="15">
        <v>0.16242100285576166</v>
      </c>
      <c r="X110" s="16" t="s">
        <v>799</v>
      </c>
      <c r="Y110" t="s">
        <v>72</v>
      </c>
      <c r="AA110" t="s">
        <v>54</v>
      </c>
      <c r="AC110" s="20"/>
      <c r="AD110" s="12"/>
      <c r="AE110" s="12" t="s">
        <v>56</v>
      </c>
      <c r="AF110" s="19" t="s">
        <v>56</v>
      </c>
      <c r="AG110" s="12" t="s">
        <v>734</v>
      </c>
      <c r="AH110" s="12" t="s">
        <v>724</v>
      </c>
      <c r="AI110" s="12" t="s">
        <v>59</v>
      </c>
      <c r="AJ110" s="12" t="s">
        <v>56</v>
      </c>
      <c r="AK110" s="12" t="s">
        <v>56</v>
      </c>
      <c r="AL110" s="12" t="s">
        <v>800</v>
      </c>
      <c r="AM110" s="10">
        <v>12.786</v>
      </c>
      <c r="AN110" s="10" t="s">
        <v>56</v>
      </c>
      <c r="AO110" t="str">
        <f>_xlfn.CONCAT($AP$1,D110)</f>
        <v>c.544G&gt;A</v>
      </c>
    </row>
    <row r="111" spans="1:41" ht="15" customHeight="1" x14ac:dyDescent="0.2">
      <c r="A111" s="10">
        <v>166</v>
      </c>
      <c r="B111" s="10" t="s">
        <v>39</v>
      </c>
      <c r="C111" s="10" t="s">
        <v>1663</v>
      </c>
      <c r="D111" s="10" t="s">
        <v>1664</v>
      </c>
      <c r="E111" s="10" t="s">
        <v>1665</v>
      </c>
      <c r="F111" s="10" t="s">
        <v>1666</v>
      </c>
      <c r="G111" s="10" t="s">
        <v>1667</v>
      </c>
      <c r="H111" s="10" t="s">
        <v>1668</v>
      </c>
      <c r="I111" s="10"/>
      <c r="J111" s="10">
        <v>166</v>
      </c>
      <c r="K111" s="10" t="s">
        <v>1667</v>
      </c>
      <c r="L111" s="10">
        <v>545</v>
      </c>
      <c r="M111" s="10">
        <v>3</v>
      </c>
      <c r="N111" s="10">
        <v>182</v>
      </c>
      <c r="O111" s="11" t="str">
        <f>HYPERLINK(AL111,"link")</f>
        <v>link</v>
      </c>
      <c r="P111" s="10" t="s">
        <v>293</v>
      </c>
      <c r="Q111" s="12">
        <v>2</v>
      </c>
      <c r="R111" s="10" t="s">
        <v>49</v>
      </c>
      <c r="S111" t="s">
        <v>50</v>
      </c>
      <c r="T111" s="10" t="s">
        <v>51</v>
      </c>
      <c r="U111" s="13">
        <v>8.4382871536523929</v>
      </c>
      <c r="V111" s="14" t="s">
        <v>56</v>
      </c>
      <c r="W111" s="15">
        <v>0.15086625481078503</v>
      </c>
      <c r="X111" s="16" t="s">
        <v>1669</v>
      </c>
      <c r="Y111" t="s">
        <v>72</v>
      </c>
      <c r="AA111" t="s">
        <v>54</v>
      </c>
      <c r="AC111" s="20"/>
      <c r="AD111" s="12"/>
      <c r="AE111" s="12" t="s">
        <v>56</v>
      </c>
      <c r="AF111" s="19" t="s">
        <v>56</v>
      </c>
      <c r="AG111" s="12" t="s">
        <v>723</v>
      </c>
      <c r="AH111" s="12" t="s">
        <v>724</v>
      </c>
      <c r="AI111" s="12" t="s">
        <v>56</v>
      </c>
      <c r="AJ111" s="12" t="s">
        <v>56</v>
      </c>
      <c r="AK111" s="12" t="s">
        <v>56</v>
      </c>
      <c r="AL111" s="12" t="s">
        <v>1670</v>
      </c>
      <c r="AM111" s="10" t="s">
        <v>56</v>
      </c>
      <c r="AN111" s="10" t="s">
        <v>56</v>
      </c>
      <c r="AO111" t="str">
        <f>_xlfn.CONCAT($AP$1,D111)</f>
        <v>c.545G&gt;T</v>
      </c>
    </row>
    <row r="112" spans="1:41" ht="15" customHeight="1" x14ac:dyDescent="0.2">
      <c r="A112" s="10">
        <v>71</v>
      </c>
      <c r="B112" s="10" t="s">
        <v>39</v>
      </c>
      <c r="C112" s="10" t="s">
        <v>801</v>
      </c>
      <c r="D112" s="10" t="s">
        <v>802</v>
      </c>
      <c r="E112" s="10" t="s">
        <v>803</v>
      </c>
      <c r="F112" s="10" t="s">
        <v>804</v>
      </c>
      <c r="G112" s="10" t="s">
        <v>805</v>
      </c>
      <c r="H112" s="10" t="s">
        <v>806</v>
      </c>
      <c r="I112" s="10" t="s">
        <v>807</v>
      </c>
      <c r="J112" s="10">
        <v>71</v>
      </c>
      <c r="K112" s="10" t="s">
        <v>805</v>
      </c>
      <c r="L112" s="10">
        <v>551</v>
      </c>
      <c r="M112" s="10">
        <v>3</v>
      </c>
      <c r="N112" s="10">
        <v>184</v>
      </c>
      <c r="O112" s="11" t="str">
        <f>HYPERLINK(AL112,"link")</f>
        <v>link</v>
      </c>
      <c r="P112" s="10" t="s">
        <v>143</v>
      </c>
      <c r="Q112" s="12">
        <v>2</v>
      </c>
      <c r="R112" s="10" t="s">
        <v>49</v>
      </c>
      <c r="S112" t="s">
        <v>50</v>
      </c>
      <c r="T112" s="10" t="s">
        <v>51</v>
      </c>
      <c r="U112" s="13">
        <v>10.968569595894804</v>
      </c>
      <c r="V112" s="14" t="s">
        <v>56</v>
      </c>
      <c r="W112" s="15">
        <v>8.0707792244738799E-2</v>
      </c>
      <c r="X112" s="16" t="s">
        <v>808</v>
      </c>
      <c r="Y112" t="s">
        <v>72</v>
      </c>
      <c r="AA112" t="s">
        <v>54</v>
      </c>
      <c r="AC112" s="20"/>
      <c r="AD112" s="12"/>
      <c r="AE112" s="12" t="s">
        <v>56</v>
      </c>
      <c r="AF112" s="19" t="s">
        <v>56</v>
      </c>
      <c r="AG112" s="12" t="s">
        <v>734</v>
      </c>
      <c r="AH112" s="12" t="s">
        <v>724</v>
      </c>
      <c r="AI112" s="12" t="s">
        <v>59</v>
      </c>
      <c r="AJ112" s="12" t="s">
        <v>56</v>
      </c>
      <c r="AK112" s="12" t="s">
        <v>56</v>
      </c>
      <c r="AL112" s="12" t="s">
        <v>478</v>
      </c>
      <c r="AM112" s="10">
        <v>8.1440000000000001</v>
      </c>
      <c r="AN112" s="10" t="s">
        <v>56</v>
      </c>
      <c r="AO112" t="str">
        <f>_xlfn.CONCAT($AP$1,D112)</f>
        <v>c.551A&gt;C</v>
      </c>
    </row>
    <row r="113" spans="1:41" ht="15" customHeight="1" x14ac:dyDescent="0.2">
      <c r="A113" s="10">
        <v>72</v>
      </c>
      <c r="B113" s="10" t="s">
        <v>39</v>
      </c>
      <c r="C113" s="10" t="s">
        <v>809</v>
      </c>
      <c r="D113" s="10" t="s">
        <v>810</v>
      </c>
      <c r="E113" s="10" t="s">
        <v>811</v>
      </c>
      <c r="F113" s="10" t="s">
        <v>812</v>
      </c>
      <c r="G113" s="10" t="s">
        <v>813</v>
      </c>
      <c r="H113" s="10" t="s">
        <v>814</v>
      </c>
      <c r="I113" s="10" t="s">
        <v>815</v>
      </c>
      <c r="J113" s="10">
        <v>72</v>
      </c>
      <c r="K113" s="10" t="s">
        <v>813</v>
      </c>
      <c r="L113" s="10">
        <v>553</v>
      </c>
      <c r="M113" s="10">
        <v>3</v>
      </c>
      <c r="N113" s="10">
        <v>185</v>
      </c>
      <c r="O113" s="11" t="str">
        <f>HYPERLINK(AL113,"link")</f>
        <v>link</v>
      </c>
      <c r="P113" s="10" t="s">
        <v>816</v>
      </c>
      <c r="Q113" s="12">
        <v>2</v>
      </c>
      <c r="R113" s="10" t="s">
        <v>49</v>
      </c>
      <c r="S113" t="s">
        <v>50</v>
      </c>
      <c r="T113" s="10" t="s">
        <v>51</v>
      </c>
      <c r="U113" s="13">
        <v>15.072133246067494</v>
      </c>
      <c r="V113" s="14">
        <v>2.3257143667210416</v>
      </c>
      <c r="W113" s="15">
        <v>0.2647369103576841</v>
      </c>
      <c r="X113" s="16" t="s">
        <v>817</v>
      </c>
      <c r="Y113" t="s">
        <v>72</v>
      </c>
      <c r="AA113" t="s">
        <v>54</v>
      </c>
      <c r="AC113" s="20"/>
      <c r="AD113" s="12"/>
      <c r="AE113" s="12" t="s">
        <v>56</v>
      </c>
      <c r="AF113" s="19" t="s">
        <v>56</v>
      </c>
      <c r="AG113" s="12" t="s">
        <v>734</v>
      </c>
      <c r="AH113" s="12" t="s">
        <v>724</v>
      </c>
      <c r="AI113" s="12" t="s">
        <v>59</v>
      </c>
      <c r="AJ113" s="12" t="s">
        <v>56</v>
      </c>
      <c r="AK113" s="12" t="s">
        <v>56</v>
      </c>
      <c r="AL113" s="12" t="s">
        <v>689</v>
      </c>
      <c r="AM113" s="10">
        <v>15.791999999999998</v>
      </c>
      <c r="AN113" s="10" t="s">
        <v>56</v>
      </c>
      <c r="AO113" t="str">
        <f>_xlfn.CONCAT($AP$1,D113)</f>
        <v>c.553T&gt;C</v>
      </c>
    </row>
    <row r="114" spans="1:41" ht="15" customHeight="1" x14ac:dyDescent="0.2">
      <c r="A114" s="10">
        <v>73</v>
      </c>
      <c r="B114" s="10" t="s">
        <v>39</v>
      </c>
      <c r="C114" s="10" t="s">
        <v>818</v>
      </c>
      <c r="D114" s="10" t="s">
        <v>819</v>
      </c>
      <c r="E114" s="10" t="s">
        <v>820</v>
      </c>
      <c r="F114" s="10" t="s">
        <v>821</v>
      </c>
      <c r="G114" s="10" t="s">
        <v>822</v>
      </c>
      <c r="H114" s="10" t="s">
        <v>823</v>
      </c>
      <c r="I114" s="10" t="s">
        <v>824</v>
      </c>
      <c r="J114" s="10">
        <v>73</v>
      </c>
      <c r="K114" s="10" t="s">
        <v>822</v>
      </c>
      <c r="L114" s="10">
        <v>556</v>
      </c>
      <c r="M114" s="10">
        <v>3</v>
      </c>
      <c r="N114" s="10">
        <v>186</v>
      </c>
      <c r="O114" s="11" t="str">
        <f>HYPERLINK(AL114,"link")</f>
        <v>link</v>
      </c>
      <c r="P114" s="10" t="s">
        <v>825</v>
      </c>
      <c r="Q114" s="12">
        <v>2</v>
      </c>
      <c r="R114" s="10" t="s">
        <v>49</v>
      </c>
      <c r="S114" t="s">
        <v>50</v>
      </c>
      <c r="T114" s="10" t="s">
        <v>51</v>
      </c>
      <c r="U114" s="13">
        <v>13.494539781591264</v>
      </c>
      <c r="V114" s="14" t="s">
        <v>56</v>
      </c>
      <c r="W114" s="15">
        <v>0.25624610076870469</v>
      </c>
      <c r="X114" s="16" t="s">
        <v>826</v>
      </c>
      <c r="Y114" t="s">
        <v>72</v>
      </c>
      <c r="AA114" t="s">
        <v>54</v>
      </c>
      <c r="AC114" s="20"/>
      <c r="AD114" s="12"/>
      <c r="AE114" s="12" t="s">
        <v>56</v>
      </c>
      <c r="AF114" s="19" t="s">
        <v>56</v>
      </c>
      <c r="AG114" s="12" t="s">
        <v>827</v>
      </c>
      <c r="AH114" s="12" t="s">
        <v>828</v>
      </c>
      <c r="AI114" s="12" t="s">
        <v>147</v>
      </c>
      <c r="AJ114" s="12" t="s">
        <v>469</v>
      </c>
      <c r="AK114" s="12" t="s">
        <v>790</v>
      </c>
      <c r="AL114" s="12" t="s">
        <v>500</v>
      </c>
      <c r="AM114" s="10">
        <v>1.4249999999999998</v>
      </c>
      <c r="AN114" s="10" t="s">
        <v>56</v>
      </c>
      <c r="AO114" t="str">
        <f>_xlfn.CONCAT($AP$1,D114)</f>
        <v>c.556T&gt;C</v>
      </c>
    </row>
    <row r="115" spans="1:41" ht="15" customHeight="1" x14ac:dyDescent="0.2">
      <c r="A115" s="10">
        <v>74</v>
      </c>
      <c r="B115" s="10" t="s">
        <v>39</v>
      </c>
      <c r="C115" s="10" t="s">
        <v>829</v>
      </c>
      <c r="D115" s="10" t="s">
        <v>830</v>
      </c>
      <c r="E115" s="10" t="s">
        <v>831</v>
      </c>
      <c r="F115" s="10" t="s">
        <v>832</v>
      </c>
      <c r="G115" s="10" t="s">
        <v>833</v>
      </c>
      <c r="H115" s="10" t="s">
        <v>834</v>
      </c>
      <c r="I115" s="10" t="s">
        <v>835</v>
      </c>
      <c r="J115" s="10">
        <v>74</v>
      </c>
      <c r="K115" s="10" t="s">
        <v>833</v>
      </c>
      <c r="L115" s="10">
        <v>557</v>
      </c>
      <c r="M115" s="10">
        <v>3</v>
      </c>
      <c r="N115" s="10">
        <v>186</v>
      </c>
      <c r="O115" s="11" t="str">
        <f>HYPERLINK(AL115,"link")</f>
        <v>link</v>
      </c>
      <c r="P115" s="10" t="s">
        <v>143</v>
      </c>
      <c r="Q115" s="12">
        <v>2</v>
      </c>
      <c r="R115" s="10" t="s">
        <v>49</v>
      </c>
      <c r="S115" t="s">
        <v>50</v>
      </c>
      <c r="T115" s="10" t="s">
        <v>51</v>
      </c>
      <c r="U115" s="13">
        <v>63.761312412935844</v>
      </c>
      <c r="V115" s="14">
        <v>4.7778099428017988</v>
      </c>
      <c r="W115" s="15">
        <v>1.2265704570237548</v>
      </c>
      <c r="X115" s="16" t="s">
        <v>836</v>
      </c>
      <c r="Y115" t="s">
        <v>53</v>
      </c>
      <c r="AA115" t="s">
        <v>200</v>
      </c>
      <c r="AB115" s="17" t="s">
        <v>425</v>
      </c>
      <c r="AC115" s="20"/>
      <c r="AD115" s="12"/>
      <c r="AE115" s="12" t="s">
        <v>56</v>
      </c>
      <c r="AF115" s="19" t="s">
        <v>56</v>
      </c>
      <c r="AG115" s="12" t="s">
        <v>827</v>
      </c>
      <c r="AH115" s="12" t="s">
        <v>828</v>
      </c>
      <c r="AI115" s="12" t="s">
        <v>147</v>
      </c>
      <c r="AJ115" s="12" t="s">
        <v>469</v>
      </c>
      <c r="AK115" s="12" t="s">
        <v>790</v>
      </c>
      <c r="AL115" s="12" t="s">
        <v>837</v>
      </c>
      <c r="AM115" s="10">
        <v>19.18</v>
      </c>
      <c r="AN115" s="10" t="s">
        <v>56</v>
      </c>
      <c r="AO115" t="str">
        <f>_xlfn.CONCAT($AP$1,D115)</f>
        <v>c.557C&gt;G</v>
      </c>
    </row>
    <row r="116" spans="1:41" ht="15" customHeight="1" x14ac:dyDescent="0.2">
      <c r="A116" s="10">
        <v>75</v>
      </c>
      <c r="B116" s="10" t="s">
        <v>39</v>
      </c>
      <c r="C116" s="10" t="s">
        <v>838</v>
      </c>
      <c r="D116" s="10" t="s">
        <v>839</v>
      </c>
      <c r="E116" s="10" t="s">
        <v>840</v>
      </c>
      <c r="F116" s="10" t="s">
        <v>841</v>
      </c>
      <c r="G116" s="10" t="s">
        <v>842</v>
      </c>
      <c r="H116" s="10" t="s">
        <v>843</v>
      </c>
      <c r="I116" s="10" t="s">
        <v>844</v>
      </c>
      <c r="J116" s="10">
        <v>75</v>
      </c>
      <c r="K116" s="10" t="s">
        <v>842</v>
      </c>
      <c r="L116" s="10">
        <v>560</v>
      </c>
      <c r="M116" s="10">
        <v>3</v>
      </c>
      <c r="N116" s="10">
        <v>187</v>
      </c>
      <c r="O116" s="11" t="str">
        <f>HYPERLINK(AL116,"link")</f>
        <v>link</v>
      </c>
      <c r="P116" s="10" t="s">
        <v>105</v>
      </c>
      <c r="Q116" s="12">
        <v>2</v>
      </c>
      <c r="R116" s="10" t="s">
        <v>49</v>
      </c>
      <c r="S116" t="s">
        <v>50</v>
      </c>
      <c r="T116" s="10" t="s">
        <v>51</v>
      </c>
      <c r="U116" s="13">
        <v>10.78622482131254</v>
      </c>
      <c r="V116" s="14" t="s">
        <v>56</v>
      </c>
      <c r="W116" s="15">
        <v>0.13509244056120828</v>
      </c>
      <c r="X116" s="16" t="s">
        <v>845</v>
      </c>
      <c r="Y116" t="s">
        <v>72</v>
      </c>
      <c r="AA116" t="s">
        <v>54</v>
      </c>
      <c r="AC116" s="20"/>
      <c r="AD116" s="12"/>
      <c r="AE116" s="12" t="s">
        <v>56</v>
      </c>
      <c r="AF116" s="19" t="s">
        <v>56</v>
      </c>
      <c r="AG116" s="12" t="s">
        <v>846</v>
      </c>
      <c r="AH116" s="12" t="s">
        <v>828</v>
      </c>
      <c r="AI116" s="12" t="s">
        <v>59</v>
      </c>
      <c r="AJ116" s="12" t="s">
        <v>439</v>
      </c>
      <c r="AK116" s="12" t="s">
        <v>56</v>
      </c>
      <c r="AL116" s="12" t="s">
        <v>847</v>
      </c>
      <c r="AM116" s="10">
        <v>40.691999999999993</v>
      </c>
      <c r="AN116" s="10" t="s">
        <v>56</v>
      </c>
      <c r="AO116" t="str">
        <f>_xlfn.CONCAT($AP$1,D116)</f>
        <v>c.560G&gt;A</v>
      </c>
    </row>
    <row r="117" spans="1:41" ht="15" customHeight="1" x14ac:dyDescent="0.2">
      <c r="A117" s="10">
        <v>165</v>
      </c>
      <c r="B117" s="10" t="s">
        <v>39</v>
      </c>
      <c r="C117" s="10" t="s">
        <v>1656</v>
      </c>
      <c r="D117" s="10" t="s">
        <v>1657</v>
      </c>
      <c r="E117" s="10" t="s">
        <v>1658</v>
      </c>
      <c r="F117" s="10" t="s">
        <v>1659</v>
      </c>
      <c r="G117" s="10" t="s">
        <v>1660</v>
      </c>
      <c r="H117" s="10" t="s">
        <v>1661</v>
      </c>
      <c r="I117" s="10"/>
      <c r="J117" s="10">
        <v>165</v>
      </c>
      <c r="K117" s="10" t="s">
        <v>1660</v>
      </c>
      <c r="L117" s="10">
        <v>559</v>
      </c>
      <c r="M117" s="10">
        <v>3</v>
      </c>
      <c r="N117" s="10">
        <v>187</v>
      </c>
      <c r="O117" s="11" t="str">
        <f>HYPERLINK(AL117,"link")</f>
        <v>link</v>
      </c>
      <c r="P117" s="10" t="s">
        <v>293</v>
      </c>
      <c r="Q117" s="12">
        <v>2</v>
      </c>
      <c r="R117" s="10" t="s">
        <v>49</v>
      </c>
      <c r="S117" t="s">
        <v>50</v>
      </c>
      <c r="T117" s="10" t="s">
        <v>51</v>
      </c>
      <c r="U117" s="13">
        <v>11.139240506329115</v>
      </c>
      <c r="V117" s="14" t="s">
        <v>56</v>
      </c>
      <c r="W117" s="15">
        <v>0.13385907433896815</v>
      </c>
      <c r="X117" s="16" t="s">
        <v>845</v>
      </c>
      <c r="Y117" t="s">
        <v>72</v>
      </c>
      <c r="AA117" t="s">
        <v>54</v>
      </c>
      <c r="AC117" s="20"/>
      <c r="AD117" s="12"/>
      <c r="AE117" s="12" t="s">
        <v>56</v>
      </c>
      <c r="AF117" s="19" t="s">
        <v>56</v>
      </c>
      <c r="AG117" s="12" t="s">
        <v>1662</v>
      </c>
      <c r="AH117" s="12" t="s">
        <v>828</v>
      </c>
      <c r="AI117" s="12" t="s">
        <v>56</v>
      </c>
      <c r="AJ117" s="12" t="s">
        <v>56</v>
      </c>
      <c r="AK117" s="12" t="s">
        <v>56</v>
      </c>
      <c r="AL117" s="12" t="s">
        <v>1648</v>
      </c>
      <c r="AM117" s="10" t="s">
        <v>56</v>
      </c>
      <c r="AN117" s="10" t="s">
        <v>56</v>
      </c>
      <c r="AO117" t="str">
        <f>_xlfn.CONCAT($AP$1,D117)</f>
        <v>c.559T&gt;G</v>
      </c>
    </row>
    <row r="118" spans="1:41" ht="15" customHeight="1" x14ac:dyDescent="0.2">
      <c r="A118" s="10">
        <v>76</v>
      </c>
      <c r="B118" s="10" t="s">
        <v>39</v>
      </c>
      <c r="C118" s="10" t="s">
        <v>848</v>
      </c>
      <c r="D118" s="10" t="s">
        <v>849</v>
      </c>
      <c r="E118" s="10" t="s">
        <v>850</v>
      </c>
      <c r="F118" s="10" t="s">
        <v>851</v>
      </c>
      <c r="G118" s="10" t="s">
        <v>852</v>
      </c>
      <c r="H118" s="10" t="s">
        <v>853</v>
      </c>
      <c r="I118" s="10" t="s">
        <v>854</v>
      </c>
      <c r="J118" s="10">
        <v>76</v>
      </c>
      <c r="K118" s="10" t="s">
        <v>852</v>
      </c>
      <c r="L118" s="10">
        <v>562</v>
      </c>
      <c r="M118" s="10">
        <v>3</v>
      </c>
      <c r="N118" s="10">
        <v>188</v>
      </c>
      <c r="O118" s="11" t="str">
        <f>HYPERLINK(AL118,"link")</f>
        <v>link</v>
      </c>
      <c r="P118" s="10" t="s">
        <v>666</v>
      </c>
      <c r="Q118" s="12">
        <v>2</v>
      </c>
      <c r="R118" s="10" t="s">
        <v>49</v>
      </c>
      <c r="S118" t="s">
        <v>50</v>
      </c>
      <c r="T118" s="10" t="s">
        <v>51</v>
      </c>
      <c r="U118" s="13">
        <v>14.584837545126355</v>
      </c>
      <c r="V118" s="14" t="s">
        <v>56</v>
      </c>
      <c r="W118" s="15">
        <v>0.19328414739022784</v>
      </c>
      <c r="X118" s="16" t="s">
        <v>855</v>
      </c>
      <c r="Y118" t="s">
        <v>72</v>
      </c>
      <c r="AA118" t="s">
        <v>54</v>
      </c>
      <c r="AC118" s="20"/>
      <c r="AD118" s="12"/>
      <c r="AE118" s="12" t="s">
        <v>56</v>
      </c>
      <c r="AF118" s="19" t="s">
        <v>56</v>
      </c>
      <c r="AG118" s="12" t="s">
        <v>856</v>
      </c>
      <c r="AH118" s="12" t="s">
        <v>828</v>
      </c>
      <c r="AI118" s="12" t="s">
        <v>147</v>
      </c>
      <c r="AJ118" s="12" t="s">
        <v>469</v>
      </c>
      <c r="AK118" s="12" t="s">
        <v>56</v>
      </c>
      <c r="AL118" s="12" t="s">
        <v>857</v>
      </c>
      <c r="AM118" s="10">
        <v>19.190000000000001</v>
      </c>
      <c r="AN118" s="10" t="s">
        <v>56</v>
      </c>
      <c r="AO118" t="str">
        <f>_xlfn.CONCAT($AP$1,D118)</f>
        <v>c.562G&gt;A</v>
      </c>
    </row>
    <row r="119" spans="1:41" ht="15" customHeight="1" x14ac:dyDescent="0.2">
      <c r="A119" s="10">
        <v>77</v>
      </c>
      <c r="B119" s="10" t="s">
        <v>39</v>
      </c>
      <c r="C119" s="10" t="s">
        <v>858</v>
      </c>
      <c r="D119" s="10" t="s">
        <v>859</v>
      </c>
      <c r="E119" s="10" t="s">
        <v>860</v>
      </c>
      <c r="F119" s="10" t="s">
        <v>861</v>
      </c>
      <c r="G119" s="10" t="s">
        <v>862</v>
      </c>
      <c r="H119" s="10" t="s">
        <v>863</v>
      </c>
      <c r="I119" s="10" t="s">
        <v>864</v>
      </c>
      <c r="J119" s="10">
        <v>77</v>
      </c>
      <c r="K119" s="10" t="s">
        <v>862</v>
      </c>
      <c r="L119" s="10">
        <v>563</v>
      </c>
      <c r="M119" s="10">
        <v>3</v>
      </c>
      <c r="N119" s="10">
        <v>188</v>
      </c>
      <c r="O119" s="11" t="str">
        <f>HYPERLINK(AL119,"link")</f>
        <v>link</v>
      </c>
      <c r="P119" s="10" t="s">
        <v>666</v>
      </c>
      <c r="Q119" s="12">
        <v>2</v>
      </c>
      <c r="R119" s="10" t="s">
        <v>49</v>
      </c>
      <c r="S119" t="s">
        <v>50</v>
      </c>
      <c r="T119" s="10" t="s">
        <v>51</v>
      </c>
      <c r="U119" s="13">
        <v>7.6752767527675276</v>
      </c>
      <c r="V119" s="14" t="s">
        <v>56</v>
      </c>
      <c r="W119" s="15">
        <v>0.17328685716980705</v>
      </c>
      <c r="X119" s="16" t="s">
        <v>865</v>
      </c>
      <c r="Y119" t="s">
        <v>72</v>
      </c>
      <c r="AA119" t="s">
        <v>54</v>
      </c>
      <c r="AC119" s="20"/>
      <c r="AD119" s="12"/>
      <c r="AE119" s="12" t="s">
        <v>56</v>
      </c>
      <c r="AF119" s="19" t="s">
        <v>56</v>
      </c>
      <c r="AG119" s="12" t="s">
        <v>856</v>
      </c>
      <c r="AH119" s="12" t="s">
        <v>828</v>
      </c>
      <c r="AI119" s="12" t="s">
        <v>147</v>
      </c>
      <c r="AJ119" s="12" t="s">
        <v>469</v>
      </c>
      <c r="AK119" s="12" t="s">
        <v>56</v>
      </c>
      <c r="AL119" s="12" t="s">
        <v>866</v>
      </c>
      <c r="AM119" s="10">
        <v>16.862000000000002</v>
      </c>
      <c r="AN119" s="10" t="s">
        <v>56</v>
      </c>
      <c r="AO119" t="str">
        <f>_xlfn.CONCAT($AP$1,D119)</f>
        <v>c.563G&gt;A</v>
      </c>
    </row>
    <row r="120" spans="1:41" ht="15" customHeight="1" x14ac:dyDescent="0.2">
      <c r="A120" s="10">
        <v>78</v>
      </c>
      <c r="B120" s="10" t="s">
        <v>39</v>
      </c>
      <c r="C120" s="10" t="s">
        <v>867</v>
      </c>
      <c r="D120" s="10" t="s">
        <v>868</v>
      </c>
      <c r="E120" s="10" t="s">
        <v>869</v>
      </c>
      <c r="F120" s="10" t="s">
        <v>870</v>
      </c>
      <c r="G120" s="10" t="s">
        <v>871</v>
      </c>
      <c r="H120" s="10" t="s">
        <v>872</v>
      </c>
      <c r="I120" s="10" t="s">
        <v>873</v>
      </c>
      <c r="J120" s="10">
        <v>78</v>
      </c>
      <c r="K120" s="10" t="s">
        <v>871</v>
      </c>
      <c r="L120" s="10">
        <v>568</v>
      </c>
      <c r="M120" s="10">
        <v>3</v>
      </c>
      <c r="N120" s="10">
        <v>190</v>
      </c>
      <c r="O120" s="11" t="str">
        <f>HYPERLINK(AL120,"link")</f>
        <v>link</v>
      </c>
      <c r="P120" s="10" t="s">
        <v>105</v>
      </c>
      <c r="Q120" s="12">
        <v>2</v>
      </c>
      <c r="R120" s="10" t="s">
        <v>49</v>
      </c>
      <c r="S120" t="s">
        <v>50</v>
      </c>
      <c r="T120" s="10" t="s">
        <v>51</v>
      </c>
      <c r="U120" s="13">
        <v>14.451476793248947</v>
      </c>
      <c r="V120" s="14" t="s">
        <v>56</v>
      </c>
      <c r="W120" s="15">
        <v>0.20363854241153512</v>
      </c>
      <c r="X120" s="16" t="s">
        <v>874</v>
      </c>
      <c r="Y120" t="s">
        <v>72</v>
      </c>
      <c r="AA120" t="s">
        <v>54</v>
      </c>
      <c r="AC120" s="20"/>
      <c r="AD120" s="12" t="s">
        <v>238</v>
      </c>
      <c r="AE120" s="12" t="s">
        <v>56</v>
      </c>
      <c r="AF120" s="19" t="s">
        <v>56</v>
      </c>
      <c r="AG120" s="12" t="s">
        <v>875</v>
      </c>
      <c r="AH120" s="12" t="s">
        <v>828</v>
      </c>
      <c r="AI120" s="12" t="s">
        <v>59</v>
      </c>
      <c r="AJ120" s="12" t="s">
        <v>56</v>
      </c>
      <c r="AK120" s="12" t="s">
        <v>56</v>
      </c>
      <c r="AL120" s="12" t="s">
        <v>876</v>
      </c>
      <c r="AM120" s="10">
        <v>3.6179999999999999</v>
      </c>
      <c r="AN120" s="10">
        <v>41.7</v>
      </c>
      <c r="AO120" t="str">
        <f>_xlfn.CONCAT($AP$1,D120)</f>
        <v>c.568G&gt;A</v>
      </c>
    </row>
    <row r="121" spans="1:41" ht="15" customHeight="1" x14ac:dyDescent="0.2">
      <c r="A121" s="10">
        <v>79</v>
      </c>
      <c r="B121" s="10" t="s">
        <v>39</v>
      </c>
      <c r="C121" s="10" t="s">
        <v>877</v>
      </c>
      <c r="D121" s="10" t="s">
        <v>878</v>
      </c>
      <c r="E121" s="10" t="s">
        <v>879</v>
      </c>
      <c r="F121" s="10" t="s">
        <v>880</v>
      </c>
      <c r="G121" s="10" t="s">
        <v>881</v>
      </c>
      <c r="H121" s="10" t="s">
        <v>882</v>
      </c>
      <c r="I121" s="10" t="s">
        <v>883</v>
      </c>
      <c r="J121" s="10">
        <v>79</v>
      </c>
      <c r="K121" s="10" t="s">
        <v>881</v>
      </c>
      <c r="L121" s="10">
        <v>568</v>
      </c>
      <c r="M121" s="10">
        <v>3</v>
      </c>
      <c r="N121" s="10">
        <v>190</v>
      </c>
      <c r="O121" s="11" t="str">
        <f>HYPERLINK(AL121,"link")</f>
        <v>link</v>
      </c>
      <c r="P121" s="10" t="s">
        <v>105</v>
      </c>
      <c r="Q121" s="12">
        <v>2</v>
      </c>
      <c r="R121" s="10" t="s">
        <v>49</v>
      </c>
      <c r="S121" t="s">
        <v>50</v>
      </c>
      <c r="T121" s="10" t="s">
        <v>51</v>
      </c>
      <c r="U121" s="13">
        <v>21.129943502824858</v>
      </c>
      <c r="V121" s="14" t="s">
        <v>56</v>
      </c>
      <c r="W121" s="15">
        <v>0.21711858980085749</v>
      </c>
      <c r="X121" s="16" t="s">
        <v>884</v>
      </c>
      <c r="Y121" t="s">
        <v>72</v>
      </c>
      <c r="AA121" t="s">
        <v>54</v>
      </c>
      <c r="AC121" s="20"/>
      <c r="AD121" s="12" t="s">
        <v>238</v>
      </c>
      <c r="AE121" s="12" t="s">
        <v>56</v>
      </c>
      <c r="AF121" s="19" t="s">
        <v>56</v>
      </c>
      <c r="AG121" s="12" t="s">
        <v>875</v>
      </c>
      <c r="AH121" s="12" t="s">
        <v>828</v>
      </c>
      <c r="AI121" s="12" t="s">
        <v>59</v>
      </c>
      <c r="AJ121" s="12" t="s">
        <v>56</v>
      </c>
      <c r="AK121" s="12" t="s">
        <v>56</v>
      </c>
      <c r="AL121" s="12" t="s">
        <v>203</v>
      </c>
      <c r="AM121" s="10">
        <v>14.49</v>
      </c>
      <c r="AN121" s="10" t="s">
        <v>56</v>
      </c>
      <c r="AO121" t="str">
        <f>_xlfn.CONCAT($AP$1,D121)</f>
        <v>c.568G&gt;T</v>
      </c>
    </row>
    <row r="122" spans="1:41" ht="15" customHeight="1" x14ac:dyDescent="0.2">
      <c r="A122" s="10">
        <v>80</v>
      </c>
      <c r="B122" s="10" t="s">
        <v>39</v>
      </c>
      <c r="C122" s="10" t="s">
        <v>885</v>
      </c>
      <c r="D122" s="10" t="s">
        <v>886</v>
      </c>
      <c r="E122" s="10" t="s">
        <v>887</v>
      </c>
      <c r="F122" s="10" t="s">
        <v>888</v>
      </c>
      <c r="G122" s="10" t="s">
        <v>889</v>
      </c>
      <c r="H122" s="10" t="s">
        <v>890</v>
      </c>
      <c r="I122" s="10" t="s">
        <v>891</v>
      </c>
      <c r="J122" s="10">
        <v>80</v>
      </c>
      <c r="K122" s="10" t="s">
        <v>889</v>
      </c>
      <c r="L122" s="10">
        <v>569</v>
      </c>
      <c r="M122" s="10">
        <v>3</v>
      </c>
      <c r="N122" s="10">
        <v>190</v>
      </c>
      <c r="O122" s="11" t="str">
        <f>HYPERLINK(AL122,"link")</f>
        <v>link</v>
      </c>
      <c r="P122" s="10" t="s">
        <v>105</v>
      </c>
      <c r="Q122" s="12">
        <v>2</v>
      </c>
      <c r="R122" s="10" t="s">
        <v>49</v>
      </c>
      <c r="S122" t="s">
        <v>50</v>
      </c>
      <c r="T122" s="10" t="s">
        <v>51</v>
      </c>
      <c r="U122" s="13">
        <v>11.843079200592154</v>
      </c>
      <c r="V122" s="14" t="s">
        <v>56</v>
      </c>
      <c r="W122" s="15">
        <v>0.26410428825822829</v>
      </c>
      <c r="X122" s="16" t="s">
        <v>817</v>
      </c>
      <c r="Y122" t="s">
        <v>72</v>
      </c>
      <c r="AA122" t="s">
        <v>54</v>
      </c>
      <c r="AC122" s="20"/>
      <c r="AD122" s="12" t="s">
        <v>238</v>
      </c>
      <c r="AE122" s="12" t="s">
        <v>56</v>
      </c>
      <c r="AF122" s="19" t="s">
        <v>56</v>
      </c>
      <c r="AG122" s="12" t="s">
        <v>875</v>
      </c>
      <c r="AH122" s="12" t="s">
        <v>828</v>
      </c>
      <c r="AI122" s="12" t="s">
        <v>59</v>
      </c>
      <c r="AJ122" s="12" t="s">
        <v>56</v>
      </c>
      <c r="AK122" s="12" t="s">
        <v>56</v>
      </c>
      <c r="AL122" s="12" t="s">
        <v>892</v>
      </c>
      <c r="AM122" s="10">
        <v>4.4799999999999995</v>
      </c>
      <c r="AN122" s="10">
        <v>27.9</v>
      </c>
      <c r="AO122" t="str">
        <f>_xlfn.CONCAT($AP$1,D122)</f>
        <v>c.569A&gt;G</v>
      </c>
    </row>
    <row r="123" spans="1:41" ht="15" customHeight="1" x14ac:dyDescent="0.2">
      <c r="A123" s="10">
        <v>164</v>
      </c>
      <c r="B123" s="10" t="s">
        <v>39</v>
      </c>
      <c r="C123" s="10" t="s">
        <v>1649</v>
      </c>
      <c r="D123" s="10" t="s">
        <v>1650</v>
      </c>
      <c r="E123" s="10" t="s">
        <v>1651</v>
      </c>
      <c r="F123" s="10" t="s">
        <v>1652</v>
      </c>
      <c r="G123" s="10" t="s">
        <v>1653</v>
      </c>
      <c r="H123" s="10" t="s">
        <v>1654</v>
      </c>
      <c r="I123" s="10"/>
      <c r="J123" s="10">
        <v>164</v>
      </c>
      <c r="K123" s="10" t="s">
        <v>1653</v>
      </c>
      <c r="L123" s="10">
        <v>572</v>
      </c>
      <c r="M123" s="10">
        <v>3</v>
      </c>
      <c r="N123" s="10">
        <v>191</v>
      </c>
      <c r="O123" s="11" t="str">
        <f>HYPERLINK(AL123,"link")</f>
        <v>link</v>
      </c>
      <c r="P123" s="10" t="s">
        <v>269</v>
      </c>
      <c r="Q123" s="12" t="s">
        <v>270</v>
      </c>
      <c r="R123" s="10" t="s">
        <v>49</v>
      </c>
      <c r="S123" t="s">
        <v>50</v>
      </c>
      <c r="T123" s="10" t="s">
        <v>51</v>
      </c>
      <c r="U123" s="13">
        <v>83.039092055485497</v>
      </c>
      <c r="V123" s="14" t="s">
        <v>56</v>
      </c>
      <c r="W123" s="15">
        <v>2.1676075181758456</v>
      </c>
      <c r="X123" s="16" t="s">
        <v>1655</v>
      </c>
      <c r="Y123" t="s">
        <v>158</v>
      </c>
      <c r="AA123" t="s">
        <v>159</v>
      </c>
      <c r="AC123" s="20"/>
      <c r="AD123" s="12"/>
      <c r="AE123" s="12" t="s">
        <v>56</v>
      </c>
      <c r="AF123" s="19" t="s">
        <v>56</v>
      </c>
      <c r="AG123" s="12" t="s">
        <v>723</v>
      </c>
      <c r="AH123" s="12" t="s">
        <v>724</v>
      </c>
      <c r="AI123" s="12" t="s">
        <v>56</v>
      </c>
      <c r="AJ123" s="12" t="s">
        <v>56</v>
      </c>
      <c r="AK123" s="12" t="s">
        <v>56</v>
      </c>
      <c r="AL123" s="12" t="s">
        <v>1060</v>
      </c>
      <c r="AM123" s="10" t="s">
        <v>56</v>
      </c>
      <c r="AN123" s="10" t="s">
        <v>56</v>
      </c>
      <c r="AO123" t="str">
        <f>_xlfn.CONCAT($AP$1,D123)</f>
        <v>c.572A&gt;G</v>
      </c>
    </row>
    <row r="124" spans="1:41" ht="15" customHeight="1" x14ac:dyDescent="0.2">
      <c r="A124" s="10">
        <v>81</v>
      </c>
      <c r="B124" s="10" t="s">
        <v>39</v>
      </c>
      <c r="C124" s="10" t="s">
        <v>893</v>
      </c>
      <c r="D124" s="10" t="s">
        <v>894</v>
      </c>
      <c r="E124" s="10" t="s">
        <v>895</v>
      </c>
      <c r="F124" s="10" t="s">
        <v>896</v>
      </c>
      <c r="G124" s="10" t="s">
        <v>897</v>
      </c>
      <c r="H124" s="10" t="s">
        <v>898</v>
      </c>
      <c r="I124" s="10" t="s">
        <v>899</v>
      </c>
      <c r="J124" s="10">
        <v>81</v>
      </c>
      <c r="K124" s="10" t="s">
        <v>897</v>
      </c>
      <c r="L124" s="10">
        <v>578</v>
      </c>
      <c r="M124" s="10">
        <v>3</v>
      </c>
      <c r="N124" s="10">
        <v>193</v>
      </c>
      <c r="O124" s="11" t="str">
        <f>HYPERLINK(AL124,"link")</f>
        <v>link</v>
      </c>
      <c r="P124" s="10" t="s">
        <v>269</v>
      </c>
      <c r="Q124" s="12" t="s">
        <v>270</v>
      </c>
      <c r="R124" s="10" t="s">
        <v>49</v>
      </c>
      <c r="S124" t="s">
        <v>50</v>
      </c>
      <c r="T124" s="10" t="s">
        <v>51</v>
      </c>
      <c r="U124" s="13">
        <v>75.656774672864628</v>
      </c>
      <c r="V124" s="14">
        <v>1.573216821042865</v>
      </c>
      <c r="W124" s="15">
        <v>1.1003007103636828</v>
      </c>
      <c r="X124" s="16" t="s">
        <v>900</v>
      </c>
      <c r="Y124" t="s">
        <v>53</v>
      </c>
      <c r="AA124" t="s">
        <v>901</v>
      </c>
      <c r="AB124" s="17" t="s">
        <v>902</v>
      </c>
      <c r="AC124" s="20"/>
      <c r="AD124" s="12"/>
      <c r="AE124" s="12" t="s">
        <v>56</v>
      </c>
      <c r="AF124" s="19" t="s">
        <v>56</v>
      </c>
      <c r="AG124" s="12" t="s">
        <v>734</v>
      </c>
      <c r="AH124" s="12" t="s">
        <v>724</v>
      </c>
      <c r="AI124" s="12" t="s">
        <v>59</v>
      </c>
      <c r="AJ124" s="12" t="s">
        <v>56</v>
      </c>
      <c r="AK124" s="12" t="s">
        <v>56</v>
      </c>
      <c r="AL124" s="12" t="s">
        <v>903</v>
      </c>
      <c r="AM124" s="10">
        <v>0.46399999999999997</v>
      </c>
      <c r="AN124" s="10" t="s">
        <v>56</v>
      </c>
      <c r="AO124" t="str">
        <f>_xlfn.CONCAT($AP$1,D124)</f>
        <v>c.578C&gt;T</v>
      </c>
    </row>
    <row r="125" spans="1:41" ht="15" customHeight="1" x14ac:dyDescent="0.2">
      <c r="A125" s="10">
        <v>152</v>
      </c>
      <c r="B125" s="10" t="s">
        <v>39</v>
      </c>
      <c r="C125" s="10" t="s">
        <v>1568</v>
      </c>
      <c r="D125" s="10" t="s">
        <v>1569</v>
      </c>
      <c r="E125" s="10" t="s">
        <v>1570</v>
      </c>
      <c r="F125" s="10" t="s">
        <v>1571</v>
      </c>
      <c r="G125" s="10" t="s">
        <v>1572</v>
      </c>
      <c r="H125" s="10" t="s">
        <v>1573</v>
      </c>
      <c r="I125" s="10"/>
      <c r="J125" s="10">
        <v>152</v>
      </c>
      <c r="K125" s="10" t="s">
        <v>1572</v>
      </c>
      <c r="L125" s="10">
        <v>616</v>
      </c>
      <c r="M125" s="10">
        <v>3</v>
      </c>
      <c r="N125" s="10">
        <v>206</v>
      </c>
      <c r="O125" s="11" t="str">
        <f>HYPERLINK(AL125,"link")</f>
        <v>link</v>
      </c>
      <c r="P125" s="10" t="s">
        <v>1505</v>
      </c>
      <c r="Q125" s="12" t="s">
        <v>1505</v>
      </c>
      <c r="R125" s="10" t="s">
        <v>49</v>
      </c>
      <c r="S125" t="s">
        <v>50</v>
      </c>
      <c r="T125" s="10" t="e">
        <v>#N/A</v>
      </c>
      <c r="U125" s="13">
        <v>17.018050983775332</v>
      </c>
      <c r="V125" s="14">
        <v>3.8349157157505038</v>
      </c>
      <c r="W125" s="15">
        <v>0.12834928494644346</v>
      </c>
      <c r="X125" s="16" t="s">
        <v>1475</v>
      </c>
      <c r="Y125" t="s">
        <v>72</v>
      </c>
      <c r="AA125" t="s">
        <v>54</v>
      </c>
      <c r="AC125" s="9"/>
      <c r="AD125" s="12"/>
      <c r="AE125" s="12" t="s">
        <v>56</v>
      </c>
      <c r="AF125" s="19" t="s">
        <v>56</v>
      </c>
      <c r="AG125" s="12" t="s">
        <v>944</v>
      </c>
      <c r="AH125" s="12" t="s">
        <v>935</v>
      </c>
      <c r="AI125" s="12" t="s">
        <v>56</v>
      </c>
      <c r="AJ125" s="12" t="s">
        <v>56</v>
      </c>
      <c r="AK125" s="12" t="s">
        <v>56</v>
      </c>
      <c r="AL125" s="12" t="s">
        <v>1574</v>
      </c>
      <c r="AM125" s="10" t="s">
        <v>56</v>
      </c>
      <c r="AN125" s="10" t="s">
        <v>56</v>
      </c>
      <c r="AO125" t="str">
        <f>_xlfn.CONCAT($AP$1,D125)</f>
        <v>c.616_624delTACATGTTC</v>
      </c>
    </row>
    <row r="126" spans="1:41" ht="15" customHeight="1" x14ac:dyDescent="0.2">
      <c r="A126" s="10">
        <v>82</v>
      </c>
      <c r="B126" s="10" t="s">
        <v>39</v>
      </c>
      <c r="C126" s="10" t="s">
        <v>904</v>
      </c>
      <c r="D126" s="10" t="s">
        <v>905</v>
      </c>
      <c r="E126" s="10" t="s">
        <v>906</v>
      </c>
      <c r="F126" s="10" t="s">
        <v>907</v>
      </c>
      <c r="G126" s="10" t="s">
        <v>908</v>
      </c>
      <c r="H126" s="10" t="s">
        <v>909</v>
      </c>
      <c r="I126" s="10" t="s">
        <v>910</v>
      </c>
      <c r="J126" s="10">
        <v>82</v>
      </c>
      <c r="K126" s="10" t="s">
        <v>908</v>
      </c>
      <c r="L126" s="10">
        <v>620</v>
      </c>
      <c r="M126" s="10">
        <v>3</v>
      </c>
      <c r="N126" s="10">
        <v>207</v>
      </c>
      <c r="O126" s="11" t="str">
        <f>HYPERLINK(AL126,"link")</f>
        <v>link</v>
      </c>
      <c r="P126" s="10" t="s">
        <v>269</v>
      </c>
      <c r="Q126" s="12" t="s">
        <v>270</v>
      </c>
      <c r="R126" s="10" t="s">
        <v>49</v>
      </c>
      <c r="S126" t="s">
        <v>50</v>
      </c>
      <c r="T126" s="10" t="s">
        <v>51</v>
      </c>
      <c r="U126" s="13">
        <v>92.47881355932202</v>
      </c>
      <c r="V126" s="14" t="s">
        <v>56</v>
      </c>
      <c r="W126" s="15">
        <v>3.7866657372345705</v>
      </c>
      <c r="X126" s="16" t="s">
        <v>911</v>
      </c>
      <c r="Y126" t="s">
        <v>214</v>
      </c>
      <c r="AA126" t="s">
        <v>159</v>
      </c>
      <c r="AC126" s="20"/>
      <c r="AD126" s="12"/>
      <c r="AE126" s="12" t="s">
        <v>56</v>
      </c>
      <c r="AF126" s="19" t="s">
        <v>56</v>
      </c>
      <c r="AG126" s="12" t="s">
        <v>912</v>
      </c>
      <c r="AH126" s="12" t="s">
        <v>913</v>
      </c>
      <c r="AI126" s="12" t="s">
        <v>56</v>
      </c>
      <c r="AJ126" s="12" t="s">
        <v>56</v>
      </c>
      <c r="AK126" s="12" t="s">
        <v>56</v>
      </c>
      <c r="AL126" s="12" t="s">
        <v>342</v>
      </c>
      <c r="AM126" s="10" t="s">
        <v>56</v>
      </c>
      <c r="AN126" s="10" t="s">
        <v>56</v>
      </c>
      <c r="AO126" t="str">
        <f>_xlfn.CONCAT($AP$1,D126)</f>
        <v>c.620T&gt;A</v>
      </c>
    </row>
    <row r="127" spans="1:41" ht="15" customHeight="1" x14ac:dyDescent="0.2">
      <c r="A127" s="10">
        <v>83</v>
      </c>
      <c r="B127" s="10" t="s">
        <v>39</v>
      </c>
      <c r="C127" s="10" t="s">
        <v>914</v>
      </c>
      <c r="D127" s="10" t="s">
        <v>915</v>
      </c>
      <c r="E127" s="10" t="s">
        <v>916</v>
      </c>
      <c r="F127" s="10" t="s">
        <v>917</v>
      </c>
      <c r="G127" s="10" t="s">
        <v>918</v>
      </c>
      <c r="H127" s="10" t="s">
        <v>919</v>
      </c>
      <c r="I127" s="10" t="s">
        <v>920</v>
      </c>
      <c r="J127" s="10">
        <v>83</v>
      </c>
      <c r="K127" s="10" t="s">
        <v>918</v>
      </c>
      <c r="L127" s="10">
        <v>620</v>
      </c>
      <c r="M127" s="10">
        <v>3</v>
      </c>
      <c r="N127" s="10">
        <v>207</v>
      </c>
      <c r="O127" s="11" t="str">
        <f>HYPERLINK(AL127,"link")</f>
        <v>link</v>
      </c>
      <c r="P127" s="10" t="s">
        <v>143</v>
      </c>
      <c r="Q127" s="12">
        <v>2</v>
      </c>
      <c r="R127" s="10" t="s">
        <v>49</v>
      </c>
      <c r="S127" t="s">
        <v>50</v>
      </c>
      <c r="T127" s="10" t="s">
        <v>51</v>
      </c>
      <c r="U127" s="13">
        <v>74.754901960784309</v>
      </c>
      <c r="V127" s="14" t="s">
        <v>56</v>
      </c>
      <c r="W127" s="15">
        <v>1.0701450388878539</v>
      </c>
      <c r="X127" s="16" t="s">
        <v>921</v>
      </c>
      <c r="Y127" t="s">
        <v>53</v>
      </c>
      <c r="AA127" t="s">
        <v>200</v>
      </c>
      <c r="AB127" s="17" t="s">
        <v>425</v>
      </c>
      <c r="AC127" s="20"/>
      <c r="AD127" s="12"/>
      <c r="AE127" s="12" t="s">
        <v>56</v>
      </c>
      <c r="AF127" s="19" t="s">
        <v>56</v>
      </c>
      <c r="AG127" s="12" t="s">
        <v>922</v>
      </c>
      <c r="AH127" s="12" t="s">
        <v>913</v>
      </c>
      <c r="AI127" s="12" t="s">
        <v>147</v>
      </c>
      <c r="AJ127" s="12" t="s">
        <v>469</v>
      </c>
      <c r="AK127" s="12" t="s">
        <v>56</v>
      </c>
      <c r="AL127" s="12" t="s">
        <v>923</v>
      </c>
      <c r="AM127" s="10">
        <v>3.722</v>
      </c>
      <c r="AN127" s="10" t="s">
        <v>56</v>
      </c>
      <c r="AO127" t="str">
        <f>_xlfn.CONCAT($AP$1,D127)</f>
        <v>c.620T&gt;G</v>
      </c>
    </row>
    <row r="128" spans="1:41" ht="15" customHeight="1" x14ac:dyDescent="0.2">
      <c r="A128" s="10">
        <v>84</v>
      </c>
      <c r="B128" s="10" t="s">
        <v>39</v>
      </c>
      <c r="C128" s="10" t="s">
        <v>924</v>
      </c>
      <c r="D128" s="10" t="s">
        <v>925</v>
      </c>
      <c r="E128" s="10" t="s">
        <v>926</v>
      </c>
      <c r="F128" s="10" t="s">
        <v>927</v>
      </c>
      <c r="G128" s="10" t="s">
        <v>928</v>
      </c>
      <c r="H128" s="10" t="s">
        <v>929</v>
      </c>
      <c r="I128" s="10" t="s">
        <v>930</v>
      </c>
      <c r="J128" s="10">
        <v>84</v>
      </c>
      <c r="K128" s="10" t="s">
        <v>928</v>
      </c>
      <c r="L128" s="10">
        <v>625</v>
      </c>
      <c r="M128" s="10">
        <v>3</v>
      </c>
      <c r="N128" s="10">
        <v>209</v>
      </c>
      <c r="O128" s="11" t="str">
        <f>HYPERLINK(AL128,"link")</f>
        <v>link</v>
      </c>
      <c r="P128" s="10" t="s">
        <v>170</v>
      </c>
      <c r="Q128" s="12">
        <v>7</v>
      </c>
      <c r="R128" s="10" t="s">
        <v>49</v>
      </c>
      <c r="S128" t="s">
        <v>50</v>
      </c>
      <c r="T128" s="10" t="s">
        <v>51</v>
      </c>
      <c r="U128" s="13">
        <v>96.151104775481116</v>
      </c>
      <c r="V128" s="14" t="s">
        <v>56</v>
      </c>
      <c r="W128" s="15">
        <v>3.0874981925910778</v>
      </c>
      <c r="X128" s="16" t="s">
        <v>931</v>
      </c>
      <c r="Y128" t="s">
        <v>214</v>
      </c>
      <c r="AA128" t="s">
        <v>159</v>
      </c>
      <c r="AC128" s="20"/>
      <c r="AD128" s="12" t="s">
        <v>932</v>
      </c>
      <c r="AE128" s="12" t="s">
        <v>933</v>
      </c>
      <c r="AF128" s="19" t="s">
        <v>56</v>
      </c>
      <c r="AG128" s="12" t="s">
        <v>934</v>
      </c>
      <c r="AH128" s="12" t="s">
        <v>935</v>
      </c>
      <c r="AI128" s="12" t="s">
        <v>178</v>
      </c>
      <c r="AJ128" s="12" t="s">
        <v>56</v>
      </c>
      <c r="AK128" s="12" t="s">
        <v>56</v>
      </c>
      <c r="AL128" s="12" t="s">
        <v>866</v>
      </c>
      <c r="AM128" s="10">
        <v>-0.28600000000000003</v>
      </c>
      <c r="AN128" s="10" t="s">
        <v>56</v>
      </c>
      <c r="AO128" t="str">
        <f>_xlfn.CONCAT($AP$1,D128)</f>
        <v>c.625G&gt;A</v>
      </c>
    </row>
    <row r="129" spans="1:41" ht="15" customHeight="1" x14ac:dyDescent="0.2">
      <c r="A129" s="10">
        <v>85</v>
      </c>
      <c r="B129" s="10" t="s">
        <v>39</v>
      </c>
      <c r="C129" s="10" t="s">
        <v>936</v>
      </c>
      <c r="D129" s="10" t="s">
        <v>937</v>
      </c>
      <c r="E129" s="10" t="s">
        <v>938</v>
      </c>
      <c r="F129" s="10" t="s">
        <v>939</v>
      </c>
      <c r="G129" s="10" t="s">
        <v>940</v>
      </c>
      <c r="H129" s="10" t="s">
        <v>941</v>
      </c>
      <c r="I129" s="10" t="s">
        <v>942</v>
      </c>
      <c r="J129" s="10">
        <v>85</v>
      </c>
      <c r="K129" s="10" t="s">
        <v>940</v>
      </c>
      <c r="L129" s="10">
        <v>628</v>
      </c>
      <c r="M129" s="10">
        <v>3</v>
      </c>
      <c r="N129" s="10">
        <v>210</v>
      </c>
      <c r="O129" s="11" t="str">
        <f>HYPERLINK(AL129,"link")</f>
        <v>link</v>
      </c>
      <c r="P129" s="10" t="s">
        <v>269</v>
      </c>
      <c r="Q129" s="12" t="s">
        <v>270</v>
      </c>
      <c r="R129" s="10" t="s">
        <v>49</v>
      </c>
      <c r="S129" t="s">
        <v>50</v>
      </c>
      <c r="T129" s="10" t="s">
        <v>51</v>
      </c>
      <c r="U129" s="13">
        <v>92.965917331399567</v>
      </c>
      <c r="V129" s="14" t="s">
        <v>56</v>
      </c>
      <c r="W129" s="15">
        <v>2.7312284507649474</v>
      </c>
      <c r="X129" s="16" t="s">
        <v>943</v>
      </c>
      <c r="Y129" t="s">
        <v>214</v>
      </c>
      <c r="AA129" t="s">
        <v>159</v>
      </c>
      <c r="AC129" s="20"/>
      <c r="AD129" s="12"/>
      <c r="AE129" s="12" t="s">
        <v>175</v>
      </c>
      <c r="AF129" s="19" t="s">
        <v>56</v>
      </c>
      <c r="AG129" s="12" t="s">
        <v>944</v>
      </c>
      <c r="AH129" s="12" t="s">
        <v>935</v>
      </c>
      <c r="AI129" s="12" t="s">
        <v>56</v>
      </c>
      <c r="AJ129" s="12" t="s">
        <v>56</v>
      </c>
      <c r="AK129" s="12" t="s">
        <v>56</v>
      </c>
      <c r="AL129" s="12" t="s">
        <v>945</v>
      </c>
      <c r="AM129" s="10" t="s">
        <v>56</v>
      </c>
      <c r="AN129" s="10" t="s">
        <v>56</v>
      </c>
      <c r="AO129" t="str">
        <f>_xlfn.CONCAT($AP$1,D129)</f>
        <v>c.628G&gt;T</v>
      </c>
    </row>
    <row r="130" spans="1:41" ht="15" customHeight="1" x14ac:dyDescent="0.2">
      <c r="A130" s="10">
        <v>86</v>
      </c>
      <c r="B130" s="10" t="s">
        <v>39</v>
      </c>
      <c r="C130" s="10" t="s">
        <v>946</v>
      </c>
      <c r="D130" s="10" t="s">
        <v>947</v>
      </c>
      <c r="E130" s="10" t="s">
        <v>948</v>
      </c>
      <c r="F130" s="10" t="s">
        <v>949</v>
      </c>
      <c r="G130" s="10" t="s">
        <v>950</v>
      </c>
      <c r="H130" s="10" t="s">
        <v>951</v>
      </c>
      <c r="I130" s="10" t="s">
        <v>952</v>
      </c>
      <c r="J130" s="10">
        <v>86</v>
      </c>
      <c r="K130" s="10" t="s">
        <v>950</v>
      </c>
      <c r="L130" s="10">
        <v>632</v>
      </c>
      <c r="M130" s="10">
        <v>3</v>
      </c>
      <c r="N130" s="10">
        <v>211</v>
      </c>
      <c r="O130" s="11" t="str">
        <f>HYPERLINK(AL130,"link")</f>
        <v>link</v>
      </c>
      <c r="P130" s="10" t="s">
        <v>953</v>
      </c>
      <c r="Q130" s="12">
        <v>2</v>
      </c>
      <c r="R130" s="10" t="s">
        <v>49</v>
      </c>
      <c r="S130" t="s">
        <v>50</v>
      </c>
      <c r="T130" s="10" t="s">
        <v>51</v>
      </c>
      <c r="U130" s="13">
        <v>6.3763608087091752</v>
      </c>
      <c r="V130" s="14" t="s">
        <v>56</v>
      </c>
      <c r="W130" s="15">
        <v>0.14004633784330642</v>
      </c>
      <c r="X130" s="16" t="s">
        <v>954</v>
      </c>
      <c r="Y130" t="s">
        <v>72</v>
      </c>
      <c r="AA130" t="s">
        <v>54</v>
      </c>
      <c r="AC130" s="20"/>
      <c r="AD130" s="12"/>
      <c r="AE130" s="12" t="s">
        <v>56</v>
      </c>
      <c r="AF130" s="19" t="s">
        <v>56</v>
      </c>
      <c r="AG130" s="12" t="s">
        <v>955</v>
      </c>
      <c r="AH130" s="12" t="s">
        <v>913</v>
      </c>
      <c r="AI130" s="12" t="s">
        <v>147</v>
      </c>
      <c r="AJ130" s="12" t="s">
        <v>56</v>
      </c>
      <c r="AK130" s="12" t="s">
        <v>56</v>
      </c>
      <c r="AL130" s="12" t="s">
        <v>956</v>
      </c>
      <c r="AM130" s="10">
        <v>4.3420000000000005</v>
      </c>
      <c r="AN130" s="10" t="s">
        <v>56</v>
      </c>
      <c r="AO130" t="str">
        <f>_xlfn.CONCAT($AP$1,D130)</f>
        <v>c.632A&gt;C</v>
      </c>
    </row>
    <row r="131" spans="1:41" ht="15" customHeight="1" x14ac:dyDescent="0.2">
      <c r="A131" s="10">
        <v>87</v>
      </c>
      <c r="B131" s="10" t="s">
        <v>39</v>
      </c>
      <c r="C131" s="10" t="s">
        <v>957</v>
      </c>
      <c r="D131" s="10" t="s">
        <v>958</v>
      </c>
      <c r="E131" s="10" t="s">
        <v>959</v>
      </c>
      <c r="F131" s="10" t="s">
        <v>960</v>
      </c>
      <c r="G131" s="10" t="s">
        <v>961</v>
      </c>
      <c r="H131" s="10" t="s">
        <v>962</v>
      </c>
      <c r="I131" s="10" t="s">
        <v>963</v>
      </c>
      <c r="J131" s="10">
        <v>87</v>
      </c>
      <c r="K131" s="10" t="s">
        <v>961</v>
      </c>
      <c r="L131" s="10">
        <v>632</v>
      </c>
      <c r="M131" s="10">
        <v>3</v>
      </c>
      <c r="N131" s="10">
        <v>211</v>
      </c>
      <c r="O131" s="11" t="str">
        <f>HYPERLINK(AL131,"link")</f>
        <v>link</v>
      </c>
      <c r="P131" s="10" t="s">
        <v>105</v>
      </c>
      <c r="Q131" s="12">
        <v>2</v>
      </c>
      <c r="R131" s="10" t="s">
        <v>49</v>
      </c>
      <c r="S131" t="s">
        <v>50</v>
      </c>
      <c r="T131" s="10" t="s">
        <v>51</v>
      </c>
      <c r="U131" s="13">
        <v>8.8120468488566654</v>
      </c>
      <c r="V131" s="14" t="s">
        <v>56</v>
      </c>
      <c r="W131" s="15">
        <v>0.20260384224219907</v>
      </c>
      <c r="X131" s="16" t="s">
        <v>509</v>
      </c>
      <c r="Y131" t="s">
        <v>72</v>
      </c>
      <c r="AA131" t="s">
        <v>54</v>
      </c>
      <c r="AC131" s="20"/>
      <c r="AD131" s="12"/>
      <c r="AE131" s="12" t="s">
        <v>56</v>
      </c>
      <c r="AF131" s="19" t="s">
        <v>56</v>
      </c>
      <c r="AG131" s="12" t="s">
        <v>955</v>
      </c>
      <c r="AH131" s="12" t="s">
        <v>913</v>
      </c>
      <c r="AI131" s="12" t="s">
        <v>147</v>
      </c>
      <c r="AJ131" s="12" t="s">
        <v>56</v>
      </c>
      <c r="AK131" s="12" t="s">
        <v>56</v>
      </c>
      <c r="AL131" s="12" t="s">
        <v>964</v>
      </c>
      <c r="AM131" s="10">
        <v>5.1639999999999997</v>
      </c>
      <c r="AN131" s="10" t="s">
        <v>56</v>
      </c>
      <c r="AO131" t="str">
        <f>_xlfn.CONCAT($AP$1,D131)</f>
        <v>c.632A&gt;G</v>
      </c>
    </row>
    <row r="132" spans="1:41" ht="15" customHeight="1" x14ac:dyDescent="0.2">
      <c r="A132" s="10">
        <v>88</v>
      </c>
      <c r="B132" s="10" t="s">
        <v>39</v>
      </c>
      <c r="C132" s="10" t="s">
        <v>965</v>
      </c>
      <c r="D132" s="10" t="s">
        <v>966</v>
      </c>
      <c r="E132" s="10" t="s">
        <v>967</v>
      </c>
      <c r="F132" s="10" t="s">
        <v>968</v>
      </c>
      <c r="G132" s="10" t="s">
        <v>969</v>
      </c>
      <c r="H132" s="10" t="s">
        <v>970</v>
      </c>
      <c r="I132" s="10" t="s">
        <v>971</v>
      </c>
      <c r="J132" s="10">
        <v>88</v>
      </c>
      <c r="K132" s="10" t="s">
        <v>969</v>
      </c>
      <c r="L132" s="10">
        <v>641</v>
      </c>
      <c r="M132" s="10">
        <v>3</v>
      </c>
      <c r="N132" s="10">
        <v>214</v>
      </c>
      <c r="O132" s="11" t="str">
        <f>HYPERLINK(AL132,"link")</f>
        <v>link</v>
      </c>
      <c r="P132" s="10" t="s">
        <v>269</v>
      </c>
      <c r="Q132" s="12" t="s">
        <v>270</v>
      </c>
      <c r="R132" s="10" t="s">
        <v>49</v>
      </c>
      <c r="S132" t="s">
        <v>50</v>
      </c>
      <c r="T132" s="10" t="s">
        <v>51</v>
      </c>
      <c r="U132" s="13">
        <v>71.847246891651864</v>
      </c>
      <c r="V132" s="14" t="s">
        <v>56</v>
      </c>
      <c r="W132" s="15">
        <v>1.9356884223805777</v>
      </c>
      <c r="X132" s="16" t="s">
        <v>972</v>
      </c>
      <c r="Y132" t="s">
        <v>53</v>
      </c>
      <c r="AA132" t="s">
        <v>901</v>
      </c>
      <c r="AB132" s="17" t="s">
        <v>902</v>
      </c>
      <c r="AC132" s="20"/>
      <c r="AD132" s="12"/>
      <c r="AE132" s="12" t="s">
        <v>56</v>
      </c>
      <c r="AF132" s="19" t="s">
        <v>56</v>
      </c>
      <c r="AG132" s="12" t="s">
        <v>944</v>
      </c>
      <c r="AH132" s="12" t="s">
        <v>935</v>
      </c>
      <c r="AI132" s="12" t="s">
        <v>56</v>
      </c>
      <c r="AJ132" s="12" t="s">
        <v>56</v>
      </c>
      <c r="AK132" s="12" t="s">
        <v>56</v>
      </c>
      <c r="AL132" s="12" t="s">
        <v>779</v>
      </c>
      <c r="AM132" s="10" t="s">
        <v>56</v>
      </c>
      <c r="AN132" s="10" t="s">
        <v>56</v>
      </c>
      <c r="AO132" t="str">
        <f>_xlfn.CONCAT($AP$1,D132)</f>
        <v>c.641T&gt;A</v>
      </c>
    </row>
    <row r="133" spans="1:41" ht="15" customHeight="1" x14ac:dyDescent="0.2">
      <c r="A133" s="10">
        <v>89</v>
      </c>
      <c r="B133" s="10" t="s">
        <v>39</v>
      </c>
      <c r="C133" s="10" t="s">
        <v>973</v>
      </c>
      <c r="D133" s="10" t="s">
        <v>974</v>
      </c>
      <c r="E133" s="10" t="s">
        <v>975</v>
      </c>
      <c r="F133" s="10" t="s">
        <v>976</v>
      </c>
      <c r="G133" s="10" t="s">
        <v>977</v>
      </c>
      <c r="H133" s="10" t="s">
        <v>978</v>
      </c>
      <c r="I133" s="10" t="s">
        <v>979</v>
      </c>
      <c r="J133" s="10">
        <v>89</v>
      </c>
      <c r="K133" s="10" t="s">
        <v>977</v>
      </c>
      <c r="L133" s="10">
        <v>643</v>
      </c>
      <c r="M133" s="10">
        <v>3</v>
      </c>
      <c r="N133" s="10">
        <v>215</v>
      </c>
      <c r="O133" s="11" t="str">
        <f>HYPERLINK(AL133,"link")</f>
        <v>link</v>
      </c>
      <c r="P133" s="10" t="s">
        <v>143</v>
      </c>
      <c r="Q133" s="12">
        <v>2</v>
      </c>
      <c r="R133" s="10" t="s">
        <v>49</v>
      </c>
      <c r="S133" t="s">
        <v>50</v>
      </c>
      <c r="T133" s="10" t="s">
        <v>51</v>
      </c>
      <c r="U133" s="13">
        <v>12.889983579638752</v>
      </c>
      <c r="V133" s="14" t="s">
        <v>56</v>
      </c>
      <c r="W133" s="15">
        <v>0.26397392958688648</v>
      </c>
      <c r="X133" s="16" t="s">
        <v>980</v>
      </c>
      <c r="Y133" t="s">
        <v>72</v>
      </c>
      <c r="AA133" t="s">
        <v>54</v>
      </c>
      <c r="AC133" s="20"/>
      <c r="AD133" s="12"/>
      <c r="AE133" s="12" t="s">
        <v>56</v>
      </c>
      <c r="AF133" s="19" t="s">
        <v>56</v>
      </c>
      <c r="AG133" s="12" t="s">
        <v>981</v>
      </c>
      <c r="AH133" s="12" t="s">
        <v>935</v>
      </c>
      <c r="AI133" s="12" t="s">
        <v>147</v>
      </c>
      <c r="AJ133" s="12" t="s">
        <v>56</v>
      </c>
      <c r="AK133" s="12" t="s">
        <v>56</v>
      </c>
      <c r="AL133" s="12" t="s">
        <v>982</v>
      </c>
      <c r="AM133" s="10">
        <v>5</v>
      </c>
      <c r="AN133" s="10" t="s">
        <v>56</v>
      </c>
      <c r="AO133" t="str">
        <f>_xlfn.CONCAT($AP$1,D133)</f>
        <v>c.643C&gt;A</v>
      </c>
    </row>
    <row r="134" spans="1:41" ht="15" customHeight="1" x14ac:dyDescent="0.2">
      <c r="A134" s="10">
        <v>90</v>
      </c>
      <c r="B134" s="10" t="s">
        <v>39</v>
      </c>
      <c r="C134" s="10" t="s">
        <v>983</v>
      </c>
      <c r="D134" s="10" t="s">
        <v>984</v>
      </c>
      <c r="E134" s="10" t="s">
        <v>985</v>
      </c>
      <c r="F134" s="10" t="s">
        <v>986</v>
      </c>
      <c r="G134" s="10" t="s">
        <v>987</v>
      </c>
      <c r="H134" s="10" t="s">
        <v>988</v>
      </c>
      <c r="I134" s="10" t="s">
        <v>989</v>
      </c>
      <c r="J134" s="10">
        <v>90</v>
      </c>
      <c r="K134" s="10" t="s">
        <v>987</v>
      </c>
      <c r="L134" s="10">
        <v>644</v>
      </c>
      <c r="M134" s="10">
        <v>3</v>
      </c>
      <c r="N134" s="10">
        <v>215</v>
      </c>
      <c r="O134" s="11" t="str">
        <f>HYPERLINK(AL134,"link")</f>
        <v>link</v>
      </c>
      <c r="P134" s="10" t="s">
        <v>143</v>
      </c>
      <c r="Q134" s="12">
        <v>2</v>
      </c>
      <c r="R134" s="10" t="s">
        <v>49</v>
      </c>
      <c r="S134" t="s">
        <v>50</v>
      </c>
      <c r="T134" s="10" t="s">
        <v>51</v>
      </c>
      <c r="U134" s="13">
        <v>16.599190283400809</v>
      </c>
      <c r="V134" s="14" t="s">
        <v>56</v>
      </c>
      <c r="W134" s="15">
        <v>0.23503251902395486</v>
      </c>
      <c r="X134" s="16" t="s">
        <v>990</v>
      </c>
      <c r="Y134" t="s">
        <v>72</v>
      </c>
      <c r="AA134" t="s">
        <v>54</v>
      </c>
      <c r="AC134" s="20"/>
      <c r="AD134" s="12"/>
      <c r="AE134" s="12" t="s">
        <v>56</v>
      </c>
      <c r="AF134" s="19" t="s">
        <v>56</v>
      </c>
      <c r="AG134" s="12" t="s">
        <v>981</v>
      </c>
      <c r="AH134" s="12" t="s">
        <v>935</v>
      </c>
      <c r="AI134" s="12" t="s">
        <v>147</v>
      </c>
      <c r="AJ134" s="12" t="s">
        <v>56</v>
      </c>
      <c r="AK134" s="12" t="s">
        <v>56</v>
      </c>
      <c r="AL134" s="12" t="s">
        <v>991</v>
      </c>
      <c r="AM134" s="10">
        <v>8.952</v>
      </c>
      <c r="AN134" s="10" t="s">
        <v>56</v>
      </c>
      <c r="AO134" t="str">
        <f>_xlfn.CONCAT($AP$1,D134)</f>
        <v>c.644C&gt;T</v>
      </c>
    </row>
    <row r="135" spans="1:41" ht="15" customHeight="1" x14ac:dyDescent="0.2">
      <c r="A135" s="10">
        <v>91</v>
      </c>
      <c r="B135" s="10" t="s">
        <v>39</v>
      </c>
      <c r="C135" s="10" t="s">
        <v>992</v>
      </c>
      <c r="D135" s="10" t="s">
        <v>993</v>
      </c>
      <c r="E135" s="10" t="s">
        <v>994</v>
      </c>
      <c r="F135" s="10" t="s">
        <v>995</v>
      </c>
      <c r="G135" s="10" t="s">
        <v>996</v>
      </c>
      <c r="H135" s="10" t="s">
        <v>997</v>
      </c>
      <c r="I135" s="10" t="s">
        <v>998</v>
      </c>
      <c r="J135" s="10">
        <v>91</v>
      </c>
      <c r="K135" s="10" t="s">
        <v>996</v>
      </c>
      <c r="L135" s="10">
        <v>646</v>
      </c>
      <c r="M135" s="10">
        <v>3</v>
      </c>
      <c r="N135" s="10">
        <v>216</v>
      </c>
      <c r="O135" s="11" t="str">
        <f>HYPERLINK(AL135,"link")</f>
        <v>link</v>
      </c>
      <c r="P135" s="10" t="s">
        <v>269</v>
      </c>
      <c r="Q135" s="12" t="s">
        <v>270</v>
      </c>
      <c r="R135" s="10" t="s">
        <v>49</v>
      </c>
      <c r="S135" t="s">
        <v>50</v>
      </c>
      <c r="T135" s="10" t="s">
        <v>51</v>
      </c>
      <c r="U135" s="13">
        <v>88.933764135702759</v>
      </c>
      <c r="V135" s="14" t="s">
        <v>56</v>
      </c>
      <c r="W135" s="15">
        <v>2.3107826013361392</v>
      </c>
      <c r="X135" s="16" t="s">
        <v>999</v>
      </c>
      <c r="Y135" t="s">
        <v>158</v>
      </c>
      <c r="AA135" t="s">
        <v>159</v>
      </c>
      <c r="AC135" s="20"/>
      <c r="AD135" s="12"/>
      <c r="AE135" s="12" t="s">
        <v>1000</v>
      </c>
      <c r="AF135" s="19" t="s">
        <v>176</v>
      </c>
      <c r="AG135" s="12" t="s">
        <v>944</v>
      </c>
      <c r="AH135" s="12" t="s">
        <v>935</v>
      </c>
      <c r="AI135" s="12" t="s">
        <v>56</v>
      </c>
      <c r="AJ135" s="12" t="s">
        <v>56</v>
      </c>
      <c r="AK135" s="12" t="s">
        <v>56</v>
      </c>
      <c r="AL135" s="12" t="s">
        <v>1001</v>
      </c>
      <c r="AM135" s="10" t="s">
        <v>56</v>
      </c>
      <c r="AN135" s="10" t="s">
        <v>56</v>
      </c>
      <c r="AO135" t="str">
        <f>_xlfn.CONCAT($AP$1,D135)</f>
        <v>c.646A&gt;T</v>
      </c>
    </row>
    <row r="136" spans="1:41" ht="15" customHeight="1" x14ac:dyDescent="0.2">
      <c r="A136" s="10">
        <v>92</v>
      </c>
      <c r="B136" s="10" t="s">
        <v>39</v>
      </c>
      <c r="C136" s="10" t="s">
        <v>1002</v>
      </c>
      <c r="D136" s="10" t="s">
        <v>1003</v>
      </c>
      <c r="E136" s="10" t="s">
        <v>1004</v>
      </c>
      <c r="F136" s="10" t="s">
        <v>1005</v>
      </c>
      <c r="G136" s="10" t="s">
        <v>1006</v>
      </c>
      <c r="H136" s="10" t="s">
        <v>1007</v>
      </c>
      <c r="I136" s="10" t="s">
        <v>1008</v>
      </c>
      <c r="J136" s="10">
        <v>92</v>
      </c>
      <c r="K136" s="10" t="s">
        <v>1006</v>
      </c>
      <c r="L136" s="10">
        <v>647</v>
      </c>
      <c r="M136" s="10">
        <v>3</v>
      </c>
      <c r="N136" s="10">
        <v>216</v>
      </c>
      <c r="O136" s="11" t="str">
        <f>HYPERLINK(AL136,"link")</f>
        <v>link</v>
      </c>
      <c r="P136" s="10" t="s">
        <v>1009</v>
      </c>
      <c r="Q136" s="12">
        <v>2</v>
      </c>
      <c r="R136" s="10" t="s">
        <v>49</v>
      </c>
      <c r="S136" t="s">
        <v>50</v>
      </c>
      <c r="T136" s="10" t="s">
        <v>51</v>
      </c>
      <c r="U136" s="13">
        <v>76.757532281205158</v>
      </c>
      <c r="V136" s="14" t="s">
        <v>56</v>
      </c>
      <c r="W136" s="15">
        <v>1.6243216744972981</v>
      </c>
      <c r="X136" s="16" t="s">
        <v>1010</v>
      </c>
      <c r="Y136" t="s">
        <v>53</v>
      </c>
      <c r="AA136" t="s">
        <v>200</v>
      </c>
      <c r="AB136" s="17" t="s">
        <v>1011</v>
      </c>
      <c r="AC136" s="20"/>
      <c r="AD136" s="12" t="s">
        <v>238</v>
      </c>
      <c r="AE136" s="12" t="s">
        <v>1000</v>
      </c>
      <c r="AF136" s="19" t="s">
        <v>56</v>
      </c>
      <c r="AG136" s="12" t="s">
        <v>1012</v>
      </c>
      <c r="AH136" s="12" t="s">
        <v>935</v>
      </c>
      <c r="AI136" s="12" t="s">
        <v>147</v>
      </c>
      <c r="AJ136" s="12" t="s">
        <v>469</v>
      </c>
      <c r="AK136" s="12" t="s">
        <v>56</v>
      </c>
      <c r="AL136" s="12" t="s">
        <v>148</v>
      </c>
      <c r="AM136" s="10" t="s">
        <v>56</v>
      </c>
      <c r="AN136" s="10" t="s">
        <v>56</v>
      </c>
      <c r="AO136" t="str">
        <f>_xlfn.CONCAT($AP$1,D136)</f>
        <v>c.647T&gt;A</v>
      </c>
    </row>
    <row r="137" spans="1:41" ht="15" customHeight="1" x14ac:dyDescent="0.2">
      <c r="A137" s="10">
        <v>93</v>
      </c>
      <c r="B137" s="10" t="s">
        <v>39</v>
      </c>
      <c r="C137" s="10" t="s">
        <v>1013</v>
      </c>
      <c r="D137" s="10" t="s">
        <v>1014</v>
      </c>
      <c r="E137" s="10" t="s">
        <v>1015</v>
      </c>
      <c r="F137" s="10" t="s">
        <v>1016</v>
      </c>
      <c r="G137" s="10" t="s">
        <v>1017</v>
      </c>
      <c r="H137" s="10" t="s">
        <v>1018</v>
      </c>
      <c r="I137" s="10" t="s">
        <v>1019</v>
      </c>
      <c r="J137" s="10">
        <v>93</v>
      </c>
      <c r="K137" s="10" t="s">
        <v>1017</v>
      </c>
      <c r="L137" s="10">
        <v>647</v>
      </c>
      <c r="M137" s="10">
        <v>3</v>
      </c>
      <c r="N137" s="10">
        <v>216</v>
      </c>
      <c r="O137" s="11" t="str">
        <f>HYPERLINK(AL137,"link")</f>
        <v>link</v>
      </c>
      <c r="P137" s="10" t="s">
        <v>1009</v>
      </c>
      <c r="Q137" s="12">
        <v>2</v>
      </c>
      <c r="R137" s="10" t="s">
        <v>49</v>
      </c>
      <c r="S137" t="s">
        <v>50</v>
      </c>
      <c r="T137" s="10" t="s">
        <v>51</v>
      </c>
      <c r="U137" s="13">
        <v>8.9119737561509016</v>
      </c>
      <c r="V137" s="14" t="s">
        <v>56</v>
      </c>
      <c r="W137" s="15">
        <v>0.10107280435796123</v>
      </c>
      <c r="X137" s="16" t="s">
        <v>1020</v>
      </c>
      <c r="Y137" t="s">
        <v>72</v>
      </c>
      <c r="AA137" t="s">
        <v>54</v>
      </c>
      <c r="AC137" s="20"/>
      <c r="AD137" s="12" t="s">
        <v>238</v>
      </c>
      <c r="AE137" s="12" t="s">
        <v>1000</v>
      </c>
      <c r="AF137" s="19" t="s">
        <v>56</v>
      </c>
      <c r="AG137" s="12" t="s">
        <v>1012</v>
      </c>
      <c r="AH137" s="12" t="s">
        <v>935</v>
      </c>
      <c r="AI137" s="12" t="s">
        <v>147</v>
      </c>
      <c r="AJ137" s="12" t="s">
        <v>469</v>
      </c>
      <c r="AK137" s="12" t="s">
        <v>56</v>
      </c>
      <c r="AL137" s="12" t="s">
        <v>1021</v>
      </c>
      <c r="AM137" s="10" t="s">
        <v>56</v>
      </c>
      <c r="AN137" s="10" t="s">
        <v>56</v>
      </c>
      <c r="AO137" t="str">
        <f>_xlfn.CONCAT($AP$1,D137)</f>
        <v>c.647T&gt;G</v>
      </c>
    </row>
    <row r="138" spans="1:41" ht="15" customHeight="1" x14ac:dyDescent="0.2">
      <c r="A138" s="10">
        <v>94</v>
      </c>
      <c r="B138" s="10" t="s">
        <v>39</v>
      </c>
      <c r="C138" s="10" t="s">
        <v>1022</v>
      </c>
      <c r="D138" s="10" t="s">
        <v>1023</v>
      </c>
      <c r="E138" s="10" t="s">
        <v>1024</v>
      </c>
      <c r="F138" s="10" t="s">
        <v>1025</v>
      </c>
      <c r="G138" s="10" t="s">
        <v>1026</v>
      </c>
      <c r="H138" s="10" t="s">
        <v>1027</v>
      </c>
      <c r="I138" s="10" t="s">
        <v>1028</v>
      </c>
      <c r="J138" s="10">
        <v>94</v>
      </c>
      <c r="K138" s="10" t="s">
        <v>1026</v>
      </c>
      <c r="L138" s="10">
        <v>659</v>
      </c>
      <c r="M138" s="10">
        <v>3</v>
      </c>
      <c r="N138" s="10">
        <v>220</v>
      </c>
      <c r="O138" s="11" t="str">
        <f>HYPERLINK(AL138,"link")</f>
        <v>link</v>
      </c>
      <c r="P138" s="10" t="s">
        <v>170</v>
      </c>
      <c r="Q138" s="12">
        <v>7</v>
      </c>
      <c r="R138" s="10" t="s">
        <v>49</v>
      </c>
      <c r="S138" t="s">
        <v>50</v>
      </c>
      <c r="T138" s="10" t="s">
        <v>51</v>
      </c>
      <c r="U138" s="13">
        <v>91.321762349799727</v>
      </c>
      <c r="V138" s="14" t="s">
        <v>56</v>
      </c>
      <c r="W138" s="15">
        <v>3.5063845863880054</v>
      </c>
      <c r="X138" s="16" t="s">
        <v>1029</v>
      </c>
      <c r="Y138" t="s">
        <v>214</v>
      </c>
      <c r="AA138" t="s">
        <v>159</v>
      </c>
      <c r="AC138" s="20"/>
      <c r="AD138" s="12" t="s">
        <v>1030</v>
      </c>
      <c r="AE138" s="12" t="s">
        <v>56</v>
      </c>
      <c r="AF138" s="19" t="s">
        <v>56</v>
      </c>
      <c r="AG138" s="12" t="s">
        <v>934</v>
      </c>
      <c r="AH138" s="12" t="s">
        <v>935</v>
      </c>
      <c r="AI138" s="12" t="s">
        <v>178</v>
      </c>
      <c r="AJ138" s="12" t="s">
        <v>56</v>
      </c>
      <c r="AK138" s="12" t="s">
        <v>56</v>
      </c>
      <c r="AL138" s="12" t="s">
        <v>1031</v>
      </c>
      <c r="AM138" s="10">
        <v>1.9420000000000002</v>
      </c>
      <c r="AN138" s="10" t="s">
        <v>56</v>
      </c>
      <c r="AO138" t="str">
        <f>_xlfn.CONCAT($AP$1,D138)</f>
        <v>c.659T&gt;G</v>
      </c>
    </row>
    <row r="139" spans="1:41" ht="15" customHeight="1" x14ac:dyDescent="0.2">
      <c r="A139" s="10">
        <v>141</v>
      </c>
      <c r="B139" s="10" t="s">
        <v>1431</v>
      </c>
      <c r="C139" s="10" t="s">
        <v>1476</v>
      </c>
      <c r="D139" s="10" t="s">
        <v>1477</v>
      </c>
      <c r="E139" s="10" t="s">
        <v>1478</v>
      </c>
      <c r="F139" s="10" t="s">
        <v>1479</v>
      </c>
      <c r="G139" s="10" t="s">
        <v>1480</v>
      </c>
      <c r="H139" s="10" t="s">
        <v>1481</v>
      </c>
      <c r="I139" s="10" t="s">
        <v>1481</v>
      </c>
      <c r="J139" s="10">
        <v>141</v>
      </c>
      <c r="K139" s="10" t="s">
        <v>1480</v>
      </c>
      <c r="L139" s="10">
        <v>660</v>
      </c>
      <c r="M139" s="10">
        <v>3</v>
      </c>
      <c r="N139" s="10">
        <v>220</v>
      </c>
      <c r="O139" s="11" t="str">
        <f>HYPERLINK(AL139,"link")</f>
        <v>link</v>
      </c>
      <c r="P139" s="10" t="s">
        <v>270</v>
      </c>
      <c r="Q139" s="12" t="s">
        <v>270</v>
      </c>
      <c r="R139" s="10" t="s">
        <v>1482</v>
      </c>
      <c r="T139" s="10" t="e">
        <v>#N/A</v>
      </c>
      <c r="U139" s="13">
        <v>92.764015645371572</v>
      </c>
      <c r="V139" s="14" t="s">
        <v>56</v>
      </c>
      <c r="W139" s="15">
        <v>3.285539665779881</v>
      </c>
      <c r="X139" s="16" t="s">
        <v>1483</v>
      </c>
      <c r="Y139" t="s">
        <v>214</v>
      </c>
      <c r="AA139" t="s">
        <v>159</v>
      </c>
      <c r="AC139" s="20"/>
      <c r="AD139" s="12" t="s">
        <v>1030</v>
      </c>
      <c r="AE139" s="12" t="s">
        <v>56</v>
      </c>
      <c r="AF139" s="19" t="s">
        <v>56</v>
      </c>
      <c r="AG139" s="12" t="s">
        <v>934</v>
      </c>
      <c r="AH139" s="12" t="s">
        <v>935</v>
      </c>
      <c r="AI139" s="12" t="s">
        <v>178</v>
      </c>
      <c r="AJ139" s="12" t="s">
        <v>56</v>
      </c>
      <c r="AK139" s="12" t="s">
        <v>56</v>
      </c>
      <c r="AL139" s="12" t="s">
        <v>1440</v>
      </c>
      <c r="AM139" s="10">
        <v>0.38</v>
      </c>
      <c r="AN139" s="10" t="s">
        <v>56</v>
      </c>
      <c r="AO139" t="str">
        <f>_xlfn.CONCAT($AP$1,D139)</f>
        <v>c.660T&gt;A</v>
      </c>
    </row>
    <row r="140" spans="1:41" ht="15" customHeight="1" x14ac:dyDescent="0.2">
      <c r="A140" s="10">
        <v>95</v>
      </c>
      <c r="B140" s="10" t="s">
        <v>39</v>
      </c>
      <c r="C140" s="10" t="s">
        <v>1032</v>
      </c>
      <c r="D140" s="10" t="s">
        <v>1033</v>
      </c>
      <c r="E140" s="10" t="s">
        <v>1034</v>
      </c>
      <c r="F140" s="10" t="s">
        <v>1035</v>
      </c>
      <c r="G140" s="10" t="s">
        <v>1036</v>
      </c>
      <c r="H140" s="10" t="s">
        <v>1037</v>
      </c>
      <c r="I140" s="10" t="s">
        <v>1038</v>
      </c>
      <c r="J140" s="10">
        <v>95</v>
      </c>
      <c r="K140" s="10" t="s">
        <v>1036</v>
      </c>
      <c r="L140" s="10">
        <v>664</v>
      </c>
      <c r="M140" s="10">
        <v>3</v>
      </c>
      <c r="N140" s="10">
        <v>222</v>
      </c>
      <c r="O140" s="11" t="str">
        <f>HYPERLINK(AL140,"link")</f>
        <v>link</v>
      </c>
      <c r="P140" s="10" t="s">
        <v>1039</v>
      </c>
      <c r="Q140" s="12">
        <v>2</v>
      </c>
      <c r="R140" s="10" t="s">
        <v>49</v>
      </c>
      <c r="S140" t="s">
        <v>50</v>
      </c>
      <c r="T140" s="10" t="s">
        <v>51</v>
      </c>
      <c r="U140" s="13">
        <v>28.289855072463766</v>
      </c>
      <c r="V140" s="14" t="s">
        <v>56</v>
      </c>
      <c r="W140" s="15">
        <v>0.27856295154574195</v>
      </c>
      <c r="X140" s="16" t="s">
        <v>1040</v>
      </c>
      <c r="Y140" t="s">
        <v>72</v>
      </c>
      <c r="AA140" t="s">
        <v>54</v>
      </c>
      <c r="AC140" s="20"/>
      <c r="AD140" s="12"/>
      <c r="AE140" s="12" t="s">
        <v>56</v>
      </c>
      <c r="AF140" s="19" t="s">
        <v>56</v>
      </c>
      <c r="AG140" s="12" t="s">
        <v>981</v>
      </c>
      <c r="AH140" s="12" t="s">
        <v>935</v>
      </c>
      <c r="AI140" s="12" t="s">
        <v>147</v>
      </c>
      <c r="AJ140" s="12" t="s">
        <v>56</v>
      </c>
      <c r="AK140" s="12" t="s">
        <v>56</v>
      </c>
      <c r="AL140" s="12" t="s">
        <v>1031</v>
      </c>
      <c r="AM140" s="10"/>
      <c r="AN140" s="10" t="s">
        <v>56</v>
      </c>
      <c r="AO140" t="str">
        <f>_xlfn.CONCAT($AP$1,D140)</f>
        <v>c.664T&gt;C</v>
      </c>
    </row>
    <row r="141" spans="1:41" ht="15" customHeight="1" x14ac:dyDescent="0.2">
      <c r="A141" s="10">
        <v>96</v>
      </c>
      <c r="B141" s="10" t="s">
        <v>39</v>
      </c>
      <c r="C141" s="10" t="s">
        <v>1041</v>
      </c>
      <c r="D141" s="10" t="s">
        <v>1042</v>
      </c>
      <c r="E141" s="10" t="s">
        <v>1043</v>
      </c>
      <c r="F141" s="10" t="s">
        <v>1044</v>
      </c>
      <c r="G141" s="10" t="s">
        <v>1045</v>
      </c>
      <c r="H141" s="10" t="s">
        <v>1046</v>
      </c>
      <c r="I141" s="10" t="s">
        <v>1047</v>
      </c>
      <c r="J141" s="10">
        <v>96</v>
      </c>
      <c r="K141" s="10" t="s">
        <v>1045</v>
      </c>
      <c r="L141" s="10">
        <v>745</v>
      </c>
      <c r="M141" s="10">
        <v>4</v>
      </c>
      <c r="N141" s="10">
        <v>249</v>
      </c>
      <c r="O141" s="11" t="str">
        <f>HYPERLINK(AL141,"link")</f>
        <v>link</v>
      </c>
      <c r="P141" s="10" t="s">
        <v>1048</v>
      </c>
      <c r="Q141" s="12" t="s">
        <v>306</v>
      </c>
      <c r="R141" s="10" t="s">
        <v>294</v>
      </c>
      <c r="S141" t="s">
        <v>50</v>
      </c>
      <c r="T141" s="10" t="s">
        <v>51</v>
      </c>
      <c r="U141" s="13">
        <v>14.969135802469136</v>
      </c>
      <c r="V141" s="14" t="s">
        <v>56</v>
      </c>
      <c r="W141" s="15">
        <v>0.14059461760522712</v>
      </c>
      <c r="X141" s="16" t="s">
        <v>954</v>
      </c>
      <c r="Y141" t="s">
        <v>72</v>
      </c>
      <c r="AA141" t="s">
        <v>54</v>
      </c>
      <c r="AC141" s="18" t="s">
        <v>308</v>
      </c>
      <c r="AD141" s="12"/>
      <c r="AE141" s="12" t="s">
        <v>56</v>
      </c>
      <c r="AF141" s="19" t="s">
        <v>56</v>
      </c>
      <c r="AG141" s="12" t="s">
        <v>1049</v>
      </c>
      <c r="AH141" s="12" t="s">
        <v>1050</v>
      </c>
      <c r="AI141" s="12" t="s">
        <v>56</v>
      </c>
      <c r="AJ141" s="12" t="s">
        <v>56</v>
      </c>
      <c r="AK141" s="12" t="s">
        <v>56</v>
      </c>
      <c r="AL141" s="12" t="s">
        <v>1051</v>
      </c>
      <c r="AM141" s="10" t="s">
        <v>56</v>
      </c>
      <c r="AN141" s="10" t="s">
        <v>56</v>
      </c>
      <c r="AO141" t="str">
        <f>_xlfn.CONCAT($AP$1,D141)</f>
        <v>c.745G&gt;T</v>
      </c>
    </row>
    <row r="142" spans="1:41" ht="15" customHeight="1" x14ac:dyDescent="0.2">
      <c r="A142" s="10">
        <v>97</v>
      </c>
      <c r="B142" s="10" t="s">
        <v>39</v>
      </c>
      <c r="C142" s="10" t="s">
        <v>1052</v>
      </c>
      <c r="D142" s="10" t="s">
        <v>1053</v>
      </c>
      <c r="E142" s="10" t="s">
        <v>1054</v>
      </c>
      <c r="F142" s="10" t="s">
        <v>1055</v>
      </c>
      <c r="G142" s="10" t="s">
        <v>1056</v>
      </c>
      <c r="H142" s="10" t="s">
        <v>1057</v>
      </c>
      <c r="I142" s="10" t="s">
        <v>1058</v>
      </c>
      <c r="J142" s="10">
        <v>97</v>
      </c>
      <c r="K142" s="10" t="s">
        <v>1056</v>
      </c>
      <c r="L142" s="10">
        <v>755</v>
      </c>
      <c r="M142" s="10">
        <v>4</v>
      </c>
      <c r="N142" s="10">
        <v>252</v>
      </c>
      <c r="O142" s="11" t="str">
        <f>HYPERLINK(AL142,"link")</f>
        <v>link</v>
      </c>
      <c r="P142" s="10" t="s">
        <v>618</v>
      </c>
      <c r="Q142" s="12" t="s">
        <v>619</v>
      </c>
      <c r="R142" s="10" t="s">
        <v>235</v>
      </c>
      <c r="S142" t="s">
        <v>172</v>
      </c>
      <c r="T142" s="10" t="s">
        <v>173</v>
      </c>
      <c r="U142" s="13">
        <v>90.416339355852315</v>
      </c>
      <c r="V142" s="14" t="s">
        <v>56</v>
      </c>
      <c r="W142" s="15">
        <v>2.2689756054869719</v>
      </c>
      <c r="X142" s="16" t="s">
        <v>1059</v>
      </c>
      <c r="Y142" t="s">
        <v>158</v>
      </c>
      <c r="AA142" t="s">
        <v>159</v>
      </c>
      <c r="AC142" s="20"/>
      <c r="AD142" s="12"/>
      <c r="AE142" s="12" t="s">
        <v>56</v>
      </c>
      <c r="AF142" s="19" t="s">
        <v>56</v>
      </c>
      <c r="AG142" s="12" t="s">
        <v>1049</v>
      </c>
      <c r="AH142" s="12" t="s">
        <v>1050</v>
      </c>
      <c r="AI142" s="12" t="s">
        <v>56</v>
      </c>
      <c r="AJ142" s="12" t="s">
        <v>56</v>
      </c>
      <c r="AK142" s="12" t="s">
        <v>56</v>
      </c>
      <c r="AL142" s="12" t="s">
        <v>1060</v>
      </c>
      <c r="AM142" s="10" t="s">
        <v>56</v>
      </c>
      <c r="AN142" s="10" t="s">
        <v>56</v>
      </c>
      <c r="AO142" t="str">
        <f>_xlfn.CONCAT($AP$1,D142)</f>
        <v>c.755G&gt;C</v>
      </c>
    </row>
    <row r="143" spans="1:41" ht="15" customHeight="1" x14ac:dyDescent="0.2">
      <c r="A143" s="10">
        <v>199</v>
      </c>
      <c r="B143" s="10" t="s">
        <v>1610</v>
      </c>
      <c r="C143" s="10" t="s">
        <v>1889</v>
      </c>
      <c r="D143" s="10" t="s">
        <v>1890</v>
      </c>
      <c r="E143" s="10" t="s">
        <v>1891</v>
      </c>
      <c r="F143" s="10" t="s">
        <v>1892</v>
      </c>
      <c r="G143" s="10" t="s">
        <v>1893</v>
      </c>
      <c r="H143" s="10"/>
      <c r="I143" s="10" t="s">
        <v>1889</v>
      </c>
      <c r="J143" s="10">
        <v>199</v>
      </c>
      <c r="K143" s="10" t="s">
        <v>1893</v>
      </c>
      <c r="L143" s="10">
        <v>755</v>
      </c>
      <c r="M143" s="10">
        <v>4</v>
      </c>
      <c r="N143" s="10">
        <v>252</v>
      </c>
      <c r="O143" s="11"/>
      <c r="P143" s="10" t="s">
        <v>1616</v>
      </c>
      <c r="Q143" s="12" t="s">
        <v>1616</v>
      </c>
      <c r="R143" s="10" t="s">
        <v>1214</v>
      </c>
      <c r="T143" s="10" t="e">
        <v>#N/A</v>
      </c>
      <c r="U143" s="13">
        <v>94.497280481363916</v>
      </c>
      <c r="V143" s="14">
        <v>0.89032607354284587</v>
      </c>
      <c r="W143" s="15">
        <v>2.5702133224950736</v>
      </c>
      <c r="X143" s="16" t="s">
        <v>1894</v>
      </c>
      <c r="Y143" t="s">
        <v>214</v>
      </c>
      <c r="AA143" t="s">
        <v>159</v>
      </c>
      <c r="AC143" s="20"/>
      <c r="AD143" s="12"/>
      <c r="AE143" s="12" t="s">
        <v>56</v>
      </c>
      <c r="AF143" s="19" t="s">
        <v>56</v>
      </c>
      <c r="AG143" s="12" t="s">
        <v>1049</v>
      </c>
      <c r="AH143" s="12" t="s">
        <v>1050</v>
      </c>
      <c r="AI143" s="12" t="s">
        <v>56</v>
      </c>
      <c r="AJ143" s="12" t="s">
        <v>56</v>
      </c>
      <c r="AK143" s="12" t="s">
        <v>56</v>
      </c>
      <c r="AL143" s="12" t="e">
        <v>#N/A</v>
      </c>
      <c r="AM143" s="10" t="s">
        <v>56</v>
      </c>
      <c r="AN143" s="10" t="s">
        <v>56</v>
      </c>
      <c r="AO143" t="str">
        <f>_xlfn.CONCAT($AP$1,D143)</f>
        <v>c.755G&gt;A</v>
      </c>
    </row>
    <row r="144" spans="1:41" ht="15" customHeight="1" x14ac:dyDescent="0.2">
      <c r="A144" s="10">
        <v>98</v>
      </c>
      <c r="B144" s="10" t="s">
        <v>39</v>
      </c>
      <c r="C144" s="10" t="s">
        <v>1061</v>
      </c>
      <c r="D144" s="10" t="s">
        <v>1062</v>
      </c>
      <c r="E144" s="10" t="s">
        <v>1063</v>
      </c>
      <c r="F144" s="10" t="s">
        <v>1064</v>
      </c>
      <c r="G144" s="10" t="s">
        <v>1065</v>
      </c>
      <c r="H144" s="10" t="s">
        <v>1066</v>
      </c>
      <c r="I144" s="10" t="s">
        <v>1067</v>
      </c>
      <c r="J144" s="10">
        <v>98</v>
      </c>
      <c r="K144" s="10" t="s">
        <v>1065</v>
      </c>
      <c r="L144" s="10">
        <v>759</v>
      </c>
      <c r="M144" s="10">
        <v>4</v>
      </c>
      <c r="N144" s="10">
        <v>253</v>
      </c>
      <c r="O144" s="11" t="str">
        <f>HYPERLINK(AL144,"link")</f>
        <v>link</v>
      </c>
      <c r="P144" s="10" t="s">
        <v>270</v>
      </c>
      <c r="Q144" s="12" t="s">
        <v>270</v>
      </c>
      <c r="R144" s="10" t="s">
        <v>294</v>
      </c>
      <c r="S144" t="s">
        <v>50</v>
      </c>
      <c r="T144" s="10" t="s">
        <v>51</v>
      </c>
      <c r="U144" s="13">
        <v>95.246179966044139</v>
      </c>
      <c r="V144" s="14" t="s">
        <v>56</v>
      </c>
      <c r="W144" s="15">
        <v>3.9485706316585762</v>
      </c>
      <c r="X144" s="16" t="s">
        <v>1068</v>
      </c>
      <c r="Y144" t="s">
        <v>214</v>
      </c>
      <c r="AA144" t="s">
        <v>159</v>
      </c>
      <c r="AC144" s="20"/>
      <c r="AD144" s="12"/>
      <c r="AE144" s="12" t="s">
        <v>56</v>
      </c>
      <c r="AF144" s="19" t="s">
        <v>56</v>
      </c>
      <c r="AG144" s="12" t="s">
        <v>1049</v>
      </c>
      <c r="AH144" s="12" t="s">
        <v>1050</v>
      </c>
      <c r="AI144" s="12" t="s">
        <v>56</v>
      </c>
      <c r="AJ144" s="12" t="s">
        <v>56</v>
      </c>
      <c r="AK144" s="12" t="s">
        <v>56</v>
      </c>
      <c r="AL144" s="12" t="s">
        <v>1069</v>
      </c>
      <c r="AM144" s="10" t="s">
        <v>56</v>
      </c>
      <c r="AN144" s="10" t="s">
        <v>56</v>
      </c>
      <c r="AO144" t="str">
        <f>_xlfn.CONCAT($AP$1,D144)</f>
        <v>c.759G&gt;T</v>
      </c>
    </row>
    <row r="145" spans="1:41" ht="15" customHeight="1" x14ac:dyDescent="0.2">
      <c r="A145" s="10">
        <v>145</v>
      </c>
      <c r="B145" s="10" t="s">
        <v>39</v>
      </c>
      <c r="C145" s="10" t="s">
        <v>1508</v>
      </c>
      <c r="D145" s="10" t="s">
        <v>1509</v>
      </c>
      <c r="E145" s="10" t="s">
        <v>1510</v>
      </c>
      <c r="F145" s="10" t="s">
        <v>1511</v>
      </c>
      <c r="G145" s="10" t="s">
        <v>1512</v>
      </c>
      <c r="H145" s="10" t="s">
        <v>1513</v>
      </c>
      <c r="I145" s="10"/>
      <c r="J145" s="10">
        <v>145</v>
      </c>
      <c r="K145" s="10" t="s">
        <v>1512</v>
      </c>
      <c r="L145" s="10">
        <v>768</v>
      </c>
      <c r="M145" s="10">
        <v>4</v>
      </c>
      <c r="N145" s="10">
        <v>256</v>
      </c>
      <c r="O145" s="11" t="str">
        <f>HYPERLINK(AL145,"link")</f>
        <v>link</v>
      </c>
      <c r="P145" s="10" t="s">
        <v>1505</v>
      </c>
      <c r="Q145" s="12" t="s">
        <v>1505</v>
      </c>
      <c r="R145" s="10" t="s">
        <v>49</v>
      </c>
      <c r="S145" t="s">
        <v>50</v>
      </c>
      <c r="T145" s="10" t="e">
        <v>#N/A</v>
      </c>
      <c r="U145" s="13">
        <v>9.8243688254665216</v>
      </c>
      <c r="V145" s="14" t="s">
        <v>56</v>
      </c>
      <c r="W145" s="15">
        <v>0.12790601391394188</v>
      </c>
      <c r="X145" s="16" t="s">
        <v>1514</v>
      </c>
      <c r="Y145" t="s">
        <v>72</v>
      </c>
      <c r="AA145" t="s">
        <v>54</v>
      </c>
      <c r="AC145" s="20"/>
      <c r="AD145" s="12"/>
      <c r="AE145" s="12" t="s">
        <v>1515</v>
      </c>
      <c r="AF145" s="19" t="s">
        <v>56</v>
      </c>
      <c r="AG145" s="12" t="s">
        <v>1049</v>
      </c>
      <c r="AH145" s="12" t="s">
        <v>1050</v>
      </c>
      <c r="AI145" s="12" t="s">
        <v>56</v>
      </c>
      <c r="AJ145" s="12" t="s">
        <v>56</v>
      </c>
      <c r="AK145" s="12" t="s">
        <v>56</v>
      </c>
      <c r="AL145" s="12" t="s">
        <v>1516</v>
      </c>
      <c r="AM145" s="10" t="s">
        <v>56</v>
      </c>
      <c r="AN145" s="10" t="s">
        <v>56</v>
      </c>
      <c r="AO145" t="str">
        <f>_xlfn.CONCAT($AP$1,D145)</f>
        <v>c.768_770delCAT</v>
      </c>
    </row>
    <row r="146" spans="1:41" ht="15" customHeight="1" x14ac:dyDescent="0.2">
      <c r="A146" s="10">
        <v>154</v>
      </c>
      <c r="B146" s="10" t="s">
        <v>39</v>
      </c>
      <c r="C146" s="10" t="s">
        <v>1583</v>
      </c>
      <c r="D146" s="10" t="s">
        <v>1584</v>
      </c>
      <c r="E146" s="10" t="s">
        <v>1585</v>
      </c>
      <c r="F146" s="10" t="s">
        <v>1586</v>
      </c>
      <c r="G146" s="10" t="s">
        <v>1587</v>
      </c>
      <c r="H146" s="10" t="s">
        <v>1588</v>
      </c>
      <c r="I146" s="10"/>
      <c r="J146" s="10">
        <v>154</v>
      </c>
      <c r="K146" s="10" t="s">
        <v>1587</v>
      </c>
      <c r="L146" s="10">
        <v>792</v>
      </c>
      <c r="M146" s="10">
        <v>4</v>
      </c>
      <c r="N146" s="10">
        <v>264</v>
      </c>
      <c r="O146" s="11" t="str">
        <f>HYPERLINK(AL146,"link")</f>
        <v>link</v>
      </c>
      <c r="P146" s="10" t="s">
        <v>1505</v>
      </c>
      <c r="Q146" s="12" t="s">
        <v>1505</v>
      </c>
      <c r="R146" s="10" t="s">
        <v>49</v>
      </c>
      <c r="S146" t="s">
        <v>50</v>
      </c>
      <c r="T146" s="10" t="e">
        <v>#N/A</v>
      </c>
      <c r="U146" s="13">
        <v>6.2785388127853876</v>
      </c>
      <c r="V146" s="14" t="s">
        <v>56</v>
      </c>
      <c r="W146" s="15">
        <v>0.11203301256903103</v>
      </c>
      <c r="X146" s="16" t="s">
        <v>135</v>
      </c>
      <c r="Y146" t="s">
        <v>72</v>
      </c>
      <c r="AA146" t="s">
        <v>54</v>
      </c>
      <c r="AC146" s="9"/>
      <c r="AD146" s="12"/>
      <c r="AE146" s="12" t="s">
        <v>56</v>
      </c>
      <c r="AF146" s="19" t="s">
        <v>56</v>
      </c>
      <c r="AG146" s="12" t="s">
        <v>1049</v>
      </c>
      <c r="AH146" s="12" t="s">
        <v>1050</v>
      </c>
      <c r="AI146" s="12" t="s">
        <v>56</v>
      </c>
      <c r="AJ146" s="12" t="s">
        <v>56</v>
      </c>
      <c r="AK146" s="12" t="s">
        <v>56</v>
      </c>
      <c r="AL146" s="12" t="s">
        <v>1589</v>
      </c>
      <c r="AM146" s="10" t="s">
        <v>56</v>
      </c>
      <c r="AN146" s="10" t="s">
        <v>56</v>
      </c>
      <c r="AO146" t="str">
        <f>_xlfn.CONCAT($AP$1,D146)</f>
        <v>c.792_794delCTG</v>
      </c>
    </row>
    <row r="147" spans="1:41" ht="15" customHeight="1" x14ac:dyDescent="0.2">
      <c r="A147" s="10">
        <v>99</v>
      </c>
      <c r="B147" s="10" t="s">
        <v>39</v>
      </c>
      <c r="C147" s="10" t="s">
        <v>1070</v>
      </c>
      <c r="D147" s="10" t="s">
        <v>1071</v>
      </c>
      <c r="E147" s="10" t="s">
        <v>1072</v>
      </c>
      <c r="F147" s="10" t="s">
        <v>1073</v>
      </c>
      <c r="G147" s="10" t="s">
        <v>1074</v>
      </c>
      <c r="H147" s="10" t="s">
        <v>1075</v>
      </c>
      <c r="I147" s="10" t="s">
        <v>1076</v>
      </c>
      <c r="J147" s="10">
        <v>99</v>
      </c>
      <c r="K147" s="10" t="s">
        <v>1074</v>
      </c>
      <c r="L147" s="10">
        <v>800</v>
      </c>
      <c r="M147" s="10">
        <v>4</v>
      </c>
      <c r="N147" s="10">
        <v>267</v>
      </c>
      <c r="O147" s="11" t="str">
        <f>HYPERLINK(AL147,"link")</f>
        <v>link</v>
      </c>
      <c r="P147" s="10" t="s">
        <v>953</v>
      </c>
      <c r="Q147" s="12">
        <v>2</v>
      </c>
      <c r="R147" s="10" t="s">
        <v>49</v>
      </c>
      <c r="S147" t="s">
        <v>50</v>
      </c>
      <c r="T147" s="10" t="s">
        <v>51</v>
      </c>
      <c r="U147" s="13">
        <v>17.505470459518598</v>
      </c>
      <c r="V147" s="14" t="s">
        <v>56</v>
      </c>
      <c r="W147" s="15">
        <v>8.9123687766562723E-2</v>
      </c>
      <c r="X147" s="16" t="s">
        <v>1077</v>
      </c>
      <c r="Y147" t="s">
        <v>72</v>
      </c>
      <c r="AA147" t="s">
        <v>54</v>
      </c>
      <c r="AC147" s="20"/>
      <c r="AD147" s="12"/>
      <c r="AE147" s="12" t="s">
        <v>56</v>
      </c>
      <c r="AF147" s="19" t="s">
        <v>56</v>
      </c>
      <c r="AG147" s="12" t="s">
        <v>1078</v>
      </c>
      <c r="AH147" s="12" t="s">
        <v>1050</v>
      </c>
      <c r="AI147" s="12" t="s">
        <v>178</v>
      </c>
      <c r="AJ147" s="12" t="s">
        <v>56</v>
      </c>
      <c r="AK147" s="12" t="s">
        <v>56</v>
      </c>
      <c r="AL147" s="12" t="s">
        <v>512</v>
      </c>
      <c r="AM147" s="10">
        <v>1.675</v>
      </c>
      <c r="AN147" s="10" t="s">
        <v>56</v>
      </c>
      <c r="AO147" t="str">
        <f>_xlfn.CONCAT($AP$1,D147)</f>
        <v>c.800C&gt;G</v>
      </c>
    </row>
    <row r="148" spans="1:41" ht="15" customHeight="1" x14ac:dyDescent="0.2">
      <c r="A148" s="10">
        <v>100</v>
      </c>
      <c r="B148" s="10" t="s">
        <v>39</v>
      </c>
      <c r="C148" s="10" t="s">
        <v>1079</v>
      </c>
      <c r="D148" s="10" t="s">
        <v>1080</v>
      </c>
      <c r="E148" s="10" t="s">
        <v>1081</v>
      </c>
      <c r="F148" s="10" t="s">
        <v>1082</v>
      </c>
      <c r="G148" s="10" t="s">
        <v>1083</v>
      </c>
      <c r="H148" s="10" t="s">
        <v>1084</v>
      </c>
      <c r="I148" s="10" t="s">
        <v>1085</v>
      </c>
      <c r="J148" s="10">
        <v>100</v>
      </c>
      <c r="K148" s="10" t="s">
        <v>1083</v>
      </c>
      <c r="L148" s="10">
        <v>800</v>
      </c>
      <c r="M148" s="10">
        <v>4</v>
      </c>
      <c r="N148" s="10">
        <v>267</v>
      </c>
      <c r="O148" s="11" t="str">
        <f>HYPERLINK(AL148,"link")</f>
        <v>link</v>
      </c>
      <c r="P148" s="10" t="s">
        <v>953</v>
      </c>
      <c r="Q148" s="12">
        <v>2</v>
      </c>
      <c r="R148" s="10" t="s">
        <v>49</v>
      </c>
      <c r="S148" t="s">
        <v>50</v>
      </c>
      <c r="T148" s="10" t="s">
        <v>51</v>
      </c>
      <c r="U148" s="13">
        <v>32.093023255813961</v>
      </c>
      <c r="V148" s="14" t="s">
        <v>56</v>
      </c>
      <c r="W148" s="15">
        <v>0.16501790975108255</v>
      </c>
      <c r="X148" s="16" t="s">
        <v>1086</v>
      </c>
      <c r="Y148" t="s">
        <v>72</v>
      </c>
      <c r="AA148" t="s">
        <v>54</v>
      </c>
      <c r="AC148" s="20"/>
      <c r="AD148" s="12"/>
      <c r="AE148" s="12" t="s">
        <v>56</v>
      </c>
      <c r="AF148" s="19" t="s">
        <v>56</v>
      </c>
      <c r="AG148" s="12" t="s">
        <v>1078</v>
      </c>
      <c r="AH148" s="12" t="s">
        <v>1050</v>
      </c>
      <c r="AI148" s="12" t="s">
        <v>178</v>
      </c>
      <c r="AJ148" s="12" t="s">
        <v>56</v>
      </c>
      <c r="AK148" s="12" t="s">
        <v>56</v>
      </c>
      <c r="AL148" s="12" t="s">
        <v>800</v>
      </c>
      <c r="AM148" s="10">
        <v>1.66</v>
      </c>
      <c r="AN148" s="10" t="s">
        <v>56</v>
      </c>
      <c r="AO148" t="str">
        <f>_xlfn.CONCAT($AP$1,D148)</f>
        <v>c.800C&gt;T</v>
      </c>
    </row>
    <row r="149" spans="1:41" ht="15" customHeight="1" x14ac:dyDescent="0.2">
      <c r="A149" s="10">
        <v>101</v>
      </c>
      <c r="B149" s="10" t="s">
        <v>39</v>
      </c>
      <c r="C149" s="10" t="s">
        <v>1087</v>
      </c>
      <c r="D149" s="10" t="s">
        <v>1088</v>
      </c>
      <c r="E149" s="10" t="s">
        <v>1089</v>
      </c>
      <c r="F149" s="10" t="s">
        <v>1090</v>
      </c>
      <c r="G149" s="10" t="s">
        <v>1091</v>
      </c>
      <c r="H149" s="10" t="s">
        <v>1092</v>
      </c>
      <c r="I149" s="10" t="s">
        <v>1093</v>
      </c>
      <c r="J149" s="10">
        <v>101</v>
      </c>
      <c r="K149" s="10" t="s">
        <v>1091</v>
      </c>
      <c r="L149" s="10">
        <v>810</v>
      </c>
      <c r="M149" s="10">
        <v>4</v>
      </c>
      <c r="N149" s="10">
        <v>270</v>
      </c>
      <c r="O149" s="11" t="str">
        <f>HYPERLINK(AL149,"link")</f>
        <v>link</v>
      </c>
      <c r="P149" s="10" t="s">
        <v>953</v>
      </c>
      <c r="Q149" s="12">
        <v>2</v>
      </c>
      <c r="R149" s="10" t="s">
        <v>171</v>
      </c>
      <c r="S149" t="s">
        <v>50</v>
      </c>
      <c r="T149" s="10" t="s">
        <v>51</v>
      </c>
      <c r="U149" s="13">
        <v>18.428571428571431</v>
      </c>
      <c r="V149" s="14" t="s">
        <v>56</v>
      </c>
      <c r="W149" s="15">
        <v>0.19026909490997082</v>
      </c>
      <c r="X149" s="16" t="s">
        <v>1094</v>
      </c>
      <c r="Y149" t="s">
        <v>72</v>
      </c>
      <c r="AA149" t="s">
        <v>351</v>
      </c>
      <c r="AC149" s="20"/>
      <c r="AD149" s="12" t="s">
        <v>1095</v>
      </c>
      <c r="AE149" s="12" t="s">
        <v>1096</v>
      </c>
      <c r="AF149" s="19" t="s">
        <v>56</v>
      </c>
      <c r="AG149" s="12" t="s">
        <v>1078</v>
      </c>
      <c r="AH149" s="12" t="s">
        <v>1050</v>
      </c>
      <c r="AI149" s="12" t="s">
        <v>178</v>
      </c>
      <c r="AJ149" s="12" t="s">
        <v>56</v>
      </c>
      <c r="AK149" s="12" t="s">
        <v>56</v>
      </c>
      <c r="AL149" s="12" t="s">
        <v>689</v>
      </c>
      <c r="AM149" s="10">
        <v>-0.93399999999999994</v>
      </c>
      <c r="AN149" s="10" t="s">
        <v>56</v>
      </c>
      <c r="AO149" t="str">
        <f>_xlfn.CONCAT($AP$1,D149)</f>
        <v>c.810C&gt;A</v>
      </c>
    </row>
    <row r="150" spans="1:41" ht="15" customHeight="1" x14ac:dyDescent="0.2">
      <c r="A150" s="10">
        <v>102</v>
      </c>
      <c r="B150" s="10" t="s">
        <v>39</v>
      </c>
      <c r="C150" s="10" t="s">
        <v>1097</v>
      </c>
      <c r="D150" s="10" t="s">
        <v>1098</v>
      </c>
      <c r="E150" s="10" t="s">
        <v>1099</v>
      </c>
      <c r="F150" s="10" t="s">
        <v>1100</v>
      </c>
      <c r="G150" s="10" t="s">
        <v>1101</v>
      </c>
      <c r="H150" s="10" t="s">
        <v>1102</v>
      </c>
      <c r="I150" s="10" t="s">
        <v>1103</v>
      </c>
      <c r="J150" s="10">
        <v>102</v>
      </c>
      <c r="K150" s="10" t="s">
        <v>1101</v>
      </c>
      <c r="L150" s="10">
        <v>850</v>
      </c>
      <c r="M150" s="10">
        <v>4</v>
      </c>
      <c r="N150" s="10">
        <v>284</v>
      </c>
      <c r="O150" s="11" t="str">
        <f>HYPERLINK(AL150,"link")</f>
        <v>link</v>
      </c>
      <c r="P150" s="10" t="s">
        <v>270</v>
      </c>
      <c r="Q150" s="12" t="s">
        <v>270</v>
      </c>
      <c r="R150" s="10" t="s">
        <v>294</v>
      </c>
      <c r="S150" t="s">
        <v>50</v>
      </c>
      <c r="T150" s="10" t="s">
        <v>51</v>
      </c>
      <c r="U150" s="13">
        <v>96.728971962616811</v>
      </c>
      <c r="V150" s="14" t="s">
        <v>56</v>
      </c>
      <c r="W150" s="15">
        <v>5.0232019013112517</v>
      </c>
      <c r="X150" s="16" t="s">
        <v>1104</v>
      </c>
      <c r="Y150" t="s">
        <v>214</v>
      </c>
      <c r="AA150" t="s">
        <v>159</v>
      </c>
      <c r="AC150" s="20"/>
      <c r="AD150" s="12"/>
      <c r="AE150" s="12" t="s">
        <v>56</v>
      </c>
      <c r="AF150" s="19" t="s">
        <v>56</v>
      </c>
      <c r="AG150" s="12" t="s">
        <v>1105</v>
      </c>
      <c r="AH150" s="12" t="s">
        <v>1106</v>
      </c>
      <c r="AI150" s="12" t="s">
        <v>59</v>
      </c>
      <c r="AJ150" s="12" t="s">
        <v>56</v>
      </c>
      <c r="AK150" s="12" t="s">
        <v>56</v>
      </c>
      <c r="AL150" s="12" t="s">
        <v>679</v>
      </c>
      <c r="AM150" s="10">
        <v>0.69000000000000006</v>
      </c>
      <c r="AN150" s="10" t="s">
        <v>56</v>
      </c>
      <c r="AO150" t="str">
        <f>_xlfn.CONCAT($AP$1,D150)</f>
        <v>c.850G&gt;A</v>
      </c>
    </row>
    <row r="151" spans="1:41" ht="15" customHeight="1" x14ac:dyDescent="0.2">
      <c r="A151" s="10">
        <v>103</v>
      </c>
      <c r="B151" s="10" t="s">
        <v>39</v>
      </c>
      <c r="C151" s="10" t="s">
        <v>1107</v>
      </c>
      <c r="D151" s="10" t="s">
        <v>1108</v>
      </c>
      <c r="E151" s="10" t="s">
        <v>1109</v>
      </c>
      <c r="F151" s="10" t="s">
        <v>1110</v>
      </c>
      <c r="G151" s="10" t="s">
        <v>1111</v>
      </c>
      <c r="H151" s="10" t="s">
        <v>1112</v>
      </c>
      <c r="I151" s="10" t="s">
        <v>1113</v>
      </c>
      <c r="J151" s="10">
        <v>103</v>
      </c>
      <c r="K151" s="10" t="s">
        <v>1111</v>
      </c>
      <c r="L151" s="10">
        <v>865</v>
      </c>
      <c r="M151" s="10">
        <v>4</v>
      </c>
      <c r="N151" s="10">
        <v>289</v>
      </c>
      <c r="O151" s="11" t="str">
        <f>HYPERLINK(AL151,"link")</f>
        <v>link</v>
      </c>
      <c r="P151" s="10" t="s">
        <v>143</v>
      </c>
      <c r="Q151" s="12">
        <v>2</v>
      </c>
      <c r="R151" s="10" t="s">
        <v>49</v>
      </c>
      <c r="S151" t="s">
        <v>50</v>
      </c>
      <c r="T151" s="10" t="s">
        <v>51</v>
      </c>
      <c r="U151" s="13">
        <v>21.279290690310322</v>
      </c>
      <c r="V151" s="14" t="s">
        <v>56</v>
      </c>
      <c r="W151" s="15">
        <v>0.12469643742252386</v>
      </c>
      <c r="X151" s="16" t="s">
        <v>1114</v>
      </c>
      <c r="Y151" t="s">
        <v>72</v>
      </c>
      <c r="AA151" t="s">
        <v>54</v>
      </c>
      <c r="AC151" s="20"/>
      <c r="AD151" s="12"/>
      <c r="AE151" s="12" t="s">
        <v>56</v>
      </c>
      <c r="AF151" s="19" t="s">
        <v>56</v>
      </c>
      <c r="AG151" s="12" t="s">
        <v>1115</v>
      </c>
      <c r="AH151" s="12" t="s">
        <v>1116</v>
      </c>
      <c r="AI151" s="12" t="s">
        <v>147</v>
      </c>
      <c r="AJ151" s="12" t="s">
        <v>56</v>
      </c>
      <c r="AK151" s="12" t="s">
        <v>56</v>
      </c>
      <c r="AL151" s="12" t="s">
        <v>991</v>
      </c>
      <c r="AM151" s="10">
        <v>7.5140000000000002</v>
      </c>
      <c r="AN151" s="10" t="s">
        <v>56</v>
      </c>
      <c r="AO151" t="str">
        <f>_xlfn.CONCAT($AP$1,D151)</f>
        <v>c.865A&gt;C</v>
      </c>
    </row>
    <row r="152" spans="1:41" ht="15" customHeight="1" x14ac:dyDescent="0.2">
      <c r="A152" s="10">
        <v>104</v>
      </c>
      <c r="B152" s="10" t="s">
        <v>39</v>
      </c>
      <c r="C152" s="10" t="s">
        <v>1117</v>
      </c>
      <c r="D152" s="10" t="s">
        <v>1118</v>
      </c>
      <c r="E152" s="10" t="s">
        <v>1119</v>
      </c>
      <c r="F152" s="10" t="s">
        <v>1120</v>
      </c>
      <c r="G152" s="10" t="s">
        <v>1121</v>
      </c>
      <c r="H152" s="10" t="s">
        <v>1122</v>
      </c>
      <c r="I152" s="10" t="s">
        <v>1123</v>
      </c>
      <c r="J152" s="10">
        <v>104</v>
      </c>
      <c r="K152" s="10" t="s">
        <v>1121</v>
      </c>
      <c r="L152" s="10">
        <v>875</v>
      </c>
      <c r="M152" s="10">
        <v>4</v>
      </c>
      <c r="N152" s="10">
        <v>292</v>
      </c>
      <c r="O152" s="11" t="str">
        <f>HYPERLINK(AL152,"link")</f>
        <v>link</v>
      </c>
      <c r="P152" s="10" t="s">
        <v>383</v>
      </c>
      <c r="Q152" s="12">
        <v>6</v>
      </c>
      <c r="R152" s="10" t="s">
        <v>363</v>
      </c>
      <c r="S152" t="s">
        <v>50</v>
      </c>
      <c r="T152" s="10" t="s">
        <v>51</v>
      </c>
      <c r="U152" s="13">
        <v>83.923512747875364</v>
      </c>
      <c r="V152" s="14" t="s">
        <v>56</v>
      </c>
      <c r="W152" s="15">
        <v>1.2414349641778946</v>
      </c>
      <c r="X152" s="16" t="s">
        <v>1124</v>
      </c>
      <c r="Y152" t="s">
        <v>158</v>
      </c>
      <c r="AA152" t="s">
        <v>159</v>
      </c>
      <c r="AC152" s="20"/>
      <c r="AD152" s="12" t="s">
        <v>84</v>
      </c>
      <c r="AE152" s="12" t="s">
        <v>56</v>
      </c>
      <c r="AF152" s="19" t="s">
        <v>56</v>
      </c>
      <c r="AG152" s="12" t="s">
        <v>1125</v>
      </c>
      <c r="AH152" s="12" t="s">
        <v>1116</v>
      </c>
      <c r="AI152" s="12" t="s">
        <v>147</v>
      </c>
      <c r="AJ152" s="12" t="s">
        <v>469</v>
      </c>
      <c r="AK152" s="12" t="s">
        <v>56</v>
      </c>
      <c r="AL152" s="12" t="s">
        <v>1126</v>
      </c>
      <c r="AM152" s="10">
        <v>7.7359999999999998</v>
      </c>
      <c r="AN152" s="10" t="s">
        <v>56</v>
      </c>
      <c r="AO152" t="str">
        <f>_xlfn.CONCAT($AP$1,D152)</f>
        <v>c.875C&gt;A</v>
      </c>
    </row>
    <row r="153" spans="1:41" ht="15" customHeight="1" x14ac:dyDescent="0.2">
      <c r="A153" s="10">
        <v>105</v>
      </c>
      <c r="B153" s="10" t="s">
        <v>39</v>
      </c>
      <c r="C153" s="10" t="s">
        <v>1127</v>
      </c>
      <c r="D153" s="10" t="s">
        <v>1128</v>
      </c>
      <c r="E153" s="10" t="s">
        <v>1129</v>
      </c>
      <c r="F153" s="10" t="s">
        <v>1130</v>
      </c>
      <c r="G153" s="10" t="s">
        <v>1131</v>
      </c>
      <c r="H153" s="10" t="s">
        <v>1132</v>
      </c>
      <c r="I153" s="10" t="s">
        <v>1133</v>
      </c>
      <c r="J153" s="10">
        <v>105</v>
      </c>
      <c r="K153" s="10" t="s">
        <v>1131</v>
      </c>
      <c r="L153" s="10">
        <v>884</v>
      </c>
      <c r="M153" s="10">
        <v>4</v>
      </c>
      <c r="N153" s="10">
        <v>295</v>
      </c>
      <c r="O153" s="11" t="str">
        <f>HYPERLINK(AL153,"link")</f>
        <v>link</v>
      </c>
      <c r="P153" s="10" t="s">
        <v>1134</v>
      </c>
      <c r="Q153" s="12">
        <v>6</v>
      </c>
      <c r="R153" s="10" t="s">
        <v>49</v>
      </c>
      <c r="S153" t="s">
        <v>50</v>
      </c>
      <c r="T153" s="10" t="s">
        <v>51</v>
      </c>
      <c r="U153" s="13">
        <v>94.681595521343596</v>
      </c>
      <c r="V153" s="14" t="s">
        <v>56</v>
      </c>
      <c r="W153" s="15">
        <v>3.3669797616433055</v>
      </c>
      <c r="X153" s="16" t="s">
        <v>1135</v>
      </c>
      <c r="Y153" t="s">
        <v>214</v>
      </c>
      <c r="AA153" t="s">
        <v>159</v>
      </c>
      <c r="AC153" s="20"/>
      <c r="AD153" s="12"/>
      <c r="AE153" s="12" t="s">
        <v>56</v>
      </c>
      <c r="AF153" s="19" t="s">
        <v>56</v>
      </c>
      <c r="AG153" s="12" t="s">
        <v>1136</v>
      </c>
      <c r="AH153" s="12" t="s">
        <v>1116</v>
      </c>
      <c r="AI153" s="12" t="s">
        <v>56</v>
      </c>
      <c r="AJ153" s="12" t="s">
        <v>56</v>
      </c>
      <c r="AK153" s="12" t="s">
        <v>56</v>
      </c>
      <c r="AL153" s="12" t="s">
        <v>1137</v>
      </c>
      <c r="AM153" s="10" t="s">
        <v>56</v>
      </c>
      <c r="AN153" s="10" t="s">
        <v>56</v>
      </c>
      <c r="AO153" t="str">
        <f>_xlfn.CONCAT($AP$1,D153)</f>
        <v>c.884C&gt;T</v>
      </c>
    </row>
    <row r="154" spans="1:41" ht="15" customHeight="1" x14ac:dyDescent="0.2">
      <c r="A154" s="10">
        <v>106</v>
      </c>
      <c r="B154" s="10" t="s">
        <v>39</v>
      </c>
      <c r="C154" s="10" t="s">
        <v>1138</v>
      </c>
      <c r="D154" s="10" t="s">
        <v>1139</v>
      </c>
      <c r="E154" s="10" t="s">
        <v>1140</v>
      </c>
      <c r="F154" s="10" t="s">
        <v>1141</v>
      </c>
      <c r="G154" s="10" t="s">
        <v>1142</v>
      </c>
      <c r="H154" s="10" t="s">
        <v>1143</v>
      </c>
      <c r="I154" s="10" t="s">
        <v>1144</v>
      </c>
      <c r="J154" s="10">
        <v>106</v>
      </c>
      <c r="K154" s="10" t="s">
        <v>1142</v>
      </c>
      <c r="L154" s="10">
        <v>886</v>
      </c>
      <c r="M154" s="10">
        <v>4</v>
      </c>
      <c r="N154" s="10">
        <v>296</v>
      </c>
      <c r="O154" s="11" t="str">
        <f>HYPERLINK(AL154,"link")</f>
        <v>link</v>
      </c>
      <c r="P154" s="10" t="s">
        <v>1039</v>
      </c>
      <c r="Q154" s="12">
        <v>2</v>
      </c>
      <c r="R154" s="10" t="s">
        <v>49</v>
      </c>
      <c r="S154" t="s">
        <v>50</v>
      </c>
      <c r="T154" s="10" t="s">
        <v>51</v>
      </c>
      <c r="U154" s="13">
        <v>61.304276985886681</v>
      </c>
      <c r="V154" s="14">
        <v>1.4734735593045971</v>
      </c>
      <c r="W154" s="15">
        <v>0.796613613130571</v>
      </c>
      <c r="X154" s="16" t="s">
        <v>1145</v>
      </c>
      <c r="Y154" t="s">
        <v>53</v>
      </c>
      <c r="AA154" t="s">
        <v>200</v>
      </c>
      <c r="AB154" s="17" t="s">
        <v>1146</v>
      </c>
      <c r="AC154" s="20"/>
      <c r="AD154" s="12"/>
      <c r="AE154" s="12" t="s">
        <v>56</v>
      </c>
      <c r="AF154" s="19" t="s">
        <v>56</v>
      </c>
      <c r="AG154" s="12" t="s">
        <v>1147</v>
      </c>
      <c r="AH154" s="12" t="s">
        <v>1148</v>
      </c>
      <c r="AI154" s="12" t="s">
        <v>56</v>
      </c>
      <c r="AJ154" s="12" t="s">
        <v>56</v>
      </c>
      <c r="AK154" s="12" t="s">
        <v>56</v>
      </c>
      <c r="AL154" s="12" t="s">
        <v>1149</v>
      </c>
      <c r="AM154" s="10" t="s">
        <v>56</v>
      </c>
      <c r="AN154" s="10" t="s">
        <v>56</v>
      </c>
      <c r="AO154" t="str">
        <f>_xlfn.CONCAT($AP$1,D154)</f>
        <v>c.886A&gt;G</v>
      </c>
    </row>
    <row r="155" spans="1:41" ht="15" customHeight="1" x14ac:dyDescent="0.2">
      <c r="A155" s="10">
        <v>107</v>
      </c>
      <c r="B155" s="10" t="s">
        <v>39</v>
      </c>
      <c r="C155" s="10" t="s">
        <v>1150</v>
      </c>
      <c r="D155" s="10" t="s">
        <v>1151</v>
      </c>
      <c r="E155" s="10" t="s">
        <v>1152</v>
      </c>
      <c r="F155" s="10" t="s">
        <v>1153</v>
      </c>
      <c r="G155" s="10" t="s">
        <v>1154</v>
      </c>
      <c r="H155" s="10" t="s">
        <v>1155</v>
      </c>
      <c r="I155" s="10" t="s">
        <v>1156</v>
      </c>
      <c r="J155" s="10">
        <v>107</v>
      </c>
      <c r="K155" s="10" t="s">
        <v>1154</v>
      </c>
      <c r="L155" s="10">
        <v>887</v>
      </c>
      <c r="M155" s="10">
        <v>4</v>
      </c>
      <c r="N155" s="10">
        <v>296</v>
      </c>
      <c r="O155" s="11" t="str">
        <f>HYPERLINK(AL155,"link")</f>
        <v>link</v>
      </c>
      <c r="P155" s="10" t="s">
        <v>293</v>
      </c>
      <c r="Q155" s="12">
        <v>2</v>
      </c>
      <c r="R155" s="10" t="s">
        <v>49</v>
      </c>
      <c r="S155" t="s">
        <v>50</v>
      </c>
      <c r="T155" s="10" t="s">
        <v>51</v>
      </c>
      <c r="U155" s="13">
        <v>65.266742338251987</v>
      </c>
      <c r="V155" s="14" t="s">
        <v>56</v>
      </c>
      <c r="W155" s="15">
        <v>2.6923164372214692</v>
      </c>
      <c r="X155" s="16" t="s">
        <v>1157</v>
      </c>
      <c r="Y155" t="s">
        <v>158</v>
      </c>
      <c r="AA155" t="s">
        <v>224</v>
      </c>
      <c r="AB155" s="17" t="s">
        <v>296</v>
      </c>
      <c r="AC155" s="20"/>
      <c r="AD155" s="12"/>
      <c r="AE155" s="12" t="s">
        <v>56</v>
      </c>
      <c r="AF155" s="19" t="s">
        <v>56</v>
      </c>
      <c r="AG155" s="12" t="s">
        <v>1147</v>
      </c>
      <c r="AH155" s="12" t="s">
        <v>1148</v>
      </c>
      <c r="AI155" s="12" t="s">
        <v>56</v>
      </c>
      <c r="AJ155" s="12" t="s">
        <v>56</v>
      </c>
      <c r="AK155" s="12" t="s">
        <v>56</v>
      </c>
      <c r="AL155" s="12" t="s">
        <v>725</v>
      </c>
      <c r="AM155" s="10" t="s">
        <v>56</v>
      </c>
      <c r="AN155" s="10" t="s">
        <v>56</v>
      </c>
      <c r="AO155" t="str">
        <f>_xlfn.CONCAT($AP$1,D155)</f>
        <v>c.887A&gt;T</v>
      </c>
    </row>
    <row r="156" spans="1:41" ht="15" customHeight="1" x14ac:dyDescent="0.2">
      <c r="A156" s="10">
        <v>108</v>
      </c>
      <c r="B156" s="10" t="s">
        <v>39</v>
      </c>
      <c r="C156" s="10" t="s">
        <v>1158</v>
      </c>
      <c r="D156" s="10" t="s">
        <v>1159</v>
      </c>
      <c r="E156" s="10" t="s">
        <v>1160</v>
      </c>
      <c r="F156" s="10" t="s">
        <v>1161</v>
      </c>
      <c r="G156" s="10" t="s">
        <v>1162</v>
      </c>
      <c r="H156" s="10" t="s">
        <v>1163</v>
      </c>
      <c r="I156" s="10" t="s">
        <v>1164</v>
      </c>
      <c r="J156" s="10">
        <v>108</v>
      </c>
      <c r="K156" s="10" t="s">
        <v>1162</v>
      </c>
      <c r="L156" s="10">
        <v>888</v>
      </c>
      <c r="M156" s="10">
        <v>4</v>
      </c>
      <c r="N156" s="10">
        <v>296</v>
      </c>
      <c r="O156" s="11" t="str">
        <f>HYPERLINK(AL156,"link")</f>
        <v>link</v>
      </c>
      <c r="P156" s="10" t="s">
        <v>293</v>
      </c>
      <c r="Q156" s="12">
        <v>2</v>
      </c>
      <c r="R156" s="10" t="s">
        <v>49</v>
      </c>
      <c r="S156" t="s">
        <v>50</v>
      </c>
      <c r="T156" s="10" t="s">
        <v>51</v>
      </c>
      <c r="U156" s="13">
        <v>79.38356164383562</v>
      </c>
      <c r="V156" s="14" t="s">
        <v>56</v>
      </c>
      <c r="W156" s="15">
        <v>2.9704963494667695</v>
      </c>
      <c r="X156" s="16" t="s">
        <v>1165</v>
      </c>
      <c r="Y156" t="s">
        <v>158</v>
      </c>
      <c r="AA156" t="s">
        <v>224</v>
      </c>
      <c r="AB156" s="17" t="s">
        <v>296</v>
      </c>
      <c r="AC156" s="20"/>
      <c r="AD156" s="12"/>
      <c r="AE156" s="12" t="s">
        <v>56</v>
      </c>
      <c r="AF156" s="19" t="s">
        <v>56</v>
      </c>
      <c r="AG156" s="12" t="s">
        <v>1147</v>
      </c>
      <c r="AH156" s="12" t="s">
        <v>1148</v>
      </c>
      <c r="AI156" s="12" t="s">
        <v>56</v>
      </c>
      <c r="AJ156" s="12" t="s">
        <v>56</v>
      </c>
      <c r="AK156" s="12" t="s">
        <v>56</v>
      </c>
      <c r="AL156" s="12" t="s">
        <v>1166</v>
      </c>
      <c r="AM156" s="10" t="s">
        <v>56</v>
      </c>
      <c r="AN156" s="10" t="s">
        <v>56</v>
      </c>
      <c r="AO156" t="str">
        <f>_xlfn.CONCAT($AP$1,D156)</f>
        <v>c.888G&gt;T</v>
      </c>
    </row>
    <row r="157" spans="1:41" ht="15" customHeight="1" x14ac:dyDescent="0.2">
      <c r="A157" s="10">
        <v>109</v>
      </c>
      <c r="B157" s="10" t="s">
        <v>39</v>
      </c>
      <c r="C157" s="10" t="s">
        <v>1167</v>
      </c>
      <c r="D157" s="10" t="s">
        <v>1168</v>
      </c>
      <c r="E157" s="10" t="s">
        <v>1169</v>
      </c>
      <c r="F157" s="10" t="s">
        <v>1170</v>
      </c>
      <c r="G157" s="10" t="s">
        <v>1171</v>
      </c>
      <c r="H157" s="10" t="s">
        <v>1172</v>
      </c>
      <c r="I157" s="10" t="s">
        <v>1173</v>
      </c>
      <c r="J157" s="10">
        <v>109</v>
      </c>
      <c r="K157" s="10" t="s">
        <v>1171</v>
      </c>
      <c r="L157" s="10">
        <v>891</v>
      </c>
      <c r="M157" s="10">
        <v>4</v>
      </c>
      <c r="N157" s="10">
        <v>297</v>
      </c>
      <c r="O157" s="11" t="str">
        <f>HYPERLINK(AL157,"link")</f>
        <v>link</v>
      </c>
      <c r="P157" s="10" t="s">
        <v>187</v>
      </c>
      <c r="Q157" s="12">
        <v>2</v>
      </c>
      <c r="R157" s="10" t="s">
        <v>49</v>
      </c>
      <c r="S157" t="s">
        <v>50</v>
      </c>
      <c r="T157" s="10" t="s">
        <v>51</v>
      </c>
      <c r="U157" s="13">
        <v>16.056910569105689</v>
      </c>
      <c r="V157" s="14" t="s">
        <v>56</v>
      </c>
      <c r="W157" s="15">
        <v>0.15861494791856165</v>
      </c>
      <c r="X157" s="16" t="s">
        <v>1174</v>
      </c>
      <c r="Y157" t="s">
        <v>72</v>
      </c>
      <c r="AA157" t="s">
        <v>54</v>
      </c>
      <c r="AC157" s="20"/>
      <c r="AD157" s="12" t="s">
        <v>1175</v>
      </c>
      <c r="AE157" s="12" t="s">
        <v>1176</v>
      </c>
      <c r="AF157" s="19" t="s">
        <v>56</v>
      </c>
      <c r="AG157" s="12" t="s">
        <v>1177</v>
      </c>
      <c r="AH157" s="12" t="s">
        <v>1116</v>
      </c>
      <c r="AI157" s="12" t="s">
        <v>178</v>
      </c>
      <c r="AJ157" s="12" t="s">
        <v>56</v>
      </c>
      <c r="AK157" s="12" t="s">
        <v>56</v>
      </c>
      <c r="AL157" s="12" t="s">
        <v>512</v>
      </c>
      <c r="AM157" s="10" t="s">
        <v>56</v>
      </c>
      <c r="AN157" s="10" t="s">
        <v>56</v>
      </c>
      <c r="AO157" t="str">
        <f>_xlfn.CONCAT($AP$1,D157)</f>
        <v>c.891C&gt;A</v>
      </c>
    </row>
    <row r="158" spans="1:41" ht="15" customHeight="1" x14ac:dyDescent="0.2">
      <c r="A158" s="10">
        <v>110</v>
      </c>
      <c r="B158" s="10" t="s">
        <v>39</v>
      </c>
      <c r="C158" s="10" t="s">
        <v>1178</v>
      </c>
      <c r="D158" s="10" t="s">
        <v>1179</v>
      </c>
      <c r="E158" s="10" t="s">
        <v>1180</v>
      </c>
      <c r="F158" s="10" t="s">
        <v>1181</v>
      </c>
      <c r="G158" s="10" t="s">
        <v>1182</v>
      </c>
      <c r="H158" s="10" t="s">
        <v>1183</v>
      </c>
      <c r="I158" s="10" t="s">
        <v>1184</v>
      </c>
      <c r="J158" s="10">
        <v>110</v>
      </c>
      <c r="K158" s="10" t="s">
        <v>1182</v>
      </c>
      <c r="L158" s="10">
        <v>893</v>
      </c>
      <c r="M158" s="10">
        <v>4</v>
      </c>
      <c r="N158" s="10">
        <v>298</v>
      </c>
      <c r="O158" s="11" t="str">
        <f>HYPERLINK(AL158,"link")</f>
        <v>link</v>
      </c>
      <c r="P158" s="10" t="s">
        <v>618</v>
      </c>
      <c r="Q158" s="12" t="s">
        <v>619</v>
      </c>
      <c r="R158" s="10" t="s">
        <v>235</v>
      </c>
      <c r="S158" t="s">
        <v>172</v>
      </c>
      <c r="T158" s="10" t="s">
        <v>173</v>
      </c>
      <c r="U158" s="13">
        <v>90.572119258662369</v>
      </c>
      <c r="V158" s="14" t="s">
        <v>56</v>
      </c>
      <c r="W158" s="15">
        <v>2.7934461508577537</v>
      </c>
      <c r="X158" s="16" t="s">
        <v>1185</v>
      </c>
      <c r="Y158" t="s">
        <v>214</v>
      </c>
      <c r="AA158" t="s">
        <v>159</v>
      </c>
      <c r="AC158" s="20"/>
      <c r="AD158" s="12"/>
      <c r="AE158" s="12" t="s">
        <v>1186</v>
      </c>
      <c r="AF158" s="19" t="s">
        <v>56</v>
      </c>
      <c r="AG158" s="12" t="s">
        <v>1136</v>
      </c>
      <c r="AH158" s="12" t="s">
        <v>1116</v>
      </c>
      <c r="AI158" s="12" t="s">
        <v>56</v>
      </c>
      <c r="AJ158" s="12" t="s">
        <v>56</v>
      </c>
      <c r="AK158" s="12" t="s">
        <v>56</v>
      </c>
      <c r="AL158" s="12" t="s">
        <v>1187</v>
      </c>
      <c r="AM158" s="10" t="s">
        <v>56</v>
      </c>
      <c r="AN158" s="10" t="s">
        <v>56</v>
      </c>
      <c r="AO158" t="str">
        <f>_xlfn.CONCAT($AP$1,D158)</f>
        <v>c.893C&gt;A</v>
      </c>
    </row>
    <row r="159" spans="1:41" ht="15" customHeight="1" x14ac:dyDescent="0.2">
      <c r="A159" s="10">
        <v>142</v>
      </c>
      <c r="B159" s="10" t="s">
        <v>1431</v>
      </c>
      <c r="C159" s="10" t="s">
        <v>1484</v>
      </c>
      <c r="D159" s="10" t="s">
        <v>1485</v>
      </c>
      <c r="E159" s="10" t="s">
        <v>1486</v>
      </c>
      <c r="F159" s="10" t="s">
        <v>1487</v>
      </c>
      <c r="G159" s="10" t="s">
        <v>1488</v>
      </c>
      <c r="H159" s="10" t="s">
        <v>1489</v>
      </c>
      <c r="I159" s="10" t="s">
        <v>1489</v>
      </c>
      <c r="J159" s="10">
        <v>142</v>
      </c>
      <c r="K159" s="10" t="s">
        <v>1488</v>
      </c>
      <c r="L159" s="10">
        <v>895</v>
      </c>
      <c r="M159" s="10">
        <v>4</v>
      </c>
      <c r="N159" s="10">
        <v>299</v>
      </c>
      <c r="O159" s="11" t="str">
        <f>HYPERLINK(AL159,"link")</f>
        <v>link</v>
      </c>
      <c r="P159" s="10" t="s">
        <v>1458</v>
      </c>
      <c r="Q159" s="12" t="s">
        <v>212</v>
      </c>
      <c r="R159" s="10" t="s">
        <v>1482</v>
      </c>
      <c r="T159" s="10" t="e">
        <v>#N/A</v>
      </c>
      <c r="U159" s="13">
        <v>94.222539229671895</v>
      </c>
      <c r="V159" s="14" t="s">
        <v>56</v>
      </c>
      <c r="W159" s="15">
        <v>3.0410311242368215</v>
      </c>
      <c r="X159" s="16" t="s">
        <v>1490</v>
      </c>
      <c r="Y159" t="s">
        <v>214</v>
      </c>
      <c r="AA159" t="s">
        <v>159</v>
      </c>
      <c r="AC159" s="20"/>
      <c r="AD159" s="12" t="s">
        <v>84</v>
      </c>
      <c r="AE159" s="12" t="s">
        <v>1491</v>
      </c>
      <c r="AF159" s="19" t="s">
        <v>176</v>
      </c>
      <c r="AG159" s="12" t="s">
        <v>1115</v>
      </c>
      <c r="AH159" s="12" t="s">
        <v>1116</v>
      </c>
      <c r="AI159" s="12" t="s">
        <v>147</v>
      </c>
      <c r="AJ159" s="12" t="s">
        <v>56</v>
      </c>
      <c r="AK159" s="12" t="s">
        <v>56</v>
      </c>
      <c r="AL159" s="12" t="s">
        <v>1440</v>
      </c>
      <c r="AM159" s="10">
        <v>0.80399999999999994</v>
      </c>
      <c r="AN159" s="10" t="s">
        <v>56</v>
      </c>
      <c r="AO159" t="str">
        <f>_xlfn.CONCAT($AP$1,D159)</f>
        <v>c.895G&gt;T</v>
      </c>
    </row>
    <row r="160" spans="1:41" ht="15" customHeight="1" x14ac:dyDescent="0.2">
      <c r="A160" s="10">
        <v>200</v>
      </c>
      <c r="B160" s="10" t="s">
        <v>1610</v>
      </c>
      <c r="C160" s="10" t="s">
        <v>1895</v>
      </c>
      <c r="D160" s="10" t="s">
        <v>1896</v>
      </c>
      <c r="E160" s="10" t="s">
        <v>1897</v>
      </c>
      <c r="F160" s="10" t="s">
        <v>1898</v>
      </c>
      <c r="G160" s="10" t="s">
        <v>1899</v>
      </c>
      <c r="H160" s="10"/>
      <c r="I160" s="10" t="s">
        <v>1895</v>
      </c>
      <c r="J160" s="10">
        <v>200</v>
      </c>
      <c r="K160" s="10" t="s">
        <v>1899</v>
      </c>
      <c r="L160" s="10">
        <v>895</v>
      </c>
      <c r="M160" s="10">
        <v>4</v>
      </c>
      <c r="N160" s="10">
        <v>299</v>
      </c>
      <c r="O160" s="11"/>
      <c r="P160" s="10" t="s">
        <v>1616</v>
      </c>
      <c r="Q160" s="12" t="s">
        <v>1616</v>
      </c>
      <c r="R160" s="10" t="s">
        <v>171</v>
      </c>
      <c r="T160" s="10" t="e">
        <v>#N/A</v>
      </c>
      <c r="U160" s="13">
        <v>88.136900626906836</v>
      </c>
      <c r="V160" s="14">
        <v>0.43456238111875423</v>
      </c>
      <c r="W160" s="15">
        <v>2.0615160421601959</v>
      </c>
      <c r="X160" s="16" t="s">
        <v>1900</v>
      </c>
      <c r="Y160" t="s">
        <v>158</v>
      </c>
      <c r="AA160" t="s">
        <v>159</v>
      </c>
      <c r="AC160" s="20"/>
      <c r="AD160" s="12"/>
      <c r="AE160" s="12" t="s">
        <v>1491</v>
      </c>
      <c r="AF160" s="19" t="s">
        <v>56</v>
      </c>
      <c r="AG160" s="12" t="s">
        <v>1136</v>
      </c>
      <c r="AH160" s="12" t="s">
        <v>1116</v>
      </c>
      <c r="AI160" s="12" t="s">
        <v>56</v>
      </c>
      <c r="AJ160" s="12" t="s">
        <v>56</v>
      </c>
      <c r="AK160" s="12" t="s">
        <v>56</v>
      </c>
      <c r="AL160" s="12" t="e">
        <v>#N/A</v>
      </c>
      <c r="AM160" s="10" t="s">
        <v>56</v>
      </c>
      <c r="AN160" s="10" t="s">
        <v>56</v>
      </c>
      <c r="AO160" t="str">
        <f>_xlfn.CONCAT($AP$1,D160)</f>
        <v>c.895G&gt;A</v>
      </c>
    </row>
    <row r="161" spans="1:41" ht="15" customHeight="1" x14ac:dyDescent="0.2">
      <c r="A161" s="10">
        <v>201</v>
      </c>
      <c r="B161" s="10" t="s">
        <v>1610</v>
      </c>
      <c r="C161" s="10" t="s">
        <v>1901</v>
      </c>
      <c r="D161" s="10" t="s">
        <v>1902</v>
      </c>
      <c r="E161" s="10" t="s">
        <v>1903</v>
      </c>
      <c r="F161" s="10" t="s">
        <v>1904</v>
      </c>
      <c r="G161" s="10" t="s">
        <v>1905</v>
      </c>
      <c r="H161" s="10"/>
      <c r="I161" s="10" t="s">
        <v>1901</v>
      </c>
      <c r="J161" s="10">
        <v>201</v>
      </c>
      <c r="K161" s="10" t="s">
        <v>1905</v>
      </c>
      <c r="L161" s="10">
        <v>913</v>
      </c>
      <c r="M161" s="10">
        <v>4</v>
      </c>
      <c r="N161" s="10">
        <v>305</v>
      </c>
      <c r="O161" s="11"/>
      <c r="P161" s="10" t="s">
        <v>1616</v>
      </c>
      <c r="Q161" s="12" t="s">
        <v>1616</v>
      </c>
      <c r="R161" s="10" t="s">
        <v>1214</v>
      </c>
      <c r="T161" s="10" t="e">
        <v>#N/A</v>
      </c>
      <c r="U161" s="13">
        <v>95.991277986387431</v>
      </c>
      <c r="V161" s="14">
        <v>0.62154711228258663</v>
      </c>
      <c r="W161" s="15">
        <v>2.4943079744215901</v>
      </c>
      <c r="X161" s="16" t="s">
        <v>1906</v>
      </c>
      <c r="Y161" t="s">
        <v>214</v>
      </c>
      <c r="AA161" t="s">
        <v>159</v>
      </c>
      <c r="AC161" s="20"/>
      <c r="AD161" s="12"/>
      <c r="AE161" s="12" t="s">
        <v>56</v>
      </c>
      <c r="AF161" s="19" t="s">
        <v>56</v>
      </c>
      <c r="AG161" s="12" t="s">
        <v>1136</v>
      </c>
      <c r="AH161" s="12" t="s">
        <v>1116</v>
      </c>
      <c r="AI161" s="12" t="s">
        <v>56</v>
      </c>
      <c r="AJ161" s="12" t="s">
        <v>56</v>
      </c>
      <c r="AK161" s="12" t="s">
        <v>56</v>
      </c>
      <c r="AL161" s="12" t="e">
        <v>#N/A</v>
      </c>
      <c r="AM161" s="10" t="s">
        <v>56</v>
      </c>
      <c r="AN161" s="10" t="s">
        <v>56</v>
      </c>
      <c r="AO161" t="str">
        <f>_xlfn.CONCAT($AP$1,D161)</f>
        <v>c.913A&gt;G</v>
      </c>
    </row>
    <row r="162" spans="1:41" ht="15" customHeight="1" x14ac:dyDescent="0.2">
      <c r="A162" s="10">
        <v>111</v>
      </c>
      <c r="B162" s="10" t="s">
        <v>39</v>
      </c>
      <c r="C162" s="10" t="s">
        <v>1188</v>
      </c>
      <c r="D162" s="10" t="s">
        <v>1189</v>
      </c>
      <c r="E162" s="10" t="s">
        <v>1190</v>
      </c>
      <c r="F162" s="10" t="s">
        <v>1191</v>
      </c>
      <c r="G162" s="10" t="s">
        <v>1192</v>
      </c>
      <c r="H162" s="10" t="s">
        <v>1193</v>
      </c>
      <c r="I162" s="10" t="s">
        <v>1194</v>
      </c>
      <c r="J162" s="10">
        <v>111</v>
      </c>
      <c r="K162" s="10" t="s">
        <v>1192</v>
      </c>
      <c r="L162" s="10">
        <v>931</v>
      </c>
      <c r="M162" s="10">
        <v>4</v>
      </c>
      <c r="N162" s="10">
        <v>311</v>
      </c>
      <c r="O162" s="11" t="str">
        <f>HYPERLINK(AL162,"link")</f>
        <v>link</v>
      </c>
      <c r="P162" s="10" t="s">
        <v>269</v>
      </c>
      <c r="Q162" s="12" t="s">
        <v>270</v>
      </c>
      <c r="R162" s="10" t="s">
        <v>294</v>
      </c>
      <c r="S162" t="s">
        <v>50</v>
      </c>
      <c r="T162" s="10" t="s">
        <v>51</v>
      </c>
      <c r="U162" s="13">
        <v>93.333333333333329</v>
      </c>
      <c r="V162" s="14" t="s">
        <v>56</v>
      </c>
      <c r="W162" s="15">
        <v>2.4900020967449072</v>
      </c>
      <c r="X162" s="16" t="s">
        <v>1195</v>
      </c>
      <c r="Y162" t="s">
        <v>214</v>
      </c>
      <c r="AA162" t="s">
        <v>159</v>
      </c>
      <c r="AC162" s="20"/>
      <c r="AD162" s="12"/>
      <c r="AE162" s="12" t="s">
        <v>1196</v>
      </c>
      <c r="AF162" s="19" t="s">
        <v>56</v>
      </c>
      <c r="AG162" s="12" t="s">
        <v>1136</v>
      </c>
      <c r="AH162" s="12" t="s">
        <v>1116</v>
      </c>
      <c r="AI162" s="12" t="s">
        <v>56</v>
      </c>
      <c r="AJ162" s="12" t="s">
        <v>56</v>
      </c>
      <c r="AK162" s="12" t="s">
        <v>56</v>
      </c>
      <c r="AL162" s="12" t="s">
        <v>397</v>
      </c>
      <c r="AM162" s="10" t="s">
        <v>56</v>
      </c>
      <c r="AN162" s="10" t="s">
        <v>56</v>
      </c>
      <c r="AO162" t="str">
        <f>_xlfn.CONCAT($AP$1,D162)</f>
        <v>c.931A&gt;G</v>
      </c>
    </row>
    <row r="163" spans="1:41" ht="15" customHeight="1" x14ac:dyDescent="0.2">
      <c r="A163" s="10">
        <v>112</v>
      </c>
      <c r="B163" s="10" t="s">
        <v>39</v>
      </c>
      <c r="C163" s="10" t="s">
        <v>1197</v>
      </c>
      <c r="D163" s="10" t="s">
        <v>1198</v>
      </c>
      <c r="E163" s="10" t="s">
        <v>1199</v>
      </c>
      <c r="F163" s="10" t="s">
        <v>1200</v>
      </c>
      <c r="G163" s="10" t="s">
        <v>1201</v>
      </c>
      <c r="H163" s="10" t="s">
        <v>1202</v>
      </c>
      <c r="I163" s="10" t="s">
        <v>1203</v>
      </c>
      <c r="J163" s="10">
        <v>112</v>
      </c>
      <c r="K163" s="10" t="s">
        <v>1201</v>
      </c>
      <c r="L163" s="10">
        <v>934</v>
      </c>
      <c r="M163" s="10">
        <v>4</v>
      </c>
      <c r="N163" s="10">
        <v>312</v>
      </c>
      <c r="O163" s="11" t="str">
        <f>HYPERLINK(AL163,"link")</f>
        <v>link</v>
      </c>
      <c r="P163" s="10" t="s">
        <v>306</v>
      </c>
      <c r="Q163" s="12" t="s">
        <v>306</v>
      </c>
      <c r="R163" s="10" t="s">
        <v>49</v>
      </c>
      <c r="S163" t="s">
        <v>50</v>
      </c>
      <c r="T163" s="10" t="s">
        <v>51</v>
      </c>
      <c r="U163" s="13">
        <v>35.406001060044581</v>
      </c>
      <c r="V163" s="14">
        <v>2.6519697939257361</v>
      </c>
      <c r="W163" s="15">
        <v>0.24815205522434813</v>
      </c>
      <c r="X163" s="16" t="s">
        <v>1204</v>
      </c>
      <c r="Y163" t="s">
        <v>72</v>
      </c>
      <c r="AA163" t="s">
        <v>54</v>
      </c>
      <c r="AC163" s="18" t="s">
        <v>308</v>
      </c>
      <c r="AD163" s="12"/>
      <c r="AE163" s="12" t="s">
        <v>56</v>
      </c>
      <c r="AF163" s="19" t="s">
        <v>56</v>
      </c>
      <c r="AG163" s="12" t="s">
        <v>1205</v>
      </c>
      <c r="AH163" s="12" t="s">
        <v>56</v>
      </c>
      <c r="AI163" s="12" t="s">
        <v>56</v>
      </c>
      <c r="AJ163" s="12" t="s">
        <v>56</v>
      </c>
      <c r="AK163" s="12" t="s">
        <v>56</v>
      </c>
      <c r="AL163" s="12" t="s">
        <v>1206</v>
      </c>
      <c r="AM163" s="10" t="s">
        <v>56</v>
      </c>
      <c r="AN163" s="10" t="s">
        <v>56</v>
      </c>
      <c r="AO163" t="str">
        <f>_xlfn.CONCAT($AP$1,D163)</f>
        <v>c.934C&gt;T</v>
      </c>
    </row>
    <row r="164" spans="1:41" ht="15" customHeight="1" x14ac:dyDescent="0.2">
      <c r="A164" s="10">
        <v>134</v>
      </c>
      <c r="B164" s="10" t="s">
        <v>39</v>
      </c>
      <c r="C164" s="10" t="s">
        <v>1412</v>
      </c>
      <c r="D164" s="10" t="s">
        <v>1413</v>
      </c>
      <c r="E164" s="10" t="s">
        <v>614</v>
      </c>
      <c r="F164" s="10" t="s">
        <v>614</v>
      </c>
      <c r="G164" s="10" t="s">
        <v>1414</v>
      </c>
      <c r="H164" s="10" t="s">
        <v>616</v>
      </c>
      <c r="I164" s="10" t="s">
        <v>1415</v>
      </c>
      <c r="J164" s="10">
        <v>134</v>
      </c>
      <c r="K164" s="10" t="s">
        <v>1414</v>
      </c>
      <c r="L164" s="10">
        <v>936</v>
      </c>
      <c r="M164" s="10">
        <v>4</v>
      </c>
      <c r="N164" s="10">
        <v>312</v>
      </c>
      <c r="O164" s="11" t="str">
        <f>HYPERLINK(AL164,"link")</f>
        <v>link</v>
      </c>
      <c r="P164" s="10" t="s">
        <v>1416</v>
      </c>
      <c r="Q164" s="12" t="s">
        <v>1417</v>
      </c>
      <c r="R164" s="10" t="s">
        <v>235</v>
      </c>
      <c r="S164" t="s">
        <v>50</v>
      </c>
      <c r="T164" s="10" t="s">
        <v>51</v>
      </c>
      <c r="U164" s="13">
        <v>92.730085073472551</v>
      </c>
      <c r="V164" s="14" t="s">
        <v>56</v>
      </c>
      <c r="W164" s="15">
        <v>4.0872377762743062</v>
      </c>
      <c r="X164" s="16" t="s">
        <v>1418</v>
      </c>
      <c r="Y164" t="s">
        <v>214</v>
      </c>
      <c r="AA164" t="s">
        <v>159</v>
      </c>
      <c r="AC164" s="20"/>
      <c r="AD164" s="12"/>
      <c r="AE164" s="12" t="s">
        <v>56</v>
      </c>
      <c r="AF164" s="19" t="s">
        <v>56</v>
      </c>
      <c r="AG164" s="12" t="s">
        <v>1205</v>
      </c>
      <c r="AH164" s="12" t="s">
        <v>56</v>
      </c>
      <c r="AI164" s="12" t="s">
        <v>56</v>
      </c>
      <c r="AJ164" s="12" t="s">
        <v>56</v>
      </c>
      <c r="AK164" s="12" t="s">
        <v>56</v>
      </c>
      <c r="AL164" s="12" t="s">
        <v>1419</v>
      </c>
      <c r="AM164" s="10" t="s">
        <v>56</v>
      </c>
      <c r="AN164" s="10" t="s">
        <v>56</v>
      </c>
      <c r="AO164" t="str">
        <f>_xlfn.CONCAT($AP$1,D164)</f>
        <v>c.936G&gt;A</v>
      </c>
    </row>
    <row r="165" spans="1:41" ht="15" customHeight="1" x14ac:dyDescent="0.2">
      <c r="A165" s="10">
        <v>158</v>
      </c>
      <c r="B165" s="10" t="s">
        <v>39</v>
      </c>
      <c r="C165" s="10" t="s">
        <v>1603</v>
      </c>
      <c r="D165" s="10" t="s">
        <v>1604</v>
      </c>
      <c r="E165" s="10" t="s">
        <v>1605</v>
      </c>
      <c r="F165" s="10" t="s">
        <v>1606</v>
      </c>
      <c r="G165" s="10" t="s">
        <v>1607</v>
      </c>
      <c r="H165" s="10" t="s">
        <v>1608</v>
      </c>
      <c r="I165" s="10"/>
      <c r="J165" s="10">
        <v>158</v>
      </c>
      <c r="K165" s="10" t="s">
        <v>1607</v>
      </c>
      <c r="L165" s="10">
        <v>942</v>
      </c>
      <c r="M165" s="10">
        <v>5</v>
      </c>
      <c r="N165" s="10">
        <v>314</v>
      </c>
      <c r="O165" s="11" t="str">
        <f>HYPERLINK(AL165,"link")</f>
        <v>link</v>
      </c>
      <c r="P165" s="10" t="s">
        <v>306</v>
      </c>
      <c r="Q165" s="12" t="s">
        <v>306</v>
      </c>
      <c r="R165" s="10" t="s">
        <v>49</v>
      </c>
      <c r="S165" t="s">
        <v>50</v>
      </c>
      <c r="T165" s="10" t="e">
        <v>#N/A</v>
      </c>
      <c r="U165" s="13">
        <v>18.575851393188856</v>
      </c>
      <c r="V165" s="14" t="s">
        <v>56</v>
      </c>
      <c r="W165" s="15">
        <v>0.20873619643360858</v>
      </c>
      <c r="X165" s="16" t="s">
        <v>874</v>
      </c>
      <c r="Y165" t="s">
        <v>72</v>
      </c>
      <c r="AA165" t="s">
        <v>54</v>
      </c>
      <c r="AC165" s="9"/>
      <c r="AD165" s="12"/>
      <c r="AE165" s="12" t="s">
        <v>56</v>
      </c>
      <c r="AF165" s="19" t="s">
        <v>56</v>
      </c>
      <c r="AG165" s="12" t="s">
        <v>1205</v>
      </c>
      <c r="AH165" s="12" t="s">
        <v>56</v>
      </c>
      <c r="AI165" s="12" t="s">
        <v>56</v>
      </c>
      <c r="AJ165" s="12" t="s">
        <v>56</v>
      </c>
      <c r="AK165" s="12" t="s">
        <v>56</v>
      </c>
      <c r="AL165" s="12" t="s">
        <v>1609</v>
      </c>
      <c r="AM165" s="10" t="s">
        <v>56</v>
      </c>
      <c r="AN165" s="10" t="s">
        <v>56</v>
      </c>
      <c r="AO165" t="str">
        <f>_xlfn.CONCAT($AP$1,D165)</f>
        <v>c.942dupG</v>
      </c>
    </row>
    <row r="166" spans="1:41" ht="15" customHeight="1" x14ac:dyDescent="0.2">
      <c r="A166" s="10">
        <v>113</v>
      </c>
      <c r="B166" s="10" t="s">
        <v>39</v>
      </c>
      <c r="C166" s="10" t="s">
        <v>1207</v>
      </c>
      <c r="D166" s="10" t="s">
        <v>1208</v>
      </c>
      <c r="E166" s="10" t="s">
        <v>1209</v>
      </c>
      <c r="F166" s="10" t="s">
        <v>1210</v>
      </c>
      <c r="G166" s="10" t="s">
        <v>1211</v>
      </c>
      <c r="H166" s="10" t="s">
        <v>1212</v>
      </c>
      <c r="I166" s="10" t="s">
        <v>1213</v>
      </c>
      <c r="J166" s="10">
        <v>113</v>
      </c>
      <c r="K166" s="10" t="s">
        <v>1211</v>
      </c>
      <c r="L166" s="10">
        <v>945</v>
      </c>
      <c r="M166" s="10">
        <v>5</v>
      </c>
      <c r="N166" s="10">
        <v>315</v>
      </c>
      <c r="O166" s="11" t="str">
        <f>HYPERLINK(AL166,"link")</f>
        <v>link</v>
      </c>
      <c r="P166" s="10" t="s">
        <v>270</v>
      </c>
      <c r="Q166" s="12" t="s">
        <v>270</v>
      </c>
      <c r="R166" s="10" t="s">
        <v>1214</v>
      </c>
      <c r="S166" t="s">
        <v>50</v>
      </c>
      <c r="T166" s="10" t="s">
        <v>51</v>
      </c>
      <c r="U166" s="13">
        <v>94.019933554817271</v>
      </c>
      <c r="V166" s="14" t="s">
        <v>56</v>
      </c>
      <c r="W166" s="15">
        <v>4.5225981333031298</v>
      </c>
      <c r="X166" s="16" t="s">
        <v>1215</v>
      </c>
      <c r="Y166" t="s">
        <v>214</v>
      </c>
      <c r="AA166" t="s">
        <v>159</v>
      </c>
      <c r="AC166" s="20"/>
      <c r="AD166" s="12"/>
      <c r="AE166" s="12" t="s">
        <v>56</v>
      </c>
      <c r="AF166" s="19" t="s">
        <v>56</v>
      </c>
      <c r="AG166" s="12" t="s">
        <v>1205</v>
      </c>
      <c r="AH166" s="12" t="s">
        <v>56</v>
      </c>
      <c r="AI166" s="12" t="s">
        <v>56</v>
      </c>
      <c r="AJ166" s="12" t="s">
        <v>56</v>
      </c>
      <c r="AK166" s="12" t="s">
        <v>56</v>
      </c>
      <c r="AL166" s="12" t="s">
        <v>1216</v>
      </c>
      <c r="AM166" s="10" t="s">
        <v>56</v>
      </c>
      <c r="AN166" s="10" t="s">
        <v>56</v>
      </c>
      <c r="AO166" t="str">
        <f>_xlfn.CONCAT($AP$1,D166)</f>
        <v>c.945C&gt;G</v>
      </c>
    </row>
    <row r="167" spans="1:41" ht="15" customHeight="1" x14ac:dyDescent="0.2">
      <c r="A167" s="10">
        <v>144</v>
      </c>
      <c r="B167" s="10" t="s">
        <v>39</v>
      </c>
      <c r="C167" s="10" t="s">
        <v>1499</v>
      </c>
      <c r="D167" s="10" t="s">
        <v>1500</v>
      </c>
      <c r="E167" s="10" t="s">
        <v>1501</v>
      </c>
      <c r="F167" s="10" t="s">
        <v>1502</v>
      </c>
      <c r="G167" s="10" t="s">
        <v>1503</v>
      </c>
      <c r="H167" s="10" t="s">
        <v>1504</v>
      </c>
      <c r="I167" s="10"/>
      <c r="J167" s="10">
        <v>144</v>
      </c>
      <c r="K167" s="10" t="s">
        <v>1503</v>
      </c>
      <c r="L167" s="10">
        <v>953</v>
      </c>
      <c r="M167" s="10">
        <v>5</v>
      </c>
      <c r="N167" s="10">
        <v>318</v>
      </c>
      <c r="O167" s="11" t="str">
        <f>HYPERLINK(AL167,"link")</f>
        <v>link</v>
      </c>
      <c r="P167" s="10" t="s">
        <v>1505</v>
      </c>
      <c r="Q167" s="12" t="s">
        <v>1505</v>
      </c>
      <c r="R167" s="10" t="s">
        <v>49</v>
      </c>
      <c r="S167" t="s">
        <v>50</v>
      </c>
      <c r="T167" s="10" t="e">
        <v>#N/A</v>
      </c>
      <c r="U167" s="13">
        <v>66.630958757364738</v>
      </c>
      <c r="V167" s="14" t="s">
        <v>56</v>
      </c>
      <c r="W167" s="15">
        <v>1.7535211289796575</v>
      </c>
      <c r="X167" s="16" t="s">
        <v>1506</v>
      </c>
      <c r="Y167" t="s">
        <v>53</v>
      </c>
      <c r="AA167" t="s">
        <v>54</v>
      </c>
      <c r="AC167" s="20"/>
      <c r="AD167" s="12"/>
      <c r="AE167" s="12" t="s">
        <v>1507</v>
      </c>
      <c r="AF167" s="19" t="s">
        <v>56</v>
      </c>
      <c r="AG167" s="12" t="s">
        <v>1205</v>
      </c>
      <c r="AH167" s="12" t="s">
        <v>56</v>
      </c>
      <c r="AI167" s="12" t="s">
        <v>56</v>
      </c>
      <c r="AJ167" s="12" t="s">
        <v>56</v>
      </c>
      <c r="AK167" s="12" t="s">
        <v>56</v>
      </c>
      <c r="AL167" s="12" t="s">
        <v>1166</v>
      </c>
      <c r="AM167" s="10" t="s">
        <v>56</v>
      </c>
      <c r="AN167" s="10" t="s">
        <v>56</v>
      </c>
      <c r="AO167" t="str">
        <f>_xlfn.CONCAT($AP$1,D167)</f>
        <v>c.953_955delTCA</v>
      </c>
    </row>
    <row r="168" spans="1:41" ht="15" customHeight="1" x14ac:dyDescent="0.2">
      <c r="A168" s="10">
        <v>114</v>
      </c>
      <c r="B168" s="10" t="s">
        <v>39</v>
      </c>
      <c r="C168" s="10" t="s">
        <v>1217</v>
      </c>
      <c r="D168" s="10" t="s">
        <v>1218</v>
      </c>
      <c r="E168" s="10" t="s">
        <v>1219</v>
      </c>
      <c r="F168" s="10" t="s">
        <v>1220</v>
      </c>
      <c r="G168" s="10" t="s">
        <v>1221</v>
      </c>
      <c r="H168" s="10" t="s">
        <v>1222</v>
      </c>
      <c r="I168" s="10" t="s">
        <v>1223</v>
      </c>
      <c r="J168" s="10">
        <v>114</v>
      </c>
      <c r="K168" s="10" t="s">
        <v>1221</v>
      </c>
      <c r="L168" s="10">
        <v>959</v>
      </c>
      <c r="M168" s="10">
        <v>5</v>
      </c>
      <c r="N168" s="10">
        <v>320</v>
      </c>
      <c r="O168" s="11" t="str">
        <f>HYPERLINK(AL168,"link")</f>
        <v>link</v>
      </c>
      <c r="P168" s="10" t="s">
        <v>619</v>
      </c>
      <c r="Q168" s="12" t="s">
        <v>619</v>
      </c>
      <c r="R168" s="10" t="s">
        <v>294</v>
      </c>
      <c r="S168" t="s">
        <v>172</v>
      </c>
      <c r="T168" s="10" t="s">
        <v>173</v>
      </c>
      <c r="U168" s="13">
        <v>91.912908242612758</v>
      </c>
      <c r="V168" s="14" t="s">
        <v>56</v>
      </c>
      <c r="W168" s="15">
        <v>2.9266345447879516</v>
      </c>
      <c r="X168" s="16" t="s">
        <v>1224</v>
      </c>
      <c r="Y168" t="s">
        <v>214</v>
      </c>
      <c r="AA168" t="s">
        <v>159</v>
      </c>
      <c r="AC168" s="20"/>
      <c r="AD168" s="12"/>
      <c r="AE168" s="12" t="s">
        <v>56</v>
      </c>
      <c r="AF168" s="19" t="s">
        <v>56</v>
      </c>
      <c r="AG168" s="12" t="s">
        <v>1205</v>
      </c>
      <c r="AH168" s="12" t="s">
        <v>56</v>
      </c>
      <c r="AI168" s="12" t="s">
        <v>56</v>
      </c>
      <c r="AJ168" s="12" t="s">
        <v>56</v>
      </c>
      <c r="AK168" s="12" t="s">
        <v>56</v>
      </c>
      <c r="AL168" s="12" t="s">
        <v>1225</v>
      </c>
      <c r="AM168" s="10" t="s">
        <v>56</v>
      </c>
      <c r="AN168" s="10" t="s">
        <v>56</v>
      </c>
      <c r="AO168" t="str">
        <f>_xlfn.CONCAT($AP$1,D168)</f>
        <v>c.959C&gt;A</v>
      </c>
    </row>
    <row r="169" spans="1:41" ht="15" customHeight="1" x14ac:dyDescent="0.2">
      <c r="A169" s="27">
        <v>204</v>
      </c>
      <c r="B169" s="28" t="s">
        <v>1913</v>
      </c>
      <c r="C169" s="10" t="s">
        <v>1914</v>
      </c>
      <c r="D169" s="12" t="s">
        <v>1915</v>
      </c>
      <c r="E169" s="10" t="s">
        <v>614</v>
      </c>
      <c r="F169" s="10" t="s">
        <v>614</v>
      </c>
      <c r="G169" s="10" t="s">
        <v>1958</v>
      </c>
      <c r="H169" s="10"/>
      <c r="I169" s="10"/>
      <c r="J169" s="10">
        <v>204</v>
      </c>
      <c r="K169" s="10" t="s">
        <v>1916</v>
      </c>
      <c r="L169" s="10">
        <v>966</v>
      </c>
      <c r="M169" s="10">
        <v>5</v>
      </c>
      <c r="N169" s="10">
        <v>322</v>
      </c>
      <c r="O169" s="11"/>
      <c r="P169" s="10" t="s">
        <v>1917</v>
      </c>
      <c r="Q169" s="12" t="s">
        <v>1917</v>
      </c>
      <c r="R169" s="10" t="s">
        <v>1482</v>
      </c>
      <c r="T169" s="10" t="e">
        <v>#N/A</v>
      </c>
      <c r="U169" s="13">
        <v>92.017851466550283</v>
      </c>
      <c r="V169" s="14">
        <v>0.25684758761734172</v>
      </c>
      <c r="W169" s="15">
        <v>3.2365642492933957</v>
      </c>
      <c r="X169" s="16" t="s">
        <v>1918</v>
      </c>
      <c r="Y169" t="s">
        <v>214</v>
      </c>
      <c r="AA169" t="s">
        <v>1919</v>
      </c>
      <c r="AC169" s="20"/>
      <c r="AD169" s="12"/>
      <c r="AE169" s="12" t="s">
        <v>56</v>
      </c>
      <c r="AF169" s="19" t="s">
        <v>56</v>
      </c>
      <c r="AG169" s="12" t="s">
        <v>1205</v>
      </c>
      <c r="AH169" s="12" t="s">
        <v>56</v>
      </c>
      <c r="AI169" s="12" t="s">
        <v>56</v>
      </c>
      <c r="AJ169" s="12" t="s">
        <v>56</v>
      </c>
      <c r="AK169" s="12" t="s">
        <v>56</v>
      </c>
      <c r="AL169" s="12" t="e">
        <v>#N/A</v>
      </c>
      <c r="AM169" s="10" t="s">
        <v>56</v>
      </c>
      <c r="AN169" s="10" t="s">
        <v>56</v>
      </c>
      <c r="AO169" t="str">
        <f>_xlfn.CONCAT($AP$1,D169)</f>
        <v>c.966C&gt;T</v>
      </c>
    </row>
    <row r="170" spans="1:41" ht="15" customHeight="1" x14ac:dyDescent="0.2">
      <c r="A170" s="27">
        <v>205</v>
      </c>
      <c r="B170" s="28" t="s">
        <v>1913</v>
      </c>
      <c r="C170" s="10" t="s">
        <v>1920</v>
      </c>
      <c r="D170" s="12" t="s">
        <v>1921</v>
      </c>
      <c r="E170" s="10" t="s">
        <v>614</v>
      </c>
      <c r="F170" s="10" t="s">
        <v>614</v>
      </c>
      <c r="G170" s="10" t="s">
        <v>1959</v>
      </c>
      <c r="H170" s="10"/>
      <c r="I170" s="10"/>
      <c r="J170" s="10">
        <v>205</v>
      </c>
      <c r="K170" s="10" t="s">
        <v>1916</v>
      </c>
      <c r="L170" s="10">
        <v>969</v>
      </c>
      <c r="M170" s="10">
        <v>5</v>
      </c>
      <c r="N170" s="10">
        <v>323</v>
      </c>
      <c r="O170" s="11"/>
      <c r="P170" s="10" t="s">
        <v>1917</v>
      </c>
      <c r="Q170" s="12" t="s">
        <v>1917</v>
      </c>
      <c r="R170" s="10" t="s">
        <v>1482</v>
      </c>
      <c r="T170" s="10" t="e">
        <v>#N/A</v>
      </c>
      <c r="U170" s="13">
        <v>93.80728597584897</v>
      </c>
      <c r="V170" s="14">
        <v>0.98031594552737533</v>
      </c>
      <c r="W170" s="15">
        <v>2.8920312780697275</v>
      </c>
      <c r="X170" s="16" t="s">
        <v>1922</v>
      </c>
      <c r="Y170" t="s">
        <v>214</v>
      </c>
      <c r="AA170" t="s">
        <v>1919</v>
      </c>
      <c r="AC170" s="20"/>
      <c r="AD170" s="12"/>
      <c r="AE170" s="12" t="s">
        <v>56</v>
      </c>
      <c r="AF170" s="19" t="s">
        <v>56</v>
      </c>
      <c r="AG170" s="12" t="s">
        <v>1205</v>
      </c>
      <c r="AH170" s="12" t="s">
        <v>56</v>
      </c>
      <c r="AI170" s="12" t="s">
        <v>56</v>
      </c>
      <c r="AJ170" s="12" t="s">
        <v>56</v>
      </c>
      <c r="AK170" s="12" t="s">
        <v>56</v>
      </c>
      <c r="AL170" s="12" t="e">
        <v>#N/A</v>
      </c>
      <c r="AM170" s="10" t="s">
        <v>56</v>
      </c>
      <c r="AN170" s="10" t="s">
        <v>56</v>
      </c>
      <c r="AO170" t="str">
        <f>_xlfn.CONCAT($AP$1,D170)</f>
        <v>c.969C&gt;T</v>
      </c>
    </row>
    <row r="171" spans="1:41" ht="15" customHeight="1" x14ac:dyDescent="0.2">
      <c r="A171" s="27">
        <v>206</v>
      </c>
      <c r="B171" s="28" t="s">
        <v>1913</v>
      </c>
      <c r="C171" s="10" t="s">
        <v>1923</v>
      </c>
      <c r="D171" s="12" t="s">
        <v>1924</v>
      </c>
      <c r="E171" s="10" t="s">
        <v>614</v>
      </c>
      <c r="F171" s="10" t="s">
        <v>614</v>
      </c>
      <c r="G171" s="10" t="s">
        <v>1960</v>
      </c>
      <c r="H171" s="10"/>
      <c r="I171" s="10"/>
      <c r="J171" s="10">
        <v>206</v>
      </c>
      <c r="K171" s="10" t="s">
        <v>1916</v>
      </c>
      <c r="L171" s="10">
        <v>972</v>
      </c>
      <c r="M171" s="10">
        <v>5</v>
      </c>
      <c r="N171" s="10">
        <v>324</v>
      </c>
      <c r="O171" s="11"/>
      <c r="P171" s="10" t="s">
        <v>1917</v>
      </c>
      <c r="Q171" s="12" t="s">
        <v>1917</v>
      </c>
      <c r="R171" s="10" t="s">
        <v>1482</v>
      </c>
      <c r="T171" s="10" t="e">
        <v>#N/A</v>
      </c>
      <c r="U171" s="13">
        <v>93.777566670543536</v>
      </c>
      <c r="V171" s="14">
        <v>0.8675639061978313</v>
      </c>
      <c r="W171" s="15">
        <v>3.0561216871129857</v>
      </c>
      <c r="X171" s="16" t="s">
        <v>1925</v>
      </c>
      <c r="Y171" t="s">
        <v>214</v>
      </c>
      <c r="AA171" t="s">
        <v>1919</v>
      </c>
      <c r="AC171" s="20"/>
      <c r="AD171" s="12"/>
      <c r="AE171" s="12" t="s">
        <v>56</v>
      </c>
      <c r="AF171" s="19" t="s">
        <v>56</v>
      </c>
      <c r="AG171" s="12" t="s">
        <v>1205</v>
      </c>
      <c r="AH171" s="12" t="s">
        <v>56</v>
      </c>
      <c r="AI171" s="12" t="s">
        <v>56</v>
      </c>
      <c r="AJ171" s="12" t="s">
        <v>56</v>
      </c>
      <c r="AK171" s="12" t="s">
        <v>56</v>
      </c>
      <c r="AL171" s="12" t="e">
        <v>#N/A</v>
      </c>
      <c r="AM171" s="10" t="s">
        <v>56</v>
      </c>
      <c r="AN171" s="10" t="s">
        <v>56</v>
      </c>
      <c r="AO171" t="str">
        <f>_xlfn.CONCAT($AP$1,D171)</f>
        <v>c.972C&gt;A</v>
      </c>
    </row>
    <row r="172" spans="1:41" ht="15" customHeight="1" x14ac:dyDescent="0.2">
      <c r="A172" s="27">
        <v>207</v>
      </c>
      <c r="B172" s="28" t="s">
        <v>1913</v>
      </c>
      <c r="C172" s="10" t="s">
        <v>1926</v>
      </c>
      <c r="D172" s="12" t="s">
        <v>1927</v>
      </c>
      <c r="E172" s="10" t="s">
        <v>614</v>
      </c>
      <c r="F172" s="10" t="s">
        <v>614</v>
      </c>
      <c r="G172" s="10" t="s">
        <v>1961</v>
      </c>
      <c r="H172" s="10"/>
      <c r="I172" s="10"/>
      <c r="J172" s="10">
        <v>207</v>
      </c>
      <c r="K172" s="10" t="s">
        <v>1916</v>
      </c>
      <c r="L172" s="10">
        <v>978</v>
      </c>
      <c r="M172" s="10">
        <v>5</v>
      </c>
      <c r="N172" s="10">
        <v>326</v>
      </c>
      <c r="O172" s="11"/>
      <c r="P172" s="10" t="s">
        <v>1917</v>
      </c>
      <c r="Q172" s="12" t="s">
        <v>1917</v>
      </c>
      <c r="R172" s="10" t="s">
        <v>1482</v>
      </c>
      <c r="T172" s="10" t="e">
        <v>#N/A</v>
      </c>
      <c r="U172" s="13">
        <v>92.467956171376969</v>
      </c>
      <c r="V172" s="14">
        <v>0.80020657147076601</v>
      </c>
      <c r="W172" s="15">
        <v>3.5544226312379994</v>
      </c>
      <c r="X172" s="16" t="s">
        <v>1928</v>
      </c>
      <c r="Y172" t="s">
        <v>214</v>
      </c>
      <c r="AA172" t="s">
        <v>1919</v>
      </c>
      <c r="AC172" s="20"/>
      <c r="AD172" s="12"/>
      <c r="AE172" s="12" t="s">
        <v>56</v>
      </c>
      <c r="AF172" s="19" t="s">
        <v>56</v>
      </c>
      <c r="AG172" s="12" t="s">
        <v>1205</v>
      </c>
      <c r="AH172" s="12" t="s">
        <v>56</v>
      </c>
      <c r="AI172" s="12" t="s">
        <v>56</v>
      </c>
      <c r="AJ172" s="12" t="s">
        <v>56</v>
      </c>
      <c r="AK172" s="12" t="s">
        <v>56</v>
      </c>
      <c r="AL172" s="12" t="e">
        <v>#N/A</v>
      </c>
      <c r="AM172" s="10" t="s">
        <v>56</v>
      </c>
      <c r="AN172" s="10" t="s">
        <v>56</v>
      </c>
      <c r="AO172" t="str">
        <f>_xlfn.CONCAT($AP$1,D172)</f>
        <v>c.978C&gt;T</v>
      </c>
    </row>
    <row r="173" spans="1:41" ht="15" customHeight="1" x14ac:dyDescent="0.2">
      <c r="A173" s="10">
        <v>146</v>
      </c>
      <c r="B173" s="10" t="s">
        <v>39</v>
      </c>
      <c r="C173" s="10" t="s">
        <v>1517</v>
      </c>
      <c r="D173" s="10" t="s">
        <v>1518</v>
      </c>
      <c r="E173" s="10" t="s">
        <v>1519</v>
      </c>
      <c r="F173" s="10" t="s">
        <v>1520</v>
      </c>
      <c r="G173" s="10" t="s">
        <v>1521</v>
      </c>
      <c r="H173" s="10" t="s">
        <v>1522</v>
      </c>
      <c r="I173" s="10"/>
      <c r="J173" s="10">
        <v>146</v>
      </c>
      <c r="K173" s="10" t="s">
        <v>1521</v>
      </c>
      <c r="L173" s="10">
        <v>979</v>
      </c>
      <c r="M173" s="10">
        <v>5</v>
      </c>
      <c r="N173" s="10">
        <v>327</v>
      </c>
      <c r="O173" s="11" t="str">
        <f>HYPERLINK(AL173,"link")</f>
        <v>link</v>
      </c>
      <c r="P173" s="10" t="s">
        <v>306</v>
      </c>
      <c r="Q173" s="12" t="s">
        <v>306</v>
      </c>
      <c r="R173" s="10" t="s">
        <v>49</v>
      </c>
      <c r="S173" t="s">
        <v>50</v>
      </c>
      <c r="T173" s="10" t="e">
        <v>#N/A</v>
      </c>
      <c r="U173" s="13">
        <v>96.305418719211829</v>
      </c>
      <c r="V173" s="14" t="s">
        <v>56</v>
      </c>
      <c r="W173" s="15">
        <v>8.6370433376447266</v>
      </c>
      <c r="X173" s="16" t="s">
        <v>1523</v>
      </c>
      <c r="Y173" t="s">
        <v>214</v>
      </c>
      <c r="AA173" t="s">
        <v>159</v>
      </c>
      <c r="AC173" s="23" t="s">
        <v>1524</v>
      </c>
      <c r="AD173" s="12"/>
      <c r="AE173" s="12" t="s">
        <v>56</v>
      </c>
      <c r="AF173" s="19" t="s">
        <v>56</v>
      </c>
      <c r="AG173" s="12" t="s">
        <v>1205</v>
      </c>
      <c r="AH173" s="12" t="s">
        <v>56</v>
      </c>
      <c r="AI173" s="12" t="s">
        <v>56</v>
      </c>
      <c r="AJ173" s="12" t="s">
        <v>56</v>
      </c>
      <c r="AK173" s="12" t="s">
        <v>56</v>
      </c>
      <c r="AL173" s="12" t="s">
        <v>1525</v>
      </c>
      <c r="AM173" s="10" t="s">
        <v>56</v>
      </c>
      <c r="AN173" s="10" t="s">
        <v>56</v>
      </c>
      <c r="AO173" t="str">
        <f>_xlfn.CONCAT($AP$1,D173)</f>
        <v>c.979_982delCCAC</v>
      </c>
    </row>
    <row r="174" spans="1:41" ht="15" customHeight="1" x14ac:dyDescent="0.2">
      <c r="A174" s="10">
        <v>148</v>
      </c>
      <c r="B174" s="10" t="s">
        <v>39</v>
      </c>
      <c r="C174" s="10" t="s">
        <v>1533</v>
      </c>
      <c r="D174" s="10" t="s">
        <v>1534</v>
      </c>
      <c r="E174" s="10" t="s">
        <v>1535</v>
      </c>
      <c r="F174" s="10" t="s">
        <v>1536</v>
      </c>
      <c r="G174" s="10" t="s">
        <v>1537</v>
      </c>
      <c r="H174" s="10" t="s">
        <v>1538</v>
      </c>
      <c r="I174" s="10"/>
      <c r="J174" s="10">
        <v>148</v>
      </c>
      <c r="K174" s="10" t="s">
        <v>1537</v>
      </c>
      <c r="L174" s="10">
        <v>980</v>
      </c>
      <c r="M174" s="10">
        <v>5</v>
      </c>
      <c r="N174" s="10">
        <v>327</v>
      </c>
      <c r="O174" s="11" t="str">
        <f>HYPERLINK(AL174,"link")</f>
        <v>link</v>
      </c>
      <c r="P174" s="10" t="s">
        <v>306</v>
      </c>
      <c r="Q174" s="12" t="s">
        <v>306</v>
      </c>
      <c r="R174" s="10" t="s">
        <v>235</v>
      </c>
      <c r="S174" t="s">
        <v>50</v>
      </c>
      <c r="T174" s="10" t="e">
        <v>#N/A</v>
      </c>
      <c r="U174" s="13">
        <v>95.328031809145116</v>
      </c>
      <c r="V174" s="14" t="s">
        <v>56</v>
      </c>
      <c r="W174" s="15">
        <v>5.5093627221131847</v>
      </c>
      <c r="X174" s="16" t="s">
        <v>1539</v>
      </c>
      <c r="Y174" t="s">
        <v>214</v>
      </c>
      <c r="AA174" t="s">
        <v>159</v>
      </c>
      <c r="AC174" s="23" t="s">
        <v>1540</v>
      </c>
      <c r="AD174" s="12"/>
      <c r="AE174" s="12" t="s">
        <v>56</v>
      </c>
      <c r="AF174" s="19" t="s">
        <v>56</v>
      </c>
      <c r="AG174" s="12" t="s">
        <v>1205</v>
      </c>
      <c r="AH174" s="12" t="s">
        <v>56</v>
      </c>
      <c r="AI174" s="12" t="s">
        <v>56</v>
      </c>
      <c r="AJ174" s="12" t="s">
        <v>56</v>
      </c>
      <c r="AK174" s="12" t="s">
        <v>56</v>
      </c>
      <c r="AL174" s="12" t="s">
        <v>1541</v>
      </c>
      <c r="AM174" s="10" t="s">
        <v>56</v>
      </c>
      <c r="AN174" s="10" t="s">
        <v>56</v>
      </c>
      <c r="AO174" t="str">
        <f>_xlfn.CONCAT($AP$1,D174)</f>
        <v>c.980delC</v>
      </c>
    </row>
    <row r="175" spans="1:41" ht="15" customHeight="1" x14ac:dyDescent="0.2">
      <c r="A175" s="10">
        <v>115</v>
      </c>
      <c r="B175" s="10" t="s">
        <v>39</v>
      </c>
      <c r="C175" s="10" t="s">
        <v>1226</v>
      </c>
      <c r="D175" s="10" t="s">
        <v>1227</v>
      </c>
      <c r="E175" s="10" t="s">
        <v>1228</v>
      </c>
      <c r="F175" s="10" t="s">
        <v>1229</v>
      </c>
      <c r="G175" s="10" t="s">
        <v>1230</v>
      </c>
      <c r="H175" s="10" t="s">
        <v>1231</v>
      </c>
      <c r="I175" s="10" t="s">
        <v>1232</v>
      </c>
      <c r="J175" s="10">
        <v>115</v>
      </c>
      <c r="K175" s="10" t="s">
        <v>1230</v>
      </c>
      <c r="L175" s="10">
        <v>983</v>
      </c>
      <c r="M175" s="10">
        <v>5</v>
      </c>
      <c r="N175" s="10">
        <v>328</v>
      </c>
      <c r="O175" s="11" t="str">
        <f>HYPERLINK(AL175,"link")</f>
        <v>link</v>
      </c>
      <c r="P175" s="10" t="s">
        <v>1233</v>
      </c>
      <c r="Q175" s="12">
        <v>1</v>
      </c>
      <c r="R175" s="10" t="s">
        <v>49</v>
      </c>
      <c r="S175" t="s">
        <v>50</v>
      </c>
      <c r="T175" s="10" t="s">
        <v>51</v>
      </c>
      <c r="U175" s="13">
        <v>95.582635186595581</v>
      </c>
      <c r="V175" s="14" t="s">
        <v>56</v>
      </c>
      <c r="W175" s="15">
        <v>2.8362463876525186</v>
      </c>
      <c r="X175" s="16" t="s">
        <v>1234</v>
      </c>
      <c r="Y175" t="s">
        <v>214</v>
      </c>
      <c r="AA175" t="s">
        <v>159</v>
      </c>
      <c r="AC175" s="20"/>
      <c r="AD175" s="12" t="s">
        <v>189</v>
      </c>
      <c r="AE175" s="12" t="s">
        <v>1235</v>
      </c>
      <c r="AF175" s="19" t="s">
        <v>56</v>
      </c>
      <c r="AG175" s="12" t="s">
        <v>1236</v>
      </c>
      <c r="AH175" s="12" t="s">
        <v>56</v>
      </c>
      <c r="AI175" s="12" t="s">
        <v>531</v>
      </c>
      <c r="AJ175" s="12" t="s">
        <v>240</v>
      </c>
      <c r="AK175" s="12" t="s">
        <v>56</v>
      </c>
      <c r="AL175" s="12" t="s">
        <v>1237</v>
      </c>
      <c r="AM175" s="10"/>
      <c r="AN175" s="10" t="s">
        <v>56</v>
      </c>
      <c r="AO175" t="str">
        <f>_xlfn.CONCAT($AP$1,D175)</f>
        <v>c.983T&gt;C</v>
      </c>
    </row>
    <row r="176" spans="1:41" ht="15" customHeight="1" x14ac:dyDescent="0.2">
      <c r="A176" s="10">
        <v>161</v>
      </c>
      <c r="B176" s="10" t="s">
        <v>39</v>
      </c>
      <c r="C176" s="10" t="s">
        <v>1629</v>
      </c>
      <c r="D176" s="10" t="s">
        <v>1630</v>
      </c>
      <c r="E176" s="10" t="s">
        <v>1631</v>
      </c>
      <c r="F176" s="10" t="s">
        <v>1632</v>
      </c>
      <c r="G176" s="10" t="s">
        <v>1633</v>
      </c>
      <c r="H176" s="26" t="s">
        <v>1634</v>
      </c>
      <c r="I176" s="10"/>
      <c r="J176" s="10">
        <v>161</v>
      </c>
      <c r="K176" s="10" t="s">
        <v>1633</v>
      </c>
      <c r="L176" s="10">
        <v>982</v>
      </c>
      <c r="M176" s="10">
        <v>5</v>
      </c>
      <c r="N176" s="10">
        <v>328</v>
      </c>
      <c r="O176" s="11" t="str">
        <f>HYPERLINK(AL176,"link")</f>
        <v>link</v>
      </c>
      <c r="P176" s="10" t="s">
        <v>306</v>
      </c>
      <c r="Q176" s="12" t="s">
        <v>306</v>
      </c>
      <c r="R176" s="10" t="s">
        <v>49</v>
      </c>
      <c r="S176" t="s">
        <v>50</v>
      </c>
      <c r="T176" s="10" t="e">
        <v>#N/A</v>
      </c>
      <c r="U176" s="13">
        <v>94.769503546099287</v>
      </c>
      <c r="V176" s="14" t="s">
        <v>56</v>
      </c>
      <c r="W176" s="15">
        <v>7.2760703362838113</v>
      </c>
      <c r="X176" s="16" t="s">
        <v>1635</v>
      </c>
      <c r="Y176" t="s">
        <v>214</v>
      </c>
      <c r="AA176" t="s">
        <v>159</v>
      </c>
      <c r="AC176" s="23" t="s">
        <v>1636</v>
      </c>
      <c r="AD176" s="12"/>
      <c r="AE176" s="12" t="s">
        <v>1235</v>
      </c>
      <c r="AF176" s="19" t="s">
        <v>56</v>
      </c>
      <c r="AG176" s="12" t="s">
        <v>1205</v>
      </c>
      <c r="AH176" s="12" t="s">
        <v>56</v>
      </c>
      <c r="AI176" s="12" t="s">
        <v>56</v>
      </c>
      <c r="AJ176" s="12" t="s">
        <v>56</v>
      </c>
      <c r="AK176" s="12" t="s">
        <v>56</v>
      </c>
      <c r="AL176" s="12" t="s">
        <v>1637</v>
      </c>
      <c r="AM176" s="10" t="s">
        <v>56</v>
      </c>
      <c r="AN176" s="10" t="s">
        <v>56</v>
      </c>
      <c r="AO176" t="str">
        <f>_xlfn.CONCAT($AP$1,D176)</f>
        <v>c.982delC</v>
      </c>
    </row>
    <row r="177" spans="1:41" ht="15" customHeight="1" x14ac:dyDescent="0.2">
      <c r="A177" s="27">
        <v>208</v>
      </c>
      <c r="B177" s="28" t="s">
        <v>1913</v>
      </c>
      <c r="C177" s="10" t="s">
        <v>1929</v>
      </c>
      <c r="D177" s="12" t="s">
        <v>1930</v>
      </c>
      <c r="E177" s="10" t="s">
        <v>614</v>
      </c>
      <c r="F177" s="10" t="s">
        <v>614</v>
      </c>
      <c r="G177" s="10" t="s">
        <v>1968</v>
      </c>
      <c r="H177" s="10"/>
      <c r="I177" s="10"/>
      <c r="J177" s="10">
        <v>208</v>
      </c>
      <c r="K177" s="10" t="s">
        <v>1916</v>
      </c>
      <c r="L177" s="10">
        <v>990</v>
      </c>
      <c r="M177" s="10">
        <v>5</v>
      </c>
      <c r="N177" s="10">
        <v>330</v>
      </c>
      <c r="O177" s="11"/>
      <c r="P177" s="10" t="s">
        <v>1917</v>
      </c>
      <c r="Q177" s="12" t="s">
        <v>1917</v>
      </c>
      <c r="R177" s="10" t="s">
        <v>1482</v>
      </c>
      <c r="T177" s="10" t="e">
        <v>#N/A</v>
      </c>
      <c r="U177" s="13">
        <v>92.646838905639967</v>
      </c>
      <c r="V177" s="14">
        <v>0.9941386822827829</v>
      </c>
      <c r="W177" s="15">
        <v>2.7635334189760612</v>
      </c>
      <c r="X177" s="16" t="s">
        <v>1931</v>
      </c>
      <c r="Y177" t="s">
        <v>214</v>
      </c>
      <c r="AA177" t="s">
        <v>1919</v>
      </c>
      <c r="AC177" s="20"/>
      <c r="AD177" s="12"/>
      <c r="AE177" s="12" t="s">
        <v>1932</v>
      </c>
      <c r="AF177" s="19" t="s">
        <v>56</v>
      </c>
      <c r="AG177" s="12" t="s">
        <v>1205</v>
      </c>
      <c r="AH177" s="12" t="s">
        <v>56</v>
      </c>
      <c r="AI177" s="12" t="s">
        <v>56</v>
      </c>
      <c r="AJ177" s="12" t="s">
        <v>56</v>
      </c>
      <c r="AK177" s="12" t="s">
        <v>56</v>
      </c>
      <c r="AL177" s="12" t="e">
        <v>#N/A</v>
      </c>
      <c r="AM177" s="10" t="s">
        <v>56</v>
      </c>
      <c r="AN177" s="10" t="s">
        <v>56</v>
      </c>
      <c r="AO177" t="str">
        <f>_xlfn.CONCAT($AP$1,D177)</f>
        <v>c.990C&gt;T</v>
      </c>
    </row>
    <row r="178" spans="1:41" ht="15" customHeight="1" x14ac:dyDescent="0.2">
      <c r="A178" s="10">
        <v>149</v>
      </c>
      <c r="B178" s="10" t="s">
        <v>39</v>
      </c>
      <c r="C178" s="10" t="s">
        <v>1542</v>
      </c>
      <c r="D178" s="10" t="s">
        <v>1543</v>
      </c>
      <c r="E178" s="10" t="s">
        <v>1544</v>
      </c>
      <c r="F178" s="10" t="s">
        <v>1545</v>
      </c>
      <c r="G178" s="10" t="s">
        <v>1546</v>
      </c>
      <c r="H178" s="10" t="s">
        <v>1547</v>
      </c>
      <c r="I178" s="10"/>
      <c r="J178" s="10">
        <v>149</v>
      </c>
      <c r="K178" s="10" t="s">
        <v>1546</v>
      </c>
      <c r="L178" s="10">
        <v>995</v>
      </c>
      <c r="M178" s="10">
        <v>5</v>
      </c>
      <c r="N178" s="10">
        <v>332</v>
      </c>
      <c r="O178" s="11" t="str">
        <f>HYPERLINK(AL178,"link")</f>
        <v>link</v>
      </c>
      <c r="P178" s="10" t="s">
        <v>306</v>
      </c>
      <c r="Q178" s="12" t="s">
        <v>306</v>
      </c>
      <c r="R178" s="10" t="s">
        <v>49</v>
      </c>
      <c r="S178" t="s">
        <v>50</v>
      </c>
      <c r="T178" s="10" t="e">
        <v>#N/A</v>
      </c>
      <c r="U178" s="13">
        <v>96.111580726965343</v>
      </c>
      <c r="V178" s="14" t="s">
        <v>56</v>
      </c>
      <c r="W178" s="15">
        <v>4.8509380676046412</v>
      </c>
      <c r="X178" s="16" t="s">
        <v>1548</v>
      </c>
      <c r="Y178" t="s">
        <v>214</v>
      </c>
      <c r="AA178" t="s">
        <v>159</v>
      </c>
      <c r="AC178" s="23" t="s">
        <v>1549</v>
      </c>
      <c r="AD178" s="12"/>
      <c r="AE178" s="12" t="s">
        <v>1550</v>
      </c>
      <c r="AF178" s="19" t="s">
        <v>56</v>
      </c>
      <c r="AG178" s="12" t="s">
        <v>1205</v>
      </c>
      <c r="AH178" s="12" t="s">
        <v>56</v>
      </c>
      <c r="AI178" s="12" t="s">
        <v>56</v>
      </c>
      <c r="AJ178" s="12" t="s">
        <v>56</v>
      </c>
      <c r="AK178" s="12" t="s">
        <v>56</v>
      </c>
      <c r="AL178" s="12" t="s">
        <v>1166</v>
      </c>
      <c r="AM178" s="10" t="s">
        <v>56</v>
      </c>
      <c r="AN178" s="10" t="s">
        <v>56</v>
      </c>
      <c r="AO178" t="str">
        <f>_xlfn.CONCAT($AP$1,D178)</f>
        <v>c.995_1011del17</v>
      </c>
    </row>
    <row r="179" spans="1:41" ht="15" customHeight="1" x14ac:dyDescent="0.2">
      <c r="A179" s="10">
        <v>157</v>
      </c>
      <c r="B179" s="10" t="s">
        <v>39</v>
      </c>
      <c r="C179" s="10" t="s">
        <v>1594</v>
      </c>
      <c r="D179" s="10" t="s">
        <v>1595</v>
      </c>
      <c r="E179" s="10" t="s">
        <v>1596</v>
      </c>
      <c r="F179" s="10" t="s">
        <v>1597</v>
      </c>
      <c r="G179" s="10" t="s">
        <v>1598</v>
      </c>
      <c r="H179" s="10" t="s">
        <v>1599</v>
      </c>
      <c r="I179" s="10"/>
      <c r="J179" s="10">
        <v>157</v>
      </c>
      <c r="K179" s="10" t="s">
        <v>1598</v>
      </c>
      <c r="L179" s="10">
        <v>995</v>
      </c>
      <c r="M179" s="10">
        <v>5</v>
      </c>
      <c r="N179" s="10">
        <v>332</v>
      </c>
      <c r="O179" s="11" t="str">
        <f>HYPERLINK(AL179,"link")</f>
        <v>link</v>
      </c>
      <c r="P179" s="10" t="s">
        <v>306</v>
      </c>
      <c r="Q179" s="12" t="s">
        <v>306</v>
      </c>
      <c r="R179" s="10" t="s">
        <v>49</v>
      </c>
      <c r="S179" t="s">
        <v>50</v>
      </c>
      <c r="T179" s="10" t="e">
        <v>#N/A</v>
      </c>
      <c r="U179" s="13">
        <v>94.760312151616489</v>
      </c>
      <c r="V179" s="14" t="s">
        <v>56</v>
      </c>
      <c r="W179" s="15">
        <v>4.5216099566117567</v>
      </c>
      <c r="X179" s="16" t="s">
        <v>1600</v>
      </c>
      <c r="Y179" t="s">
        <v>214</v>
      </c>
      <c r="AA179" t="s">
        <v>159</v>
      </c>
      <c r="AC179" s="23" t="s">
        <v>1601</v>
      </c>
      <c r="AD179" s="12"/>
      <c r="AE179" s="12" t="s">
        <v>1550</v>
      </c>
      <c r="AF179" s="19" t="s">
        <v>56</v>
      </c>
      <c r="AG179" s="12" t="s">
        <v>1205</v>
      </c>
      <c r="AH179" s="12" t="s">
        <v>56</v>
      </c>
      <c r="AI179" s="12" t="s">
        <v>56</v>
      </c>
      <c r="AJ179" s="12" t="s">
        <v>56</v>
      </c>
      <c r="AK179" s="12" t="s">
        <v>56</v>
      </c>
      <c r="AL179" s="12" t="s">
        <v>1602</v>
      </c>
      <c r="AM179" s="10" t="s">
        <v>56</v>
      </c>
      <c r="AN179" s="10" t="s">
        <v>56</v>
      </c>
      <c r="AO179" t="str">
        <f>_xlfn.CONCAT($AP$1,D179)</f>
        <v>c.995_998dupAGGC</v>
      </c>
    </row>
    <row r="180" spans="1:41" ht="15" customHeight="1" x14ac:dyDescent="0.2">
      <c r="A180" s="10">
        <v>160</v>
      </c>
      <c r="B180" s="10" t="s">
        <v>39</v>
      </c>
      <c r="C180" s="10" t="s">
        <v>1621</v>
      </c>
      <c r="D180" s="10" t="s">
        <v>1622</v>
      </c>
      <c r="E180" s="10" t="s">
        <v>1623</v>
      </c>
      <c r="F180" s="10" t="s">
        <v>1624</v>
      </c>
      <c r="G180" s="10" t="s">
        <v>1625</v>
      </c>
      <c r="H180" s="10" t="s">
        <v>1626</v>
      </c>
      <c r="I180" s="10"/>
      <c r="J180" s="10">
        <v>160</v>
      </c>
      <c r="K180" s="10" t="s">
        <v>1625</v>
      </c>
      <c r="L180" s="10">
        <v>998</v>
      </c>
      <c r="M180" s="10">
        <v>5</v>
      </c>
      <c r="N180" s="10">
        <v>333</v>
      </c>
      <c r="O180" s="11" t="str">
        <f>HYPERLINK(AL180,"link")</f>
        <v>link</v>
      </c>
      <c r="P180" s="10" t="s">
        <v>1245</v>
      </c>
      <c r="Q180" s="12" t="s">
        <v>212</v>
      </c>
      <c r="R180" s="10" t="s">
        <v>294</v>
      </c>
      <c r="S180" t="s">
        <v>172</v>
      </c>
      <c r="T180" s="10" t="s">
        <v>173</v>
      </c>
      <c r="U180" s="13">
        <v>90.818363273453087</v>
      </c>
      <c r="V180" s="14" t="s">
        <v>56</v>
      </c>
      <c r="W180" s="15">
        <v>3.2420382225387256</v>
      </c>
      <c r="X180" s="16" t="s">
        <v>1627</v>
      </c>
      <c r="Y180" t="s">
        <v>214</v>
      </c>
      <c r="AA180" t="s">
        <v>159</v>
      </c>
      <c r="AC180" s="9"/>
      <c r="AD180" s="12"/>
      <c r="AE180" s="12" t="s">
        <v>1628</v>
      </c>
      <c r="AF180" s="19" t="s">
        <v>56</v>
      </c>
      <c r="AG180" s="12" t="s">
        <v>1205</v>
      </c>
      <c r="AH180" s="12" t="s">
        <v>56</v>
      </c>
      <c r="AI180" s="12" t="s">
        <v>56</v>
      </c>
      <c r="AJ180" s="12" t="s">
        <v>56</v>
      </c>
      <c r="AK180" s="12" t="s">
        <v>56</v>
      </c>
      <c r="AL180" s="12" t="s">
        <v>1451</v>
      </c>
      <c r="AM180" s="10" t="s">
        <v>56</v>
      </c>
      <c r="AN180" s="10" t="s">
        <v>56</v>
      </c>
      <c r="AO180" t="str">
        <f>_xlfn.CONCAT($AP$1,D180)</f>
        <v>c.998C&gt;T</v>
      </c>
    </row>
    <row r="181" spans="1:41" ht="15" customHeight="1" x14ac:dyDescent="0.2">
      <c r="A181" s="27">
        <v>209</v>
      </c>
      <c r="B181" s="28" t="s">
        <v>1913</v>
      </c>
      <c r="C181" s="10" t="s">
        <v>1933</v>
      </c>
      <c r="D181" s="12" t="s">
        <v>1934</v>
      </c>
      <c r="E181" s="10" t="s">
        <v>614</v>
      </c>
      <c r="F181" s="10" t="s">
        <v>614</v>
      </c>
      <c r="G181" s="10" t="s">
        <v>1967</v>
      </c>
      <c r="H181" s="10"/>
      <c r="I181" s="10"/>
      <c r="J181" s="10">
        <v>209</v>
      </c>
      <c r="K181" s="10" t="s">
        <v>1916</v>
      </c>
      <c r="L181" s="10">
        <v>1002</v>
      </c>
      <c r="M181" s="10">
        <v>5</v>
      </c>
      <c r="N181" s="10">
        <v>334</v>
      </c>
      <c r="O181" s="11"/>
      <c r="P181" s="10" t="s">
        <v>1917</v>
      </c>
      <c r="Q181" s="12" t="s">
        <v>1917</v>
      </c>
      <c r="R181" s="10" t="s">
        <v>1482</v>
      </c>
      <c r="T181" s="10" t="e">
        <v>#N/A</v>
      </c>
      <c r="U181" s="13">
        <v>92.076711833382433</v>
      </c>
      <c r="V181" s="14">
        <v>0.61200372066973752</v>
      </c>
      <c r="W181" s="15">
        <v>2.0973985514774651</v>
      </c>
      <c r="X181" s="16" t="s">
        <v>1935</v>
      </c>
      <c r="Y181" t="s">
        <v>158</v>
      </c>
      <c r="AA181" t="s">
        <v>1936</v>
      </c>
      <c r="AC181" s="20"/>
      <c r="AD181" s="12"/>
      <c r="AE181" s="12" t="s">
        <v>1937</v>
      </c>
      <c r="AF181" s="19" t="s">
        <v>56</v>
      </c>
      <c r="AG181" s="12" t="s">
        <v>1205</v>
      </c>
      <c r="AH181" s="12" t="s">
        <v>56</v>
      </c>
      <c r="AI181" s="12" t="s">
        <v>56</v>
      </c>
      <c r="AJ181" s="12" t="s">
        <v>56</v>
      </c>
      <c r="AK181" s="12" t="s">
        <v>56</v>
      </c>
      <c r="AL181" s="12" t="e">
        <v>#N/A</v>
      </c>
      <c r="AM181" s="10" t="s">
        <v>56</v>
      </c>
      <c r="AN181" s="10" t="s">
        <v>56</v>
      </c>
      <c r="AO181" t="str">
        <f>_xlfn.CONCAT($AP$1,D181)</f>
        <v>c.1002T&gt;C</v>
      </c>
    </row>
    <row r="182" spans="1:41" ht="15" customHeight="1" x14ac:dyDescent="0.2">
      <c r="A182" s="10">
        <v>153</v>
      </c>
      <c r="B182" s="10" t="s">
        <v>39</v>
      </c>
      <c r="C182" s="10" t="s">
        <v>1575</v>
      </c>
      <c r="D182" s="10" t="s">
        <v>1576</v>
      </c>
      <c r="E182" s="10" t="s">
        <v>1577</v>
      </c>
      <c r="F182" s="10" t="s">
        <v>1578</v>
      </c>
      <c r="G182" s="10" t="s">
        <v>1579</v>
      </c>
      <c r="H182" s="10" t="s">
        <v>1580</v>
      </c>
      <c r="I182" s="10"/>
      <c r="J182" s="10">
        <v>153</v>
      </c>
      <c r="K182" s="10" t="s">
        <v>1579</v>
      </c>
      <c r="L182" s="10">
        <v>1003</v>
      </c>
      <c r="M182" s="10">
        <v>5</v>
      </c>
      <c r="N182" s="10">
        <v>335</v>
      </c>
      <c r="O182" s="11" t="str">
        <f>HYPERLINK(AL182,"link")</f>
        <v>link</v>
      </c>
      <c r="P182" s="10" t="s">
        <v>306</v>
      </c>
      <c r="Q182" s="12" t="s">
        <v>306</v>
      </c>
      <c r="R182" s="10" t="s">
        <v>49</v>
      </c>
      <c r="S182" t="s">
        <v>50</v>
      </c>
      <c r="T182" s="10" t="e">
        <v>#N/A</v>
      </c>
      <c r="U182" s="13">
        <v>95.027624309392252</v>
      </c>
      <c r="V182" s="14" t="s">
        <v>56</v>
      </c>
      <c r="W182" s="15">
        <v>7.2486286483040212</v>
      </c>
      <c r="X182" s="16" t="s">
        <v>1581</v>
      </c>
      <c r="Y182" t="s">
        <v>214</v>
      </c>
      <c r="AA182" t="s">
        <v>159</v>
      </c>
      <c r="AC182" s="23" t="s">
        <v>1582</v>
      </c>
      <c r="AD182" s="12"/>
      <c r="AE182" s="12" t="s">
        <v>1176</v>
      </c>
      <c r="AF182" s="19" t="s">
        <v>56</v>
      </c>
      <c r="AG182" s="12" t="s">
        <v>1205</v>
      </c>
      <c r="AH182" s="12" t="s">
        <v>56</v>
      </c>
      <c r="AI182" s="12" t="s">
        <v>56</v>
      </c>
      <c r="AJ182" s="12" t="s">
        <v>56</v>
      </c>
      <c r="AK182" s="12" t="s">
        <v>56</v>
      </c>
      <c r="AL182" s="12" t="s">
        <v>762</v>
      </c>
      <c r="AM182" s="10" t="s">
        <v>56</v>
      </c>
      <c r="AN182" s="10" t="s">
        <v>56</v>
      </c>
      <c r="AO182" t="str">
        <f>_xlfn.CONCAT($AP$1,D182)</f>
        <v>c.1003delG</v>
      </c>
    </row>
    <row r="183" spans="1:41" ht="15" customHeight="1" x14ac:dyDescent="0.2">
      <c r="A183" s="27">
        <v>210</v>
      </c>
      <c r="B183" s="28" t="s">
        <v>1913</v>
      </c>
      <c r="C183" s="10" t="s">
        <v>1938</v>
      </c>
      <c r="D183" s="12" t="s">
        <v>1939</v>
      </c>
      <c r="E183" s="10" t="s">
        <v>614</v>
      </c>
      <c r="F183" s="10" t="s">
        <v>614</v>
      </c>
      <c r="G183" s="10" t="s">
        <v>1966</v>
      </c>
      <c r="H183" s="10"/>
      <c r="I183" s="10"/>
      <c r="J183" s="10">
        <v>210</v>
      </c>
      <c r="K183" s="10" t="s">
        <v>1916</v>
      </c>
      <c r="L183" s="10">
        <v>1005</v>
      </c>
      <c r="M183" s="10">
        <v>5</v>
      </c>
      <c r="N183" s="10">
        <v>335</v>
      </c>
      <c r="O183" s="11"/>
      <c r="P183" s="10" t="s">
        <v>1917</v>
      </c>
      <c r="Q183" s="12" t="s">
        <v>1917</v>
      </c>
      <c r="R183" s="10" t="s">
        <v>1482</v>
      </c>
      <c r="T183" s="10" t="e">
        <v>#N/A</v>
      </c>
      <c r="U183" s="13">
        <v>93.31738045946247</v>
      </c>
      <c r="V183" s="14">
        <v>0.97699075070257835</v>
      </c>
      <c r="W183" s="15">
        <v>2.8565967726767392</v>
      </c>
      <c r="X183" s="16" t="s">
        <v>1940</v>
      </c>
      <c r="Y183" t="s">
        <v>214</v>
      </c>
      <c r="AA183" t="s">
        <v>1919</v>
      </c>
      <c r="AC183" s="20"/>
      <c r="AD183" s="12"/>
      <c r="AE183" s="12" t="s">
        <v>1176</v>
      </c>
      <c r="AF183" s="19" t="s">
        <v>56</v>
      </c>
      <c r="AG183" s="12" t="s">
        <v>1205</v>
      </c>
      <c r="AH183" s="12" t="s">
        <v>56</v>
      </c>
      <c r="AI183" s="12" t="s">
        <v>56</v>
      </c>
      <c r="AJ183" s="12" t="s">
        <v>56</v>
      </c>
      <c r="AK183" s="12" t="s">
        <v>56</v>
      </c>
      <c r="AL183" s="12" t="e">
        <v>#N/A</v>
      </c>
      <c r="AM183" s="10" t="s">
        <v>56</v>
      </c>
      <c r="AN183" s="10" t="s">
        <v>56</v>
      </c>
      <c r="AO183" t="str">
        <f>_xlfn.CONCAT($AP$1,D183)</f>
        <v>c.1005T&gt;C</v>
      </c>
    </row>
    <row r="184" spans="1:41" ht="15" customHeight="1" x14ac:dyDescent="0.2">
      <c r="A184" s="27">
        <v>211</v>
      </c>
      <c r="B184" s="28" t="s">
        <v>1913</v>
      </c>
      <c r="C184" s="10" t="s">
        <v>1941</v>
      </c>
      <c r="D184" s="12" t="s">
        <v>1942</v>
      </c>
      <c r="E184" s="10" t="s">
        <v>614</v>
      </c>
      <c r="F184" s="10" t="s">
        <v>614</v>
      </c>
      <c r="G184" s="10" t="s">
        <v>1965</v>
      </c>
      <c r="H184" s="10"/>
      <c r="I184" s="10"/>
      <c r="J184" s="10">
        <v>211</v>
      </c>
      <c r="K184" s="10" t="s">
        <v>1916</v>
      </c>
      <c r="L184" s="10">
        <v>1014</v>
      </c>
      <c r="M184" s="10">
        <v>5</v>
      </c>
      <c r="N184" s="10">
        <v>338</v>
      </c>
      <c r="O184" s="11"/>
      <c r="P184" s="10" t="s">
        <v>1917</v>
      </c>
      <c r="Q184" s="12" t="s">
        <v>1917</v>
      </c>
      <c r="R184" s="10" t="s">
        <v>1482</v>
      </c>
      <c r="T184" s="10" t="e">
        <v>#N/A</v>
      </c>
      <c r="U184" s="13">
        <v>92.784766406160784</v>
      </c>
      <c r="V184" s="14">
        <v>0.8799992570357601</v>
      </c>
      <c r="W184" s="15">
        <v>3.110641559515277</v>
      </c>
      <c r="X184" s="16" t="s">
        <v>1943</v>
      </c>
      <c r="Y184" t="s">
        <v>214</v>
      </c>
      <c r="AA184" t="s">
        <v>1919</v>
      </c>
      <c r="AC184" s="20"/>
      <c r="AD184" s="12"/>
      <c r="AE184" s="12" t="s">
        <v>1944</v>
      </c>
      <c r="AF184" s="19" t="s">
        <v>56</v>
      </c>
      <c r="AG184" s="12" t="s">
        <v>1205</v>
      </c>
      <c r="AH184" s="12" t="s">
        <v>56</v>
      </c>
      <c r="AI184" s="12" t="s">
        <v>56</v>
      </c>
      <c r="AJ184" s="12" t="s">
        <v>56</v>
      </c>
      <c r="AK184" s="12" t="s">
        <v>56</v>
      </c>
      <c r="AL184" s="12" t="e">
        <v>#N/A</v>
      </c>
      <c r="AM184" s="10" t="s">
        <v>56</v>
      </c>
      <c r="AN184" s="10" t="s">
        <v>56</v>
      </c>
      <c r="AO184" t="str">
        <f>_xlfn.CONCAT($AP$1,D184)</f>
        <v>c.1014C&gt;T</v>
      </c>
    </row>
    <row r="185" spans="1:41" ht="15" customHeight="1" x14ac:dyDescent="0.2">
      <c r="A185" s="10">
        <v>116</v>
      </c>
      <c r="B185" s="10" t="s">
        <v>39</v>
      </c>
      <c r="C185" s="10" t="s">
        <v>1238</v>
      </c>
      <c r="D185" s="10" t="s">
        <v>1239</v>
      </c>
      <c r="E185" s="10" t="s">
        <v>1240</v>
      </c>
      <c r="F185" s="10" t="s">
        <v>1241</v>
      </c>
      <c r="G185" s="10" t="s">
        <v>1242</v>
      </c>
      <c r="H185" s="10" t="s">
        <v>1243</v>
      </c>
      <c r="I185" s="10" t="s">
        <v>1244</v>
      </c>
      <c r="J185" s="10">
        <v>116</v>
      </c>
      <c r="K185" s="10" t="s">
        <v>1242</v>
      </c>
      <c r="L185" s="10">
        <v>1019</v>
      </c>
      <c r="M185" s="10">
        <v>5</v>
      </c>
      <c r="N185" s="10">
        <v>340</v>
      </c>
      <c r="O185" s="11" t="str">
        <f>HYPERLINK(AL185,"link")</f>
        <v>link</v>
      </c>
      <c r="P185" s="10" t="s">
        <v>1245</v>
      </c>
      <c r="Q185" s="12" t="s">
        <v>212</v>
      </c>
      <c r="R185" s="10" t="s">
        <v>294</v>
      </c>
      <c r="S185" t="s">
        <v>50</v>
      </c>
      <c r="T185" s="10" t="s">
        <v>51</v>
      </c>
      <c r="U185" s="13">
        <v>96.05263157894737</v>
      </c>
      <c r="V185" s="14" t="s">
        <v>56</v>
      </c>
      <c r="W185" s="15">
        <v>2.9025962740799023</v>
      </c>
      <c r="X185" s="16" t="s">
        <v>1246</v>
      </c>
      <c r="Y185" t="s">
        <v>214</v>
      </c>
      <c r="AA185" t="s">
        <v>159</v>
      </c>
      <c r="AC185" s="20"/>
      <c r="AD185" s="12"/>
      <c r="AE185" s="12" t="s">
        <v>56</v>
      </c>
      <c r="AF185" s="19" t="s">
        <v>56</v>
      </c>
      <c r="AG185" s="12" t="s">
        <v>1205</v>
      </c>
      <c r="AH185" s="12" t="s">
        <v>56</v>
      </c>
      <c r="AI185" s="12" t="s">
        <v>56</v>
      </c>
      <c r="AJ185" s="12" t="s">
        <v>56</v>
      </c>
      <c r="AK185" s="12" t="s">
        <v>56</v>
      </c>
      <c r="AL185" s="12" t="s">
        <v>297</v>
      </c>
      <c r="AM185" s="10" t="s">
        <v>56</v>
      </c>
      <c r="AN185" s="10" t="s">
        <v>56</v>
      </c>
      <c r="AO185" t="str">
        <f>_xlfn.CONCAT($AP$1,D185)</f>
        <v>c.1019C&gt;T</v>
      </c>
    </row>
    <row r="186" spans="1:41" ht="15" customHeight="1" x14ac:dyDescent="0.2">
      <c r="A186" s="10">
        <v>151</v>
      </c>
      <c r="B186" s="10" t="s">
        <v>39</v>
      </c>
      <c r="C186" s="10" t="s">
        <v>1560</v>
      </c>
      <c r="D186" s="10" t="s">
        <v>1561</v>
      </c>
      <c r="E186" s="10" t="s">
        <v>1562</v>
      </c>
      <c r="F186" s="10" t="s">
        <v>1563</v>
      </c>
      <c r="G186" s="10" t="s">
        <v>1564</v>
      </c>
      <c r="H186" s="10" t="s">
        <v>1565</v>
      </c>
      <c r="I186" s="10"/>
      <c r="J186" s="10">
        <v>151</v>
      </c>
      <c r="K186" s="10" t="s">
        <v>1564</v>
      </c>
      <c r="L186" s="10">
        <v>1019</v>
      </c>
      <c r="M186" s="10">
        <v>5</v>
      </c>
      <c r="N186" s="10">
        <v>340</v>
      </c>
      <c r="O186" s="11" t="str">
        <f>HYPERLINK(AL186,"link")</f>
        <v>link</v>
      </c>
      <c r="P186" s="10" t="s">
        <v>306</v>
      </c>
      <c r="Q186" s="12" t="s">
        <v>306</v>
      </c>
      <c r="R186" s="10" t="s">
        <v>49</v>
      </c>
      <c r="S186" t="s">
        <v>50</v>
      </c>
      <c r="T186" s="10" t="e">
        <v>#N/A</v>
      </c>
      <c r="U186" s="13">
        <v>97.219558964525419</v>
      </c>
      <c r="V186" s="14" t="s">
        <v>56</v>
      </c>
      <c r="W186" s="15">
        <v>7.6808352629402075</v>
      </c>
      <c r="X186" s="16" t="s">
        <v>1566</v>
      </c>
      <c r="Y186" t="s">
        <v>214</v>
      </c>
      <c r="AA186" t="s">
        <v>159</v>
      </c>
      <c r="AC186" s="23" t="s">
        <v>1567</v>
      </c>
      <c r="AD186" s="12"/>
      <c r="AE186" s="12" t="s">
        <v>56</v>
      </c>
      <c r="AF186" s="19" t="s">
        <v>56</v>
      </c>
      <c r="AG186" s="12" t="s">
        <v>1205</v>
      </c>
      <c r="AH186" s="12" t="s">
        <v>56</v>
      </c>
      <c r="AI186" s="12" t="s">
        <v>56</v>
      </c>
      <c r="AJ186" s="12" t="s">
        <v>56</v>
      </c>
      <c r="AK186" s="12" t="s">
        <v>56</v>
      </c>
      <c r="AL186" s="12" t="s">
        <v>1559</v>
      </c>
      <c r="AM186" s="10" t="s">
        <v>56</v>
      </c>
      <c r="AN186" s="10" t="s">
        <v>56</v>
      </c>
      <c r="AO186" t="str">
        <f>_xlfn.CONCAT($AP$1,D186)</f>
        <v>c.1019delC</v>
      </c>
    </row>
    <row r="187" spans="1:41" ht="15" customHeight="1" x14ac:dyDescent="0.2">
      <c r="A187" s="10">
        <v>117</v>
      </c>
      <c r="B187" s="10" t="s">
        <v>39</v>
      </c>
      <c r="C187" s="10" t="s">
        <v>1247</v>
      </c>
      <c r="D187" s="10" t="s">
        <v>1248</v>
      </c>
      <c r="E187" s="10" t="s">
        <v>1249</v>
      </c>
      <c r="F187" s="10" t="s">
        <v>1250</v>
      </c>
      <c r="G187" s="10" t="s">
        <v>1251</v>
      </c>
      <c r="H187" s="10" t="s">
        <v>1252</v>
      </c>
      <c r="I187" s="10" t="s">
        <v>1253</v>
      </c>
      <c r="J187" s="10">
        <v>117</v>
      </c>
      <c r="K187" s="10" t="s">
        <v>1251</v>
      </c>
      <c r="L187" s="10">
        <v>1021</v>
      </c>
      <c r="M187" s="10">
        <v>5</v>
      </c>
      <c r="N187" s="10">
        <v>341</v>
      </c>
      <c r="O187" s="11" t="str">
        <f>HYPERLINK(AL187,"link")</f>
        <v>link</v>
      </c>
      <c r="P187" s="10" t="s">
        <v>1254</v>
      </c>
      <c r="Q187" s="12">
        <v>4</v>
      </c>
      <c r="R187" s="10" t="s">
        <v>49</v>
      </c>
      <c r="S187" t="s">
        <v>50</v>
      </c>
      <c r="T187" s="10" t="s">
        <v>51</v>
      </c>
      <c r="U187" s="13">
        <v>93.052109181141432</v>
      </c>
      <c r="V187" s="14" t="s">
        <v>56</v>
      </c>
      <c r="W187" s="15">
        <v>3.2091829462258774</v>
      </c>
      <c r="X187" s="16" t="s">
        <v>1255</v>
      </c>
      <c r="Y187" t="s">
        <v>214</v>
      </c>
      <c r="AA187" t="s">
        <v>159</v>
      </c>
      <c r="AC187" s="20"/>
      <c r="AD187" s="12"/>
      <c r="AE187" s="12" t="s">
        <v>1256</v>
      </c>
      <c r="AF187" s="19" t="s">
        <v>56</v>
      </c>
      <c r="AG187" s="12" t="s">
        <v>1236</v>
      </c>
      <c r="AH187" s="12" t="s">
        <v>56</v>
      </c>
      <c r="AI187" s="12" t="s">
        <v>531</v>
      </c>
      <c r="AJ187" s="12" t="s">
        <v>240</v>
      </c>
      <c r="AK187" s="12" t="s">
        <v>56</v>
      </c>
      <c r="AL187" s="12" t="s">
        <v>1237</v>
      </c>
      <c r="AM187" s="10">
        <v>1.01</v>
      </c>
      <c r="AN187" s="10" t="s">
        <v>56</v>
      </c>
      <c r="AO187" t="str">
        <f>_xlfn.CONCAT($AP$1,D187)</f>
        <v>c.1021G&gt;A</v>
      </c>
    </row>
    <row r="188" spans="1:41" ht="15" customHeight="1" x14ac:dyDescent="0.2">
      <c r="A188" s="10">
        <v>118</v>
      </c>
      <c r="B188" s="10" t="s">
        <v>39</v>
      </c>
      <c r="C188" s="10" t="s">
        <v>1257</v>
      </c>
      <c r="D188" s="10" t="s">
        <v>1258</v>
      </c>
      <c r="E188" s="10" t="s">
        <v>1259</v>
      </c>
      <c r="F188" s="10" t="s">
        <v>1260</v>
      </c>
      <c r="G188" s="10" t="s">
        <v>1261</v>
      </c>
      <c r="H188" s="10" t="s">
        <v>1262</v>
      </c>
      <c r="I188" s="10" t="s">
        <v>1263</v>
      </c>
      <c r="J188" s="10">
        <v>118</v>
      </c>
      <c r="K188" s="10" t="s">
        <v>1261</v>
      </c>
      <c r="L188" s="10">
        <v>1021</v>
      </c>
      <c r="M188" s="10">
        <v>5</v>
      </c>
      <c r="N188" s="10">
        <v>341</v>
      </c>
      <c r="O188" s="11" t="str">
        <f>HYPERLINK(AL188,"link")</f>
        <v>link</v>
      </c>
      <c r="P188" s="10" t="s">
        <v>1254</v>
      </c>
      <c r="Q188" s="12">
        <v>4</v>
      </c>
      <c r="R188" s="10" t="s">
        <v>49</v>
      </c>
      <c r="S188" t="s">
        <v>50</v>
      </c>
      <c r="T188" s="10" t="s">
        <v>51</v>
      </c>
      <c r="U188" s="13">
        <v>94.843049327354265</v>
      </c>
      <c r="V188" s="14" t="s">
        <v>56</v>
      </c>
      <c r="W188" s="15">
        <v>4.7943188821214173</v>
      </c>
      <c r="X188" s="16" t="s">
        <v>1264</v>
      </c>
      <c r="Y188" t="s">
        <v>214</v>
      </c>
      <c r="AA188" t="s">
        <v>159</v>
      </c>
      <c r="AC188" s="20"/>
      <c r="AD188" s="12"/>
      <c r="AE188" s="12" t="s">
        <v>1256</v>
      </c>
      <c r="AF188" s="19" t="s">
        <v>56</v>
      </c>
      <c r="AG188" s="12" t="s">
        <v>1236</v>
      </c>
      <c r="AH188" s="12" t="s">
        <v>56</v>
      </c>
      <c r="AI188" s="12" t="s">
        <v>531</v>
      </c>
      <c r="AJ188" s="12" t="s">
        <v>240</v>
      </c>
      <c r="AK188" s="12" t="s">
        <v>56</v>
      </c>
      <c r="AL188" s="12" t="s">
        <v>1265</v>
      </c>
      <c r="AM188" s="10">
        <v>1.01</v>
      </c>
      <c r="AN188" s="10" t="s">
        <v>56</v>
      </c>
      <c r="AO188" t="str">
        <f>_xlfn.CONCAT($AP$1,D188)</f>
        <v>c.1021G&gt;T</v>
      </c>
    </row>
    <row r="189" spans="1:41" ht="15" customHeight="1" x14ac:dyDescent="0.2">
      <c r="A189" s="10">
        <v>150</v>
      </c>
      <c r="B189" s="10" t="s">
        <v>39</v>
      </c>
      <c r="C189" s="10" t="s">
        <v>1551</v>
      </c>
      <c r="D189" s="10" t="s">
        <v>1552</v>
      </c>
      <c r="E189" s="10" t="s">
        <v>1553</v>
      </c>
      <c r="F189" s="10" t="s">
        <v>1554</v>
      </c>
      <c r="G189" s="10" t="s">
        <v>1555</v>
      </c>
      <c r="H189" s="10" t="s">
        <v>1556</v>
      </c>
      <c r="I189" s="10"/>
      <c r="J189" s="10">
        <v>150</v>
      </c>
      <c r="K189" s="10" t="s">
        <v>1555</v>
      </c>
      <c r="L189" s="10">
        <v>1021</v>
      </c>
      <c r="M189" s="10">
        <v>5</v>
      </c>
      <c r="N189" s="10">
        <v>341</v>
      </c>
      <c r="O189" s="11" t="str">
        <f>HYPERLINK(AL189,"link")</f>
        <v>link</v>
      </c>
      <c r="P189" s="10" t="s">
        <v>306</v>
      </c>
      <c r="Q189" s="12" t="s">
        <v>306</v>
      </c>
      <c r="R189" s="10" t="s">
        <v>49</v>
      </c>
      <c r="S189" t="s">
        <v>50</v>
      </c>
      <c r="T189" s="10" t="e">
        <v>#N/A</v>
      </c>
      <c r="U189" s="13">
        <v>93.919474116680362</v>
      </c>
      <c r="V189" s="14" t="s">
        <v>56</v>
      </c>
      <c r="W189" s="15">
        <v>5.1913414687328334</v>
      </c>
      <c r="X189" s="16" t="s">
        <v>1557</v>
      </c>
      <c r="Y189" t="s">
        <v>214</v>
      </c>
      <c r="AA189" t="s">
        <v>159</v>
      </c>
      <c r="AC189" s="23" t="s">
        <v>1558</v>
      </c>
      <c r="AD189" s="12"/>
      <c r="AE189" s="12" t="s">
        <v>1256</v>
      </c>
      <c r="AF189" s="19" t="s">
        <v>56</v>
      </c>
      <c r="AG189" s="12" t="s">
        <v>1205</v>
      </c>
      <c r="AH189" s="12" t="s">
        <v>56</v>
      </c>
      <c r="AI189" s="12" t="s">
        <v>56</v>
      </c>
      <c r="AJ189" s="12" t="s">
        <v>56</v>
      </c>
      <c r="AK189" s="12" t="s">
        <v>56</v>
      </c>
      <c r="AL189" s="12" t="s">
        <v>1559</v>
      </c>
      <c r="AM189" s="10" t="s">
        <v>56</v>
      </c>
      <c r="AN189" s="10" t="s">
        <v>56</v>
      </c>
      <c r="AO189" t="str">
        <f>_xlfn.CONCAT($AP$1,D189)</f>
        <v>c.1021_1028delGAGACGAG</v>
      </c>
    </row>
    <row r="190" spans="1:41" ht="15" customHeight="1" x14ac:dyDescent="0.2">
      <c r="A190" s="10">
        <v>191</v>
      </c>
      <c r="B190" s="10" t="s">
        <v>39</v>
      </c>
      <c r="C190" s="10" t="s">
        <v>1843</v>
      </c>
      <c r="D190" s="10" t="s">
        <v>1844</v>
      </c>
      <c r="E190" s="10" t="s">
        <v>1845</v>
      </c>
      <c r="F190" s="10" t="s">
        <v>1846</v>
      </c>
      <c r="G190" s="10" t="s">
        <v>1847</v>
      </c>
      <c r="H190" s="26" t="s">
        <v>1848</v>
      </c>
      <c r="I190" s="10"/>
      <c r="J190" s="10">
        <v>191</v>
      </c>
      <c r="K190" s="10" t="s">
        <v>1847</v>
      </c>
      <c r="L190" s="10">
        <v>1021</v>
      </c>
      <c r="M190" s="10">
        <v>5</v>
      </c>
      <c r="N190" s="10">
        <v>341</v>
      </c>
      <c r="O190" s="11" t="str">
        <f>HYPERLINK(AL190,"link")</f>
        <v>link</v>
      </c>
      <c r="P190" s="10" t="s">
        <v>306</v>
      </c>
      <c r="Q190" s="12" t="s">
        <v>306</v>
      </c>
      <c r="R190" s="10" t="s">
        <v>49</v>
      </c>
      <c r="S190" t="s">
        <v>50</v>
      </c>
      <c r="T190" s="10" t="e">
        <v>#N/A</v>
      </c>
      <c r="U190" s="13">
        <v>94.262890341321707</v>
      </c>
      <c r="V190" s="14" t="s">
        <v>56</v>
      </c>
      <c r="W190" s="15">
        <v>8.2277634765386605</v>
      </c>
      <c r="X190" s="16" t="s">
        <v>1849</v>
      </c>
      <c r="Y190" t="s">
        <v>214</v>
      </c>
      <c r="AA190" t="s">
        <v>159</v>
      </c>
      <c r="AC190" s="20"/>
      <c r="AD190" s="12"/>
      <c r="AE190" s="12" t="s">
        <v>1256</v>
      </c>
      <c r="AF190" s="19" t="s">
        <v>56</v>
      </c>
      <c r="AG190" s="12" t="s">
        <v>1205</v>
      </c>
      <c r="AH190" s="12" t="s">
        <v>56</v>
      </c>
      <c r="AI190" s="12" t="s">
        <v>56</v>
      </c>
      <c r="AJ190" s="12" t="s">
        <v>56</v>
      </c>
      <c r="AK190" s="12" t="s">
        <v>56</v>
      </c>
      <c r="AL190" s="12" t="s">
        <v>1637</v>
      </c>
      <c r="AM190" s="10" t="s">
        <v>56</v>
      </c>
      <c r="AN190" s="10" t="s">
        <v>56</v>
      </c>
      <c r="AO190" t="str">
        <f>_xlfn.CONCAT($AP$1,D190)</f>
        <v>c.1021dupG</v>
      </c>
    </row>
    <row r="191" spans="1:41" ht="15" customHeight="1" x14ac:dyDescent="0.2">
      <c r="A191" s="10">
        <v>119</v>
      </c>
      <c r="B191" s="10" t="s">
        <v>39</v>
      </c>
      <c r="C191" s="10" t="s">
        <v>1266</v>
      </c>
      <c r="D191" s="10" t="s">
        <v>1267</v>
      </c>
      <c r="E191" s="10" t="s">
        <v>1268</v>
      </c>
      <c r="F191" s="10" t="s">
        <v>1269</v>
      </c>
      <c r="G191" s="10" t="s">
        <v>1270</v>
      </c>
      <c r="H191" s="10" t="s">
        <v>1271</v>
      </c>
      <c r="I191" s="10" t="s">
        <v>1272</v>
      </c>
      <c r="J191" s="10">
        <v>119</v>
      </c>
      <c r="K191" s="10" t="s">
        <v>1270</v>
      </c>
      <c r="L191" s="10">
        <v>1025</v>
      </c>
      <c r="M191" s="10">
        <v>5</v>
      </c>
      <c r="N191" s="10">
        <v>342</v>
      </c>
      <c r="O191" s="11" t="str">
        <f>HYPERLINK(AL191,"link")</f>
        <v>link</v>
      </c>
      <c r="P191" s="10" t="s">
        <v>1273</v>
      </c>
      <c r="Q191" s="12">
        <v>1</v>
      </c>
      <c r="R191" s="10" t="s">
        <v>49</v>
      </c>
      <c r="S191" t="s">
        <v>50</v>
      </c>
      <c r="T191" s="10" t="s">
        <v>51</v>
      </c>
      <c r="U191" s="13">
        <v>95.574162679425839</v>
      </c>
      <c r="V191" s="14" t="s">
        <v>56</v>
      </c>
      <c r="W191" s="15">
        <v>4.7011302235640979</v>
      </c>
      <c r="X191" s="16" t="s">
        <v>1274</v>
      </c>
      <c r="Y191" t="s">
        <v>214</v>
      </c>
      <c r="AA191" t="s">
        <v>159</v>
      </c>
      <c r="AC191" s="20"/>
      <c r="AD191" s="12" t="s">
        <v>1275</v>
      </c>
      <c r="AE191" s="12" t="s">
        <v>1276</v>
      </c>
      <c r="AF191" s="19" t="s">
        <v>56</v>
      </c>
      <c r="AG191" s="12" t="s">
        <v>1277</v>
      </c>
      <c r="AH191" s="12" t="s">
        <v>56</v>
      </c>
      <c r="AI191" s="12" t="s">
        <v>531</v>
      </c>
      <c r="AJ191" s="12" t="s">
        <v>1278</v>
      </c>
      <c r="AK191" s="12" t="s">
        <v>240</v>
      </c>
      <c r="AL191" s="12" t="s">
        <v>1279</v>
      </c>
      <c r="AM191" s="10">
        <v>-0.80666666666666664</v>
      </c>
      <c r="AN191" s="10" t="s">
        <v>56</v>
      </c>
      <c r="AO191" t="str">
        <f>_xlfn.CONCAT($AP$1,D191)</f>
        <v>c.1025C&gt;T</v>
      </c>
    </row>
    <row r="192" spans="1:41" ht="15" customHeight="1" x14ac:dyDescent="0.2">
      <c r="A192" s="10">
        <v>120</v>
      </c>
      <c r="B192" s="10" t="s">
        <v>39</v>
      </c>
      <c r="C192" s="10" t="s">
        <v>1280</v>
      </c>
      <c r="D192" s="10" t="s">
        <v>1281</v>
      </c>
      <c r="E192" s="10" t="s">
        <v>1282</v>
      </c>
      <c r="F192" s="10" t="s">
        <v>1283</v>
      </c>
      <c r="G192" s="10" t="s">
        <v>1284</v>
      </c>
      <c r="H192" s="10" t="s">
        <v>1285</v>
      </c>
      <c r="I192" s="10" t="s">
        <v>1286</v>
      </c>
      <c r="J192" s="10">
        <v>120</v>
      </c>
      <c r="K192" s="10" t="s">
        <v>1284</v>
      </c>
      <c r="L192" s="10">
        <v>1027</v>
      </c>
      <c r="M192" s="10">
        <v>5</v>
      </c>
      <c r="N192" s="10">
        <v>343</v>
      </c>
      <c r="O192" s="11" t="str">
        <f>HYPERLINK(AL192,"link")</f>
        <v>link</v>
      </c>
      <c r="P192" s="10" t="s">
        <v>269</v>
      </c>
      <c r="Q192" s="12" t="s">
        <v>270</v>
      </c>
      <c r="R192" s="10" t="s">
        <v>235</v>
      </c>
      <c r="S192" t="s">
        <v>50</v>
      </c>
      <c r="T192" s="10" t="s">
        <v>51</v>
      </c>
      <c r="U192" s="13">
        <v>93.353028064992614</v>
      </c>
      <c r="V192" s="14" t="s">
        <v>56</v>
      </c>
      <c r="W192" s="15">
        <v>3.9433764506350726</v>
      </c>
      <c r="X192" s="16" t="s">
        <v>1287</v>
      </c>
      <c r="Y192" t="s">
        <v>214</v>
      </c>
      <c r="AA192" t="s">
        <v>159</v>
      </c>
      <c r="AC192" s="20"/>
      <c r="AD192" s="12"/>
      <c r="AE192" s="12" t="s">
        <v>56</v>
      </c>
      <c r="AF192" s="19" t="s">
        <v>56</v>
      </c>
      <c r="AG192" s="12" t="s">
        <v>1205</v>
      </c>
      <c r="AH192" s="12" t="s">
        <v>56</v>
      </c>
      <c r="AI192" s="12" t="s">
        <v>56</v>
      </c>
      <c r="AJ192" s="12" t="s">
        <v>56</v>
      </c>
      <c r="AK192" s="12" t="s">
        <v>56</v>
      </c>
      <c r="AL192" s="12" t="s">
        <v>1288</v>
      </c>
      <c r="AM192" s="10" t="s">
        <v>56</v>
      </c>
      <c r="AN192" s="10" t="s">
        <v>56</v>
      </c>
      <c r="AO192" t="str">
        <f>_xlfn.CONCAT($AP$1,D192)</f>
        <v>c.1027A&gt;T</v>
      </c>
    </row>
    <row r="193" spans="1:41" ht="15" customHeight="1" x14ac:dyDescent="0.2">
      <c r="A193" s="27">
        <v>212</v>
      </c>
      <c r="B193" s="28" t="s">
        <v>1913</v>
      </c>
      <c r="C193" s="10" t="s">
        <v>1945</v>
      </c>
      <c r="D193" s="12" t="s">
        <v>1946</v>
      </c>
      <c r="E193" s="10" t="s">
        <v>614</v>
      </c>
      <c r="F193" s="10" t="s">
        <v>614</v>
      </c>
      <c r="G193" s="10" t="s">
        <v>1964</v>
      </c>
      <c r="H193" s="10"/>
      <c r="I193" s="10"/>
      <c r="J193" s="10">
        <v>212</v>
      </c>
      <c r="K193" s="10" t="s">
        <v>1916</v>
      </c>
      <c r="L193" s="10">
        <v>1029</v>
      </c>
      <c r="M193" s="10">
        <v>5</v>
      </c>
      <c r="N193" s="10">
        <v>343</v>
      </c>
      <c r="O193" s="11"/>
      <c r="P193" s="10" t="s">
        <v>1917</v>
      </c>
      <c r="Q193" s="12" t="s">
        <v>1917</v>
      </c>
      <c r="R193" s="10" t="s">
        <v>1482</v>
      </c>
      <c r="T193" s="10" t="e">
        <v>#N/A</v>
      </c>
      <c r="U193" s="13">
        <v>91.793663228512017</v>
      </c>
      <c r="V193" s="14">
        <v>0.7305006831731724</v>
      </c>
      <c r="W193" s="15">
        <v>2.5897678329621572</v>
      </c>
      <c r="X193" s="16" t="s">
        <v>1947</v>
      </c>
      <c r="Y193" t="s">
        <v>214</v>
      </c>
      <c r="AA193" t="s">
        <v>1919</v>
      </c>
      <c r="AC193" s="20"/>
      <c r="AD193" s="12"/>
      <c r="AE193" s="12" t="s">
        <v>56</v>
      </c>
      <c r="AF193" s="19" t="s">
        <v>56</v>
      </c>
      <c r="AG193" s="12" t="s">
        <v>1205</v>
      </c>
      <c r="AH193" s="12" t="s">
        <v>56</v>
      </c>
      <c r="AI193" s="12" t="s">
        <v>56</v>
      </c>
      <c r="AJ193" s="12" t="s">
        <v>56</v>
      </c>
      <c r="AK193" s="12" t="s">
        <v>56</v>
      </c>
      <c r="AL193" s="12" t="e">
        <v>#N/A</v>
      </c>
      <c r="AM193" s="10" t="s">
        <v>56</v>
      </c>
      <c r="AN193" s="10" t="s">
        <v>56</v>
      </c>
      <c r="AO193" t="str">
        <f>_xlfn.CONCAT($AP$1,D193)</f>
        <v>c.1029C&gt;T</v>
      </c>
    </row>
    <row r="194" spans="1:41" ht="15" customHeight="1" x14ac:dyDescent="0.2">
      <c r="A194" s="10">
        <v>121</v>
      </c>
      <c r="B194" s="10" t="s">
        <v>39</v>
      </c>
      <c r="C194" s="10" t="s">
        <v>1289</v>
      </c>
      <c r="D194" s="10" t="s">
        <v>1290</v>
      </c>
      <c r="E194" s="10" t="s">
        <v>1291</v>
      </c>
      <c r="F194" s="10" t="s">
        <v>1292</v>
      </c>
      <c r="G194" s="10" t="s">
        <v>1293</v>
      </c>
      <c r="H194" s="10" t="s">
        <v>1294</v>
      </c>
      <c r="I194" s="10" t="s">
        <v>1295</v>
      </c>
      <c r="J194" s="10">
        <v>121</v>
      </c>
      <c r="K194" s="10" t="s">
        <v>1293</v>
      </c>
      <c r="L194" s="10">
        <v>1030</v>
      </c>
      <c r="M194" s="10">
        <v>5</v>
      </c>
      <c r="N194" s="10">
        <v>344</v>
      </c>
      <c r="O194" s="11" t="str">
        <f>HYPERLINK(AL194,"link")</f>
        <v>link</v>
      </c>
      <c r="P194" s="10" t="s">
        <v>1296</v>
      </c>
      <c r="Q194" s="12">
        <v>1</v>
      </c>
      <c r="R194" s="10" t="s">
        <v>49</v>
      </c>
      <c r="S194" t="s">
        <v>50</v>
      </c>
      <c r="T194" s="10" t="s">
        <v>51</v>
      </c>
      <c r="U194" s="13">
        <v>97.396768402154407</v>
      </c>
      <c r="V194" s="14" t="s">
        <v>56</v>
      </c>
      <c r="W194" s="15">
        <v>5.0408064167147169</v>
      </c>
      <c r="X194" s="16" t="s">
        <v>1297</v>
      </c>
      <c r="Y194" t="s">
        <v>214</v>
      </c>
      <c r="AA194" t="s">
        <v>159</v>
      </c>
      <c r="AC194" s="20"/>
      <c r="AD194" s="12"/>
      <c r="AE194" s="12" t="s">
        <v>56</v>
      </c>
      <c r="AF194" s="19" t="s">
        <v>56</v>
      </c>
      <c r="AG194" s="12" t="s">
        <v>1205</v>
      </c>
      <c r="AH194" s="12" t="s">
        <v>56</v>
      </c>
      <c r="AI194" s="12" t="s">
        <v>56</v>
      </c>
      <c r="AJ194" s="12" t="s">
        <v>56</v>
      </c>
      <c r="AK194" s="12" t="s">
        <v>56</v>
      </c>
      <c r="AL194" s="12" t="s">
        <v>1298</v>
      </c>
      <c r="AM194" s="10" t="s">
        <v>56</v>
      </c>
      <c r="AN194" s="10" t="s">
        <v>56</v>
      </c>
      <c r="AO194" t="str">
        <f>_xlfn.CONCAT($AP$1,D194)</f>
        <v>c.1030C&gt;T</v>
      </c>
    </row>
    <row r="195" spans="1:41" ht="15" customHeight="1" x14ac:dyDescent="0.2">
      <c r="A195" s="10">
        <v>122</v>
      </c>
      <c r="B195" s="10" t="s">
        <v>39</v>
      </c>
      <c r="C195" s="10" t="s">
        <v>1299</v>
      </c>
      <c r="D195" s="10" t="s">
        <v>1300</v>
      </c>
      <c r="E195" s="10" t="s">
        <v>1301</v>
      </c>
      <c r="F195" s="10" t="s">
        <v>1302</v>
      </c>
      <c r="G195" s="10" t="s">
        <v>1303</v>
      </c>
      <c r="H195" s="10" t="s">
        <v>1304</v>
      </c>
      <c r="I195" s="10" t="s">
        <v>1305</v>
      </c>
      <c r="J195" s="10">
        <v>122</v>
      </c>
      <c r="K195" s="10" t="s">
        <v>1303</v>
      </c>
      <c r="L195" s="10">
        <v>1031</v>
      </c>
      <c r="M195" s="10">
        <v>5</v>
      </c>
      <c r="N195" s="10">
        <v>344</v>
      </c>
      <c r="O195" s="11" t="str">
        <f>HYPERLINK(AL195,"link")</f>
        <v>link</v>
      </c>
      <c r="P195" s="10" t="s">
        <v>1306</v>
      </c>
      <c r="Q195" s="12">
        <v>1</v>
      </c>
      <c r="R195" s="10" t="s">
        <v>49</v>
      </c>
      <c r="S195" t="s">
        <v>50</v>
      </c>
      <c r="T195" s="10" t="s">
        <v>51</v>
      </c>
      <c r="U195" s="13">
        <v>91.784338896020543</v>
      </c>
      <c r="V195" s="14" t="s">
        <v>56</v>
      </c>
      <c r="W195" s="15">
        <v>2.4530101329404235</v>
      </c>
      <c r="X195" s="16" t="s">
        <v>1307</v>
      </c>
      <c r="Y195" t="s">
        <v>214</v>
      </c>
      <c r="AA195" t="s">
        <v>159</v>
      </c>
      <c r="AC195" s="20"/>
      <c r="AD195" s="12"/>
      <c r="AE195" s="12" t="s">
        <v>56</v>
      </c>
      <c r="AF195" s="19" t="s">
        <v>56</v>
      </c>
      <c r="AG195" s="12" t="s">
        <v>1205</v>
      </c>
      <c r="AH195" s="12" t="s">
        <v>56</v>
      </c>
      <c r="AI195" s="12" t="s">
        <v>56</v>
      </c>
      <c r="AJ195" s="12" t="s">
        <v>56</v>
      </c>
      <c r="AK195" s="12" t="s">
        <v>56</v>
      </c>
      <c r="AL195" s="12" t="s">
        <v>342</v>
      </c>
      <c r="AM195" s="10" t="s">
        <v>56</v>
      </c>
      <c r="AN195" s="10" t="s">
        <v>56</v>
      </c>
      <c r="AO195" t="str">
        <f>_xlfn.CONCAT($AP$1,D195)</f>
        <v>c.1031A&gt;C</v>
      </c>
    </row>
    <row r="196" spans="1:41" ht="15" customHeight="1" x14ac:dyDescent="0.2">
      <c r="A196" s="10">
        <v>190</v>
      </c>
      <c r="B196" s="10" t="s">
        <v>39</v>
      </c>
      <c r="C196" s="10" t="s">
        <v>1836</v>
      </c>
      <c r="D196" s="10" t="s">
        <v>1837</v>
      </c>
      <c r="E196" s="10" t="s">
        <v>1838</v>
      </c>
      <c r="F196" s="10" t="s">
        <v>1839</v>
      </c>
      <c r="G196" s="10" t="s">
        <v>1840</v>
      </c>
      <c r="H196" s="10" t="s">
        <v>1841</v>
      </c>
      <c r="I196" s="10"/>
      <c r="J196" s="10">
        <v>190</v>
      </c>
      <c r="K196" s="10" t="s">
        <v>1840</v>
      </c>
      <c r="L196" s="10">
        <v>1031</v>
      </c>
      <c r="M196" s="10">
        <v>5</v>
      </c>
      <c r="N196" s="10">
        <v>344</v>
      </c>
      <c r="O196" s="11" t="str">
        <f>HYPERLINK(AL196,"link")</f>
        <v>link</v>
      </c>
      <c r="P196" s="10" t="s">
        <v>1306</v>
      </c>
      <c r="Q196" s="12">
        <v>1</v>
      </c>
      <c r="R196" s="10" t="s">
        <v>294</v>
      </c>
      <c r="S196" t="s">
        <v>50</v>
      </c>
      <c r="T196" s="10" t="s">
        <v>51</v>
      </c>
      <c r="U196" s="13">
        <v>91.549295774647888</v>
      </c>
      <c r="V196" s="14" t="s">
        <v>56</v>
      </c>
      <c r="W196" s="15">
        <v>2.6696390216339623</v>
      </c>
      <c r="X196" s="16" t="s">
        <v>1842</v>
      </c>
      <c r="Y196" t="s">
        <v>214</v>
      </c>
      <c r="AA196" t="s">
        <v>159</v>
      </c>
      <c r="AC196" s="20"/>
      <c r="AD196" s="12"/>
      <c r="AE196" s="12" t="s">
        <v>56</v>
      </c>
      <c r="AF196" s="19" t="s">
        <v>56</v>
      </c>
      <c r="AG196" s="12" t="s">
        <v>1205</v>
      </c>
      <c r="AH196" s="12" t="s">
        <v>56</v>
      </c>
      <c r="AI196" s="12" t="s">
        <v>56</v>
      </c>
      <c r="AJ196" s="12" t="s">
        <v>56</v>
      </c>
      <c r="AK196" s="12" t="s">
        <v>56</v>
      </c>
      <c r="AL196" s="12" t="s">
        <v>1730</v>
      </c>
      <c r="AM196" s="10" t="s">
        <v>56</v>
      </c>
      <c r="AN196" s="10" t="s">
        <v>56</v>
      </c>
      <c r="AO196" t="str">
        <f>_xlfn.CONCAT($AP$1,D196)</f>
        <v>c.1031A&gt;G</v>
      </c>
    </row>
    <row r="197" spans="1:41" ht="15" customHeight="1" x14ac:dyDescent="0.2">
      <c r="A197" s="10">
        <v>123</v>
      </c>
      <c r="B197" s="10" t="s">
        <v>39</v>
      </c>
      <c r="C197" s="10" t="s">
        <v>1308</v>
      </c>
      <c r="D197" s="10" t="s">
        <v>1309</v>
      </c>
      <c r="E197" s="10" t="s">
        <v>1310</v>
      </c>
      <c r="F197" s="10" t="s">
        <v>1311</v>
      </c>
      <c r="G197" s="10" t="s">
        <v>1312</v>
      </c>
      <c r="H197" s="10" t="s">
        <v>1313</v>
      </c>
      <c r="I197" s="10" t="s">
        <v>1314</v>
      </c>
      <c r="J197" s="10">
        <v>123</v>
      </c>
      <c r="K197" s="10" t="s">
        <v>1312</v>
      </c>
      <c r="L197" s="10">
        <v>1033</v>
      </c>
      <c r="M197" s="10">
        <v>5</v>
      </c>
      <c r="N197" s="10">
        <v>345</v>
      </c>
      <c r="O197" s="11" t="str">
        <f>HYPERLINK(AL197,"link")</f>
        <v>link</v>
      </c>
      <c r="P197" s="10" t="s">
        <v>1315</v>
      </c>
      <c r="Q197" s="12">
        <v>1</v>
      </c>
      <c r="R197" s="10" t="s">
        <v>49</v>
      </c>
      <c r="S197" t="s">
        <v>50</v>
      </c>
      <c r="T197" s="10" t="s">
        <v>51</v>
      </c>
      <c r="U197" s="13">
        <v>94.172661870503589</v>
      </c>
      <c r="V197" s="14" t="s">
        <v>56</v>
      </c>
      <c r="W197" s="15">
        <v>3.2900826195393131</v>
      </c>
      <c r="X197" s="16" t="s">
        <v>1316</v>
      </c>
      <c r="Y197" t="s">
        <v>214</v>
      </c>
      <c r="AA197" t="s">
        <v>159</v>
      </c>
      <c r="AC197" s="20"/>
      <c r="AD197" s="12"/>
      <c r="AE197" s="12" t="s">
        <v>56</v>
      </c>
      <c r="AF197" s="19" t="s">
        <v>56</v>
      </c>
      <c r="AG197" s="12" t="s">
        <v>1317</v>
      </c>
      <c r="AH197" s="12" t="s">
        <v>56</v>
      </c>
      <c r="AI197" s="12" t="s">
        <v>531</v>
      </c>
      <c r="AJ197" s="12" t="s">
        <v>1318</v>
      </c>
      <c r="AK197" s="12" t="s">
        <v>56</v>
      </c>
      <c r="AL197" s="12" t="s">
        <v>1319</v>
      </c>
      <c r="AM197" s="10">
        <v>-0.43333333333333335</v>
      </c>
      <c r="AN197" s="10" t="s">
        <v>56</v>
      </c>
      <c r="AO197" t="str">
        <f>_xlfn.CONCAT($AP$1,D197)</f>
        <v>c.1033G&gt;A</v>
      </c>
    </row>
    <row r="198" spans="1:41" ht="15" customHeight="1" x14ac:dyDescent="0.2">
      <c r="A198" s="10">
        <v>124</v>
      </c>
      <c r="B198" s="10" t="s">
        <v>39</v>
      </c>
      <c r="C198" s="10" t="s">
        <v>1320</v>
      </c>
      <c r="D198" s="10" t="s">
        <v>1321</v>
      </c>
      <c r="E198" s="10" t="s">
        <v>1322</v>
      </c>
      <c r="F198" s="10" t="s">
        <v>1323</v>
      </c>
      <c r="G198" s="10" t="s">
        <v>1324</v>
      </c>
      <c r="H198" s="10" t="s">
        <v>1325</v>
      </c>
      <c r="I198" s="10" t="s">
        <v>1326</v>
      </c>
      <c r="J198" s="10">
        <v>124</v>
      </c>
      <c r="K198" s="10" t="s">
        <v>1324</v>
      </c>
      <c r="L198" s="10">
        <v>1033</v>
      </c>
      <c r="M198" s="10">
        <v>5</v>
      </c>
      <c r="N198" s="10">
        <v>345</v>
      </c>
      <c r="O198" s="11" t="str">
        <f>HYPERLINK(AL198,"link")</f>
        <v>link</v>
      </c>
      <c r="P198" s="10" t="s">
        <v>1315</v>
      </c>
      <c r="Q198" s="12">
        <v>1</v>
      </c>
      <c r="R198" s="10" t="s">
        <v>49</v>
      </c>
      <c r="S198" t="s">
        <v>50</v>
      </c>
      <c r="T198" s="10" t="s">
        <v>51</v>
      </c>
      <c r="U198" s="13">
        <v>93.571428571428569</v>
      </c>
      <c r="V198" s="14" t="s">
        <v>56</v>
      </c>
      <c r="W198" s="15">
        <v>3.2757298843919012</v>
      </c>
      <c r="X198" s="16" t="s">
        <v>1327</v>
      </c>
      <c r="Y198" t="s">
        <v>214</v>
      </c>
      <c r="AA198" t="s">
        <v>159</v>
      </c>
      <c r="AC198" s="20"/>
      <c r="AD198" s="12"/>
      <c r="AE198" s="12" t="s">
        <v>56</v>
      </c>
      <c r="AF198" s="19" t="s">
        <v>56</v>
      </c>
      <c r="AG198" s="12" t="s">
        <v>1317</v>
      </c>
      <c r="AH198" s="12" t="s">
        <v>56</v>
      </c>
      <c r="AI198" s="12" t="s">
        <v>531</v>
      </c>
      <c r="AJ198" s="12" t="s">
        <v>1318</v>
      </c>
      <c r="AK198" s="12" t="s">
        <v>56</v>
      </c>
      <c r="AL198" s="12" t="s">
        <v>1328</v>
      </c>
      <c r="AM198" s="10">
        <v>-0.67666666666666664</v>
      </c>
      <c r="AN198" s="10" t="s">
        <v>56</v>
      </c>
      <c r="AO198" t="str">
        <f>_xlfn.CONCAT($AP$1,D198)</f>
        <v>c.1033G&gt;C</v>
      </c>
    </row>
    <row r="199" spans="1:41" ht="15" customHeight="1" x14ac:dyDescent="0.2">
      <c r="A199" s="10">
        <v>188</v>
      </c>
      <c r="B199" s="10" t="s">
        <v>39</v>
      </c>
      <c r="C199" s="10" t="s">
        <v>1825</v>
      </c>
      <c r="D199" s="10" t="s">
        <v>1826</v>
      </c>
      <c r="E199" s="10" t="s">
        <v>1827</v>
      </c>
      <c r="F199" s="10" t="s">
        <v>1828</v>
      </c>
      <c r="G199" s="10" t="s">
        <v>1829</v>
      </c>
      <c r="H199" s="10" t="s">
        <v>1830</v>
      </c>
      <c r="I199" s="10"/>
      <c r="J199" s="10">
        <v>188</v>
      </c>
      <c r="K199" s="10" t="s">
        <v>1829</v>
      </c>
      <c r="L199" s="10">
        <v>1034</v>
      </c>
      <c r="M199" s="10">
        <v>5</v>
      </c>
      <c r="N199" s="10">
        <v>345</v>
      </c>
      <c r="O199" s="11" t="str">
        <f>HYPERLINK(AL199,"link")</f>
        <v>link</v>
      </c>
      <c r="P199" s="10" t="s">
        <v>270</v>
      </c>
      <c r="Q199" s="12" t="s">
        <v>270</v>
      </c>
      <c r="R199" s="10" t="s">
        <v>49</v>
      </c>
      <c r="S199" t="s">
        <v>50</v>
      </c>
      <c r="T199" s="10" t="s">
        <v>51</v>
      </c>
      <c r="U199" s="13">
        <v>92.266868840030327</v>
      </c>
      <c r="V199" s="14" t="s">
        <v>56</v>
      </c>
      <c r="W199" s="15">
        <v>4.0257032718037307</v>
      </c>
      <c r="X199" s="16" t="s">
        <v>1831</v>
      </c>
      <c r="Y199" t="s">
        <v>214</v>
      </c>
      <c r="AA199" t="s">
        <v>159</v>
      </c>
      <c r="AC199" s="20"/>
      <c r="AD199" s="12"/>
      <c r="AE199" s="12" t="s">
        <v>56</v>
      </c>
      <c r="AF199" s="19" t="s">
        <v>56</v>
      </c>
      <c r="AG199" s="12" t="s">
        <v>1205</v>
      </c>
      <c r="AH199" s="12" t="s">
        <v>56</v>
      </c>
      <c r="AI199" s="12" t="s">
        <v>56</v>
      </c>
      <c r="AJ199" s="12" t="s">
        <v>56</v>
      </c>
      <c r="AK199" s="12" t="s">
        <v>56</v>
      </c>
      <c r="AL199" s="12" t="s">
        <v>1730</v>
      </c>
      <c r="AM199" s="10" t="s">
        <v>56</v>
      </c>
      <c r="AN199" s="10" t="s">
        <v>56</v>
      </c>
      <c r="AO199" t="str">
        <f>_xlfn.CONCAT($AP$1,D199)</f>
        <v>c.1034T&gt;G</v>
      </c>
    </row>
    <row r="200" spans="1:41" ht="15" customHeight="1" x14ac:dyDescent="0.2">
      <c r="A200" s="10">
        <v>189</v>
      </c>
      <c r="B200" s="10" t="s">
        <v>39</v>
      </c>
      <c r="C200" s="10" t="s">
        <v>1832</v>
      </c>
      <c r="D200" s="10" t="s">
        <v>1833</v>
      </c>
      <c r="E200" s="10" t="s">
        <v>1322</v>
      </c>
      <c r="F200" s="10" t="s">
        <v>1323</v>
      </c>
      <c r="G200" s="10" t="s">
        <v>1324</v>
      </c>
      <c r="H200" s="10" t="s">
        <v>1326</v>
      </c>
      <c r="I200" s="10"/>
      <c r="J200" s="10">
        <v>189</v>
      </c>
      <c r="K200" s="10" t="s">
        <v>1324</v>
      </c>
      <c r="L200" s="10">
        <v>1033</v>
      </c>
      <c r="M200" s="10">
        <v>5</v>
      </c>
      <c r="N200" s="10">
        <v>345</v>
      </c>
      <c r="O200" s="11" t="str">
        <f>HYPERLINK(AL200,"link")</f>
        <v>link</v>
      </c>
      <c r="P200" s="10" t="s">
        <v>1315</v>
      </c>
      <c r="Q200" s="12">
        <v>1</v>
      </c>
      <c r="R200" s="10" t="s">
        <v>49</v>
      </c>
      <c r="S200" t="s">
        <v>50</v>
      </c>
      <c r="T200" s="10" t="s">
        <v>51</v>
      </c>
      <c r="U200" s="13">
        <v>90.890410958904113</v>
      </c>
      <c r="V200" s="14" t="s">
        <v>56</v>
      </c>
      <c r="W200" s="15">
        <v>4.7868358996589997</v>
      </c>
      <c r="X200" s="16" t="s">
        <v>1834</v>
      </c>
      <c r="Y200" t="s">
        <v>214</v>
      </c>
      <c r="AA200" t="s">
        <v>159</v>
      </c>
      <c r="AC200" s="20"/>
      <c r="AD200" s="12"/>
      <c r="AE200" s="12" t="s">
        <v>56</v>
      </c>
      <c r="AF200" s="19" t="s">
        <v>56</v>
      </c>
      <c r="AG200" s="12" t="s">
        <v>1317</v>
      </c>
      <c r="AH200" s="12" t="s">
        <v>56</v>
      </c>
      <c r="AI200" s="12" t="s">
        <v>531</v>
      </c>
      <c r="AJ200" s="12" t="s">
        <v>1318</v>
      </c>
      <c r="AK200" s="12" t="s">
        <v>56</v>
      </c>
      <c r="AL200" s="12" t="s">
        <v>1835</v>
      </c>
      <c r="AM200" s="10">
        <v>-0.67666666666666664</v>
      </c>
      <c r="AN200" s="10" t="s">
        <v>56</v>
      </c>
      <c r="AO200" t="str">
        <f>_xlfn.CONCAT($AP$1,D200)</f>
        <v>c.1033G&gt;T</v>
      </c>
    </row>
    <row r="201" spans="1:41" ht="15" customHeight="1" x14ac:dyDescent="0.2">
      <c r="A201" s="27">
        <v>213</v>
      </c>
      <c r="B201" s="28" t="s">
        <v>1913</v>
      </c>
      <c r="C201" s="10" t="s">
        <v>1948</v>
      </c>
      <c r="D201" s="12" t="s">
        <v>1949</v>
      </c>
      <c r="E201" s="10" t="s">
        <v>614</v>
      </c>
      <c r="F201" s="10" t="s">
        <v>614</v>
      </c>
      <c r="G201" s="10" t="s">
        <v>1963</v>
      </c>
      <c r="H201" s="10"/>
      <c r="I201" s="10"/>
      <c r="J201" s="10">
        <v>213</v>
      </c>
      <c r="K201" s="10" t="s">
        <v>1916</v>
      </c>
      <c r="L201" s="10">
        <v>1035</v>
      </c>
      <c r="M201" s="10">
        <v>5</v>
      </c>
      <c r="N201" s="10">
        <v>345</v>
      </c>
      <c r="O201" s="11"/>
      <c r="P201" s="10" t="s">
        <v>1917</v>
      </c>
      <c r="Q201" s="12" t="s">
        <v>1917</v>
      </c>
      <c r="R201" s="10" t="s">
        <v>1482</v>
      </c>
      <c r="T201" s="10" t="e">
        <v>#N/A</v>
      </c>
      <c r="U201" s="13">
        <v>92.305965068610647</v>
      </c>
      <c r="V201" s="14">
        <v>1.268632070183022</v>
      </c>
      <c r="W201" s="15">
        <v>3.2273962693721296</v>
      </c>
      <c r="X201" s="16" t="s">
        <v>1950</v>
      </c>
      <c r="Y201" t="s">
        <v>214</v>
      </c>
      <c r="AA201" t="s">
        <v>1919</v>
      </c>
      <c r="AC201" s="20"/>
      <c r="AD201" s="12"/>
      <c r="AE201" s="12" t="s">
        <v>56</v>
      </c>
      <c r="AF201" s="19" t="s">
        <v>56</v>
      </c>
      <c r="AG201" s="12" t="s">
        <v>1205</v>
      </c>
      <c r="AH201" s="12" t="s">
        <v>56</v>
      </c>
      <c r="AI201" s="12" t="s">
        <v>56</v>
      </c>
      <c r="AJ201" s="12" t="s">
        <v>56</v>
      </c>
      <c r="AK201" s="12" t="s">
        <v>56</v>
      </c>
      <c r="AL201" s="12" t="e">
        <v>#N/A</v>
      </c>
      <c r="AM201" s="10" t="s">
        <v>56</v>
      </c>
      <c r="AN201" s="10" t="s">
        <v>56</v>
      </c>
      <c r="AO201" t="str">
        <f>_xlfn.CONCAT($AP$1,D201)</f>
        <v>c.1035G&gt;C</v>
      </c>
    </row>
    <row r="202" spans="1:41" ht="15" customHeight="1" x14ac:dyDescent="0.2">
      <c r="A202" s="10">
        <v>125</v>
      </c>
      <c r="B202" s="10" t="s">
        <v>39</v>
      </c>
      <c r="C202" s="10" t="s">
        <v>1329</v>
      </c>
      <c r="D202" s="10" t="s">
        <v>1330</v>
      </c>
      <c r="E202" s="10" t="s">
        <v>1331</v>
      </c>
      <c r="F202" s="10" t="s">
        <v>1332</v>
      </c>
      <c r="G202" s="10" t="s">
        <v>1333</v>
      </c>
      <c r="H202" s="10" t="s">
        <v>1334</v>
      </c>
      <c r="I202" s="10" t="s">
        <v>1335</v>
      </c>
      <c r="J202" s="10">
        <v>125</v>
      </c>
      <c r="K202" s="10" t="s">
        <v>1333</v>
      </c>
      <c r="L202" s="10">
        <v>1036</v>
      </c>
      <c r="M202" s="10">
        <v>5</v>
      </c>
      <c r="N202" s="10">
        <v>346</v>
      </c>
      <c r="O202" s="11" t="str">
        <f>HYPERLINK(AL202,"link")</f>
        <v>link</v>
      </c>
      <c r="P202" s="10" t="s">
        <v>1315</v>
      </c>
      <c r="Q202" s="12">
        <v>1</v>
      </c>
      <c r="R202" s="10" t="s">
        <v>49</v>
      </c>
      <c r="S202" t="s">
        <v>50</v>
      </c>
      <c r="T202" s="10" t="s">
        <v>51</v>
      </c>
      <c r="U202" s="13">
        <v>95.171849427168581</v>
      </c>
      <c r="V202" s="14" t="s">
        <v>56</v>
      </c>
      <c r="W202" s="15">
        <v>4.2292041435490777</v>
      </c>
      <c r="X202" s="16" t="s">
        <v>1336</v>
      </c>
      <c r="Y202" t="s">
        <v>214</v>
      </c>
      <c r="AA202" t="s">
        <v>159</v>
      </c>
      <c r="AC202" s="20"/>
      <c r="AD202" s="12" t="s">
        <v>84</v>
      </c>
      <c r="AE202" s="12" t="s">
        <v>1337</v>
      </c>
      <c r="AF202" s="19" t="s">
        <v>56</v>
      </c>
      <c r="AG202" s="12" t="s">
        <v>1317</v>
      </c>
      <c r="AH202" s="12" t="s">
        <v>56</v>
      </c>
      <c r="AI202" s="12" t="s">
        <v>531</v>
      </c>
      <c r="AJ202" s="12" t="s">
        <v>1318</v>
      </c>
      <c r="AK202" s="12" t="s">
        <v>56</v>
      </c>
      <c r="AL202" s="12" t="s">
        <v>1338</v>
      </c>
      <c r="AM202" s="10">
        <v>-0.19000000000000003</v>
      </c>
      <c r="AN202" s="10" t="s">
        <v>56</v>
      </c>
      <c r="AO202" t="str">
        <f>_xlfn.CONCAT($AP$1,D202)</f>
        <v>c.1036G&gt;C</v>
      </c>
    </row>
    <row r="203" spans="1:41" ht="15" customHeight="1" x14ac:dyDescent="0.2">
      <c r="A203" s="27">
        <v>214</v>
      </c>
      <c r="B203" s="28" t="s">
        <v>1913</v>
      </c>
      <c r="C203" s="10" t="s">
        <v>1951</v>
      </c>
      <c r="D203" s="12" t="s">
        <v>1952</v>
      </c>
      <c r="E203" s="10" t="s">
        <v>614</v>
      </c>
      <c r="F203" s="10" t="s">
        <v>614</v>
      </c>
      <c r="G203" s="10" t="s">
        <v>1962</v>
      </c>
      <c r="H203" s="10"/>
      <c r="I203" s="10"/>
      <c r="J203" s="10">
        <v>214</v>
      </c>
      <c r="K203" s="10" t="s">
        <v>1916</v>
      </c>
      <c r="L203" s="10">
        <v>1038</v>
      </c>
      <c r="M203" s="10">
        <v>5</v>
      </c>
      <c r="N203" s="10">
        <v>346</v>
      </c>
      <c r="O203" s="11"/>
      <c r="P203" s="10" t="s">
        <v>1917</v>
      </c>
      <c r="Q203" s="12" t="s">
        <v>1917</v>
      </c>
      <c r="R203" s="10" t="s">
        <v>1482</v>
      </c>
      <c r="T203" s="10" t="e">
        <v>#N/A</v>
      </c>
      <c r="U203" s="13">
        <v>92.594433661991914</v>
      </c>
      <c r="V203" s="14">
        <v>0.53325936967563448</v>
      </c>
      <c r="W203" s="15">
        <v>2.6589748254731456</v>
      </c>
      <c r="X203" s="16" t="s">
        <v>1953</v>
      </c>
      <c r="Y203" t="s">
        <v>214</v>
      </c>
      <c r="AA203" t="s">
        <v>1919</v>
      </c>
      <c r="AC203" s="20"/>
      <c r="AD203" s="12"/>
      <c r="AE203" s="12" t="s">
        <v>1337</v>
      </c>
      <c r="AF203" s="19" t="s">
        <v>56</v>
      </c>
      <c r="AG203" s="12" t="s">
        <v>1205</v>
      </c>
      <c r="AH203" s="12" t="s">
        <v>56</v>
      </c>
      <c r="AI203" s="12" t="s">
        <v>56</v>
      </c>
      <c r="AJ203" s="12" t="s">
        <v>56</v>
      </c>
      <c r="AK203" s="12" t="s">
        <v>56</v>
      </c>
      <c r="AL203" s="12" t="e">
        <v>#N/A</v>
      </c>
      <c r="AM203" s="10" t="s">
        <v>56</v>
      </c>
      <c r="AN203" s="10" t="s">
        <v>56</v>
      </c>
      <c r="AO203" t="str">
        <f>_xlfn.CONCAT($AP$1,D203)</f>
        <v>c.1038C&gt;T</v>
      </c>
    </row>
    <row r="204" spans="1:41" ht="15" customHeight="1" x14ac:dyDescent="0.2">
      <c r="A204" s="10">
        <v>126</v>
      </c>
      <c r="B204" s="10" t="s">
        <v>39</v>
      </c>
      <c r="C204" s="10" t="s">
        <v>1339</v>
      </c>
      <c r="D204" s="10" t="s">
        <v>1340</v>
      </c>
      <c r="E204" s="10" t="s">
        <v>1341</v>
      </c>
      <c r="F204" s="10" t="s">
        <v>1342</v>
      </c>
      <c r="G204" s="10" t="s">
        <v>1343</v>
      </c>
      <c r="H204" s="10" t="s">
        <v>1344</v>
      </c>
      <c r="I204" s="10" t="s">
        <v>1345</v>
      </c>
      <c r="J204" s="10">
        <v>126</v>
      </c>
      <c r="K204" s="10" t="s">
        <v>1343</v>
      </c>
      <c r="L204" s="10">
        <v>1039</v>
      </c>
      <c r="M204" s="10">
        <v>5</v>
      </c>
      <c r="N204" s="10">
        <v>347</v>
      </c>
      <c r="O204" s="11" t="str">
        <f>HYPERLINK(AL204,"link")</f>
        <v>link</v>
      </c>
      <c r="P204" s="10" t="s">
        <v>583</v>
      </c>
      <c r="Q204" s="12">
        <v>1</v>
      </c>
      <c r="R204" s="10" t="s">
        <v>49</v>
      </c>
      <c r="S204" t="s">
        <v>50</v>
      </c>
      <c r="T204" s="10" t="s">
        <v>51</v>
      </c>
      <c r="U204" s="13">
        <v>97.077409162717217</v>
      </c>
      <c r="V204" s="14" t="s">
        <v>56</v>
      </c>
      <c r="W204" s="15">
        <v>5.0631556536638858</v>
      </c>
      <c r="X204" s="16" t="s">
        <v>1346</v>
      </c>
      <c r="Y204" t="s">
        <v>214</v>
      </c>
      <c r="AA204" t="s">
        <v>159</v>
      </c>
      <c r="AC204" s="20"/>
      <c r="AD204" s="12"/>
      <c r="AE204" s="12" t="s">
        <v>56</v>
      </c>
      <c r="AF204" s="19" t="s">
        <v>56</v>
      </c>
      <c r="AG204" s="12" t="s">
        <v>1317</v>
      </c>
      <c r="AH204" s="12" t="s">
        <v>56</v>
      </c>
      <c r="AI204" s="12" t="s">
        <v>531</v>
      </c>
      <c r="AJ204" s="12" t="s">
        <v>1318</v>
      </c>
      <c r="AK204" s="12" t="s">
        <v>56</v>
      </c>
      <c r="AL204" s="12" t="s">
        <v>1347</v>
      </c>
      <c r="AM204" s="10">
        <v>0.4466666666666666</v>
      </c>
      <c r="AN204" s="10" t="s">
        <v>56</v>
      </c>
      <c r="AO204" t="str">
        <f>_xlfn.CONCAT($AP$1,D204)</f>
        <v>c.1039C&gt;A</v>
      </c>
    </row>
    <row r="205" spans="1:41" ht="15" customHeight="1" x14ac:dyDescent="0.2">
      <c r="A205" s="10">
        <v>127</v>
      </c>
      <c r="B205" s="10" t="s">
        <v>39</v>
      </c>
      <c r="C205" s="10" t="s">
        <v>1348</v>
      </c>
      <c r="D205" s="10" t="s">
        <v>1349</v>
      </c>
      <c r="E205" s="10" t="s">
        <v>1350</v>
      </c>
      <c r="F205" s="10" t="s">
        <v>1351</v>
      </c>
      <c r="G205" s="10" t="s">
        <v>1352</v>
      </c>
      <c r="H205" s="10" t="s">
        <v>1353</v>
      </c>
      <c r="I205" s="10" t="s">
        <v>1354</v>
      </c>
      <c r="J205" s="10">
        <v>127</v>
      </c>
      <c r="K205" s="10" t="s">
        <v>1352</v>
      </c>
      <c r="L205" s="10">
        <v>1039</v>
      </c>
      <c r="M205" s="10">
        <v>5</v>
      </c>
      <c r="N205" s="10">
        <v>347</v>
      </c>
      <c r="O205" s="11" t="str">
        <f>HYPERLINK(AL205,"link")</f>
        <v>link</v>
      </c>
      <c r="P205" s="10" t="s">
        <v>1315</v>
      </c>
      <c r="Q205" s="12">
        <v>1</v>
      </c>
      <c r="R205" s="10" t="s">
        <v>49</v>
      </c>
      <c r="S205" t="s">
        <v>50</v>
      </c>
      <c r="T205" s="10" t="s">
        <v>51</v>
      </c>
      <c r="U205" s="13">
        <v>95.35689535689535</v>
      </c>
      <c r="V205" s="14" t="s">
        <v>56</v>
      </c>
      <c r="W205" s="15">
        <v>5.3127986174650648</v>
      </c>
      <c r="X205" s="16" t="s">
        <v>1355</v>
      </c>
      <c r="Y205" t="s">
        <v>214</v>
      </c>
      <c r="AA205" t="s">
        <v>159</v>
      </c>
      <c r="AC205" s="20"/>
      <c r="AD205" s="12"/>
      <c r="AE205" s="12" t="s">
        <v>56</v>
      </c>
      <c r="AF205" s="19" t="s">
        <v>56</v>
      </c>
      <c r="AG205" s="12" t="s">
        <v>1317</v>
      </c>
      <c r="AH205" s="12" t="s">
        <v>56</v>
      </c>
      <c r="AI205" s="12" t="s">
        <v>531</v>
      </c>
      <c r="AJ205" s="12" t="s">
        <v>1318</v>
      </c>
      <c r="AK205" s="12" t="s">
        <v>56</v>
      </c>
      <c r="AL205" s="12" t="s">
        <v>1356</v>
      </c>
      <c r="AM205" s="10">
        <v>0.36000000000000004</v>
      </c>
      <c r="AN205" s="10" t="s">
        <v>56</v>
      </c>
      <c r="AO205" t="str">
        <f>_xlfn.CONCAT($AP$1,D205)</f>
        <v>c.1039C&gt;G</v>
      </c>
    </row>
    <row r="206" spans="1:41" ht="15" customHeight="1" x14ac:dyDescent="0.2">
      <c r="A206" s="10">
        <v>128</v>
      </c>
      <c r="B206" s="10" t="s">
        <v>39</v>
      </c>
      <c r="C206" s="10" t="s">
        <v>1357</v>
      </c>
      <c r="D206" s="10" t="s">
        <v>1358</v>
      </c>
      <c r="E206" s="10" t="s">
        <v>1359</v>
      </c>
      <c r="F206" s="10" t="s">
        <v>1360</v>
      </c>
      <c r="G206" s="10" t="s">
        <v>1361</v>
      </c>
      <c r="H206" s="10" t="s">
        <v>1362</v>
      </c>
      <c r="I206" s="10" t="s">
        <v>1363</v>
      </c>
      <c r="J206" s="10">
        <v>128</v>
      </c>
      <c r="K206" s="10" t="s">
        <v>1361</v>
      </c>
      <c r="L206" s="10">
        <v>1039</v>
      </c>
      <c r="M206" s="10">
        <v>5</v>
      </c>
      <c r="N206" s="10">
        <v>347</v>
      </c>
      <c r="O206" s="11" t="str">
        <f>HYPERLINK(AL206,"link")</f>
        <v>link</v>
      </c>
      <c r="P206" s="10" t="s">
        <v>1315</v>
      </c>
      <c r="Q206" s="12">
        <v>1</v>
      </c>
      <c r="R206" s="10" t="s">
        <v>49</v>
      </c>
      <c r="S206" t="s">
        <v>50</v>
      </c>
      <c r="T206" s="10" t="s">
        <v>51</v>
      </c>
      <c r="U206" s="13">
        <v>95.498874718679673</v>
      </c>
      <c r="V206" s="14" t="s">
        <v>56</v>
      </c>
      <c r="W206" s="15">
        <v>3.8425535995821432</v>
      </c>
      <c r="X206" s="16" t="s">
        <v>1364</v>
      </c>
      <c r="Y206" t="s">
        <v>214</v>
      </c>
      <c r="AA206" t="s">
        <v>159</v>
      </c>
      <c r="AC206" s="20"/>
      <c r="AD206" s="12"/>
      <c r="AE206" s="12" t="s">
        <v>56</v>
      </c>
      <c r="AF206" s="19" t="s">
        <v>56</v>
      </c>
      <c r="AG206" s="12" t="s">
        <v>1317</v>
      </c>
      <c r="AH206" s="12" t="s">
        <v>56</v>
      </c>
      <c r="AI206" s="12" t="s">
        <v>531</v>
      </c>
      <c r="AJ206" s="12" t="s">
        <v>1318</v>
      </c>
      <c r="AK206" s="12" t="s">
        <v>56</v>
      </c>
      <c r="AL206" s="12" t="s">
        <v>1365</v>
      </c>
      <c r="AM206" s="10">
        <v>0.49333333333333335</v>
      </c>
      <c r="AN206" s="10" t="s">
        <v>56</v>
      </c>
      <c r="AO206" t="str">
        <f>_xlfn.CONCAT($AP$1,D206)</f>
        <v>c.1039C&gt;T</v>
      </c>
    </row>
    <row r="207" spans="1:41" ht="15" customHeight="1" x14ac:dyDescent="0.2">
      <c r="A207" s="10">
        <v>129</v>
      </c>
      <c r="B207" s="10" t="s">
        <v>39</v>
      </c>
      <c r="C207" s="10" t="s">
        <v>1366</v>
      </c>
      <c r="D207" s="10" t="s">
        <v>1367</v>
      </c>
      <c r="E207" s="10" t="s">
        <v>1368</v>
      </c>
      <c r="F207" s="10" t="s">
        <v>1369</v>
      </c>
      <c r="G207" s="10" t="s">
        <v>1370</v>
      </c>
      <c r="H207" s="10" t="s">
        <v>1371</v>
      </c>
      <c r="I207" s="10" t="s">
        <v>1372</v>
      </c>
      <c r="J207" s="10">
        <v>129</v>
      </c>
      <c r="K207" s="10" t="s">
        <v>1370</v>
      </c>
      <c r="L207" s="10">
        <v>1040</v>
      </c>
      <c r="M207" s="10">
        <v>5</v>
      </c>
      <c r="N207" s="10">
        <v>347</v>
      </c>
      <c r="O207" s="11" t="str">
        <f>HYPERLINK(AL207,"link")</f>
        <v>link</v>
      </c>
      <c r="P207" s="10" t="s">
        <v>1315</v>
      </c>
      <c r="Q207" s="12">
        <v>1</v>
      </c>
      <c r="R207" s="10" t="s">
        <v>49</v>
      </c>
      <c r="S207" t="s">
        <v>50</v>
      </c>
      <c r="T207" s="10" t="s">
        <v>51</v>
      </c>
      <c r="U207" s="13">
        <v>94.700315457413254</v>
      </c>
      <c r="V207" s="14" t="s">
        <v>56</v>
      </c>
      <c r="W207" s="15">
        <v>2.9728606557380592</v>
      </c>
      <c r="X207" s="16" t="s">
        <v>1373</v>
      </c>
      <c r="Y207" t="s">
        <v>214</v>
      </c>
      <c r="AA207" t="s">
        <v>159</v>
      </c>
      <c r="AC207" s="20"/>
      <c r="AD207" s="12"/>
      <c r="AE207" s="12" t="s">
        <v>56</v>
      </c>
      <c r="AF207" s="19" t="s">
        <v>56</v>
      </c>
      <c r="AG207" s="12" t="s">
        <v>1317</v>
      </c>
      <c r="AH207" s="12" t="s">
        <v>56</v>
      </c>
      <c r="AI207" s="12" t="s">
        <v>531</v>
      </c>
      <c r="AJ207" s="12" t="s">
        <v>1318</v>
      </c>
      <c r="AK207" s="12" t="s">
        <v>56</v>
      </c>
      <c r="AL207" s="12" t="s">
        <v>1328</v>
      </c>
      <c r="AM207" s="10">
        <v>0.27999999999999997</v>
      </c>
      <c r="AN207" s="10" t="s">
        <v>56</v>
      </c>
      <c r="AO207" t="str">
        <f>_xlfn.CONCAT($AP$1,D207)</f>
        <v>c.1040C&gt;A</v>
      </c>
    </row>
    <row r="208" spans="1:41" ht="15" customHeight="1" x14ac:dyDescent="0.2">
      <c r="A208" s="10">
        <v>130</v>
      </c>
      <c r="B208" s="10" t="s">
        <v>39</v>
      </c>
      <c r="C208" s="10" t="s">
        <v>1374</v>
      </c>
      <c r="D208" s="10" t="s">
        <v>1375</v>
      </c>
      <c r="E208" s="10" t="s">
        <v>1376</v>
      </c>
      <c r="F208" s="10" t="s">
        <v>1377</v>
      </c>
      <c r="G208" s="10" t="s">
        <v>1378</v>
      </c>
      <c r="H208" s="10" t="s">
        <v>1379</v>
      </c>
      <c r="I208" s="10" t="s">
        <v>1380</v>
      </c>
      <c r="J208" s="10">
        <v>130</v>
      </c>
      <c r="K208" s="10" t="s">
        <v>1378</v>
      </c>
      <c r="L208" s="10">
        <v>1040</v>
      </c>
      <c r="M208" s="10">
        <v>5</v>
      </c>
      <c r="N208" s="10">
        <v>347</v>
      </c>
      <c r="O208" s="11" t="str">
        <f>HYPERLINK(AL208,"link")</f>
        <v>link</v>
      </c>
      <c r="P208" s="10" t="s">
        <v>1315</v>
      </c>
      <c r="Q208" s="12">
        <v>1</v>
      </c>
      <c r="R208" s="10" t="s">
        <v>49</v>
      </c>
      <c r="S208" t="s">
        <v>50</v>
      </c>
      <c r="T208" s="10" t="s">
        <v>51</v>
      </c>
      <c r="U208" s="13">
        <v>95.306388526727503</v>
      </c>
      <c r="V208" s="14" t="s">
        <v>56</v>
      </c>
      <c r="W208" s="15">
        <v>4.4069379544740972</v>
      </c>
      <c r="X208" s="16" t="s">
        <v>1381</v>
      </c>
      <c r="Y208" t="s">
        <v>214</v>
      </c>
      <c r="AA208" t="s">
        <v>159</v>
      </c>
      <c r="AC208" s="20"/>
      <c r="AD208" s="12"/>
      <c r="AE208" s="12" t="s">
        <v>56</v>
      </c>
      <c r="AF208" s="19" t="s">
        <v>56</v>
      </c>
      <c r="AG208" s="12" t="s">
        <v>1317</v>
      </c>
      <c r="AH208" s="12" t="s">
        <v>56</v>
      </c>
      <c r="AI208" s="12" t="s">
        <v>531</v>
      </c>
      <c r="AJ208" s="12" t="s">
        <v>1318</v>
      </c>
      <c r="AK208" s="12" t="s">
        <v>56</v>
      </c>
      <c r="AL208" s="12" t="s">
        <v>1382</v>
      </c>
      <c r="AM208" s="10">
        <v>0.31</v>
      </c>
      <c r="AN208" s="10" t="s">
        <v>56</v>
      </c>
      <c r="AO208" t="str">
        <f>_xlfn.CONCAT($AP$1,D208)</f>
        <v>c.1040C&gt;G</v>
      </c>
    </row>
    <row r="209" spans="1:41" ht="15" customHeight="1" x14ac:dyDescent="0.2">
      <c r="A209" s="10">
        <v>131</v>
      </c>
      <c r="B209" s="10" t="s">
        <v>39</v>
      </c>
      <c r="C209" s="10" t="s">
        <v>1383</v>
      </c>
      <c r="D209" s="10" t="s">
        <v>1384</v>
      </c>
      <c r="E209" s="10" t="s">
        <v>1385</v>
      </c>
      <c r="F209" s="10" t="s">
        <v>1386</v>
      </c>
      <c r="G209" s="10" t="s">
        <v>1387</v>
      </c>
      <c r="H209" s="10" t="s">
        <v>1388</v>
      </c>
      <c r="I209" s="10" t="s">
        <v>1389</v>
      </c>
      <c r="J209" s="10">
        <v>131</v>
      </c>
      <c r="K209" s="10" t="s">
        <v>1387</v>
      </c>
      <c r="L209" s="10">
        <v>1040</v>
      </c>
      <c r="M209" s="10">
        <v>5</v>
      </c>
      <c r="N209" s="10">
        <v>347</v>
      </c>
      <c r="O209" s="11" t="str">
        <f>HYPERLINK(AL209,"link")</f>
        <v>link</v>
      </c>
      <c r="P209" s="10" t="s">
        <v>1315</v>
      </c>
      <c r="Q209" s="12">
        <v>1</v>
      </c>
      <c r="R209" s="10" t="s">
        <v>49</v>
      </c>
      <c r="S209" t="s">
        <v>50</v>
      </c>
      <c r="T209" s="10" t="s">
        <v>51</v>
      </c>
      <c r="U209" s="13">
        <v>94.93521790341579</v>
      </c>
      <c r="V209" s="14" t="s">
        <v>56</v>
      </c>
      <c r="W209" s="15">
        <v>3.4383969775280105</v>
      </c>
      <c r="X209" s="16" t="s">
        <v>1390</v>
      </c>
      <c r="Y209" t="s">
        <v>214</v>
      </c>
      <c r="AA209" t="s">
        <v>159</v>
      </c>
      <c r="AC209" s="20"/>
      <c r="AD209" s="12"/>
      <c r="AE209" s="12" t="s">
        <v>56</v>
      </c>
      <c r="AF209" s="19" t="s">
        <v>56</v>
      </c>
      <c r="AG209" s="12" t="s">
        <v>1317</v>
      </c>
      <c r="AH209" s="12" t="s">
        <v>56</v>
      </c>
      <c r="AI209" s="12" t="s">
        <v>531</v>
      </c>
      <c r="AJ209" s="12" t="s">
        <v>1318</v>
      </c>
      <c r="AK209" s="12" t="s">
        <v>56</v>
      </c>
      <c r="AL209" s="12" t="s">
        <v>1391</v>
      </c>
      <c r="AM209" s="10">
        <v>0.35666666666666669</v>
      </c>
      <c r="AN209" s="10" t="s">
        <v>56</v>
      </c>
      <c r="AO209" t="str">
        <f>_xlfn.CONCAT($AP$1,D209)</f>
        <v>c.1040C&gt;T</v>
      </c>
    </row>
    <row r="210" spans="1:41" ht="15" customHeight="1" x14ac:dyDescent="0.2">
      <c r="A210" s="10">
        <v>143</v>
      </c>
      <c r="B210" s="10" t="s">
        <v>1431</v>
      </c>
      <c r="C210" s="10" t="s">
        <v>1492</v>
      </c>
      <c r="D210" s="10" t="s">
        <v>1493</v>
      </c>
      <c r="E210" s="10" t="s">
        <v>1494</v>
      </c>
      <c r="F210" s="10" t="s">
        <v>1495</v>
      </c>
      <c r="G210" s="10" t="s">
        <v>1496</v>
      </c>
      <c r="H210" s="10" t="s">
        <v>1497</v>
      </c>
      <c r="I210" s="10" t="s">
        <v>1497</v>
      </c>
      <c r="J210" s="10">
        <v>143</v>
      </c>
      <c r="K210" s="10" t="s">
        <v>1496</v>
      </c>
      <c r="L210" s="10">
        <v>1039</v>
      </c>
      <c r="M210" s="10">
        <v>5</v>
      </c>
      <c r="N210" s="10">
        <v>347</v>
      </c>
      <c r="O210" s="11" t="str">
        <f>HYPERLINK(AL210,"link")</f>
        <v>link</v>
      </c>
      <c r="P210" s="10" t="s">
        <v>270</v>
      </c>
      <c r="Q210" s="12" t="s">
        <v>270</v>
      </c>
      <c r="R210" s="10" t="s">
        <v>49</v>
      </c>
      <c r="T210" s="10" t="e">
        <v>#N/A</v>
      </c>
      <c r="U210" s="13">
        <v>95.780590717299575</v>
      </c>
      <c r="V210" s="14" t="s">
        <v>56</v>
      </c>
      <c r="W210" s="15">
        <v>3.5800709566707392</v>
      </c>
      <c r="X210" s="16" t="s">
        <v>1498</v>
      </c>
      <c r="Y210" t="s">
        <v>214</v>
      </c>
      <c r="AA210" t="s">
        <v>159</v>
      </c>
      <c r="AC210" s="20"/>
      <c r="AD210" s="12"/>
      <c r="AE210" s="12" t="s">
        <v>56</v>
      </c>
      <c r="AF210" s="19" t="s">
        <v>56</v>
      </c>
      <c r="AG210" s="12" t="s">
        <v>1317</v>
      </c>
      <c r="AH210" s="12" t="s">
        <v>56</v>
      </c>
      <c r="AI210" s="12" t="s">
        <v>531</v>
      </c>
      <c r="AJ210" s="12" t="s">
        <v>1318</v>
      </c>
      <c r="AK210" s="12" t="s">
        <v>56</v>
      </c>
      <c r="AL210" s="12" t="s">
        <v>1440</v>
      </c>
      <c r="AM210" s="10">
        <v>0.27333333333333332</v>
      </c>
      <c r="AN210" s="10" t="s">
        <v>56</v>
      </c>
      <c r="AO210" t="str">
        <f>_xlfn.CONCAT($AP$1,D210)</f>
        <v>c.1039_1041delCCGinsTGC</v>
      </c>
    </row>
    <row r="211" spans="1:41" ht="15" customHeight="1" x14ac:dyDescent="0.2">
      <c r="A211" s="10">
        <v>132</v>
      </c>
      <c r="B211" s="10" t="s">
        <v>39</v>
      </c>
      <c r="C211" s="10" t="s">
        <v>1392</v>
      </c>
      <c r="D211" s="10" t="s">
        <v>1393</v>
      </c>
      <c r="E211" s="10" t="s">
        <v>1394</v>
      </c>
      <c r="F211" s="10" t="s">
        <v>1395</v>
      </c>
      <c r="G211" s="10" t="s">
        <v>1396</v>
      </c>
      <c r="H211" s="10" t="s">
        <v>1397</v>
      </c>
      <c r="I211" s="10" t="s">
        <v>1398</v>
      </c>
      <c r="J211" s="10">
        <v>132</v>
      </c>
      <c r="K211" s="10" t="s">
        <v>1396</v>
      </c>
      <c r="L211" s="10">
        <v>1045</v>
      </c>
      <c r="M211" s="10">
        <v>5</v>
      </c>
      <c r="N211" s="10">
        <v>349</v>
      </c>
      <c r="O211" s="11" t="str">
        <f>HYPERLINK(AL211,"link")</f>
        <v>link</v>
      </c>
      <c r="P211" s="10" t="s">
        <v>1399</v>
      </c>
      <c r="Q211" s="12">
        <v>1</v>
      </c>
      <c r="R211" s="10" t="s">
        <v>49</v>
      </c>
      <c r="S211" t="s">
        <v>172</v>
      </c>
      <c r="T211" s="10" t="s">
        <v>173</v>
      </c>
      <c r="U211" s="13">
        <v>89.830508474576277</v>
      </c>
      <c r="V211" s="14" t="s">
        <v>56</v>
      </c>
      <c r="W211" s="15">
        <v>3.8434646170109787</v>
      </c>
      <c r="X211" s="16" t="s">
        <v>1400</v>
      </c>
      <c r="Y211" t="s">
        <v>214</v>
      </c>
      <c r="AA211" t="s">
        <v>159</v>
      </c>
      <c r="AC211" s="18" t="s">
        <v>1401</v>
      </c>
      <c r="AD211" s="12"/>
      <c r="AE211" s="12" t="e">
        <v>#N/A</v>
      </c>
      <c r="AF211" s="19" t="s">
        <v>56</v>
      </c>
      <c r="AG211" s="12" t="s">
        <v>1205</v>
      </c>
      <c r="AH211" s="12" t="s">
        <v>56</v>
      </c>
      <c r="AI211" s="12" t="s">
        <v>56</v>
      </c>
      <c r="AJ211" s="12" t="s">
        <v>56</v>
      </c>
      <c r="AK211" s="12" t="s">
        <v>56</v>
      </c>
      <c r="AL211" s="12" t="s">
        <v>276</v>
      </c>
      <c r="AM211" s="10" t="s">
        <v>56</v>
      </c>
      <c r="AN211" s="10" t="s">
        <v>56</v>
      </c>
      <c r="AO211" t="str">
        <f>_xlfn.CONCAT($AP$1,D211)</f>
        <v>c.1045T&gt;C</v>
      </c>
    </row>
    <row r="212" spans="1:41" ht="15" customHeight="1" x14ac:dyDescent="0.2">
      <c r="A212" s="10">
        <v>133</v>
      </c>
      <c r="B212" s="10" t="s">
        <v>39</v>
      </c>
      <c r="C212" s="10" t="s">
        <v>1402</v>
      </c>
      <c r="D212" s="10" t="s">
        <v>1403</v>
      </c>
      <c r="E212" s="10" t="s">
        <v>1404</v>
      </c>
      <c r="F212" s="10" t="s">
        <v>1405</v>
      </c>
      <c r="G212" s="10" t="s">
        <v>1406</v>
      </c>
      <c r="H212" s="10" t="s">
        <v>1407</v>
      </c>
      <c r="I212" s="10" t="s">
        <v>1408</v>
      </c>
      <c r="J212" s="10">
        <v>133</v>
      </c>
      <c r="K212" s="10" t="s">
        <v>1406</v>
      </c>
      <c r="L212" s="10">
        <v>1045</v>
      </c>
      <c r="M212" s="10">
        <v>5</v>
      </c>
      <c r="N212" s="10">
        <v>349</v>
      </c>
      <c r="O212" s="11" t="str">
        <f>HYPERLINK(AL212,"link")</f>
        <v>link</v>
      </c>
      <c r="P212" s="10" t="s">
        <v>1399</v>
      </c>
      <c r="Q212" s="12">
        <v>1</v>
      </c>
      <c r="R212" s="10" t="s">
        <v>49</v>
      </c>
      <c r="S212" t="s">
        <v>50</v>
      </c>
      <c r="T212" s="10" t="s">
        <v>51</v>
      </c>
      <c r="U212" s="13">
        <v>85.106382978723403</v>
      </c>
      <c r="V212" s="14" t="s">
        <v>56</v>
      </c>
      <c r="W212" s="15">
        <v>5.3567880454648238</v>
      </c>
      <c r="X212" s="16" t="s">
        <v>1409</v>
      </c>
      <c r="Y212" t="s">
        <v>214</v>
      </c>
      <c r="AA212" t="s">
        <v>159</v>
      </c>
      <c r="AC212" s="18" t="s">
        <v>1410</v>
      </c>
      <c r="AD212" s="12"/>
      <c r="AE212" s="12" t="e">
        <v>#N/A</v>
      </c>
      <c r="AF212" s="19" t="s">
        <v>56</v>
      </c>
      <c r="AG212" s="12" t="s">
        <v>1205</v>
      </c>
      <c r="AH212" s="12" t="s">
        <v>56</v>
      </c>
      <c r="AI212" s="12" t="s">
        <v>56</v>
      </c>
      <c r="AJ212" s="12" t="s">
        <v>56</v>
      </c>
      <c r="AK212" s="12" t="s">
        <v>56</v>
      </c>
      <c r="AL212" s="12" t="s">
        <v>1411</v>
      </c>
      <c r="AM212" s="10" t="s">
        <v>56</v>
      </c>
      <c r="AN212" s="10" t="s">
        <v>56</v>
      </c>
      <c r="AO212" t="str">
        <f>_xlfn.CONCAT($AP$1,D212)</f>
        <v>c.1045T&gt;G</v>
      </c>
    </row>
    <row r="213" spans="1:41" ht="15" customHeight="1" x14ac:dyDescent="0.2">
      <c r="A213" s="27">
        <v>215</v>
      </c>
      <c r="B213" s="12" t="s">
        <v>1954</v>
      </c>
      <c r="C213" s="10"/>
      <c r="D213" s="12"/>
      <c r="E213" s="12"/>
      <c r="F213" s="12"/>
      <c r="G213" s="12"/>
      <c r="H213" s="10"/>
      <c r="I213" s="10"/>
      <c r="J213" s="10"/>
      <c r="K213" s="10"/>
      <c r="L213" s="10"/>
      <c r="M213" s="10"/>
      <c r="N213" s="10"/>
      <c r="O213" s="29"/>
      <c r="P213" s="10"/>
      <c r="Q213" s="12"/>
      <c r="R213" s="10"/>
      <c r="T213" s="10" t="e">
        <v>#N/A</v>
      </c>
      <c r="U213" s="13">
        <v>92.868530696275457</v>
      </c>
      <c r="V213" s="14">
        <v>0.20895926886501542</v>
      </c>
      <c r="W213" s="12" t="s">
        <v>1955</v>
      </c>
      <c r="X213" s="16"/>
      <c r="Z213" s="30" t="s">
        <v>1919</v>
      </c>
      <c r="AA213" t="s">
        <v>1919</v>
      </c>
      <c r="AC213" s="20"/>
      <c r="AD213" s="12"/>
      <c r="AE213" s="12"/>
      <c r="AF213" s="12"/>
      <c r="AG213" s="12"/>
      <c r="AH213" s="12"/>
      <c r="AI213" s="12"/>
      <c r="AJ213" s="12"/>
      <c r="AK213" s="12"/>
      <c r="AL213" s="29"/>
      <c r="AM213" s="10" t="s">
        <v>56</v>
      </c>
      <c r="AN213" s="10" t="s">
        <v>56</v>
      </c>
    </row>
    <row r="214" spans="1:41" ht="15" customHeight="1" x14ac:dyDescent="0.2">
      <c r="A214" s="27"/>
      <c r="B214" s="12"/>
      <c r="C214" s="10"/>
      <c r="D214" s="12"/>
      <c r="E214" s="12"/>
      <c r="F214" s="12"/>
      <c r="G214" s="12"/>
      <c r="H214" s="10"/>
      <c r="I214" s="10"/>
      <c r="J214" s="10"/>
      <c r="K214" s="10"/>
      <c r="L214" s="10"/>
      <c r="M214" s="10"/>
      <c r="N214" s="10"/>
      <c r="O214" s="29"/>
      <c r="P214" s="10"/>
      <c r="Q214" s="12"/>
      <c r="R214" s="10"/>
      <c r="T214" s="10"/>
      <c r="U214" s="13"/>
      <c r="V214" s="14"/>
      <c r="W214" s="15"/>
      <c r="X214" s="16"/>
      <c r="AD214" s="12"/>
      <c r="AE214" s="12"/>
      <c r="AF214" s="12"/>
      <c r="AG214" s="12"/>
      <c r="AH214" s="12"/>
      <c r="AI214" s="12"/>
      <c r="AJ214" s="12"/>
      <c r="AK214" s="12"/>
      <c r="AL214" s="29"/>
      <c r="AM214" s="10"/>
      <c r="AN214" s="10"/>
    </row>
    <row r="215" spans="1:41" ht="15" customHeight="1" x14ac:dyDescent="0.2">
      <c r="O215" s="31"/>
      <c r="AL215" s="31"/>
    </row>
    <row r="216" spans="1:41" ht="15" customHeight="1" x14ac:dyDescent="0.2">
      <c r="G216" s="10"/>
      <c r="I216" s="32"/>
      <c r="K216" s="33"/>
      <c r="O216" s="31"/>
      <c r="P216" s="33"/>
      <c r="Q216" s="34"/>
      <c r="AL216" s="31"/>
    </row>
    <row r="217" spans="1:41" ht="15" customHeight="1" x14ac:dyDescent="0.2">
      <c r="G217" s="10"/>
      <c r="I217" s="32"/>
      <c r="K217" s="33"/>
      <c r="O217" s="31"/>
      <c r="P217" s="33"/>
      <c r="Q217" s="34"/>
      <c r="AL217" s="31"/>
    </row>
    <row r="218" spans="1:41" ht="15" customHeight="1" x14ac:dyDescent="0.2">
      <c r="G218" s="10"/>
      <c r="I218" s="32"/>
      <c r="K218" s="33"/>
      <c r="O218" s="31"/>
      <c r="P218" s="33"/>
      <c r="Q218" s="34"/>
      <c r="AL218" s="31"/>
    </row>
    <row r="219" spans="1:41" ht="15" customHeight="1" x14ac:dyDescent="0.2">
      <c r="H219" s="32"/>
      <c r="K219" s="33"/>
      <c r="O219" s="31"/>
      <c r="P219" s="33"/>
      <c r="Q219" s="34"/>
      <c r="AL219" s="31"/>
    </row>
    <row r="220" spans="1:41" ht="15" customHeight="1" x14ac:dyDescent="0.2">
      <c r="H220" s="32"/>
      <c r="K220" s="33"/>
      <c r="O220" s="31"/>
      <c r="P220" s="33"/>
      <c r="Q220" s="34"/>
      <c r="AL220" s="31"/>
    </row>
    <row r="221" spans="1:41" ht="15" customHeight="1" x14ac:dyDescent="0.2">
      <c r="H221" s="32"/>
      <c r="K221" s="33"/>
      <c r="O221" s="31"/>
      <c r="P221" s="33"/>
      <c r="Q221" s="34"/>
      <c r="AL221" s="31"/>
    </row>
    <row r="222" spans="1:41" ht="15" customHeight="1" x14ac:dyDescent="0.2">
      <c r="H222" s="32"/>
      <c r="K222" s="33"/>
      <c r="O222" s="31"/>
      <c r="P222" s="33"/>
      <c r="Q222" s="34"/>
      <c r="AL222" s="31"/>
    </row>
    <row r="223" spans="1:41" ht="15" customHeight="1" x14ac:dyDescent="0.2">
      <c r="H223" s="32"/>
      <c r="K223" s="33"/>
      <c r="O223" s="31"/>
      <c r="P223" s="33"/>
      <c r="Q223" s="34"/>
      <c r="AL223" s="31"/>
    </row>
    <row r="224" spans="1:41" ht="15" customHeight="1" x14ac:dyDescent="0.2">
      <c r="K224" s="33"/>
      <c r="O224" s="31"/>
      <c r="P224" s="33"/>
      <c r="Q224" s="34"/>
      <c r="AL224" s="31"/>
    </row>
    <row r="227" spans="15:40" ht="15" customHeight="1" x14ac:dyDescent="0.2">
      <c r="AN227" s="10"/>
    </row>
    <row r="228" spans="15:40" ht="15" customHeight="1" x14ac:dyDescent="0.2">
      <c r="AN228" s="10"/>
    </row>
    <row r="229" spans="15:40" ht="15" customHeight="1" x14ac:dyDescent="0.2">
      <c r="AN229" s="10"/>
    </row>
    <row r="230" spans="15:40" ht="15" customHeight="1" x14ac:dyDescent="0.2">
      <c r="AN230" s="10"/>
    </row>
    <row r="231" spans="15:40" ht="15" customHeight="1" x14ac:dyDescent="0.2">
      <c r="AN231" s="10"/>
    </row>
    <row r="232" spans="15:40" ht="15" customHeight="1" x14ac:dyDescent="0.2">
      <c r="AN232" s="10"/>
    </row>
    <row r="233" spans="15:40" ht="15" customHeight="1" x14ac:dyDescent="0.2">
      <c r="U233" s="13"/>
      <c r="AN233" s="10"/>
    </row>
    <row r="234" spans="15:40" ht="15" customHeight="1" x14ac:dyDescent="0.2">
      <c r="U234" s="13"/>
      <c r="AN234" s="10"/>
    </row>
    <row r="235" spans="15:40" ht="15" customHeight="1" x14ac:dyDescent="0.2">
      <c r="U235" s="13"/>
      <c r="AN235" s="10"/>
    </row>
    <row r="236" spans="15:40" ht="15" customHeight="1" x14ac:dyDescent="0.2">
      <c r="AN236" s="10"/>
    </row>
    <row r="237" spans="15:40" ht="15" customHeight="1" x14ac:dyDescent="0.2">
      <c r="AN237" s="10"/>
    </row>
    <row r="238" spans="15:40" ht="15" customHeight="1" x14ac:dyDescent="0.2">
      <c r="O238" s="11"/>
      <c r="AL238" s="12"/>
      <c r="AN238" s="10"/>
    </row>
    <row r="239" spans="15:40" ht="15" customHeight="1" x14ac:dyDescent="0.2">
      <c r="O239" s="11"/>
      <c r="AL239" s="12"/>
      <c r="AN239" s="10"/>
    </row>
    <row r="240" spans="15:40" ht="15" customHeight="1" x14ac:dyDescent="0.2">
      <c r="O240" s="11"/>
      <c r="AL240" s="12"/>
      <c r="AN240" s="10"/>
    </row>
    <row r="241" spans="3:40" s="35" customFormat="1" ht="108" customHeight="1" x14ac:dyDescent="0.2"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7"/>
      <c r="R241" s="36"/>
      <c r="S241" s="36"/>
      <c r="T241" s="36"/>
      <c r="U241" s="38"/>
      <c r="AB241" s="39"/>
      <c r="AD241" s="37"/>
      <c r="AE241" s="37"/>
      <c r="AF241" s="37"/>
      <c r="AG241" s="37"/>
      <c r="AH241" s="37"/>
      <c r="AI241" s="37"/>
      <c r="AJ241" s="37"/>
      <c r="AK241" s="37"/>
      <c r="AL241" s="36"/>
      <c r="AM241" s="36"/>
      <c r="AN241" s="36"/>
    </row>
    <row r="242" spans="3:40" ht="15" customHeight="1" x14ac:dyDescent="0.2">
      <c r="AN242" s="10"/>
    </row>
  </sheetData>
  <autoFilter ref="A1:AP1" xr:uid="{00000000-0001-0000-0000-000000000000}">
    <sortState xmlns:xlrd2="http://schemas.microsoft.com/office/spreadsheetml/2017/richdata2" ref="A2:AP213">
      <sortCondition ref="N1:N213"/>
    </sortState>
  </autoFilter>
  <conditionalFormatting sqref="U2:U214">
    <cfRule type="colorScale" priority="40">
      <colorScale>
        <cfvo type="num" val="75"/>
        <cfvo type="percentile" val="85"/>
        <cfvo type="num" val="90"/>
        <color rgb="FFF8696B"/>
        <color theme="0"/>
        <color rgb="FF63BE7B"/>
      </colorScale>
    </cfRule>
  </conditionalFormatting>
  <conditionalFormatting sqref="U233">
    <cfRule type="colorScale" priority="25">
      <colorScale>
        <cfvo type="num" val="75"/>
        <cfvo type="percentile" val="85"/>
        <cfvo type="num" val="90"/>
        <color rgb="FFF8696B"/>
        <color theme="0"/>
        <color rgb="FF63BE7B"/>
      </colorScale>
    </cfRule>
  </conditionalFormatting>
  <conditionalFormatting sqref="U234">
    <cfRule type="colorScale" priority="26">
      <colorScale>
        <cfvo type="num" val="75"/>
        <cfvo type="percentile" val="85"/>
        <cfvo type="num" val="90"/>
        <color rgb="FFF8696B"/>
        <color theme="0"/>
        <color rgb="FF63BE7B"/>
      </colorScale>
    </cfRule>
  </conditionalFormatting>
  <conditionalFormatting sqref="U235">
    <cfRule type="colorScale" priority="27">
      <colorScale>
        <cfvo type="num" val="75"/>
        <cfvo type="percentile" val="85"/>
        <cfvo type="num" val="90"/>
        <color rgb="FFF8696B"/>
        <color theme="0"/>
        <color rgb="FF63BE7B"/>
      </colorScale>
    </cfRule>
  </conditionalFormatting>
  <conditionalFormatting sqref="W2:W212">
    <cfRule type="colorScale" priority="28">
      <colorScale>
        <cfvo type="num" val="2"/>
        <cfvo type="percentile" val="3"/>
        <cfvo type="num" val="4"/>
        <color rgb="FFF8696B"/>
        <color theme="0"/>
        <color rgb="FF63BE7B"/>
      </colorScale>
    </cfRule>
  </conditionalFormatting>
  <conditionalFormatting sqref="Y2:Y212">
    <cfRule type="containsText" dxfId="11" priority="35" stopIfTrue="1" operator="containsText" text="very">
      <formula>NOT(ISERROR(SEARCH("very",Y2)))</formula>
    </cfRule>
    <cfRule type="containsText" dxfId="10" priority="36" operator="containsText" text="low">
      <formula>NOT(ISERROR(SEARCH("low",Y2)))</formula>
    </cfRule>
    <cfRule type="containsText" dxfId="9" priority="37" operator="containsText" text="high">
      <formula>NOT(ISERROR(SEARCH("high",Y2)))</formula>
    </cfRule>
  </conditionalFormatting>
  <conditionalFormatting sqref="Z2:Z6 Z8:Z40 Z42:Z158 Z160:Z195 Z197:Z212">
    <cfRule type="containsText" dxfId="8" priority="38" operator="containsText" text="wildtype">
      <formula>NOT(ISERROR(SEARCH("wildtype",Z2)))</formula>
    </cfRule>
    <cfRule type="containsText" dxfId="7" priority="39" operator="containsText" text="pathogenic">
      <formula>NOT(ISERROR(SEARCH("pathogenic",Z2)))</formula>
    </cfRule>
  </conditionalFormatting>
  <conditionalFormatting sqref="Z159">
    <cfRule type="containsText" dxfId="6" priority="22" stopIfTrue="1" operator="containsText" text="very">
      <formula>NOT(ISERROR(SEARCH("very",Z159)))</formula>
    </cfRule>
    <cfRule type="containsText" dxfId="5" priority="23" operator="containsText" text="low">
      <formula>NOT(ISERROR(SEARCH("low",Z159)))</formula>
    </cfRule>
    <cfRule type="containsText" dxfId="4" priority="24" operator="containsText" text="high">
      <formula>NOT(ISERROR(SEARCH("high",Z159)))</formula>
    </cfRule>
  </conditionalFormatting>
  <conditionalFormatting sqref="Z196">
    <cfRule type="containsText" dxfId="3" priority="32" stopIfTrue="1" operator="containsText" text="very">
      <formula>NOT(ISERROR(SEARCH("very",Z196)))</formula>
    </cfRule>
    <cfRule type="containsText" dxfId="2" priority="33" operator="containsText" text="low">
      <formula>NOT(ISERROR(SEARCH("low",Z196)))</formula>
    </cfRule>
    <cfRule type="containsText" dxfId="1" priority="34" operator="containsText" text="high">
      <formula>NOT(ISERROR(SEARCH("high",Z196)))</formula>
    </cfRule>
  </conditionalFormatting>
  <conditionalFormatting sqref="AA2:AA213">
    <cfRule type="containsText" priority="1" stopIfTrue="1" operator="containsText" text="confirm">
      <formula>NOT(ISERROR(SEARCH("confirm",AA2)))</formula>
    </cfRule>
    <cfRule type="containsText" priority="2" stopIfTrue="1" operator="containsText" text="not inform">
      <formula>NOT(ISERROR(SEARCH("not inform",AA2)))</formula>
    </cfRule>
    <cfRule type="notContainsBlanks" dxfId="0" priority="3">
      <formula>LEN(TRIM(AA2))&gt;0</formula>
    </cfRule>
  </conditionalFormatting>
  <pageMargins left="0.7" right="0.7" top="0.75" bottom="0.75" header="0.3" footer="0.3"/>
  <pageSetup orientation="portrait" horizontalDpi="4294967292" vertic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Comander, Jason</dc:creator>
  <cp:lastModifiedBy>mtejura</cp:lastModifiedBy>
  <dcterms:created xsi:type="dcterms:W3CDTF">2018-07-19T20:49:29Z</dcterms:created>
  <dcterms:modified xsi:type="dcterms:W3CDTF">2025-03-14T04:28:41Z</dcterms:modified>
</cp:coreProperties>
</file>