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v01/Library/CloudStorage/Box-Box/Adamovich_BRCA1_Pools4-6_paper/Revision Dec 1/Dec 7/"/>
    </mc:Choice>
  </mc:AlternateContent>
  <xr:revisionPtr revIDLastSave="0" documentId="13_ncr:1_{B42DF881-A9BF-B64E-BF78-05B1E45C3843}" xr6:coauthVersionLast="47" xr6:coauthVersionMax="47" xr10:uidLastSave="{00000000-0000-0000-0000-000000000000}"/>
  <bookViews>
    <workbookView xWindow="4980" yWindow="2760" windowWidth="28800" windowHeight="17500" firstSheet="1" activeTab="9" xr2:uid="{7B8A3241-8BBD-F249-A7DB-88EEF6470225}"/>
  </bookViews>
  <sheets>
    <sheet name="Supp. Table S1" sheetId="1" r:id="rId1"/>
    <sheet name="Supp. Table S2" sheetId="17" r:id="rId2"/>
    <sheet name="Supp. Table S3" sheetId="18" r:id="rId3"/>
    <sheet name="Supp. Table S4" sheetId="21" r:id="rId4"/>
    <sheet name="Supp. Table S5" sheetId="22" r:id="rId5"/>
    <sheet name="Supp. Table S6" sheetId="20" r:id="rId6"/>
    <sheet name="Supp. Table S7" sheetId="19" r:id="rId7"/>
    <sheet name="Supp. Table S8" sheetId="23" r:id="rId8"/>
    <sheet name="Supp. Table S9" sheetId="25" r:id="rId9"/>
    <sheet name="Supp. Table S10" sheetId="26" r:id="rId10"/>
    <sheet name="Supp. Table S11" sheetId="24" r:id="rId11"/>
  </sheets>
  <definedNames>
    <definedName name="_xlnm._FilterDatabase" localSheetId="1" hidden="1">'Supp. Table S2'!$A$1:$Q$2272</definedName>
    <definedName name="_xlnm._FilterDatabase" localSheetId="2" hidden="1">'Supp. Table S3'!$A$1:$Q$1428</definedName>
    <definedName name="_xlnm._FilterDatabase" localSheetId="3" hidden="1">'Supp. Table S4'!$A$1:$J$71</definedName>
    <definedName name="_xlnm._FilterDatabase" localSheetId="4" hidden="1">'Supp. Table S5'!$A$1:$J$66</definedName>
    <definedName name="_xlnm._FilterDatabase" localSheetId="6" hidden="1">'Supp. Table S7'!$A$1:$K$192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" i="25" l="1"/>
  <c r="B3" i="25"/>
  <c r="C3" i="25"/>
  <c r="A4" i="25"/>
  <c r="B4" i="25"/>
  <c r="C4" i="25"/>
  <c r="A5" i="25"/>
  <c r="B5" i="25"/>
  <c r="C5" i="25"/>
  <c r="A6" i="25"/>
  <c r="B6" i="25"/>
  <c r="C6" i="25"/>
  <c r="A7" i="25"/>
  <c r="B7" i="25"/>
  <c r="C7" i="25"/>
  <c r="A8" i="25"/>
  <c r="B8" i="25"/>
  <c r="C8" i="25"/>
  <c r="A9" i="25"/>
  <c r="B9" i="25"/>
  <c r="C9" i="25"/>
  <c r="A10" i="25"/>
  <c r="B10" i="25"/>
  <c r="C10" i="25"/>
  <c r="A11" i="25"/>
  <c r="B11" i="25"/>
  <c r="C11" i="25"/>
  <c r="A12" i="25"/>
  <c r="B12" i="25"/>
  <c r="C12" i="25"/>
  <c r="A13" i="25"/>
  <c r="B13" i="25"/>
  <c r="C13" i="25"/>
  <c r="A14" i="25"/>
  <c r="B14" i="25"/>
  <c r="C14" i="25"/>
  <c r="A15" i="25"/>
  <c r="B15" i="25"/>
  <c r="C15" i="25"/>
  <c r="A16" i="25"/>
  <c r="B16" i="25"/>
  <c r="C16" i="25"/>
  <c r="A17" i="25"/>
  <c r="B17" i="25"/>
  <c r="C17" i="25"/>
  <c r="A18" i="25"/>
  <c r="B18" i="25"/>
  <c r="C18" i="25"/>
  <c r="A19" i="25"/>
  <c r="B19" i="25"/>
  <c r="C19" i="25"/>
  <c r="A20" i="25"/>
  <c r="B20" i="25"/>
  <c r="C20" i="25"/>
  <c r="A21" i="25"/>
  <c r="B21" i="25"/>
  <c r="C21" i="25"/>
  <c r="A22" i="25"/>
  <c r="B22" i="25"/>
  <c r="C22" i="25"/>
  <c r="A23" i="25"/>
  <c r="B23" i="25"/>
  <c r="C23" i="25"/>
  <c r="A24" i="25"/>
  <c r="B24" i="25"/>
  <c r="C24" i="25"/>
  <c r="A25" i="25"/>
  <c r="B25" i="25"/>
  <c r="C25" i="25"/>
  <c r="A26" i="25"/>
  <c r="B26" i="25"/>
  <c r="C26" i="25"/>
  <c r="A27" i="25"/>
  <c r="B27" i="25"/>
  <c r="C27" i="25"/>
  <c r="A28" i="25"/>
  <c r="B28" i="25"/>
  <c r="C28" i="25"/>
  <c r="A29" i="25"/>
  <c r="B29" i="25"/>
  <c r="C29" i="25"/>
  <c r="A30" i="25"/>
  <c r="B30" i="25"/>
  <c r="C30" i="25"/>
  <c r="A31" i="25"/>
  <c r="B31" i="25"/>
  <c r="C31" i="25"/>
  <c r="A32" i="25"/>
  <c r="B32" i="25"/>
  <c r="C32" i="25"/>
  <c r="A33" i="25"/>
  <c r="B33" i="25"/>
  <c r="C33" i="25"/>
  <c r="A34" i="25"/>
  <c r="B34" i="25"/>
  <c r="C34" i="25"/>
  <c r="A35" i="25"/>
  <c r="B35" i="25"/>
  <c r="C35" i="25"/>
  <c r="A36" i="25"/>
  <c r="B36" i="25"/>
  <c r="C36" i="25"/>
  <c r="A37" i="25"/>
  <c r="B37" i="25"/>
  <c r="C37" i="25"/>
  <c r="A38" i="25"/>
  <c r="B38" i="25"/>
  <c r="C38" i="25"/>
  <c r="A39" i="25"/>
  <c r="B39" i="25"/>
  <c r="C39" i="25"/>
  <c r="A40" i="25"/>
  <c r="B40" i="25"/>
  <c r="C40" i="25"/>
  <c r="A41" i="25"/>
  <c r="B41" i="25"/>
  <c r="C41" i="25"/>
  <c r="A42" i="25"/>
  <c r="B42" i="25"/>
  <c r="C42" i="25"/>
  <c r="A43" i="25"/>
  <c r="B43" i="25"/>
  <c r="C43" i="25"/>
  <c r="A44" i="25"/>
  <c r="B44" i="25"/>
  <c r="C44" i="25"/>
  <c r="A45" i="25"/>
  <c r="B45" i="25"/>
  <c r="C45" i="25"/>
  <c r="A46" i="25"/>
  <c r="B46" i="25"/>
  <c r="C46" i="25"/>
  <c r="A47" i="25"/>
  <c r="B47" i="25"/>
  <c r="C47" i="25"/>
  <c r="A48" i="25"/>
  <c r="B48" i="25"/>
  <c r="C48" i="25"/>
  <c r="A49" i="25"/>
  <c r="B49" i="25"/>
  <c r="C49" i="25"/>
  <c r="A50" i="25"/>
  <c r="B50" i="25"/>
  <c r="C50" i="25"/>
  <c r="A51" i="25"/>
  <c r="B51" i="25"/>
  <c r="C51" i="25"/>
  <c r="A52" i="25"/>
  <c r="B52" i="25"/>
  <c r="C52" i="25"/>
  <c r="A53" i="25"/>
  <c r="B53" i="25"/>
  <c r="C53" i="25"/>
  <c r="A54" i="25"/>
  <c r="B54" i="25"/>
  <c r="C54" i="25"/>
  <c r="A55" i="25"/>
  <c r="B55" i="25"/>
  <c r="C55" i="25"/>
  <c r="A56" i="25"/>
  <c r="B56" i="25"/>
  <c r="C56" i="25"/>
  <c r="A57" i="25"/>
  <c r="B57" i="25"/>
  <c r="C57" i="25"/>
  <c r="A58" i="25"/>
  <c r="B58" i="25"/>
  <c r="C58" i="25"/>
  <c r="A59" i="25"/>
  <c r="B59" i="25"/>
  <c r="C59" i="25"/>
  <c r="A60" i="25"/>
  <c r="B60" i="25"/>
  <c r="C60" i="25"/>
  <c r="A61" i="25"/>
  <c r="B61" i="25"/>
  <c r="C61" i="25"/>
  <c r="A62" i="25"/>
  <c r="B62" i="25"/>
  <c r="C62" i="25"/>
  <c r="A63" i="25"/>
  <c r="B63" i="25"/>
  <c r="C63" i="25"/>
  <c r="A64" i="25"/>
  <c r="B64" i="25"/>
  <c r="C64" i="25"/>
  <c r="A65" i="25"/>
  <c r="B65" i="25"/>
  <c r="C65" i="25"/>
  <c r="A66" i="25"/>
  <c r="B66" i="25"/>
  <c r="C66" i="25"/>
  <c r="A67" i="25"/>
  <c r="B67" i="25"/>
  <c r="C67" i="25"/>
  <c r="A68" i="25"/>
  <c r="B68" i="25"/>
  <c r="C68" i="25"/>
  <c r="A69" i="25"/>
  <c r="B69" i="25"/>
  <c r="C69" i="25"/>
  <c r="A70" i="25"/>
  <c r="B70" i="25"/>
  <c r="C70" i="25"/>
  <c r="A71" i="25"/>
  <c r="B71" i="25"/>
  <c r="C71" i="25"/>
  <c r="A72" i="25"/>
  <c r="B72" i="25"/>
  <c r="C72" i="25"/>
  <c r="A73" i="25"/>
  <c r="B73" i="25"/>
  <c r="C73" i="25"/>
  <c r="A74" i="25"/>
  <c r="B74" i="25"/>
  <c r="C74" i="25"/>
  <c r="A75" i="25"/>
  <c r="B75" i="25"/>
  <c r="C75" i="25"/>
  <c r="A76" i="25"/>
  <c r="B76" i="25"/>
  <c r="C76" i="25"/>
  <c r="A77" i="25"/>
  <c r="B77" i="25"/>
  <c r="C77" i="25"/>
  <c r="A78" i="25"/>
  <c r="B78" i="25"/>
  <c r="C78" i="25"/>
  <c r="A79" i="25"/>
  <c r="B79" i="25"/>
  <c r="C79" i="25"/>
  <c r="A80" i="25"/>
  <c r="B80" i="25"/>
  <c r="C80" i="25"/>
  <c r="A81" i="25"/>
  <c r="B81" i="25"/>
  <c r="C81" i="25"/>
  <c r="A82" i="25"/>
  <c r="B82" i="25"/>
  <c r="C82" i="25"/>
  <c r="A83" i="25"/>
  <c r="B83" i="25"/>
  <c r="C83" i="25"/>
  <c r="A84" i="25"/>
  <c r="B84" i="25"/>
  <c r="C84" i="25"/>
  <c r="A85" i="25"/>
  <c r="B85" i="25"/>
  <c r="C85" i="25"/>
  <c r="A86" i="25"/>
  <c r="B86" i="25"/>
  <c r="C86" i="25"/>
  <c r="A87" i="25"/>
  <c r="B87" i="25"/>
  <c r="C87" i="25"/>
  <c r="A88" i="25"/>
  <c r="B88" i="25"/>
  <c r="C88" i="25"/>
  <c r="A89" i="25"/>
  <c r="B89" i="25"/>
  <c r="C89" i="25"/>
  <c r="A90" i="25"/>
  <c r="B90" i="25"/>
  <c r="C90" i="25"/>
  <c r="A91" i="25"/>
  <c r="B91" i="25"/>
  <c r="C91" i="25"/>
  <c r="A92" i="25"/>
  <c r="B92" i="25"/>
  <c r="C92" i="25"/>
  <c r="A93" i="25"/>
  <c r="B93" i="25"/>
  <c r="C93" i="25"/>
  <c r="A94" i="25"/>
  <c r="B94" i="25"/>
  <c r="C94" i="25"/>
  <c r="A95" i="25"/>
  <c r="B95" i="25"/>
  <c r="C95" i="25"/>
  <c r="A96" i="25"/>
  <c r="B96" i="25"/>
  <c r="C96" i="25"/>
  <c r="A97" i="25"/>
  <c r="B97" i="25"/>
  <c r="C97" i="25"/>
  <c r="A98" i="25"/>
  <c r="B98" i="25"/>
  <c r="C98" i="25"/>
  <c r="A99" i="25"/>
  <c r="B99" i="25"/>
  <c r="C99" i="25"/>
  <c r="A100" i="25"/>
  <c r="B100" i="25"/>
  <c r="C100" i="25"/>
  <c r="A101" i="25"/>
  <c r="B101" i="25"/>
  <c r="C101" i="25"/>
  <c r="A102" i="25"/>
  <c r="B102" i="25"/>
  <c r="C102" i="25"/>
  <c r="A103" i="25"/>
  <c r="B103" i="25"/>
  <c r="C103" i="25"/>
  <c r="A104" i="25"/>
  <c r="B104" i="25"/>
  <c r="C104" i="25"/>
  <c r="A105" i="25"/>
  <c r="B105" i="25"/>
  <c r="C105" i="25"/>
  <c r="A106" i="25"/>
  <c r="B106" i="25"/>
  <c r="C106" i="25"/>
  <c r="A107" i="25"/>
  <c r="B107" i="25"/>
  <c r="C107" i="25"/>
  <c r="A108" i="25"/>
  <c r="B108" i="25"/>
  <c r="C108" i="25"/>
  <c r="A109" i="25"/>
  <c r="B109" i="25"/>
  <c r="C109" i="25"/>
  <c r="A110" i="25"/>
  <c r="B110" i="25"/>
  <c r="C110" i="25"/>
  <c r="A111" i="25"/>
  <c r="B111" i="25"/>
  <c r="C111" i="25"/>
  <c r="A112" i="25"/>
  <c r="B112" i="25"/>
  <c r="C112" i="25"/>
  <c r="A113" i="25"/>
  <c r="B113" i="25"/>
  <c r="C113" i="25"/>
  <c r="A114" i="25"/>
  <c r="B114" i="25"/>
  <c r="C114" i="25"/>
  <c r="A115" i="25"/>
  <c r="B115" i="25"/>
  <c r="C115" i="25"/>
  <c r="A116" i="25"/>
  <c r="B116" i="25"/>
  <c r="C116" i="25"/>
  <c r="A117" i="25"/>
  <c r="B117" i="25"/>
  <c r="C117" i="25"/>
  <c r="A118" i="25"/>
  <c r="B118" i="25"/>
  <c r="C118" i="25"/>
  <c r="A119" i="25"/>
  <c r="B119" i="25"/>
  <c r="C119" i="25"/>
  <c r="A120" i="25"/>
  <c r="B120" i="25"/>
  <c r="C120" i="25"/>
  <c r="A121" i="25"/>
  <c r="B121" i="25"/>
  <c r="C121" i="25"/>
  <c r="A122" i="25"/>
  <c r="B122" i="25"/>
  <c r="C122" i="25"/>
  <c r="A123" i="25"/>
  <c r="B123" i="25"/>
  <c r="C123" i="25"/>
  <c r="A124" i="25"/>
  <c r="B124" i="25"/>
  <c r="C124" i="25"/>
  <c r="A125" i="25"/>
  <c r="B125" i="25"/>
  <c r="C125" i="25"/>
  <c r="A126" i="25"/>
  <c r="B126" i="25"/>
  <c r="C126" i="25"/>
  <c r="A127" i="25"/>
  <c r="B127" i="25"/>
  <c r="C127" i="25"/>
  <c r="A128" i="25"/>
  <c r="B128" i="25"/>
  <c r="C128" i="25"/>
  <c r="A129" i="25"/>
  <c r="B129" i="25"/>
  <c r="C129" i="25"/>
  <c r="A130" i="25"/>
  <c r="B130" i="25"/>
  <c r="C130" i="25"/>
  <c r="A131" i="25"/>
  <c r="B131" i="25"/>
  <c r="C131" i="25"/>
  <c r="A132" i="25"/>
  <c r="B132" i="25"/>
  <c r="C132" i="25"/>
  <c r="A133" i="25"/>
  <c r="B133" i="25"/>
  <c r="C133" i="25"/>
  <c r="A134" i="25"/>
  <c r="B134" i="25"/>
  <c r="C134" i="25"/>
  <c r="A135" i="25"/>
  <c r="B135" i="25"/>
  <c r="C135" i="25"/>
  <c r="A136" i="25"/>
  <c r="B136" i="25"/>
  <c r="C136" i="25"/>
  <c r="A137" i="25"/>
  <c r="B137" i="25"/>
  <c r="C137" i="25"/>
  <c r="A138" i="25"/>
  <c r="B138" i="25"/>
  <c r="C138" i="25"/>
  <c r="A139" i="25"/>
  <c r="B139" i="25"/>
  <c r="C139" i="25"/>
  <c r="A140" i="25"/>
  <c r="B140" i="25"/>
  <c r="C140" i="25"/>
  <c r="A141" i="25"/>
  <c r="B141" i="25"/>
  <c r="C141" i="25"/>
  <c r="A142" i="25"/>
  <c r="B142" i="25"/>
  <c r="C142" i="25"/>
  <c r="A143" i="25"/>
  <c r="B143" i="25"/>
  <c r="C143" i="25"/>
  <c r="A144" i="25"/>
  <c r="B144" i="25"/>
  <c r="C144" i="25"/>
  <c r="A145" i="25"/>
  <c r="B145" i="25"/>
  <c r="C145" i="25"/>
  <c r="A146" i="25"/>
  <c r="B146" i="25"/>
  <c r="C146" i="25"/>
  <c r="A147" i="25"/>
  <c r="B147" i="25"/>
  <c r="C147" i="25"/>
  <c r="A148" i="25"/>
  <c r="B148" i="25"/>
  <c r="C148" i="25"/>
  <c r="A149" i="25"/>
  <c r="B149" i="25"/>
  <c r="C149" i="25"/>
  <c r="A150" i="25"/>
  <c r="B150" i="25"/>
  <c r="C150" i="25"/>
  <c r="A151" i="25"/>
  <c r="B151" i="25"/>
  <c r="C151" i="25"/>
  <c r="A152" i="25"/>
  <c r="B152" i="25"/>
  <c r="C152" i="25"/>
  <c r="A153" i="25"/>
  <c r="B153" i="25"/>
  <c r="C153" i="25"/>
  <c r="A154" i="25"/>
  <c r="B154" i="25"/>
  <c r="C154" i="25"/>
  <c r="A155" i="25"/>
  <c r="B155" i="25"/>
  <c r="C155" i="25"/>
  <c r="A156" i="25"/>
  <c r="B156" i="25"/>
  <c r="C156" i="25"/>
  <c r="A157" i="25"/>
  <c r="B157" i="25"/>
  <c r="C157" i="25"/>
  <c r="A158" i="25"/>
  <c r="B158" i="25"/>
  <c r="C158" i="25"/>
  <c r="A159" i="25"/>
  <c r="B159" i="25"/>
  <c r="C159" i="25"/>
  <c r="A160" i="25"/>
  <c r="B160" i="25"/>
  <c r="C160" i="25"/>
  <c r="A161" i="25"/>
  <c r="B161" i="25"/>
  <c r="C161" i="25"/>
  <c r="A162" i="25"/>
  <c r="B162" i="25"/>
  <c r="C162" i="25"/>
  <c r="A163" i="25"/>
  <c r="B163" i="25"/>
  <c r="C163" i="25"/>
  <c r="A164" i="25"/>
  <c r="B164" i="25"/>
  <c r="C164" i="25"/>
  <c r="A165" i="25"/>
  <c r="B165" i="25"/>
  <c r="C165" i="25"/>
  <c r="A166" i="25"/>
  <c r="B166" i="25"/>
  <c r="C166" i="25"/>
  <c r="A167" i="25"/>
  <c r="B167" i="25"/>
  <c r="C167" i="25"/>
  <c r="A168" i="25"/>
  <c r="B168" i="25"/>
  <c r="C168" i="25"/>
  <c r="A169" i="25"/>
  <c r="B169" i="25"/>
  <c r="C169" i="25"/>
  <c r="A170" i="25"/>
  <c r="B170" i="25"/>
  <c r="C170" i="25"/>
  <c r="A171" i="25"/>
  <c r="B171" i="25"/>
  <c r="C171" i="25"/>
  <c r="A172" i="25"/>
  <c r="B172" i="25"/>
  <c r="C172" i="25"/>
  <c r="A173" i="25"/>
  <c r="B173" i="25"/>
  <c r="C173" i="25"/>
  <c r="A174" i="25"/>
  <c r="B174" i="25"/>
  <c r="C174" i="25"/>
  <c r="A175" i="25"/>
  <c r="B175" i="25"/>
  <c r="C175" i="25"/>
  <c r="A176" i="25"/>
  <c r="B176" i="25"/>
  <c r="C176" i="25"/>
  <c r="A177" i="25"/>
  <c r="B177" i="25"/>
  <c r="C177" i="25"/>
  <c r="A178" i="25"/>
  <c r="B178" i="25"/>
  <c r="C178" i="25"/>
  <c r="A179" i="25"/>
  <c r="B179" i="25"/>
  <c r="C179" i="25"/>
  <c r="A180" i="25"/>
  <c r="B180" i="25"/>
  <c r="C180" i="25"/>
  <c r="A181" i="25"/>
  <c r="B181" i="25"/>
  <c r="C181" i="25"/>
  <c r="A182" i="25"/>
  <c r="B182" i="25"/>
  <c r="C182" i="25"/>
  <c r="A183" i="25"/>
  <c r="B183" i="25"/>
  <c r="C183" i="25"/>
  <c r="A184" i="25"/>
  <c r="B184" i="25"/>
  <c r="C184" i="25"/>
  <c r="A185" i="25"/>
  <c r="B185" i="25"/>
  <c r="C185" i="25"/>
  <c r="A186" i="25"/>
  <c r="B186" i="25"/>
  <c r="C186" i="25"/>
  <c r="A187" i="25"/>
  <c r="B187" i="25"/>
  <c r="C187" i="25"/>
  <c r="A188" i="25"/>
  <c r="B188" i="25"/>
  <c r="C188" i="25"/>
  <c r="A189" i="25"/>
  <c r="B189" i="25"/>
  <c r="C189" i="25"/>
  <c r="A190" i="25"/>
  <c r="B190" i="25"/>
  <c r="C190" i="25"/>
  <c r="A191" i="25"/>
  <c r="B191" i="25"/>
  <c r="C191" i="25"/>
  <c r="A192" i="25"/>
  <c r="B192" i="25"/>
  <c r="C192" i="25"/>
  <c r="A193" i="25"/>
  <c r="B193" i="25"/>
  <c r="C193" i="25"/>
  <c r="A194" i="25"/>
  <c r="B194" i="25"/>
  <c r="C194" i="25"/>
  <c r="A195" i="25"/>
  <c r="B195" i="25"/>
  <c r="C195" i="25"/>
  <c r="A196" i="25"/>
  <c r="B196" i="25"/>
  <c r="C196" i="25"/>
  <c r="A197" i="25"/>
  <c r="B197" i="25"/>
  <c r="C197" i="25"/>
  <c r="A198" i="25"/>
  <c r="B198" i="25"/>
  <c r="C198" i="25"/>
  <c r="A199" i="25"/>
  <c r="B199" i="25"/>
  <c r="C199" i="25"/>
  <c r="A200" i="25"/>
  <c r="B200" i="25"/>
  <c r="C200" i="25"/>
  <c r="A201" i="25"/>
  <c r="B201" i="25"/>
  <c r="C201" i="25"/>
  <c r="A202" i="25"/>
  <c r="B202" i="25"/>
  <c r="C202" i="25"/>
  <c r="A203" i="25"/>
  <c r="B203" i="25"/>
  <c r="C203" i="25"/>
  <c r="A204" i="25"/>
  <c r="B204" i="25"/>
  <c r="C204" i="25"/>
  <c r="A205" i="25"/>
  <c r="B205" i="25"/>
  <c r="C205" i="25"/>
  <c r="A206" i="25"/>
  <c r="B206" i="25"/>
  <c r="C206" i="25"/>
  <c r="A207" i="25"/>
  <c r="B207" i="25"/>
  <c r="C207" i="25"/>
  <c r="A208" i="25"/>
  <c r="B208" i="25"/>
  <c r="C208" i="25"/>
  <c r="A209" i="25"/>
  <c r="B209" i="25"/>
  <c r="C209" i="25"/>
  <c r="A210" i="25"/>
  <c r="B210" i="25"/>
  <c r="C210" i="25"/>
  <c r="A211" i="25"/>
  <c r="B211" i="25"/>
  <c r="C211" i="25"/>
  <c r="A212" i="25"/>
  <c r="B212" i="25"/>
  <c r="C212" i="25"/>
  <c r="A213" i="25"/>
  <c r="B213" i="25"/>
  <c r="C213" i="25"/>
  <c r="A214" i="25"/>
  <c r="B214" i="25"/>
  <c r="C214" i="25"/>
  <c r="A215" i="25"/>
  <c r="B215" i="25"/>
  <c r="C215" i="25"/>
  <c r="A216" i="25"/>
  <c r="B216" i="25"/>
  <c r="C216" i="25"/>
  <c r="A217" i="25"/>
  <c r="B217" i="25"/>
  <c r="C217" i="25"/>
  <c r="A218" i="25"/>
  <c r="B218" i="25"/>
  <c r="C218" i="25"/>
  <c r="A219" i="25"/>
  <c r="B219" i="25"/>
  <c r="C219" i="25"/>
  <c r="A220" i="25"/>
  <c r="B220" i="25"/>
  <c r="C220" i="25"/>
  <c r="A221" i="25"/>
  <c r="B221" i="25"/>
  <c r="C221" i="25"/>
  <c r="A222" i="25"/>
  <c r="B222" i="25"/>
  <c r="C222" i="25"/>
  <c r="A223" i="25"/>
  <c r="B223" i="25"/>
  <c r="C223" i="25"/>
  <c r="A224" i="25"/>
  <c r="B224" i="25"/>
  <c r="C224" i="25"/>
  <c r="A225" i="25"/>
  <c r="B225" i="25"/>
  <c r="C225" i="25"/>
  <c r="A226" i="25"/>
  <c r="B226" i="25"/>
  <c r="C226" i="25"/>
  <c r="A227" i="25"/>
  <c r="B227" i="25"/>
  <c r="C227" i="25"/>
  <c r="A228" i="25"/>
  <c r="B228" i="25"/>
  <c r="C228" i="25"/>
  <c r="A229" i="25"/>
  <c r="B229" i="25"/>
  <c r="C229" i="25"/>
  <c r="A230" i="25"/>
  <c r="B230" i="25"/>
  <c r="C230" i="25"/>
  <c r="A231" i="25"/>
  <c r="B231" i="25"/>
  <c r="C231" i="25"/>
  <c r="A232" i="25"/>
  <c r="B232" i="25"/>
  <c r="C232" i="25"/>
  <c r="A233" i="25"/>
  <c r="B233" i="25"/>
  <c r="C233" i="25"/>
  <c r="A234" i="25"/>
  <c r="B234" i="25"/>
  <c r="C234" i="25"/>
  <c r="A235" i="25"/>
  <c r="B235" i="25"/>
  <c r="C235" i="25"/>
  <c r="A236" i="25"/>
  <c r="B236" i="25"/>
  <c r="C236" i="25"/>
  <c r="A237" i="25"/>
  <c r="B237" i="25"/>
  <c r="C237" i="25"/>
  <c r="A238" i="25"/>
  <c r="B238" i="25"/>
  <c r="C238" i="25"/>
  <c r="A239" i="25"/>
  <c r="B239" i="25"/>
  <c r="C239" i="25"/>
  <c r="A240" i="25"/>
  <c r="B240" i="25"/>
  <c r="C240" i="25"/>
  <c r="A241" i="25"/>
  <c r="B241" i="25"/>
  <c r="C241" i="25"/>
  <c r="A242" i="25"/>
  <c r="B242" i="25"/>
  <c r="C242" i="25"/>
  <c r="A243" i="25"/>
  <c r="B243" i="25"/>
  <c r="C243" i="25"/>
  <c r="A244" i="25"/>
  <c r="B244" i="25"/>
  <c r="C244" i="25"/>
  <c r="A245" i="25"/>
  <c r="B245" i="25"/>
  <c r="C245" i="25"/>
  <c r="A246" i="25"/>
  <c r="B246" i="25"/>
  <c r="C246" i="25"/>
  <c r="A247" i="25"/>
  <c r="B247" i="25"/>
  <c r="C247" i="25"/>
  <c r="A248" i="25"/>
  <c r="B248" i="25"/>
  <c r="C248" i="25"/>
  <c r="A249" i="25"/>
  <c r="B249" i="25"/>
  <c r="C249" i="25"/>
  <c r="A250" i="25"/>
  <c r="B250" i="25"/>
  <c r="C250" i="25"/>
  <c r="A251" i="25"/>
  <c r="B251" i="25"/>
  <c r="C251" i="25"/>
  <c r="A252" i="25"/>
  <c r="B252" i="25"/>
  <c r="C252" i="25"/>
  <c r="A253" i="25"/>
  <c r="B253" i="25"/>
  <c r="C253" i="25"/>
  <c r="A254" i="25"/>
  <c r="B254" i="25"/>
  <c r="C254" i="25"/>
  <c r="A255" i="25"/>
  <c r="B255" i="25"/>
  <c r="C255" i="25"/>
  <c r="A256" i="25"/>
  <c r="B256" i="25"/>
  <c r="C256" i="25"/>
  <c r="A257" i="25"/>
  <c r="B257" i="25"/>
  <c r="C257" i="25"/>
  <c r="A258" i="25"/>
  <c r="B258" i="25"/>
  <c r="C258" i="25"/>
  <c r="A259" i="25"/>
  <c r="B259" i="25"/>
  <c r="C259" i="25"/>
  <c r="A260" i="25"/>
  <c r="B260" i="25"/>
  <c r="C260" i="25"/>
  <c r="A261" i="25"/>
  <c r="B261" i="25"/>
  <c r="C261" i="25"/>
  <c r="A262" i="25"/>
  <c r="B262" i="25"/>
  <c r="C262" i="25"/>
  <c r="A263" i="25"/>
  <c r="B263" i="25"/>
  <c r="C263" i="25"/>
  <c r="A264" i="25"/>
  <c r="B264" i="25"/>
  <c r="C264" i="25"/>
  <c r="A265" i="25"/>
  <c r="B265" i="25"/>
  <c r="C265" i="25"/>
  <c r="A266" i="25"/>
  <c r="B266" i="25"/>
  <c r="C266" i="25"/>
  <c r="A267" i="25"/>
  <c r="B267" i="25"/>
  <c r="C267" i="25"/>
  <c r="A268" i="25"/>
  <c r="B268" i="25"/>
  <c r="C268" i="25"/>
  <c r="A269" i="25"/>
  <c r="B269" i="25"/>
  <c r="C269" i="25"/>
  <c r="A270" i="25"/>
  <c r="B270" i="25"/>
  <c r="C270" i="25"/>
  <c r="A271" i="25"/>
  <c r="B271" i="25"/>
  <c r="C271" i="25"/>
  <c r="A272" i="25"/>
  <c r="B272" i="25"/>
  <c r="C272" i="25"/>
  <c r="A273" i="25"/>
  <c r="B273" i="25"/>
  <c r="C273" i="25"/>
  <c r="A274" i="25"/>
  <c r="B274" i="25"/>
  <c r="C274" i="25"/>
  <c r="A275" i="25"/>
  <c r="B275" i="25"/>
  <c r="C275" i="25"/>
  <c r="A276" i="25"/>
  <c r="B276" i="25"/>
  <c r="C276" i="25"/>
  <c r="A277" i="25"/>
  <c r="B277" i="25"/>
  <c r="C277" i="25"/>
  <c r="A278" i="25"/>
  <c r="B278" i="25"/>
  <c r="C278" i="25"/>
  <c r="A279" i="25"/>
  <c r="B279" i="25"/>
  <c r="C279" i="25"/>
  <c r="A280" i="25"/>
  <c r="B280" i="25"/>
  <c r="C280" i="25"/>
  <c r="A281" i="25"/>
  <c r="B281" i="25"/>
  <c r="C281" i="25"/>
  <c r="A282" i="25"/>
  <c r="B282" i="25"/>
  <c r="C282" i="25"/>
  <c r="A283" i="25"/>
  <c r="B283" i="25"/>
  <c r="C283" i="25"/>
  <c r="A284" i="25"/>
  <c r="B284" i="25"/>
  <c r="C284" i="25"/>
  <c r="A285" i="25"/>
  <c r="B285" i="25"/>
  <c r="C285" i="25"/>
  <c r="A286" i="25"/>
  <c r="B286" i="25"/>
  <c r="C286" i="25"/>
  <c r="A287" i="25"/>
  <c r="B287" i="25"/>
  <c r="C287" i="25"/>
  <c r="A288" i="25"/>
  <c r="B288" i="25"/>
  <c r="C288" i="25"/>
  <c r="A289" i="25"/>
  <c r="B289" i="25"/>
  <c r="C289" i="25"/>
  <c r="A290" i="25"/>
  <c r="B290" i="25"/>
  <c r="C290" i="25"/>
  <c r="A291" i="25"/>
  <c r="B291" i="25"/>
  <c r="C291" i="25"/>
  <c r="A292" i="25"/>
  <c r="B292" i="25"/>
  <c r="C292" i="25"/>
  <c r="A293" i="25"/>
  <c r="B293" i="25"/>
  <c r="C293" i="25"/>
  <c r="A294" i="25"/>
  <c r="B294" i="25"/>
  <c r="C294" i="25"/>
  <c r="A295" i="25"/>
  <c r="B295" i="25"/>
  <c r="C295" i="25"/>
  <c r="A296" i="25"/>
  <c r="B296" i="25"/>
  <c r="C296" i="25"/>
  <c r="A297" i="25"/>
  <c r="B297" i="25"/>
  <c r="C297" i="25"/>
  <c r="A298" i="25"/>
  <c r="B298" i="25"/>
  <c r="C298" i="25"/>
  <c r="A299" i="25"/>
  <c r="B299" i="25"/>
  <c r="C299" i="25"/>
  <c r="A300" i="25"/>
  <c r="B300" i="25"/>
  <c r="C300" i="25"/>
  <c r="A301" i="25"/>
  <c r="B301" i="25"/>
  <c r="C301" i="25"/>
  <c r="A302" i="25"/>
  <c r="B302" i="25"/>
  <c r="C302" i="25"/>
  <c r="A303" i="25"/>
  <c r="B303" i="25"/>
  <c r="C303" i="25"/>
  <c r="A304" i="25"/>
  <c r="B304" i="25"/>
  <c r="C304" i="25"/>
  <c r="A305" i="25"/>
  <c r="B305" i="25"/>
  <c r="C305" i="25"/>
  <c r="A306" i="25"/>
  <c r="B306" i="25"/>
  <c r="C306" i="25"/>
  <c r="A307" i="25"/>
  <c r="B307" i="25"/>
  <c r="C307" i="25"/>
  <c r="A308" i="25"/>
  <c r="B308" i="25"/>
  <c r="C308" i="25"/>
  <c r="A309" i="25"/>
  <c r="B309" i="25"/>
  <c r="C309" i="25"/>
  <c r="A310" i="25"/>
  <c r="B310" i="25"/>
  <c r="C310" i="25"/>
  <c r="A311" i="25"/>
  <c r="B311" i="25"/>
  <c r="C311" i="25"/>
  <c r="A312" i="25"/>
  <c r="B312" i="25"/>
  <c r="C312" i="25"/>
  <c r="A313" i="25"/>
  <c r="B313" i="25"/>
  <c r="C313" i="25"/>
  <c r="A314" i="25"/>
  <c r="B314" i="25"/>
  <c r="C314" i="25"/>
  <c r="A315" i="25"/>
  <c r="B315" i="25"/>
  <c r="C315" i="25"/>
  <c r="A316" i="25"/>
  <c r="B316" i="25"/>
  <c r="C316" i="25"/>
  <c r="A317" i="25"/>
  <c r="B317" i="25"/>
  <c r="C317" i="25"/>
  <c r="A318" i="25"/>
  <c r="B318" i="25"/>
  <c r="C318" i="25"/>
  <c r="A319" i="25"/>
  <c r="B319" i="25"/>
  <c r="C319" i="25"/>
  <c r="A320" i="25"/>
  <c r="B320" i="25"/>
  <c r="C320" i="25"/>
  <c r="A321" i="25"/>
  <c r="B321" i="25"/>
  <c r="C321" i="25"/>
  <c r="A322" i="25"/>
  <c r="B322" i="25"/>
  <c r="C322" i="25"/>
  <c r="A323" i="25"/>
  <c r="B323" i="25"/>
  <c r="C323" i="25"/>
  <c r="A324" i="25"/>
  <c r="B324" i="25"/>
  <c r="C324" i="25"/>
  <c r="A325" i="25"/>
  <c r="B325" i="25"/>
  <c r="C325" i="25"/>
  <c r="A326" i="25"/>
  <c r="B326" i="25"/>
  <c r="C326" i="25"/>
  <c r="A327" i="25"/>
  <c r="B327" i="25"/>
  <c r="C327" i="25"/>
  <c r="A328" i="25"/>
  <c r="B328" i="25"/>
  <c r="C328" i="25"/>
  <c r="A329" i="25"/>
  <c r="B329" i="25"/>
  <c r="C329" i="25"/>
  <c r="A330" i="25"/>
  <c r="B330" i="25"/>
  <c r="C330" i="25"/>
  <c r="B2" i="25"/>
  <c r="C2" i="25"/>
  <c r="A2" i="25"/>
  <c r="G152" i="19"/>
  <c r="G137" i="19"/>
  <c r="L3" i="20" l="1"/>
  <c r="M3" i="20"/>
  <c r="L4" i="20"/>
  <c r="M4" i="20"/>
  <c r="J49" i="22" l="1"/>
  <c r="J51" i="22"/>
  <c r="J58" i="22"/>
  <c r="J41" i="22"/>
  <c r="J64" i="22"/>
  <c r="J45" i="22"/>
  <c r="J44" i="22"/>
  <c r="J12" i="22"/>
  <c r="J3" i="22"/>
  <c r="J50" i="22"/>
  <c r="J46" i="22"/>
  <c r="J36" i="22"/>
  <c r="J66" i="22"/>
  <c r="J65" i="22"/>
  <c r="J20" i="22"/>
  <c r="J14" i="22"/>
  <c r="J4" i="22"/>
  <c r="J2" i="22"/>
  <c r="J7" i="22"/>
  <c r="J25" i="22"/>
  <c r="J27" i="22"/>
  <c r="J28" i="22"/>
  <c r="J5" i="22"/>
  <c r="J6" i="22"/>
  <c r="J10" i="22"/>
  <c r="J11" i="22"/>
  <c r="J13" i="22"/>
  <c r="J15" i="22"/>
  <c r="J16" i="22"/>
  <c r="J18" i="22"/>
  <c r="J19" i="22"/>
  <c r="J23" i="22"/>
  <c r="J29" i="22"/>
  <c r="J30" i="22"/>
  <c r="J32" i="22"/>
  <c r="J33" i="22"/>
  <c r="J34" i="22"/>
  <c r="J35" i="22"/>
  <c r="J38" i="22"/>
  <c r="J39" i="22"/>
  <c r="J40" i="22"/>
  <c r="J42" i="22"/>
  <c r="J43" i="22"/>
  <c r="J47" i="22"/>
  <c r="J52" i="22"/>
  <c r="J53" i="22"/>
  <c r="J54" i="22"/>
  <c r="J57" i="22"/>
  <c r="J59" i="22"/>
  <c r="J60" i="22"/>
  <c r="J61" i="22"/>
  <c r="J8" i="22"/>
  <c r="J24" i="22"/>
  <c r="J26" i="22"/>
  <c r="J37" i="22"/>
  <c r="J48" i="22"/>
  <c r="J55" i="22"/>
  <c r="J62" i="22"/>
  <c r="J17" i="22"/>
  <c r="J21" i="22"/>
  <c r="J31" i="22"/>
  <c r="J63" i="22"/>
  <c r="D31" i="22"/>
  <c r="D62" i="22"/>
  <c r="D55" i="22"/>
  <c r="D49" i="22"/>
  <c r="D48" i="22"/>
  <c r="D37" i="22"/>
  <c r="D26" i="22"/>
  <c r="D24" i="22"/>
  <c r="D8" i="22"/>
  <c r="D61" i="22"/>
  <c r="D60" i="22"/>
  <c r="D59" i="22"/>
  <c r="D57" i="22"/>
  <c r="D54" i="22"/>
  <c r="D53" i="22"/>
  <c r="D52" i="22"/>
  <c r="D51" i="22"/>
  <c r="D47" i="22"/>
  <c r="D43" i="22"/>
  <c r="D42" i="22"/>
  <c r="D40" i="22"/>
  <c r="D39" i="22"/>
  <c r="D38" i="22"/>
  <c r="D35" i="22"/>
  <c r="D34" i="22"/>
  <c r="D33" i="22"/>
  <c r="D32" i="22"/>
  <c r="D30" i="22"/>
  <c r="D29" i="22"/>
  <c r="D23" i="22"/>
  <c r="D22" i="22"/>
  <c r="D19" i="22"/>
  <c r="D18" i="22"/>
  <c r="D16" i="22"/>
  <c r="D15" i="22"/>
  <c r="D13" i="22"/>
  <c r="D11" i="22"/>
  <c r="D10" i="22"/>
  <c r="D9" i="22"/>
  <c r="D6" i="22"/>
  <c r="D5" i="22"/>
  <c r="D58" i="22"/>
  <c r="D56" i="22"/>
  <c r="D41" i="22"/>
  <c r="D28" i="22"/>
  <c r="D27" i="22"/>
  <c r="D25" i="22"/>
  <c r="D7" i="22"/>
  <c r="D64" i="22"/>
  <c r="D45" i="22"/>
  <c r="D44" i="22"/>
  <c r="D12" i="22"/>
  <c r="D3" i="22"/>
  <c r="D50" i="22"/>
  <c r="D46" i="22"/>
  <c r="D36" i="22"/>
  <c r="D66" i="22"/>
  <c r="D65" i="22"/>
  <c r="D20" i="22"/>
  <c r="D14" i="22"/>
  <c r="D4" i="22"/>
  <c r="D2" i="22"/>
  <c r="D60" i="21" l="1"/>
  <c r="D59" i="21"/>
  <c r="D44" i="21"/>
  <c r="D48" i="21"/>
  <c r="D15" i="21"/>
  <c r="D67" i="21"/>
  <c r="D66" i="21"/>
  <c r="D65" i="21"/>
  <c r="D64" i="21"/>
  <c r="D62" i="21"/>
  <c r="D61" i="21"/>
  <c r="D55" i="21"/>
  <c r="D54" i="21"/>
  <c r="D53" i="21"/>
  <c r="D52" i="21"/>
  <c r="D51" i="21"/>
  <c r="D50" i="21"/>
  <c r="D49" i="21"/>
  <c r="D46" i="21"/>
  <c r="D37" i="21"/>
  <c r="D36" i="21"/>
  <c r="D32" i="21"/>
  <c r="D30" i="21"/>
  <c r="D28" i="21"/>
  <c r="D26" i="21"/>
  <c r="D25" i="21"/>
  <c r="D22" i="21"/>
  <c r="D21" i="21"/>
  <c r="D10" i="21"/>
  <c r="D7" i="21"/>
  <c r="D6" i="21"/>
  <c r="D5" i="21"/>
  <c r="D3" i="21"/>
  <c r="D38" i="21"/>
  <c r="D34" i="21"/>
  <c r="D42" i="21"/>
  <c r="D27" i="21"/>
  <c r="D11" i="21"/>
  <c r="D58" i="21"/>
  <c r="D57" i="21"/>
  <c r="D41" i="21"/>
  <c r="D56" i="21"/>
  <c r="D47" i="21"/>
  <c r="D45" i="21"/>
  <c r="D43" i="21"/>
  <c r="D63" i="21"/>
  <c r="D31" i="21"/>
  <c r="D24" i="21"/>
  <c r="D23" i="21"/>
  <c r="D14" i="21"/>
  <c r="D69" i="21"/>
  <c r="D4" i="21"/>
  <c r="D29" i="21"/>
  <c r="D18" i="21"/>
  <c r="D2" i="21"/>
  <c r="D8" i="21"/>
  <c r="D17" i="21"/>
  <c r="D13" i="21"/>
  <c r="D71" i="21"/>
  <c r="D70" i="21"/>
  <c r="D39" i="21"/>
  <c r="D33" i="21"/>
  <c r="D20" i="21"/>
  <c r="D19" i="21"/>
  <c r="D12" i="21"/>
  <c r="D9" i="21"/>
  <c r="G4" i="20"/>
  <c r="G3" i="20"/>
  <c r="M2" i="20"/>
  <c r="L2" i="20"/>
  <c r="G2" i="20"/>
  <c r="O4" i="20" l="1"/>
  <c r="N4" i="20"/>
  <c r="N3" i="20"/>
  <c r="O3" i="20"/>
  <c r="O2" i="20"/>
  <c r="N2" i="20"/>
  <c r="G3" i="19" l="1"/>
  <c r="G4" i="19"/>
  <c r="G5" i="19"/>
  <c r="G6" i="19"/>
  <c r="G8" i="19"/>
  <c r="G7" i="19"/>
  <c r="G9" i="19"/>
  <c r="G10" i="19"/>
  <c r="G11" i="19"/>
  <c r="G12" i="19"/>
  <c r="G13" i="19"/>
  <c r="G14" i="19"/>
  <c r="G15" i="19"/>
  <c r="G16" i="19"/>
  <c r="G19" i="19"/>
  <c r="G18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5" i="19"/>
  <c r="G44" i="19"/>
  <c r="G43" i="19"/>
  <c r="G48" i="19"/>
  <c r="G49" i="19"/>
  <c r="G46" i="19"/>
  <c r="G47" i="19"/>
  <c r="G52" i="19"/>
  <c r="G51" i="19"/>
  <c r="G50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1" i="19"/>
  <c r="G130" i="19"/>
  <c r="G132" i="19"/>
  <c r="G133" i="19"/>
  <c r="G135" i="19"/>
  <c r="G136" i="19"/>
  <c r="G138" i="19"/>
  <c r="G139" i="19"/>
  <c r="G140" i="19"/>
  <c r="G142" i="19"/>
  <c r="G143" i="19"/>
  <c r="G144" i="19"/>
  <c r="G145" i="19"/>
  <c r="G146" i="19"/>
  <c r="G147" i="19"/>
  <c r="G149" i="19"/>
  <c r="G150" i="19"/>
  <c r="G151" i="19"/>
  <c r="G153" i="19"/>
  <c r="G154" i="19"/>
  <c r="G155" i="19"/>
  <c r="G156" i="19"/>
  <c r="G157" i="19"/>
  <c r="G158" i="19"/>
  <c r="G159" i="19"/>
  <c r="G160" i="19"/>
  <c r="G161" i="19"/>
  <c r="G162" i="19"/>
  <c r="G164" i="19"/>
  <c r="G163" i="19"/>
  <c r="G165" i="19"/>
  <c r="G166" i="19"/>
  <c r="G167" i="19"/>
  <c r="G168" i="19"/>
  <c r="G169" i="19"/>
  <c r="G170" i="19"/>
  <c r="G171" i="19"/>
  <c r="G172" i="19"/>
  <c r="G174" i="19"/>
  <c r="G175" i="19"/>
  <c r="G176" i="19"/>
  <c r="G177" i="19"/>
  <c r="G178" i="19"/>
  <c r="G180" i="19"/>
  <c r="G181" i="19"/>
  <c r="G182" i="19"/>
  <c r="G183" i="19"/>
  <c r="G184" i="19"/>
  <c r="G186" i="19"/>
  <c r="G187" i="19"/>
  <c r="G188" i="19"/>
  <c r="G2" i="19"/>
</calcChain>
</file>

<file path=xl/sharedStrings.xml><?xml version="1.0" encoding="utf-8"?>
<sst xmlns="http://schemas.openxmlformats.org/spreadsheetml/2006/main" count="13771" uniqueCount="4280">
  <si>
    <t>% GFP+ Cells</t>
  </si>
  <si>
    <t>Control siRNA</t>
  </si>
  <si>
    <t>BRCA1 3′UTR siRNA</t>
  </si>
  <si>
    <t>BRCA1 Coding Sequence siRNA</t>
  </si>
  <si>
    <t>Pool 4, Replicate 1</t>
  </si>
  <si>
    <t>Pool 4, Replicate 2</t>
  </si>
  <si>
    <t>Pool 4, Replicate 3</t>
  </si>
  <si>
    <t>Pool 4, Replicate 4</t>
  </si>
  <si>
    <t>Pool 5, Replicate 1</t>
  </si>
  <si>
    <t>Pool 5, Replicate 2</t>
  </si>
  <si>
    <t>Pool 5, Replicate 3</t>
  </si>
  <si>
    <t>Pool 5, Replicate 4</t>
  </si>
  <si>
    <t>Pool 6, Replicate 1</t>
  </si>
  <si>
    <t>Pool 6, Replicate 2</t>
  </si>
  <si>
    <t>Pool 6, Replicate 3</t>
  </si>
  <si>
    <t>Pool 6, Replicate 4</t>
  </si>
  <si>
    <t>Control GFP+</t>
  </si>
  <si>
    <t>Control GFP-</t>
  </si>
  <si>
    <t>BRCA1 GFP+</t>
  </si>
  <si>
    <t>BRCA1 GFP-</t>
  </si>
  <si>
    <t>Cell Counts</t>
  </si>
  <si>
    <t>Sample</t>
  </si>
  <si>
    <t>P1579A</t>
  </si>
  <si>
    <t>M1628T</t>
  </si>
  <si>
    <t>P1637L</t>
  </si>
  <si>
    <t>A1669S</t>
  </si>
  <si>
    <t>T1685I</t>
  </si>
  <si>
    <t>M1689T</t>
  </si>
  <si>
    <t>K1690Q</t>
  </si>
  <si>
    <t>R1699W</t>
  </si>
  <si>
    <t>G1706A</t>
  </si>
  <si>
    <t>A1708V</t>
  </si>
  <si>
    <t>S1715R</t>
  </si>
  <si>
    <t>M1775R</t>
  </si>
  <si>
    <t>D1778G</t>
  </si>
  <si>
    <t>M1783L</t>
  </si>
  <si>
    <t>M1783T</t>
  </si>
  <si>
    <t>L1786P</t>
  </si>
  <si>
    <t>G1788V</t>
  </si>
  <si>
    <t>G1801D</t>
  </si>
  <si>
    <t>I1807M</t>
  </si>
  <si>
    <t>N1819S</t>
  </si>
  <si>
    <t>R1835Q</t>
  </si>
  <si>
    <t>W1837C</t>
  </si>
  <si>
    <t>L1844I</t>
  </si>
  <si>
    <t>P1859R</t>
  </si>
  <si>
    <t>L1676Q</t>
  </si>
  <si>
    <t>M1728T</t>
  </si>
  <si>
    <t>F1734S</t>
  </si>
  <si>
    <t>V1736A</t>
  </si>
  <si>
    <t>D1739G</t>
  </si>
  <si>
    <t>D1739V</t>
  </si>
  <si>
    <t>V1741D</t>
  </si>
  <si>
    <t>V1741F</t>
  </si>
  <si>
    <t>H1746D</t>
  </si>
  <si>
    <t>H1746L</t>
  </si>
  <si>
    <t>Q1747P</t>
  </si>
  <si>
    <t>K1759E</t>
  </si>
  <si>
    <t>G1763V</t>
  </si>
  <si>
    <t>G1770V</t>
  </si>
  <si>
    <t>N1774Y</t>
  </si>
  <si>
    <t>G1788A</t>
  </si>
  <si>
    <t>L1800R</t>
  </si>
  <si>
    <t>V1809A</t>
  </si>
  <si>
    <t>V1810G</t>
  </si>
  <si>
    <t>D1818G</t>
  </si>
  <si>
    <t>A1823T</t>
  </si>
  <si>
    <t>P1831T</t>
  </si>
  <si>
    <t>W1837G</t>
  </si>
  <si>
    <t>L1854P</t>
  </si>
  <si>
    <t>S1598*</t>
  </si>
  <si>
    <t>T1852*</t>
  </si>
  <si>
    <t>I1858*</t>
  </si>
  <si>
    <t>variantID</t>
  </si>
  <si>
    <t>S</t>
  </si>
  <si>
    <t>S1577*</t>
  </si>
  <si>
    <t>NA</t>
  </si>
  <si>
    <t>S1577A</t>
  </si>
  <si>
    <t>S1577F</t>
  </si>
  <si>
    <t>I</t>
  </si>
  <si>
    <t>S1577I</t>
  </si>
  <si>
    <t>S1577L</t>
  </si>
  <si>
    <t>N</t>
  </si>
  <si>
    <t>S1577N</t>
  </si>
  <si>
    <t>S1577Q</t>
  </si>
  <si>
    <t>S1577R</t>
  </si>
  <si>
    <t>S1577T</t>
  </si>
  <si>
    <t>S1577V</t>
  </si>
  <si>
    <t>D1578A</t>
  </si>
  <si>
    <t>D1578G</t>
  </si>
  <si>
    <t>D1578L</t>
  </si>
  <si>
    <t>D1578S</t>
  </si>
  <si>
    <t>D1578T</t>
  </si>
  <si>
    <t>D1578V</t>
  </si>
  <si>
    <t>D1578W</t>
  </si>
  <si>
    <t>P1579*</t>
  </si>
  <si>
    <t>C</t>
  </si>
  <si>
    <t>P1579C</t>
  </si>
  <si>
    <t>P1579G</t>
  </si>
  <si>
    <t>P1579I</t>
  </si>
  <si>
    <t>P1579L</t>
  </si>
  <si>
    <t>P1579R</t>
  </si>
  <si>
    <t>P1579S</t>
  </si>
  <si>
    <t>P1579T</t>
  </si>
  <si>
    <t>P1579V</t>
  </si>
  <si>
    <t>P1579W</t>
  </si>
  <si>
    <t>S1580*</t>
  </si>
  <si>
    <t>S1580A</t>
  </si>
  <si>
    <t>S1580D</t>
  </si>
  <si>
    <t>S1580E</t>
  </si>
  <si>
    <t>S1580F</t>
  </si>
  <si>
    <t>S1580I</t>
  </si>
  <si>
    <t>S1580K</t>
  </si>
  <si>
    <t>S1580L</t>
  </si>
  <si>
    <t>S1580Q</t>
  </si>
  <si>
    <t>S1580R</t>
  </si>
  <si>
    <t>S1580T</t>
  </si>
  <si>
    <t>S1580V</t>
  </si>
  <si>
    <t>E1581*</t>
  </si>
  <si>
    <t>E1581F</t>
  </si>
  <si>
    <t>E1581H</t>
  </si>
  <si>
    <t>E1581L</t>
  </si>
  <si>
    <t>E1581N</t>
  </si>
  <si>
    <t>E1581P</t>
  </si>
  <si>
    <t>E1581Q</t>
  </si>
  <si>
    <t>E1581R</t>
  </si>
  <si>
    <t>E1581T</t>
  </si>
  <si>
    <t>E1581V</t>
  </si>
  <si>
    <t>E1581Y</t>
  </si>
  <si>
    <t>D1582*</t>
  </si>
  <si>
    <t>D1582E</t>
  </si>
  <si>
    <t>D1582G</t>
  </si>
  <si>
    <t>D1582I</t>
  </si>
  <si>
    <t>D1582K</t>
  </si>
  <si>
    <t>D1582L</t>
  </si>
  <si>
    <t>D1582M</t>
  </si>
  <si>
    <t>D1582P</t>
  </si>
  <si>
    <t>D1582R</t>
  </si>
  <si>
    <t>D1582S</t>
  </si>
  <si>
    <t>D1582T</t>
  </si>
  <si>
    <t>D1582V</t>
  </si>
  <si>
    <t>R1583A</t>
  </si>
  <si>
    <t>R1583C</t>
  </si>
  <si>
    <t>R1583G</t>
  </si>
  <si>
    <t>R1583L</t>
  </si>
  <si>
    <t>R1583M</t>
  </si>
  <si>
    <t>R1583P</t>
  </si>
  <si>
    <t>R1583Q</t>
  </si>
  <si>
    <t>R1583T</t>
  </si>
  <si>
    <t>R1583V</t>
  </si>
  <si>
    <t>R1583Y</t>
  </si>
  <si>
    <t>A1584C</t>
  </si>
  <si>
    <t>A1584E</t>
  </si>
  <si>
    <t>A1584F</t>
  </si>
  <si>
    <t>A1584G</t>
  </si>
  <si>
    <t>A1584H</t>
  </si>
  <si>
    <t>A1584I</t>
  </si>
  <si>
    <t>A1584K</t>
  </si>
  <si>
    <t>A1584L</t>
  </si>
  <si>
    <t>A1584M</t>
  </si>
  <si>
    <t>A1584N</t>
  </si>
  <si>
    <t>A1584P</t>
  </si>
  <si>
    <t>A1584R</t>
  </si>
  <si>
    <t>A1584S</t>
  </si>
  <si>
    <t>A1584T</t>
  </si>
  <si>
    <t>A1584V</t>
  </si>
  <si>
    <t>A1584W</t>
  </si>
  <si>
    <t>P1585H</t>
  </si>
  <si>
    <t>P1585I</t>
  </si>
  <si>
    <t>P1585K</t>
  </si>
  <si>
    <t>P1585L</t>
  </si>
  <si>
    <t>P1585R</t>
  </si>
  <si>
    <t>P1585S</t>
  </si>
  <si>
    <t>P1585Y</t>
  </si>
  <si>
    <t>E1586H</t>
  </si>
  <si>
    <t>E1586N</t>
  </si>
  <si>
    <t>S1587*</t>
  </si>
  <si>
    <t>S1587A</t>
  </si>
  <si>
    <t>S1587D</t>
  </si>
  <si>
    <t>S1587G</t>
  </si>
  <si>
    <t>S1587H</t>
  </si>
  <si>
    <t>S1587K</t>
  </si>
  <si>
    <t>S1587L</t>
  </si>
  <si>
    <t>S1587N</t>
  </si>
  <si>
    <t>S1587R</t>
  </si>
  <si>
    <t>S1587T</t>
  </si>
  <si>
    <t>S1587V</t>
  </si>
  <si>
    <t>S1587W</t>
  </si>
  <si>
    <t>A1588F</t>
  </si>
  <si>
    <t>A1588H</t>
  </si>
  <si>
    <t>A1588K</t>
  </si>
  <si>
    <t>A1588L</t>
  </si>
  <si>
    <t>A1588Q</t>
  </si>
  <si>
    <t>A1588S</t>
  </si>
  <si>
    <t>A1588T</t>
  </si>
  <si>
    <t>A1588V</t>
  </si>
  <si>
    <t>R1589E</t>
  </si>
  <si>
    <t>R1589F</t>
  </si>
  <si>
    <t>R1589G</t>
  </si>
  <si>
    <t>R1589L</t>
  </si>
  <si>
    <t>R1589N</t>
  </si>
  <si>
    <t>R1589P</t>
  </si>
  <si>
    <t>R1589T</t>
  </si>
  <si>
    <t>R1589V</t>
  </si>
  <si>
    <t>V1590*</t>
  </si>
  <si>
    <t>V1590C</t>
  </si>
  <si>
    <t>V1590F</t>
  </si>
  <si>
    <t>V1590I</t>
  </si>
  <si>
    <t>V1590L</t>
  </si>
  <si>
    <t>V1590M</t>
  </si>
  <si>
    <t>V1590N</t>
  </si>
  <si>
    <t>V1590P</t>
  </si>
  <si>
    <t>V1590Q</t>
  </si>
  <si>
    <t>V1590R</t>
  </si>
  <si>
    <t>V1590S</t>
  </si>
  <si>
    <t>V1590T</t>
  </si>
  <si>
    <t>V1590W</t>
  </si>
  <si>
    <t>G1591*</t>
  </si>
  <si>
    <t>G1591A</t>
  </si>
  <si>
    <t>G1591C</t>
  </si>
  <si>
    <t>G1591D</t>
  </si>
  <si>
    <t>G1591E</t>
  </si>
  <si>
    <t>G1591I</t>
  </si>
  <si>
    <t>G1591L</t>
  </si>
  <si>
    <t>G1591N</t>
  </si>
  <si>
    <t>G1591P</t>
  </si>
  <si>
    <t>G1591R</t>
  </si>
  <si>
    <t>G1591S</t>
  </si>
  <si>
    <t>G1591T</t>
  </si>
  <si>
    <t>G1591V</t>
  </si>
  <si>
    <t>G1591W</t>
  </si>
  <si>
    <t>N1592*</t>
  </si>
  <si>
    <t>N1592A</t>
  </si>
  <si>
    <t>N1592C</t>
  </si>
  <si>
    <t>N1592D</t>
  </si>
  <si>
    <t>N1592F</t>
  </si>
  <si>
    <t>N1592G</t>
  </si>
  <si>
    <t>N1592I</t>
  </si>
  <si>
    <t>N1592K</t>
  </si>
  <si>
    <t>N1592L</t>
  </si>
  <si>
    <t>N1592R</t>
  </si>
  <si>
    <t>N1592S</t>
  </si>
  <si>
    <t>N1592V</t>
  </si>
  <si>
    <t>N1592Y</t>
  </si>
  <si>
    <t>I1593A</t>
  </si>
  <si>
    <t>I1593D</t>
  </si>
  <si>
    <t>I1593L</t>
  </si>
  <si>
    <t>I1593P</t>
  </si>
  <si>
    <t>I1593Q</t>
  </si>
  <si>
    <t>I1593Y</t>
  </si>
  <si>
    <t>P1594C</t>
  </si>
  <si>
    <t>P1594L</t>
  </si>
  <si>
    <t>P1594Q</t>
  </si>
  <si>
    <t>P1594S</t>
  </si>
  <si>
    <t>P1594T</t>
  </si>
  <si>
    <t>P1594V</t>
  </si>
  <si>
    <t>P1594Y</t>
  </si>
  <si>
    <t>S1595C</t>
  </si>
  <si>
    <t>S1595E</t>
  </si>
  <si>
    <t>S1595H</t>
  </si>
  <si>
    <t>S1595T</t>
  </si>
  <si>
    <t>S1596A</t>
  </si>
  <si>
    <t>S1596L</t>
  </si>
  <si>
    <t>S1596P</t>
  </si>
  <si>
    <t>S1596R</t>
  </si>
  <si>
    <t>S1596T</t>
  </si>
  <si>
    <t>T1597L</t>
  </si>
  <si>
    <t>T1597M</t>
  </si>
  <si>
    <t>T1597P</t>
  </si>
  <si>
    <t>T1597Q</t>
  </si>
  <si>
    <t>T1597R</t>
  </si>
  <si>
    <t>T1597V</t>
  </si>
  <si>
    <t>T1597W</t>
  </si>
  <si>
    <t>T1597Y</t>
  </si>
  <si>
    <t>S1598C</t>
  </si>
  <si>
    <t>S1598G</t>
  </si>
  <si>
    <t>S1598L</t>
  </si>
  <si>
    <t>S1598N</t>
  </si>
  <si>
    <t>S1598P</t>
  </si>
  <si>
    <t>S1598R</t>
  </si>
  <si>
    <t>S1598T</t>
  </si>
  <si>
    <t>S1598V</t>
  </si>
  <si>
    <t>S1598W</t>
  </si>
  <si>
    <t>A1599E</t>
  </si>
  <si>
    <t>A1599H</t>
  </si>
  <si>
    <t>A1599L</t>
  </si>
  <si>
    <t>A1599P</t>
  </si>
  <si>
    <t>A1599S</t>
  </si>
  <si>
    <t>L1600I</t>
  </si>
  <si>
    <t>L1600R</t>
  </si>
  <si>
    <t>L1600S</t>
  </si>
  <si>
    <t>L1600T</t>
  </si>
  <si>
    <t>L1600V</t>
  </si>
  <si>
    <t>K1601A</t>
  </si>
  <si>
    <t>K1601H</t>
  </si>
  <si>
    <t>K1601I</t>
  </si>
  <si>
    <t>K1601S</t>
  </si>
  <si>
    <t>K1601V</t>
  </si>
  <si>
    <t>K1601Y</t>
  </si>
  <si>
    <t>V1602A</t>
  </si>
  <si>
    <t>V1602C</t>
  </si>
  <si>
    <t>V1602H</t>
  </si>
  <si>
    <t>V1602I</t>
  </si>
  <si>
    <t>V1602K</t>
  </si>
  <si>
    <t>V1602L</t>
  </si>
  <si>
    <t>V1602M</t>
  </si>
  <si>
    <t>V1602N</t>
  </si>
  <si>
    <t>V1602P</t>
  </si>
  <si>
    <t>V1602R</t>
  </si>
  <si>
    <t>V1602S</t>
  </si>
  <si>
    <t>V1602Y</t>
  </si>
  <si>
    <t>P1603*</t>
  </si>
  <si>
    <t>P1603A</t>
  </si>
  <si>
    <t>P1603H</t>
  </si>
  <si>
    <t>P1603I</t>
  </si>
  <si>
    <t>P1603L</t>
  </si>
  <si>
    <t>P1603N</t>
  </si>
  <si>
    <t>P1603Q</t>
  </si>
  <si>
    <t>P1603R</t>
  </si>
  <si>
    <t>P1603T</t>
  </si>
  <si>
    <t>Q1604*</t>
  </si>
  <si>
    <t>Q1604A</t>
  </si>
  <si>
    <t>Q1604C</t>
  </si>
  <si>
    <t>Q1604F</t>
  </si>
  <si>
    <t>Q1604G</t>
  </si>
  <si>
    <t>Q1604L</t>
  </si>
  <si>
    <t>Q1604M</t>
  </si>
  <si>
    <t>Q1604N</t>
  </si>
  <si>
    <t>Q1604P</t>
  </si>
  <si>
    <t>Q1604R</t>
  </si>
  <si>
    <t>Q1604V</t>
  </si>
  <si>
    <t>L1605*</t>
  </si>
  <si>
    <t>L1605C</t>
  </si>
  <si>
    <t>L1605F</t>
  </si>
  <si>
    <t>L1605H</t>
  </si>
  <si>
    <t>L1605P</t>
  </si>
  <si>
    <t>L1605S</t>
  </si>
  <si>
    <t>L1605V</t>
  </si>
  <si>
    <t>K1606A</t>
  </si>
  <si>
    <t>K1606G</t>
  </si>
  <si>
    <t>K1606H</t>
  </si>
  <si>
    <t>K1606P</t>
  </si>
  <si>
    <t>K1606T</t>
  </si>
  <si>
    <t>K1606V</t>
  </si>
  <si>
    <t>V1607*</t>
  </si>
  <si>
    <t>V1607E</t>
  </si>
  <si>
    <t>V1607G</t>
  </si>
  <si>
    <t>V1607K</t>
  </si>
  <si>
    <t>V1607L</t>
  </si>
  <si>
    <t>V1607M</t>
  </si>
  <si>
    <t>V1607P</t>
  </si>
  <si>
    <t>V1607Q</t>
  </si>
  <si>
    <t>V1607T</t>
  </si>
  <si>
    <t>A1608I</t>
  </si>
  <si>
    <t>A1608L</t>
  </si>
  <si>
    <t>A1608Q</t>
  </si>
  <si>
    <t>A1608R</t>
  </si>
  <si>
    <t>A1608S</t>
  </si>
  <si>
    <t>A1608V</t>
  </si>
  <si>
    <t>A1608Y</t>
  </si>
  <si>
    <t>E1609A</t>
  </si>
  <si>
    <t>E1609F</t>
  </si>
  <si>
    <t>E1609G</t>
  </si>
  <si>
    <t>E1609K</t>
  </si>
  <si>
    <t>E1609L</t>
  </si>
  <si>
    <t>E1609P</t>
  </si>
  <si>
    <t>E1609Q</t>
  </si>
  <si>
    <t>E1609S</t>
  </si>
  <si>
    <t>E1609T</t>
  </si>
  <si>
    <t>E1609V</t>
  </si>
  <si>
    <t>E1609Y</t>
  </si>
  <si>
    <t>S1610A</t>
  </si>
  <si>
    <t>S1610E</t>
  </si>
  <si>
    <t>S1610G</t>
  </si>
  <si>
    <t>S1610I</t>
  </si>
  <si>
    <t>S1610L</t>
  </si>
  <si>
    <t>S1610N</t>
  </si>
  <si>
    <t>S1610R</t>
  </si>
  <si>
    <t>S1610T</t>
  </si>
  <si>
    <t>S1610Y</t>
  </si>
  <si>
    <t>A1611G</t>
  </si>
  <si>
    <t>A1611H</t>
  </si>
  <si>
    <t>A1611I</t>
  </si>
  <si>
    <t>A1611L</t>
  </si>
  <si>
    <t>A1611P</t>
  </si>
  <si>
    <t>A1611Q</t>
  </si>
  <si>
    <t>A1611R</t>
  </si>
  <si>
    <t>A1611S</t>
  </si>
  <si>
    <t>A1611T</t>
  </si>
  <si>
    <t>A1611V</t>
  </si>
  <si>
    <t>A1611Y</t>
  </si>
  <si>
    <t>Q1612A</t>
  </si>
  <si>
    <t>Q1612C</t>
  </si>
  <si>
    <t>Q1612F</t>
  </si>
  <si>
    <t>Q1612H</t>
  </si>
  <si>
    <t>Q1612L</t>
  </si>
  <si>
    <t>Q1612N</t>
  </si>
  <si>
    <t>Q1612P</t>
  </si>
  <si>
    <t>Q1612R</t>
  </si>
  <si>
    <t>Q1612S</t>
  </si>
  <si>
    <t>Q1612V</t>
  </si>
  <si>
    <t>Q1612W</t>
  </si>
  <si>
    <t>Q1612Y</t>
  </si>
  <si>
    <t>G1613A</t>
  </si>
  <si>
    <t>G1613C</t>
  </si>
  <si>
    <t>G1613E</t>
  </si>
  <si>
    <t>G1613F</t>
  </si>
  <si>
    <t>G1613H</t>
  </si>
  <si>
    <t>G1613I</t>
  </si>
  <si>
    <t>G1613L</t>
  </si>
  <si>
    <t>G1613P</t>
  </si>
  <si>
    <t>G1613S</t>
  </si>
  <si>
    <t>G1613V</t>
  </si>
  <si>
    <t>P1614*</t>
  </si>
  <si>
    <t>P1614A</t>
  </si>
  <si>
    <t>P1614F</t>
  </si>
  <si>
    <t>P1614L</t>
  </si>
  <si>
    <t>P1614S</t>
  </si>
  <si>
    <t>A1615G</t>
  </si>
  <si>
    <t>A1615I</t>
  </si>
  <si>
    <t>A1615K</t>
  </si>
  <si>
    <t>A1615P</t>
  </si>
  <si>
    <t>A1616*</t>
  </si>
  <si>
    <t>A1616C</t>
  </si>
  <si>
    <t>A1616E</t>
  </si>
  <si>
    <t>A1616F</t>
  </si>
  <si>
    <t>A1616G</t>
  </si>
  <si>
    <t>A1616K</t>
  </si>
  <si>
    <t>A1616L</t>
  </si>
  <si>
    <t>A1616N</t>
  </si>
  <si>
    <t>A1616P</t>
  </si>
  <si>
    <t>A1616R</t>
  </si>
  <si>
    <t>A1617*</t>
  </si>
  <si>
    <t>A1617E</t>
  </si>
  <si>
    <t>A1617G</t>
  </si>
  <si>
    <t>A1617L</t>
  </si>
  <si>
    <t>A1617S</t>
  </si>
  <si>
    <t>A1617T</t>
  </si>
  <si>
    <t>A1617V</t>
  </si>
  <si>
    <t>H1618E</t>
  </si>
  <si>
    <t>H1618F</t>
  </si>
  <si>
    <t>H1618G</t>
  </si>
  <si>
    <t>H1618K</t>
  </si>
  <si>
    <t>H1618L</t>
  </si>
  <si>
    <t>H1618P</t>
  </si>
  <si>
    <t>H1618Q</t>
  </si>
  <si>
    <t>H1618R</t>
  </si>
  <si>
    <t>H1618S</t>
  </si>
  <si>
    <t>H1618V</t>
  </si>
  <si>
    <t>H1618Y</t>
  </si>
  <si>
    <t>T1619D</t>
  </si>
  <si>
    <t>T1619G</t>
  </si>
  <si>
    <t>T1619H</t>
  </si>
  <si>
    <t>T1619K</t>
  </si>
  <si>
    <t>T1619L</t>
  </si>
  <si>
    <t>T1619R</t>
  </si>
  <si>
    <t>T1619S</t>
  </si>
  <si>
    <t>T1620F</t>
  </si>
  <si>
    <t>T1620H</t>
  </si>
  <si>
    <t>T1620L</t>
  </si>
  <si>
    <t>T1620V</t>
  </si>
  <si>
    <t>D1621*</t>
  </si>
  <si>
    <t>D1621A</t>
  </si>
  <si>
    <t>D1621C</t>
  </si>
  <si>
    <t>D1621F</t>
  </si>
  <si>
    <t>D1621G</t>
  </si>
  <si>
    <t>D1621N</t>
  </si>
  <si>
    <t>D1621P</t>
  </si>
  <si>
    <t>D1621R</t>
  </si>
  <si>
    <t>D1621S</t>
  </si>
  <si>
    <t>D1621V</t>
  </si>
  <si>
    <t>T1622P</t>
  </si>
  <si>
    <t>T1622R</t>
  </si>
  <si>
    <t>T1622Y</t>
  </si>
  <si>
    <t>A1623L</t>
  </si>
  <si>
    <t>A1623S</t>
  </si>
  <si>
    <t>G1624D</t>
  </si>
  <si>
    <t>G1624L</t>
  </si>
  <si>
    <t>G1624R</t>
  </si>
  <si>
    <t>G1624V</t>
  </si>
  <si>
    <t>Y1625C</t>
  </si>
  <si>
    <t>Y1625E</t>
  </si>
  <si>
    <t>Y1625F</t>
  </si>
  <si>
    <t>Y1625G</t>
  </si>
  <si>
    <t>Y1625H</t>
  </si>
  <si>
    <t>Y1625K</t>
  </si>
  <si>
    <t>Y1625L</t>
  </si>
  <si>
    <t>Y1625P</t>
  </si>
  <si>
    <t>Y1625Q</t>
  </si>
  <si>
    <t>Y1625R</t>
  </si>
  <si>
    <t>Y1625S</t>
  </si>
  <si>
    <t>Y1625V</t>
  </si>
  <si>
    <t>N1626A</t>
  </si>
  <si>
    <t>N1626F</t>
  </si>
  <si>
    <t>N1626L</t>
  </si>
  <si>
    <t>N1626M</t>
  </si>
  <si>
    <t>N1626Q</t>
  </si>
  <si>
    <t>N1626R</t>
  </si>
  <si>
    <t>N1626S</t>
  </si>
  <si>
    <t>N1626W</t>
  </si>
  <si>
    <t>A1627L</t>
  </si>
  <si>
    <t>A1627R</t>
  </si>
  <si>
    <t>A1627S</t>
  </si>
  <si>
    <t>M1628A</t>
  </si>
  <si>
    <t>M1628C</t>
  </si>
  <si>
    <t>M1628D</t>
  </si>
  <si>
    <t>M1628E</t>
  </si>
  <si>
    <t>M1628L</t>
  </si>
  <si>
    <t>M1628S</t>
  </si>
  <si>
    <t>M1628Y</t>
  </si>
  <si>
    <t>E1629F</t>
  </si>
  <si>
    <t>E1629G</t>
  </si>
  <si>
    <t>E1629L</t>
  </si>
  <si>
    <t>E1629P</t>
  </si>
  <si>
    <t>E1629R</t>
  </si>
  <si>
    <t>E1629S</t>
  </si>
  <si>
    <t>E1629Y</t>
  </si>
  <si>
    <t>E1630A</t>
  </si>
  <si>
    <t>E1630C</t>
  </si>
  <si>
    <t>E1630F</t>
  </si>
  <si>
    <t>E1630G</t>
  </si>
  <si>
    <t>E1630I</t>
  </si>
  <si>
    <t>E1630K</t>
  </si>
  <si>
    <t>E1630L</t>
  </si>
  <si>
    <t>E1630M</t>
  </si>
  <si>
    <t>E1630N</t>
  </si>
  <si>
    <t>E1630P</t>
  </si>
  <si>
    <t>E1630R</t>
  </si>
  <si>
    <t>E1630T</t>
  </si>
  <si>
    <t>E1630V</t>
  </si>
  <si>
    <t>E1630Y</t>
  </si>
  <si>
    <t>S1631G</t>
  </si>
  <si>
    <t>S1631L</t>
  </si>
  <si>
    <t>S1631P</t>
  </si>
  <si>
    <t>S1631T</t>
  </si>
  <si>
    <t>V1632*</t>
  </si>
  <si>
    <t>V1632A</t>
  </si>
  <si>
    <t>V1632C</t>
  </si>
  <si>
    <t>V1632F</t>
  </si>
  <si>
    <t>V1632L</t>
  </si>
  <si>
    <t>V1632Q</t>
  </si>
  <si>
    <t>V1632R</t>
  </si>
  <si>
    <t>S1633C</t>
  </si>
  <si>
    <t>S1633D</t>
  </si>
  <si>
    <t>S1633K</t>
  </si>
  <si>
    <t>S1633L</t>
  </si>
  <si>
    <t>S1633Q</t>
  </si>
  <si>
    <t>S1633R</t>
  </si>
  <si>
    <t>S1633T</t>
  </si>
  <si>
    <t>S1633V</t>
  </si>
  <si>
    <t>S1633Y</t>
  </si>
  <si>
    <t>R1634*</t>
  </si>
  <si>
    <t>R1634A</t>
  </si>
  <si>
    <t>R1634G</t>
  </si>
  <si>
    <t>R1634I</t>
  </si>
  <si>
    <t>R1634K</t>
  </si>
  <si>
    <t>R1634S</t>
  </si>
  <si>
    <t>R1634V</t>
  </si>
  <si>
    <t>E1635*</t>
  </si>
  <si>
    <t>E1635F</t>
  </si>
  <si>
    <t>E1635I</t>
  </si>
  <si>
    <t>E1635L</t>
  </si>
  <si>
    <t>E1635R</t>
  </si>
  <si>
    <t>E1635S</t>
  </si>
  <si>
    <t>E1635V</t>
  </si>
  <si>
    <t>E1635Y</t>
  </si>
  <si>
    <t>K1636*</t>
  </si>
  <si>
    <t>K1636A</t>
  </si>
  <si>
    <t>K1636E</t>
  </si>
  <si>
    <t>K1636R</t>
  </si>
  <si>
    <t>K1636S</t>
  </si>
  <si>
    <t>K1636T</t>
  </si>
  <si>
    <t>P1637*</t>
  </si>
  <si>
    <t>P1637D</t>
  </si>
  <si>
    <t>P1637N</t>
  </si>
  <si>
    <t>P1637T</t>
  </si>
  <si>
    <t>P1637V</t>
  </si>
  <si>
    <t>E1638M</t>
  </si>
  <si>
    <t>E1638N</t>
  </si>
  <si>
    <t>E1638P</t>
  </si>
  <si>
    <t>E1638T</t>
  </si>
  <si>
    <t>E1638V</t>
  </si>
  <si>
    <t>L1639A</t>
  </si>
  <si>
    <t>L1639G</t>
  </si>
  <si>
    <t>L1639H</t>
  </si>
  <si>
    <t>L1639K</t>
  </si>
  <si>
    <t>L1639P</t>
  </si>
  <si>
    <t>L1639T</t>
  </si>
  <si>
    <t>L1639V</t>
  </si>
  <si>
    <t>T1640A</t>
  </si>
  <si>
    <t>T1640G</t>
  </si>
  <si>
    <t>T1640H</t>
  </si>
  <si>
    <t>T1640L</t>
  </si>
  <si>
    <t>T1640N</t>
  </si>
  <si>
    <t>T1640V</t>
  </si>
  <si>
    <t>A1641G</t>
  </si>
  <si>
    <t>A1641H</t>
  </si>
  <si>
    <t>A1641L</t>
  </si>
  <si>
    <t>A1641N</t>
  </si>
  <si>
    <t>S1642*</t>
  </si>
  <si>
    <t>S1642A</t>
  </si>
  <si>
    <t>S1642E</t>
  </si>
  <si>
    <t>S1642F</t>
  </si>
  <si>
    <t>S1642I</t>
  </si>
  <si>
    <t>S1642L</t>
  </si>
  <si>
    <t>S1642P</t>
  </si>
  <si>
    <t>S1642Q</t>
  </si>
  <si>
    <t>S1642T</t>
  </si>
  <si>
    <t>T1643G</t>
  </si>
  <si>
    <t>T1643P</t>
  </si>
  <si>
    <t>T1643S</t>
  </si>
  <si>
    <t>E1644A</t>
  </si>
  <si>
    <t>E1644I</t>
  </si>
  <si>
    <t>E1644T</t>
  </si>
  <si>
    <t>R1645C</t>
  </si>
  <si>
    <t>R1645D</t>
  </si>
  <si>
    <t>R1645G</t>
  </si>
  <si>
    <t>R1645K</t>
  </si>
  <si>
    <t>R1645M</t>
  </si>
  <si>
    <t>R1645P</t>
  </si>
  <si>
    <t>R1645S</t>
  </si>
  <si>
    <t>R1645T</t>
  </si>
  <si>
    <t>V1646A</t>
  </si>
  <si>
    <t>V1646D</t>
  </si>
  <si>
    <t>V1646F</t>
  </si>
  <si>
    <t>V1646G</t>
  </si>
  <si>
    <t>V1646L</t>
  </si>
  <si>
    <t>V1646P</t>
  </si>
  <si>
    <t>V1646S</t>
  </si>
  <si>
    <t>V1646T</t>
  </si>
  <si>
    <t>N1647F</t>
  </si>
  <si>
    <t>K1648*</t>
  </si>
  <si>
    <t>K1648G</t>
  </si>
  <si>
    <t>K1648H</t>
  </si>
  <si>
    <t>K1648Q</t>
  </si>
  <si>
    <t>K1648S</t>
  </si>
  <si>
    <t>K1648T</t>
  </si>
  <si>
    <t>K1648Y</t>
  </si>
  <si>
    <t>R1649*</t>
  </si>
  <si>
    <t>R1649A</t>
  </si>
  <si>
    <t>R1649D</t>
  </si>
  <si>
    <t>R1649G</t>
  </si>
  <si>
    <t>R1649I</t>
  </si>
  <si>
    <t>R1649L</t>
  </si>
  <si>
    <t>M1650*</t>
  </si>
  <si>
    <t>M1650G</t>
  </si>
  <si>
    <t>M1650L</t>
  </si>
  <si>
    <t>M1650P</t>
  </si>
  <si>
    <t>M1650R</t>
  </si>
  <si>
    <t>S1651L</t>
  </si>
  <si>
    <t>S1651P</t>
  </si>
  <si>
    <t>M1652A</t>
  </si>
  <si>
    <t>M1652F</t>
  </si>
  <si>
    <t>M1652G</t>
  </si>
  <si>
    <t>M1652I</t>
  </si>
  <si>
    <t>M1652K</t>
  </si>
  <si>
    <t>M1652P</t>
  </si>
  <si>
    <t>M1652R</t>
  </si>
  <si>
    <t>M1652S</t>
  </si>
  <si>
    <t>M1652T</t>
  </si>
  <si>
    <t>M1652Y</t>
  </si>
  <si>
    <t>V1653A</t>
  </si>
  <si>
    <t>V1653G</t>
  </si>
  <si>
    <t>V1653H</t>
  </si>
  <si>
    <t>V1653I</t>
  </si>
  <si>
    <t>V1653L</t>
  </si>
  <si>
    <t>V1653S</t>
  </si>
  <si>
    <t>V1654*</t>
  </si>
  <si>
    <t>V1654D</t>
  </si>
  <si>
    <t>V1654G</t>
  </si>
  <si>
    <t>V1654N</t>
  </si>
  <si>
    <t>V1654R</t>
  </si>
  <si>
    <t>V1654S</t>
  </si>
  <si>
    <t>V1654T</t>
  </si>
  <si>
    <t>S1655*</t>
  </si>
  <si>
    <t>S1655A</t>
  </si>
  <si>
    <t>S1655G</t>
  </si>
  <si>
    <t>S1655N</t>
  </si>
  <si>
    <t>S1655P</t>
  </si>
  <si>
    <t>S1655T</t>
  </si>
  <si>
    <t>G1656*</t>
  </si>
  <si>
    <t>G1656A</t>
  </si>
  <si>
    <t>G1656C</t>
  </si>
  <si>
    <t>G1656D</t>
  </si>
  <si>
    <t>G1656E</t>
  </si>
  <si>
    <t>G1656H</t>
  </si>
  <si>
    <t>G1656K</t>
  </si>
  <si>
    <t>G1656L</t>
  </si>
  <si>
    <t>G1656M</t>
  </si>
  <si>
    <t>G1656P</t>
  </si>
  <si>
    <t>G1656S</t>
  </si>
  <si>
    <t>G1656V</t>
  </si>
  <si>
    <t>L1657*</t>
  </si>
  <si>
    <t>L1657D</t>
  </si>
  <si>
    <t>L1657E</t>
  </si>
  <si>
    <t>L1657F</t>
  </si>
  <si>
    <t>L1657G</t>
  </si>
  <si>
    <t>L1657I</t>
  </si>
  <si>
    <t>L1657K</t>
  </si>
  <si>
    <t>L1657M</t>
  </si>
  <si>
    <t>L1657P</t>
  </si>
  <si>
    <t>L1657Q</t>
  </si>
  <si>
    <t>L1657R</t>
  </si>
  <si>
    <t>L1657S</t>
  </si>
  <si>
    <t>L1657T</t>
  </si>
  <si>
    <t>L1657V</t>
  </si>
  <si>
    <t>T1658A</t>
  </si>
  <si>
    <t>T1658F</t>
  </si>
  <si>
    <t>T1658G</t>
  </si>
  <si>
    <t>T1658H</t>
  </si>
  <si>
    <t>T1658I</t>
  </si>
  <si>
    <t>T1658L</t>
  </si>
  <si>
    <t>T1658R</t>
  </si>
  <si>
    <t>T1658Y</t>
  </si>
  <si>
    <t>P1659*</t>
  </si>
  <si>
    <t>P1659A</t>
  </si>
  <si>
    <t>P1659F</t>
  </si>
  <si>
    <t>P1659L</t>
  </si>
  <si>
    <t>P1659R</t>
  </si>
  <si>
    <t>P1659S</t>
  </si>
  <si>
    <t>P1659T</t>
  </si>
  <si>
    <t>P1659W</t>
  </si>
  <si>
    <t>P1659Y</t>
  </si>
  <si>
    <t>E1660I</t>
  </si>
  <si>
    <t>E1660R</t>
  </si>
  <si>
    <t>E1660S</t>
  </si>
  <si>
    <t>E1660T</t>
  </si>
  <si>
    <t>E1660Y</t>
  </si>
  <si>
    <t>E1661I</t>
  </si>
  <si>
    <t>E1661L</t>
  </si>
  <si>
    <t>E1661S</t>
  </si>
  <si>
    <t>E1661Y</t>
  </si>
  <si>
    <t>F1662A</t>
  </si>
  <si>
    <t>F1662E</t>
  </si>
  <si>
    <t>F1662H</t>
  </si>
  <si>
    <t>F1662I</t>
  </si>
  <si>
    <t>F1662K</t>
  </si>
  <si>
    <t>F1662N</t>
  </si>
  <si>
    <t>F1662P</t>
  </si>
  <si>
    <t>F1662S</t>
  </si>
  <si>
    <t>F1662T</t>
  </si>
  <si>
    <t>F1662V</t>
  </si>
  <si>
    <t>M1663*</t>
  </si>
  <si>
    <t>M1663A</t>
  </si>
  <si>
    <t>M1663E</t>
  </si>
  <si>
    <t>M1663F</t>
  </si>
  <si>
    <t>M1663N</t>
  </si>
  <si>
    <t>M1663V</t>
  </si>
  <si>
    <t>L1664*</t>
  </si>
  <si>
    <t>L1664E</t>
  </si>
  <si>
    <t>L1664M</t>
  </si>
  <si>
    <t>L1664S</t>
  </si>
  <si>
    <t>V1665C</t>
  </si>
  <si>
    <t>V1665F</t>
  </si>
  <si>
    <t>V1665K</t>
  </si>
  <si>
    <t>V1665P</t>
  </si>
  <si>
    <t>V1665S</t>
  </si>
  <si>
    <t>V1665T</t>
  </si>
  <si>
    <t>V1665Y</t>
  </si>
  <si>
    <t>Y1666F</t>
  </si>
  <si>
    <t>Y1666H</t>
  </si>
  <si>
    <t>Y1666L</t>
  </si>
  <si>
    <t>Y1666P</t>
  </si>
  <si>
    <t>Y1666R</t>
  </si>
  <si>
    <t>Y1666S</t>
  </si>
  <si>
    <t>Y1666V</t>
  </si>
  <si>
    <t>K1667C</t>
  </si>
  <si>
    <t>K1667E</t>
  </si>
  <si>
    <t>K1667F</t>
  </si>
  <si>
    <t>K1667G</t>
  </si>
  <si>
    <t>K1667H</t>
  </si>
  <si>
    <t>K1667I</t>
  </si>
  <si>
    <t>K1667L</t>
  </si>
  <si>
    <t>K1667M</t>
  </si>
  <si>
    <t>K1667P</t>
  </si>
  <si>
    <t>K1667R</t>
  </si>
  <si>
    <t>K1667S</t>
  </si>
  <si>
    <t>K1667V</t>
  </si>
  <si>
    <t>F1668L</t>
  </si>
  <si>
    <t>F1668P</t>
  </si>
  <si>
    <t>F1668T</t>
  </si>
  <si>
    <t>F1668V</t>
  </si>
  <si>
    <t>F1668Y</t>
  </si>
  <si>
    <t>A1669*</t>
  </si>
  <si>
    <t>A1669C</t>
  </si>
  <si>
    <t>A1669F</t>
  </si>
  <si>
    <t>A1669G</t>
  </si>
  <si>
    <t>A1669L</t>
  </si>
  <si>
    <t>A1669M</t>
  </si>
  <si>
    <t>A1669N</t>
  </si>
  <si>
    <t>A1669P</t>
  </si>
  <si>
    <t>A1669R</t>
  </si>
  <si>
    <t>A1669T</t>
  </si>
  <si>
    <t>A1669V</t>
  </si>
  <si>
    <t>R1670I</t>
  </si>
  <si>
    <t>R1670L</t>
  </si>
  <si>
    <t>R1670T</t>
  </si>
  <si>
    <t>R1670Y</t>
  </si>
  <si>
    <t>K1671*</t>
  </si>
  <si>
    <t>K1671L</t>
  </si>
  <si>
    <t>K1671S</t>
  </si>
  <si>
    <t>K1671Y</t>
  </si>
  <si>
    <t>H1672*</t>
  </si>
  <si>
    <t>H1673*</t>
  </si>
  <si>
    <t>H1673E</t>
  </si>
  <si>
    <t>H1673F</t>
  </si>
  <si>
    <t>H1673L</t>
  </si>
  <si>
    <t>H1673P</t>
  </si>
  <si>
    <t>H1673R</t>
  </si>
  <si>
    <t>H1673S</t>
  </si>
  <si>
    <t>H1673V</t>
  </si>
  <si>
    <t>H1673Y</t>
  </si>
  <si>
    <t>I1674A</t>
  </si>
  <si>
    <t>I1674C</t>
  </si>
  <si>
    <t>I1674D</t>
  </si>
  <si>
    <t>I1674F</t>
  </si>
  <si>
    <t>I1674G</t>
  </si>
  <si>
    <t>I1674H</t>
  </si>
  <si>
    <t>I1674K</t>
  </si>
  <si>
    <t>I1674L</t>
  </si>
  <si>
    <t>I1674N</t>
  </si>
  <si>
    <t>I1674P</t>
  </si>
  <si>
    <t>I1674R</t>
  </si>
  <si>
    <t>I1674S</t>
  </si>
  <si>
    <t>I1674T</t>
  </si>
  <si>
    <t>I1674V</t>
  </si>
  <si>
    <t>I1674Y</t>
  </si>
  <si>
    <t>T1675A</t>
  </si>
  <si>
    <t>T1675C</t>
  </si>
  <si>
    <t>T1675F</t>
  </si>
  <si>
    <t>T1675I</t>
  </si>
  <si>
    <t>T1675P</t>
  </si>
  <si>
    <t>T1675S</t>
  </si>
  <si>
    <t>L1676C</t>
  </si>
  <si>
    <t>L1676F</t>
  </si>
  <si>
    <t>L1676S</t>
  </si>
  <si>
    <t>L1676V</t>
  </si>
  <si>
    <t>T1677D</t>
  </si>
  <si>
    <t>T1677F</t>
  </si>
  <si>
    <t>T1677H</t>
  </si>
  <si>
    <t>T1677I</t>
  </si>
  <si>
    <t>T1677L</t>
  </si>
  <si>
    <t>T1677R</t>
  </si>
  <si>
    <t>T1677S</t>
  </si>
  <si>
    <t>T1677Y</t>
  </si>
  <si>
    <t>N1678C</t>
  </si>
  <si>
    <t>N1678E</t>
  </si>
  <si>
    <t>N1678H</t>
  </si>
  <si>
    <t>N1678K</t>
  </si>
  <si>
    <t>N1678L</t>
  </si>
  <si>
    <t>N1678S</t>
  </si>
  <si>
    <t>N1678T</t>
  </si>
  <si>
    <t>L1679F</t>
  </si>
  <si>
    <t>L1679I</t>
  </si>
  <si>
    <t>L1679S</t>
  </si>
  <si>
    <t>I1680F</t>
  </si>
  <si>
    <t>I1680N</t>
  </si>
  <si>
    <t>I1680P</t>
  </si>
  <si>
    <t>I1680R</t>
  </si>
  <si>
    <t>I1680S</t>
  </si>
  <si>
    <t>T1681K</t>
  </si>
  <si>
    <t>T1681L</t>
  </si>
  <si>
    <t>E1682A</t>
  </si>
  <si>
    <t>E1682D</t>
  </si>
  <si>
    <t>E1682G</t>
  </si>
  <si>
    <t>E1682K</t>
  </si>
  <si>
    <t>E1682L</t>
  </si>
  <si>
    <t>E1682V</t>
  </si>
  <si>
    <t>E1683*</t>
  </si>
  <si>
    <t>E1683A</t>
  </si>
  <si>
    <t>E1683G</t>
  </si>
  <si>
    <t>E1683H</t>
  </si>
  <si>
    <t>E1683L</t>
  </si>
  <si>
    <t>E1683M</t>
  </si>
  <si>
    <t>E1683N</t>
  </si>
  <si>
    <t>E1683Q</t>
  </si>
  <si>
    <t>E1683R</t>
  </si>
  <si>
    <t>E1683V</t>
  </si>
  <si>
    <t>E1683W</t>
  </si>
  <si>
    <t>T1684A</t>
  </si>
  <si>
    <t>T1684H</t>
  </si>
  <si>
    <t>T1684K</t>
  </si>
  <si>
    <t>T1684N</t>
  </si>
  <si>
    <t>T1684P</t>
  </si>
  <si>
    <t>T1684R</t>
  </si>
  <si>
    <t>T1684S</t>
  </si>
  <si>
    <t>T1685L</t>
  </si>
  <si>
    <t>T1685S</t>
  </si>
  <si>
    <t>H1686L</t>
  </si>
  <si>
    <t>H1686P</t>
  </si>
  <si>
    <t>H1686Q</t>
  </si>
  <si>
    <t>V1687F</t>
  </si>
  <si>
    <t>V1687G</t>
  </si>
  <si>
    <t>V1687L</t>
  </si>
  <si>
    <t>V1688A</t>
  </si>
  <si>
    <t>V1688F</t>
  </si>
  <si>
    <t>V1688L</t>
  </si>
  <si>
    <t>V1688P</t>
  </si>
  <si>
    <t>M1689F</t>
  </si>
  <si>
    <t>M1689G</t>
  </si>
  <si>
    <t>M1689L</t>
  </si>
  <si>
    <t>M1689N</t>
  </si>
  <si>
    <t>M1689S</t>
  </si>
  <si>
    <t>M1689V</t>
  </si>
  <si>
    <t>K1690*</t>
  </si>
  <si>
    <t>K1690I</t>
  </si>
  <si>
    <t>K1690M</t>
  </si>
  <si>
    <t>K1690P</t>
  </si>
  <si>
    <t>K1690T</t>
  </si>
  <si>
    <t>T1691*</t>
  </si>
  <si>
    <t>D1692*</t>
  </si>
  <si>
    <t>D1692A</t>
  </si>
  <si>
    <t>D1692E</t>
  </si>
  <si>
    <t>D1692H</t>
  </si>
  <si>
    <t>D1692K</t>
  </si>
  <si>
    <t>D1692L</t>
  </si>
  <si>
    <t>D1692Y</t>
  </si>
  <si>
    <t>A1693D</t>
  </si>
  <si>
    <t>A1693F</t>
  </si>
  <si>
    <t>A1693H</t>
  </si>
  <si>
    <t>A1693I</t>
  </si>
  <si>
    <t>A1693R</t>
  </si>
  <si>
    <t>A1693S</t>
  </si>
  <si>
    <t>A1693T</t>
  </si>
  <si>
    <t>A1693V</t>
  </si>
  <si>
    <t>E1694*</t>
  </si>
  <si>
    <t>E1694A</t>
  </si>
  <si>
    <t>E1694H</t>
  </si>
  <si>
    <t>E1694K</t>
  </si>
  <si>
    <t>E1694V</t>
  </si>
  <si>
    <t>F1695C</t>
  </si>
  <si>
    <t>F1695G</t>
  </si>
  <si>
    <t>F1695I</t>
  </si>
  <si>
    <t>F1695L</t>
  </si>
  <si>
    <t>F1695M</t>
  </si>
  <si>
    <t>F1695R</t>
  </si>
  <si>
    <t>F1695S</t>
  </si>
  <si>
    <t>F1695T</t>
  </si>
  <si>
    <t>F1695V</t>
  </si>
  <si>
    <t>F1695Y</t>
  </si>
  <si>
    <t>V1696G</t>
  </si>
  <si>
    <t>V1696L</t>
  </si>
  <si>
    <t>V1696M</t>
  </si>
  <si>
    <t>C1697*</t>
  </si>
  <si>
    <t>C1697A</t>
  </si>
  <si>
    <t>C1697L</t>
  </si>
  <si>
    <t>C1697R</t>
  </si>
  <si>
    <t>C1697S</t>
  </si>
  <si>
    <t>C1697T</t>
  </si>
  <si>
    <t>E1698*</t>
  </si>
  <si>
    <t>E1698G</t>
  </si>
  <si>
    <t>E1698L</t>
  </si>
  <si>
    <t>E1698Q</t>
  </si>
  <si>
    <t>E1698R</t>
  </si>
  <si>
    <t>E1698T</t>
  </si>
  <si>
    <t>E1698Y</t>
  </si>
  <si>
    <t>R1699L</t>
  </si>
  <si>
    <t>R1699P</t>
  </si>
  <si>
    <t>R1699S</t>
  </si>
  <si>
    <t>T1700M</t>
  </si>
  <si>
    <t>L1701I</t>
  </si>
  <si>
    <t>L1701R</t>
  </si>
  <si>
    <t>K1702H</t>
  </si>
  <si>
    <t>K1702R</t>
  </si>
  <si>
    <t>Y1703A</t>
  </si>
  <si>
    <t>Y1703L</t>
  </si>
  <si>
    <t>Y1703P</t>
  </si>
  <si>
    <t>Y1703Q</t>
  </si>
  <si>
    <t>F1704*</t>
  </si>
  <si>
    <t>F1704H</t>
  </si>
  <si>
    <t>F1704L</t>
  </si>
  <si>
    <t>F1704M</t>
  </si>
  <si>
    <t>F1704R</t>
  </si>
  <si>
    <t>F1704S</t>
  </si>
  <si>
    <t>F1704T</t>
  </si>
  <si>
    <t>F1704Y</t>
  </si>
  <si>
    <t>L1705E</t>
  </si>
  <si>
    <t>L1705H</t>
  </si>
  <si>
    <t>L1705I</t>
  </si>
  <si>
    <t>L1705K</t>
  </si>
  <si>
    <t>L1705R</t>
  </si>
  <si>
    <t>G1706D</t>
  </si>
  <si>
    <t>G1706R</t>
  </si>
  <si>
    <t>G1706T</t>
  </si>
  <si>
    <t>G1706V</t>
  </si>
  <si>
    <t>I1707L</t>
  </si>
  <si>
    <t>I1707S</t>
  </si>
  <si>
    <t>A1708K</t>
  </si>
  <si>
    <t>A1708L</t>
  </si>
  <si>
    <t>A1708P</t>
  </si>
  <si>
    <t>A1708Q</t>
  </si>
  <si>
    <t>A1708S</t>
  </si>
  <si>
    <t>G1709S</t>
  </si>
  <si>
    <t>G1709V</t>
  </si>
  <si>
    <t>G1710*</t>
  </si>
  <si>
    <t>G1710K</t>
  </si>
  <si>
    <t>G1710S</t>
  </si>
  <si>
    <t>K1711D</t>
  </si>
  <si>
    <t>K1711E</t>
  </si>
  <si>
    <t>K1711H</t>
  </si>
  <si>
    <t>K1711I</t>
  </si>
  <si>
    <t>K1711L</t>
  </si>
  <si>
    <t>K1711N</t>
  </si>
  <si>
    <t>K1711S</t>
  </si>
  <si>
    <t>K1711T</t>
  </si>
  <si>
    <t>W1712G</t>
  </si>
  <si>
    <t>W1712P</t>
  </si>
  <si>
    <t>W1712S</t>
  </si>
  <si>
    <t>V1713*</t>
  </si>
  <si>
    <t>V1713A</t>
  </si>
  <si>
    <t>V1713D</t>
  </si>
  <si>
    <t>V1713E</t>
  </si>
  <si>
    <t>V1713L</t>
  </si>
  <si>
    <t>V1713P</t>
  </si>
  <si>
    <t>V1713R</t>
  </si>
  <si>
    <t>V1714I</t>
  </si>
  <si>
    <t>V1714L</t>
  </si>
  <si>
    <t>V1714R</t>
  </si>
  <si>
    <t>V1714Y</t>
  </si>
  <si>
    <t>S1715G</t>
  </si>
  <si>
    <t>S1715I</t>
  </si>
  <si>
    <t>S1715K</t>
  </si>
  <si>
    <t>S1715P</t>
  </si>
  <si>
    <t>S1715V</t>
  </si>
  <si>
    <t>Y1716C</t>
  </si>
  <si>
    <t>Y1716D</t>
  </si>
  <si>
    <t>Y1716L</t>
  </si>
  <si>
    <t>Y1716S</t>
  </si>
  <si>
    <t>F1717H</t>
  </si>
  <si>
    <t>F1717I</t>
  </si>
  <si>
    <t>F1717L</t>
  </si>
  <si>
    <t>F1717V</t>
  </si>
  <si>
    <t>F1717Y</t>
  </si>
  <si>
    <t>W1718F</t>
  </si>
  <si>
    <t>W1718L</t>
  </si>
  <si>
    <t>W1718T</t>
  </si>
  <si>
    <t>V1719A</t>
  </si>
  <si>
    <t>V1719L</t>
  </si>
  <si>
    <t>V1719T</t>
  </si>
  <si>
    <t>T1720R</t>
  </si>
  <si>
    <t>Q1721K</t>
  </si>
  <si>
    <t>Q1721N</t>
  </si>
  <si>
    <t>Q1721S</t>
  </si>
  <si>
    <t>Q1721V</t>
  </si>
  <si>
    <t>I1723F</t>
  </si>
  <si>
    <t>I1723G</t>
  </si>
  <si>
    <t>I1723L</t>
  </si>
  <si>
    <t>I1723N</t>
  </si>
  <si>
    <t>I1723T</t>
  </si>
  <si>
    <t>K1724L</t>
  </si>
  <si>
    <t>K1724N</t>
  </si>
  <si>
    <t>K1724Y</t>
  </si>
  <si>
    <t>E1725A</t>
  </si>
  <si>
    <t>E1725L</t>
  </si>
  <si>
    <t>E1725T</t>
  </si>
  <si>
    <t>E1725V</t>
  </si>
  <si>
    <t>R1726I</t>
  </si>
  <si>
    <t>R1726S</t>
  </si>
  <si>
    <t>R1726T</t>
  </si>
  <si>
    <t>K1727A</t>
  </si>
  <si>
    <t>K1727N</t>
  </si>
  <si>
    <t>K1727S</t>
  </si>
  <si>
    <t>K1727Y</t>
  </si>
  <si>
    <t>M1728K</t>
  </si>
  <si>
    <t>M1728Q</t>
  </si>
  <si>
    <t>M1728S</t>
  </si>
  <si>
    <t>M1728V</t>
  </si>
  <si>
    <t>L1729I</t>
  </si>
  <si>
    <t>L1729P</t>
  </si>
  <si>
    <t>L1729T</t>
  </si>
  <si>
    <t>E1731*</t>
  </si>
  <si>
    <t>E1731G</t>
  </si>
  <si>
    <t>E1731H</t>
  </si>
  <si>
    <t>E1731L</t>
  </si>
  <si>
    <t>E1731P</t>
  </si>
  <si>
    <t>E1731Q</t>
  </si>
  <si>
    <t>E1731Y</t>
  </si>
  <si>
    <t>H1732P</t>
  </si>
  <si>
    <t>D1733A</t>
  </si>
  <si>
    <t>D1733G</t>
  </si>
  <si>
    <t>D1733Q</t>
  </si>
  <si>
    <t>D1733T</t>
  </si>
  <si>
    <t>D1733V</t>
  </si>
  <si>
    <t>F1734I</t>
  </si>
  <si>
    <t>F1734L</t>
  </si>
  <si>
    <t>F1734M</t>
  </si>
  <si>
    <t>F1734P</t>
  </si>
  <si>
    <t>F1734T</t>
  </si>
  <si>
    <t>F1734V</t>
  </si>
  <si>
    <t>E1735*</t>
  </si>
  <si>
    <t>E1735A</t>
  </si>
  <si>
    <t>E1735R</t>
  </si>
  <si>
    <t>V1736E</t>
  </si>
  <si>
    <t>V1736F</t>
  </si>
  <si>
    <t>V1736I</t>
  </si>
  <si>
    <t>V1736N</t>
  </si>
  <si>
    <t>V1736S</t>
  </si>
  <si>
    <t>V1736T</t>
  </si>
  <si>
    <t>V1736Y</t>
  </si>
  <si>
    <t>R1737G</t>
  </si>
  <si>
    <t>R1737K</t>
  </si>
  <si>
    <t>R1737T</t>
  </si>
  <si>
    <t>G1738E</t>
  </si>
  <si>
    <t>G1738L</t>
  </si>
  <si>
    <t>G1738S</t>
  </si>
  <si>
    <t>G1738V</t>
  </si>
  <si>
    <t>D1739A</t>
  </si>
  <si>
    <t>D1739K</t>
  </si>
  <si>
    <t>D1739L</t>
  </si>
  <si>
    <t>V1740*</t>
  </si>
  <si>
    <t>V1740D</t>
  </si>
  <si>
    <t>V1740K</t>
  </si>
  <si>
    <t>V1740L</t>
  </si>
  <si>
    <t>V1740P</t>
  </si>
  <si>
    <t>V1740Q</t>
  </si>
  <si>
    <t>V1740W</t>
  </si>
  <si>
    <t>V1741A</t>
  </si>
  <si>
    <t>V1741I</t>
  </si>
  <si>
    <t>V1741L</t>
  </si>
  <si>
    <t>V1741N</t>
  </si>
  <si>
    <t>V1741P</t>
  </si>
  <si>
    <t>V1741R</t>
  </si>
  <si>
    <t>V1741S</t>
  </si>
  <si>
    <t>V1741T</t>
  </si>
  <si>
    <t>N1742*</t>
  </si>
  <si>
    <t>N1742A</t>
  </si>
  <si>
    <t>N1742C</t>
  </si>
  <si>
    <t>N1742G</t>
  </si>
  <si>
    <t>N1742I</t>
  </si>
  <si>
    <t>N1742K</t>
  </si>
  <si>
    <t>N1742L</t>
  </si>
  <si>
    <t>N1742M</t>
  </si>
  <si>
    <t>N1742Q</t>
  </si>
  <si>
    <t>N1742R</t>
  </si>
  <si>
    <t>N1742S</t>
  </si>
  <si>
    <t>N1742T</t>
  </si>
  <si>
    <t>N1742Y</t>
  </si>
  <si>
    <t>G1743A</t>
  </si>
  <si>
    <t>G1743C</t>
  </si>
  <si>
    <t>G1743D</t>
  </si>
  <si>
    <t>G1743L</t>
  </si>
  <si>
    <t>G1743P</t>
  </si>
  <si>
    <t>G1743Q</t>
  </si>
  <si>
    <t>G1743R</t>
  </si>
  <si>
    <t>G1743S</t>
  </si>
  <si>
    <t>G1743T</t>
  </si>
  <si>
    <t>G1743V</t>
  </si>
  <si>
    <t>R1744*</t>
  </si>
  <si>
    <t>R1744C</t>
  </si>
  <si>
    <t>R1744E</t>
  </si>
  <si>
    <t>R1744G</t>
  </si>
  <si>
    <t>R1744K</t>
  </si>
  <si>
    <t>R1744L</t>
  </si>
  <si>
    <t>R1744Q</t>
  </si>
  <si>
    <t>R1744S</t>
  </si>
  <si>
    <t>N1745E</t>
  </si>
  <si>
    <t>N1745F</t>
  </si>
  <si>
    <t>N1745G</t>
  </si>
  <si>
    <t>N1745I</t>
  </si>
  <si>
    <t>H1746E</t>
  </si>
  <si>
    <t>H1746P</t>
  </si>
  <si>
    <t>H1746Q</t>
  </si>
  <si>
    <t>H1746R</t>
  </si>
  <si>
    <t>H1746T</t>
  </si>
  <si>
    <t>Q1747D</t>
  </si>
  <si>
    <t>Q1747H</t>
  </si>
  <si>
    <t>Q1747I</t>
  </si>
  <si>
    <t>Q1747L</t>
  </si>
  <si>
    <t>G1748A</t>
  </si>
  <si>
    <t>G1748C</t>
  </si>
  <si>
    <t>G1748D</t>
  </si>
  <si>
    <t>G1748S</t>
  </si>
  <si>
    <t>G1748T</t>
  </si>
  <si>
    <t>P1749A</t>
  </si>
  <si>
    <t>P1749E</t>
  </si>
  <si>
    <t>P1749L</t>
  </si>
  <si>
    <t>P1749R</t>
  </si>
  <si>
    <t>P1749S</t>
  </si>
  <si>
    <t>K1750A</t>
  </si>
  <si>
    <t>K1750L</t>
  </si>
  <si>
    <t>K1750N</t>
  </si>
  <si>
    <t>K1750P</t>
  </si>
  <si>
    <t>K1750R</t>
  </si>
  <si>
    <t>R1751*</t>
  </si>
  <si>
    <t>R1751L</t>
  </si>
  <si>
    <t>R1751P</t>
  </si>
  <si>
    <t>R1751S</t>
  </si>
  <si>
    <t>R1751T</t>
  </si>
  <si>
    <t>A1752P</t>
  </si>
  <si>
    <t>R1753A</t>
  </si>
  <si>
    <t>R1753S</t>
  </si>
  <si>
    <t>R1753T</t>
  </si>
  <si>
    <t>E1754A</t>
  </si>
  <si>
    <t>E1754G</t>
  </si>
  <si>
    <t>E1754H</t>
  </si>
  <si>
    <t>E1754L</t>
  </si>
  <si>
    <t>E1754N</t>
  </si>
  <si>
    <t>E1754S</t>
  </si>
  <si>
    <t>E1754T</t>
  </si>
  <si>
    <t>E1754V</t>
  </si>
  <si>
    <t>S1755A</t>
  </si>
  <si>
    <t>S1755N</t>
  </si>
  <si>
    <t>S1755T</t>
  </si>
  <si>
    <t>Q1756D</t>
  </si>
  <si>
    <t>Q1756L</t>
  </si>
  <si>
    <t>Q1756N</t>
  </si>
  <si>
    <t>Q1756P</t>
  </si>
  <si>
    <t>Q1756R</t>
  </si>
  <si>
    <t>D1757*</t>
  </si>
  <si>
    <t>D1757A</t>
  </si>
  <si>
    <t>D1757C</t>
  </si>
  <si>
    <t>D1757E</t>
  </si>
  <si>
    <t>D1757G</t>
  </si>
  <si>
    <t>D1757H</t>
  </si>
  <si>
    <t>D1757P</t>
  </si>
  <si>
    <t>D1757Q</t>
  </si>
  <si>
    <t>D1757T</t>
  </si>
  <si>
    <t>D1757Y</t>
  </si>
  <si>
    <t>R1758C</t>
  </si>
  <si>
    <t>R1758I</t>
  </si>
  <si>
    <t>R1758Q</t>
  </si>
  <si>
    <t>R1758T</t>
  </si>
  <si>
    <t>K1759D</t>
  </si>
  <si>
    <t>K1759I</t>
  </si>
  <si>
    <t>K1759M</t>
  </si>
  <si>
    <t>K1759R</t>
  </si>
  <si>
    <t>K1759T</t>
  </si>
  <si>
    <t>K1759V</t>
  </si>
  <si>
    <t>K1759Y</t>
  </si>
  <si>
    <t>I1760A</t>
  </si>
  <si>
    <t>I1760F</t>
  </si>
  <si>
    <t>I1760K</t>
  </si>
  <si>
    <t>I1760L</t>
  </si>
  <si>
    <t>I1760S</t>
  </si>
  <si>
    <t>I1760T</t>
  </si>
  <si>
    <t>I1760V</t>
  </si>
  <si>
    <t>F1761*</t>
  </si>
  <si>
    <t>F1761I</t>
  </si>
  <si>
    <t>F1761L</t>
  </si>
  <si>
    <t>F1761R</t>
  </si>
  <si>
    <t>F1761S</t>
  </si>
  <si>
    <t>F1761T</t>
  </si>
  <si>
    <t>R1762G</t>
  </si>
  <si>
    <t>R1762I</t>
  </si>
  <si>
    <t>R1762L</t>
  </si>
  <si>
    <t>R1762S</t>
  </si>
  <si>
    <t>R1762T</t>
  </si>
  <si>
    <t>G1763*</t>
  </si>
  <si>
    <t>G1763A</t>
  </si>
  <si>
    <t>G1763C</t>
  </si>
  <si>
    <t>G1763K</t>
  </si>
  <si>
    <t>G1763L</t>
  </si>
  <si>
    <t>G1763R</t>
  </si>
  <si>
    <t>G1763S</t>
  </si>
  <si>
    <t>L1764A</t>
  </si>
  <si>
    <t>L1764H</t>
  </si>
  <si>
    <t>L1764M</t>
  </si>
  <si>
    <t>L1764P</t>
  </si>
  <si>
    <t>L1764R</t>
  </si>
  <si>
    <t>L1764S</t>
  </si>
  <si>
    <t>E1765G</t>
  </si>
  <si>
    <t>E1765H</t>
  </si>
  <si>
    <t>E1765L</t>
  </si>
  <si>
    <t>E1765P</t>
  </si>
  <si>
    <t>E1765Q</t>
  </si>
  <si>
    <t>E1765V</t>
  </si>
  <si>
    <t>E1765Y</t>
  </si>
  <si>
    <t>I1766L</t>
  </si>
  <si>
    <t>I1766M</t>
  </si>
  <si>
    <t>I1766R</t>
  </si>
  <si>
    <t>I1766S</t>
  </si>
  <si>
    <t>I1766T</t>
  </si>
  <si>
    <t>I1766V</t>
  </si>
  <si>
    <t>C1767*</t>
  </si>
  <si>
    <t>C1767F</t>
  </si>
  <si>
    <t>C1767G</t>
  </si>
  <si>
    <t>C1767L</t>
  </si>
  <si>
    <t>C1767P</t>
  </si>
  <si>
    <t>C1767R</t>
  </si>
  <si>
    <t>C1767S</t>
  </si>
  <si>
    <t>C1767T</t>
  </si>
  <si>
    <t>C1767Y</t>
  </si>
  <si>
    <t>C1768*</t>
  </si>
  <si>
    <t>C1768A</t>
  </si>
  <si>
    <t>C1768G</t>
  </si>
  <si>
    <t>C1768L</t>
  </si>
  <si>
    <t>C1768R</t>
  </si>
  <si>
    <t>C1768S</t>
  </si>
  <si>
    <t>C1768V</t>
  </si>
  <si>
    <t>C1768Y</t>
  </si>
  <si>
    <t>Y1769C</t>
  </si>
  <si>
    <t>Y1769D</t>
  </si>
  <si>
    <t>Y1769E</t>
  </si>
  <si>
    <t>Y1769F</t>
  </si>
  <si>
    <t>Y1769G</t>
  </si>
  <si>
    <t>Y1769H</t>
  </si>
  <si>
    <t>Y1769K</t>
  </si>
  <si>
    <t>Y1769L</t>
  </si>
  <si>
    <t>Y1769N</t>
  </si>
  <si>
    <t>Y1769P</t>
  </si>
  <si>
    <t>Y1769Q</t>
  </si>
  <si>
    <t>Y1769R</t>
  </si>
  <si>
    <t>Y1769S</t>
  </si>
  <si>
    <t>Y1769T</t>
  </si>
  <si>
    <t>Y1769V</t>
  </si>
  <si>
    <t>G1770*</t>
  </si>
  <si>
    <t>G1770A</t>
  </si>
  <si>
    <t>G1770E</t>
  </si>
  <si>
    <t>G1770K</t>
  </si>
  <si>
    <t>G1770L</t>
  </si>
  <si>
    <t>G1770M</t>
  </si>
  <si>
    <t>G1770P</t>
  </si>
  <si>
    <t>G1770Q</t>
  </si>
  <si>
    <t>G1770R</t>
  </si>
  <si>
    <t>G1770S</t>
  </si>
  <si>
    <t>G1770T</t>
  </si>
  <si>
    <t>G1770W</t>
  </si>
  <si>
    <t>P1771A</t>
  </si>
  <si>
    <t>P1771F</t>
  </si>
  <si>
    <t>P1771G</t>
  </si>
  <si>
    <t>P1771H</t>
  </si>
  <si>
    <t>P1771I</t>
  </si>
  <si>
    <t>P1771L</t>
  </si>
  <si>
    <t>P1771Q</t>
  </si>
  <si>
    <t>P1771R</t>
  </si>
  <si>
    <t>P1771S</t>
  </si>
  <si>
    <t>P1771T</t>
  </si>
  <si>
    <t>P1771V</t>
  </si>
  <si>
    <t>F1772*</t>
  </si>
  <si>
    <t>F1772G</t>
  </si>
  <si>
    <t>F1772H</t>
  </si>
  <si>
    <t>F1772I</t>
  </si>
  <si>
    <t>F1772L</t>
  </si>
  <si>
    <t>F1772M</t>
  </si>
  <si>
    <t>F1772N</t>
  </si>
  <si>
    <t>F1772Q</t>
  </si>
  <si>
    <t>F1772R</t>
  </si>
  <si>
    <t>F1772S</t>
  </si>
  <si>
    <t>F1772T</t>
  </si>
  <si>
    <t>F1772V</t>
  </si>
  <si>
    <t>F1772W</t>
  </si>
  <si>
    <t>T1773A</t>
  </si>
  <si>
    <t>T1773C</t>
  </si>
  <si>
    <t>T1773L</t>
  </si>
  <si>
    <t>T1773N</t>
  </si>
  <si>
    <t>T1773P</t>
  </si>
  <si>
    <t>T1773S</t>
  </si>
  <si>
    <t>T1773V</t>
  </si>
  <si>
    <t>T1773W</t>
  </si>
  <si>
    <t>N1774*</t>
  </si>
  <si>
    <t>N1774G</t>
  </si>
  <si>
    <t>N1774H</t>
  </si>
  <si>
    <t>N1774K</t>
  </si>
  <si>
    <t>N1774L</t>
  </si>
  <si>
    <t>N1774M</t>
  </si>
  <si>
    <t>N1774P</t>
  </si>
  <si>
    <t>N1774Q</t>
  </si>
  <si>
    <t>N1774R</t>
  </si>
  <si>
    <t>N1774S</t>
  </si>
  <si>
    <t>N1774T</t>
  </si>
  <si>
    <t>N1774V</t>
  </si>
  <si>
    <t>N1774W</t>
  </si>
  <si>
    <t>M1775E</t>
  </si>
  <si>
    <t>M1775L</t>
  </si>
  <si>
    <t>M1775P</t>
  </si>
  <si>
    <t>M1775Q</t>
  </si>
  <si>
    <t>M1775S</t>
  </si>
  <si>
    <t>M1775T</t>
  </si>
  <si>
    <t>M1775V</t>
  </si>
  <si>
    <t>P1776C</t>
  </si>
  <si>
    <t>P1776H</t>
  </si>
  <si>
    <t>P1776L</t>
  </si>
  <si>
    <t>P1776Q</t>
  </si>
  <si>
    <t>P1776R</t>
  </si>
  <si>
    <t>P1776S</t>
  </si>
  <si>
    <t>P1776T</t>
  </si>
  <si>
    <t>T1777*</t>
  </si>
  <si>
    <t>T1777A</t>
  </si>
  <si>
    <t>T1777L</t>
  </si>
  <si>
    <t>T1777M</t>
  </si>
  <si>
    <t>T1777P</t>
  </si>
  <si>
    <t>T1777Q</t>
  </si>
  <si>
    <t>T1777R</t>
  </si>
  <si>
    <t>T1777S</t>
  </si>
  <si>
    <t>D1778*</t>
  </si>
  <si>
    <t>D1778A</t>
  </si>
  <si>
    <t>D1778C</t>
  </si>
  <si>
    <t>D1778E</t>
  </si>
  <si>
    <t>Q1779H</t>
  </si>
  <si>
    <t>Q1779L</t>
  </si>
  <si>
    <t>Q1779R</t>
  </si>
  <si>
    <t>Q1779S</t>
  </si>
  <si>
    <t>L1780A</t>
  </si>
  <si>
    <t>L1780E</t>
  </si>
  <si>
    <t>L1780I</t>
  </si>
  <si>
    <t>L1780K</t>
  </si>
  <si>
    <t>L1780P</t>
  </si>
  <si>
    <t>L1780R</t>
  </si>
  <si>
    <t>L1780S</t>
  </si>
  <si>
    <t>L1780T</t>
  </si>
  <si>
    <t>E1781A</t>
  </si>
  <si>
    <t>E1781G</t>
  </si>
  <si>
    <t>E1781K</t>
  </si>
  <si>
    <t>E1781N</t>
  </si>
  <si>
    <t>E1781Q</t>
  </si>
  <si>
    <t>E1781R</t>
  </si>
  <si>
    <t>E1781T</t>
  </si>
  <si>
    <t>E1781Y</t>
  </si>
  <si>
    <t>W1782*</t>
  </si>
  <si>
    <t>W1782A</t>
  </si>
  <si>
    <t>W1782E</t>
  </si>
  <si>
    <t>W1782G</t>
  </si>
  <si>
    <t>W1782K</t>
  </si>
  <si>
    <t>W1782L</t>
  </si>
  <si>
    <t>W1782M</t>
  </si>
  <si>
    <t>W1782R</t>
  </si>
  <si>
    <t>W1782S</t>
  </si>
  <si>
    <t>W1782T</t>
  </si>
  <si>
    <t>M1783*</t>
  </si>
  <si>
    <t>M1783A</t>
  </si>
  <si>
    <t>M1783E</t>
  </si>
  <si>
    <t>M1783G</t>
  </si>
  <si>
    <t>M1783H</t>
  </si>
  <si>
    <t>M1783I</t>
  </si>
  <si>
    <t>M1783K</t>
  </si>
  <si>
    <t>M1783N</t>
  </si>
  <si>
    <t>M1783Q</t>
  </si>
  <si>
    <t>M1783R</t>
  </si>
  <si>
    <t>M1783S</t>
  </si>
  <si>
    <t>M1783V</t>
  </si>
  <si>
    <t>V1784*</t>
  </si>
  <si>
    <t>V1784A</t>
  </si>
  <si>
    <t>V1784F</t>
  </si>
  <si>
    <t>V1784L</t>
  </si>
  <si>
    <t>V1784Q</t>
  </si>
  <si>
    <t>V1784R</t>
  </si>
  <si>
    <t>Q1785*</t>
  </si>
  <si>
    <t>Q1785E</t>
  </si>
  <si>
    <t>Q1785G</t>
  </si>
  <si>
    <t>Q1785K</t>
  </si>
  <si>
    <t>Q1785L</t>
  </si>
  <si>
    <t>Q1785M</t>
  </si>
  <si>
    <t>Q1785P</t>
  </si>
  <si>
    <t>Q1785R</t>
  </si>
  <si>
    <t>L1786*</t>
  </si>
  <si>
    <t>L1786E</t>
  </si>
  <si>
    <t>L1786F</t>
  </si>
  <si>
    <t>L1786G</t>
  </si>
  <si>
    <t>L1786M</t>
  </si>
  <si>
    <t>L1786R</t>
  </si>
  <si>
    <t>L1786S</t>
  </si>
  <si>
    <t>L1786W</t>
  </si>
  <si>
    <t>L1786Y</t>
  </si>
  <si>
    <t>C1787A</t>
  </si>
  <si>
    <t>C1787I</t>
  </si>
  <si>
    <t>C1787K</t>
  </si>
  <si>
    <t>C1787T</t>
  </si>
  <si>
    <t>G1788*</t>
  </si>
  <si>
    <t>G1788E</t>
  </si>
  <si>
    <t>G1788F</t>
  </si>
  <si>
    <t>G1788K</t>
  </si>
  <si>
    <t>G1788L</t>
  </si>
  <si>
    <t>G1788Q</t>
  </si>
  <si>
    <t>G1788R</t>
  </si>
  <si>
    <t>G1788S</t>
  </si>
  <si>
    <t>G1788W</t>
  </si>
  <si>
    <t>G1788Y</t>
  </si>
  <si>
    <t>A1789E</t>
  </si>
  <si>
    <t>A1789F</t>
  </si>
  <si>
    <t>A1789G</t>
  </si>
  <si>
    <t>A1789H</t>
  </si>
  <si>
    <t>A1789I</t>
  </si>
  <si>
    <t>A1789L</t>
  </si>
  <si>
    <t>A1789M</t>
  </si>
  <si>
    <t>A1789P</t>
  </si>
  <si>
    <t>A1789R</t>
  </si>
  <si>
    <t>A1789S</t>
  </si>
  <si>
    <t>A1789T</t>
  </si>
  <si>
    <t>A1789Y</t>
  </si>
  <si>
    <t>S1790L</t>
  </si>
  <si>
    <t>S1790R</t>
  </si>
  <si>
    <t>S1790T</t>
  </si>
  <si>
    <t>S1790Y</t>
  </si>
  <si>
    <t>V1791A</t>
  </si>
  <si>
    <t>V1791G</t>
  </si>
  <si>
    <t>V1791L</t>
  </si>
  <si>
    <t>V1791M</t>
  </si>
  <si>
    <t>V1791P</t>
  </si>
  <si>
    <t>V1791Q</t>
  </si>
  <si>
    <t>V1791R</t>
  </si>
  <si>
    <t>V1791T</t>
  </si>
  <si>
    <t>V1792*</t>
  </si>
  <si>
    <t>V1792F</t>
  </si>
  <si>
    <t>V1792G</t>
  </si>
  <si>
    <t>V1792L</t>
  </si>
  <si>
    <t>V1792P</t>
  </si>
  <si>
    <t>V1792R</t>
  </si>
  <si>
    <t>V1792S</t>
  </si>
  <si>
    <t>V1792T</t>
  </si>
  <si>
    <t>K1793*</t>
  </si>
  <si>
    <t>K1793D</t>
  </si>
  <si>
    <t>K1793F</t>
  </si>
  <si>
    <t>K1793H</t>
  </si>
  <si>
    <t>K1793I</t>
  </si>
  <si>
    <t>K1793L</t>
  </si>
  <si>
    <t>K1793M</t>
  </si>
  <si>
    <t>K1793N</t>
  </si>
  <si>
    <t>K1793P</t>
  </si>
  <si>
    <t>K1793Q</t>
  </si>
  <si>
    <t>K1793R</t>
  </si>
  <si>
    <t>K1793T</t>
  </si>
  <si>
    <t>K1793V</t>
  </si>
  <si>
    <t>K1793W</t>
  </si>
  <si>
    <t>E1794A</t>
  </si>
  <si>
    <t>E1794D</t>
  </si>
  <si>
    <t>E1794G</t>
  </si>
  <si>
    <t>E1794L</t>
  </si>
  <si>
    <t>E1794M</t>
  </si>
  <si>
    <t>E1794P</t>
  </si>
  <si>
    <t>E1794Q</t>
  </si>
  <si>
    <t>E1794R</t>
  </si>
  <si>
    <t>E1794S</t>
  </si>
  <si>
    <t>E1794V</t>
  </si>
  <si>
    <t>E1794W</t>
  </si>
  <si>
    <t>L1795*</t>
  </si>
  <si>
    <t>L1795A</t>
  </si>
  <si>
    <t>L1795C</t>
  </si>
  <si>
    <t>L1795F</t>
  </si>
  <si>
    <t>L1795I</t>
  </si>
  <si>
    <t>L1795M</t>
  </si>
  <si>
    <t>L1795N</t>
  </si>
  <si>
    <t>L1795P</t>
  </si>
  <si>
    <t>L1795Q</t>
  </si>
  <si>
    <t>L1795R</t>
  </si>
  <si>
    <t>L1795S</t>
  </si>
  <si>
    <t>L1795T</t>
  </si>
  <si>
    <t>L1795V</t>
  </si>
  <si>
    <t>S1796*</t>
  </si>
  <si>
    <t>S1796A</t>
  </si>
  <si>
    <t>S1796G</t>
  </si>
  <si>
    <t>S1796L</t>
  </si>
  <si>
    <t>S1796P</t>
  </si>
  <si>
    <t>S1796R</t>
  </si>
  <si>
    <t>S1796W</t>
  </si>
  <si>
    <t>S1797A</t>
  </si>
  <si>
    <t>S1797C</t>
  </si>
  <si>
    <t>S1797K</t>
  </si>
  <si>
    <t>S1797L</t>
  </si>
  <si>
    <t>S1797P</t>
  </si>
  <si>
    <t>S1797R</t>
  </si>
  <si>
    <t>S1797V</t>
  </si>
  <si>
    <t>S1797W</t>
  </si>
  <si>
    <t>F1798I</t>
  </si>
  <si>
    <t>F1798K</t>
  </si>
  <si>
    <t>F1798L</t>
  </si>
  <si>
    <t>F1798M</t>
  </si>
  <si>
    <t>F1798P</t>
  </si>
  <si>
    <t>F1798R</t>
  </si>
  <si>
    <t>F1798S</t>
  </si>
  <si>
    <t>F1798T</t>
  </si>
  <si>
    <t>F1798V</t>
  </si>
  <si>
    <t>F1798W</t>
  </si>
  <si>
    <t>F1798Y</t>
  </si>
  <si>
    <t>T1799I</t>
  </si>
  <si>
    <t>T1799M</t>
  </si>
  <si>
    <t>T1799Q</t>
  </si>
  <si>
    <t>T1799R</t>
  </si>
  <si>
    <t>T1799S</t>
  </si>
  <si>
    <t>T1799W</t>
  </si>
  <si>
    <t>L1800K</t>
  </si>
  <si>
    <t>G1801L</t>
  </si>
  <si>
    <t>G1801R</t>
  </si>
  <si>
    <t>G1801S</t>
  </si>
  <si>
    <t>G1801W</t>
  </si>
  <si>
    <t>T1802*</t>
  </si>
  <si>
    <t>T1802A</t>
  </si>
  <si>
    <t>T1802G</t>
  </si>
  <si>
    <t>T1802K</t>
  </si>
  <si>
    <t>T1802L</t>
  </si>
  <si>
    <t>T1802M</t>
  </si>
  <si>
    <t>T1802N</t>
  </si>
  <si>
    <t>T1802P</t>
  </si>
  <si>
    <t>T1802Q</t>
  </si>
  <si>
    <t>T1802R</t>
  </si>
  <si>
    <t>T1802S</t>
  </si>
  <si>
    <t>T1802V</t>
  </si>
  <si>
    <t>G1803*</t>
  </si>
  <si>
    <t>G1803M</t>
  </si>
  <si>
    <t>G1803N</t>
  </si>
  <si>
    <t>G1803T</t>
  </si>
  <si>
    <t>G1803V</t>
  </si>
  <si>
    <t>G1803W</t>
  </si>
  <si>
    <t>V1804A</t>
  </si>
  <si>
    <t>V1804G</t>
  </si>
  <si>
    <t>V1804H</t>
  </si>
  <si>
    <t>V1804I</t>
  </si>
  <si>
    <t>V1804L</t>
  </si>
  <si>
    <t>V1804M</t>
  </si>
  <si>
    <t>V1804T</t>
  </si>
  <si>
    <t>H1805*</t>
  </si>
  <si>
    <t>H1805A</t>
  </si>
  <si>
    <t>H1805G</t>
  </si>
  <si>
    <t>H1805K</t>
  </si>
  <si>
    <t>H1805L</t>
  </si>
  <si>
    <t>H1805M</t>
  </si>
  <si>
    <t>H1805P</t>
  </si>
  <si>
    <t>H1805Q</t>
  </si>
  <si>
    <t>H1805R</t>
  </si>
  <si>
    <t>H1805S</t>
  </si>
  <si>
    <t>H1805V</t>
  </si>
  <si>
    <t>H1805W</t>
  </si>
  <si>
    <t>H1805Y</t>
  </si>
  <si>
    <t>P1806A</t>
  </si>
  <si>
    <t>P1806H</t>
  </si>
  <si>
    <t>P1806K</t>
  </si>
  <si>
    <t>P1806L</t>
  </si>
  <si>
    <t>P1806Q</t>
  </si>
  <si>
    <t>P1806R</t>
  </si>
  <si>
    <t>P1806S</t>
  </si>
  <si>
    <t>P1806T</t>
  </si>
  <si>
    <t>P1806W</t>
  </si>
  <si>
    <t>I1807H</t>
  </si>
  <si>
    <t>I1807K</t>
  </si>
  <si>
    <t>I1807L</t>
  </si>
  <si>
    <t>I1807T</t>
  </si>
  <si>
    <t>I1807V</t>
  </si>
  <si>
    <t>V1808F</t>
  </si>
  <si>
    <t>V1808K</t>
  </si>
  <si>
    <t>V1808L</t>
  </si>
  <si>
    <t>V1808M</t>
  </si>
  <si>
    <t>V1808P</t>
  </si>
  <si>
    <t>V1808Q</t>
  </si>
  <si>
    <t>V1808R</t>
  </si>
  <si>
    <t>V1808T</t>
  </si>
  <si>
    <t>V1809E</t>
  </si>
  <si>
    <t>V1809M</t>
  </si>
  <si>
    <t>V1809P</t>
  </si>
  <si>
    <t>V1809Q</t>
  </si>
  <si>
    <t>V1809S</t>
  </si>
  <si>
    <t>V1810*</t>
  </si>
  <si>
    <t>V1810A</t>
  </si>
  <si>
    <t>V1810E</t>
  </si>
  <si>
    <t>V1810L</t>
  </si>
  <si>
    <t>V1810P</t>
  </si>
  <si>
    <t>V1810Q</t>
  </si>
  <si>
    <t>V1810T</t>
  </si>
  <si>
    <t>V1810W</t>
  </si>
  <si>
    <t>Q1811*</t>
  </si>
  <si>
    <t>Q1811A</t>
  </si>
  <si>
    <t>Q1811E</t>
  </si>
  <si>
    <t>Q1811G</t>
  </si>
  <si>
    <t>Q1811L</t>
  </si>
  <si>
    <t>Q1811M</t>
  </si>
  <si>
    <t>Q1811P</t>
  </si>
  <si>
    <t>Q1811R</t>
  </si>
  <si>
    <t>Q1811S</t>
  </si>
  <si>
    <t>Q1811T</t>
  </si>
  <si>
    <t>P1812*</t>
  </si>
  <si>
    <t>P1812A</t>
  </si>
  <si>
    <t>P1812D</t>
  </si>
  <si>
    <t>P1812L</t>
  </si>
  <si>
    <t>P1812Q</t>
  </si>
  <si>
    <t>P1812T</t>
  </si>
  <si>
    <t>D1813A</t>
  </si>
  <si>
    <t>D1813E</t>
  </si>
  <si>
    <t>D1813G</t>
  </si>
  <si>
    <t>D1813I</t>
  </si>
  <si>
    <t>D1813K</t>
  </si>
  <si>
    <t>D1813M</t>
  </si>
  <si>
    <t>D1813N</t>
  </si>
  <si>
    <t>D1813R</t>
  </si>
  <si>
    <t>D1813S</t>
  </si>
  <si>
    <t>D1813T</t>
  </si>
  <si>
    <t>D1813V</t>
  </si>
  <si>
    <t>A1814L</t>
  </si>
  <si>
    <t>A1814P</t>
  </si>
  <si>
    <t>A1814R</t>
  </si>
  <si>
    <t>A1814T</t>
  </si>
  <si>
    <t>A1814V</t>
  </si>
  <si>
    <t>W1815C</t>
  </si>
  <si>
    <t>W1815E</t>
  </si>
  <si>
    <t>W1815G</t>
  </si>
  <si>
    <t>W1815L</t>
  </si>
  <si>
    <t>W1815M</t>
  </si>
  <si>
    <t>W1815P</t>
  </si>
  <si>
    <t>W1815R</t>
  </si>
  <si>
    <t>W1815S</t>
  </si>
  <si>
    <t>W1815T</t>
  </si>
  <si>
    <t>W1815V</t>
  </si>
  <si>
    <t>T1816F</t>
  </si>
  <si>
    <t>T1816H</t>
  </si>
  <si>
    <t>T1816K</t>
  </si>
  <si>
    <t>T1816M</t>
  </si>
  <si>
    <t>T1816P</t>
  </si>
  <si>
    <t>T1816Q</t>
  </si>
  <si>
    <t>E1817A</t>
  </si>
  <si>
    <t>E1817I</t>
  </si>
  <si>
    <t>E1817K</t>
  </si>
  <si>
    <t>E1817L</t>
  </si>
  <si>
    <t>E1817M</t>
  </si>
  <si>
    <t>E1817N</t>
  </si>
  <si>
    <t>E1817R</t>
  </si>
  <si>
    <t>E1817T</t>
  </si>
  <si>
    <t>E1817V</t>
  </si>
  <si>
    <t>E1817W</t>
  </si>
  <si>
    <t>D1818*</t>
  </si>
  <si>
    <t>D1818A</t>
  </si>
  <si>
    <t>D1818L</t>
  </si>
  <si>
    <t>D1818Q</t>
  </si>
  <si>
    <t>D1818R</t>
  </si>
  <si>
    <t>N1819*</t>
  </si>
  <si>
    <t>N1819A</t>
  </si>
  <si>
    <t>N1819E</t>
  </si>
  <si>
    <t>N1819F</t>
  </si>
  <si>
    <t>N1819K</t>
  </si>
  <si>
    <t>N1819L</t>
  </si>
  <si>
    <t>N1819M</t>
  </si>
  <si>
    <t>N1819P</t>
  </si>
  <si>
    <t>N1819Q</t>
  </si>
  <si>
    <t>N1819R</t>
  </si>
  <si>
    <t>N1819T</t>
  </si>
  <si>
    <t>N1819V</t>
  </si>
  <si>
    <t>N1819W</t>
  </si>
  <si>
    <t>G1820A</t>
  </si>
  <si>
    <t>G1820L</t>
  </si>
  <si>
    <t>G1820R</t>
  </si>
  <si>
    <t>G1820V</t>
  </si>
  <si>
    <t>G1820W</t>
  </si>
  <si>
    <t>F1821A</t>
  </si>
  <si>
    <t>F1821L</t>
  </si>
  <si>
    <t>F1821M</t>
  </si>
  <si>
    <t>F1821P</t>
  </si>
  <si>
    <t>F1821R</t>
  </si>
  <si>
    <t>F1821S</t>
  </si>
  <si>
    <t>F1821V</t>
  </si>
  <si>
    <t>F1821W</t>
  </si>
  <si>
    <t>H1822C</t>
  </si>
  <si>
    <t>H1822I</t>
  </si>
  <si>
    <t>H1822L</t>
  </si>
  <si>
    <t>H1822M</t>
  </si>
  <si>
    <t>H1822N</t>
  </si>
  <si>
    <t>H1822P</t>
  </si>
  <si>
    <t>H1822Q</t>
  </si>
  <si>
    <t>H1822R</t>
  </si>
  <si>
    <t>H1822S</t>
  </si>
  <si>
    <t>H1822V</t>
  </si>
  <si>
    <t>H1822W</t>
  </si>
  <si>
    <t>H1822Y</t>
  </si>
  <si>
    <t>A1823G</t>
  </si>
  <si>
    <t>A1823K</t>
  </si>
  <si>
    <t>A1823P</t>
  </si>
  <si>
    <t>A1823Q</t>
  </si>
  <si>
    <t>A1823S</t>
  </si>
  <si>
    <t>I1824K</t>
  </si>
  <si>
    <t>I1824L</t>
  </si>
  <si>
    <t>I1824M</t>
  </si>
  <si>
    <t>I1824P</t>
  </si>
  <si>
    <t>I1824Q</t>
  </si>
  <si>
    <t>I1824R</t>
  </si>
  <si>
    <t>I1824T</t>
  </si>
  <si>
    <t>I1824V</t>
  </si>
  <si>
    <t>I1824W</t>
  </si>
  <si>
    <t>G1825C</t>
  </si>
  <si>
    <t>G1825L</t>
  </si>
  <si>
    <t>G1825P</t>
  </si>
  <si>
    <t>G1825Q</t>
  </si>
  <si>
    <t>G1825S</t>
  </si>
  <si>
    <t>G1825T</t>
  </si>
  <si>
    <t>G1825V</t>
  </si>
  <si>
    <t>G1825W</t>
  </si>
  <si>
    <t>Q1826*</t>
  </si>
  <si>
    <t>Q1826A</t>
  </si>
  <si>
    <t>Q1826K</t>
  </si>
  <si>
    <t>Q1826L</t>
  </si>
  <si>
    <t>Q1826P</t>
  </si>
  <si>
    <t>Q1826R</t>
  </si>
  <si>
    <t>Q1826S</t>
  </si>
  <si>
    <t>Q1826T</t>
  </si>
  <si>
    <t>Q1826W</t>
  </si>
  <si>
    <t>Q1826Y</t>
  </si>
  <si>
    <t>M1827*</t>
  </si>
  <si>
    <t>M1827A</t>
  </si>
  <si>
    <t>M1827E</t>
  </si>
  <si>
    <t>M1827H</t>
  </si>
  <si>
    <t>M1827K</t>
  </si>
  <si>
    <t>M1827L</t>
  </si>
  <si>
    <t>M1827P</t>
  </si>
  <si>
    <t>M1827R</t>
  </si>
  <si>
    <t>M1827T</t>
  </si>
  <si>
    <t>M1827V</t>
  </si>
  <si>
    <t>C1828A</t>
  </si>
  <si>
    <t>C1828G</t>
  </si>
  <si>
    <t>C1828K</t>
  </si>
  <si>
    <t>C1828L</t>
  </si>
  <si>
    <t>C1828R</t>
  </si>
  <si>
    <t>C1828S</t>
  </si>
  <si>
    <t>C1828T</t>
  </si>
  <si>
    <t>C1828W</t>
  </si>
  <si>
    <t>E1829*</t>
  </si>
  <si>
    <t>E1829C</t>
  </si>
  <si>
    <t>E1829D</t>
  </si>
  <si>
    <t>E1829G</t>
  </si>
  <si>
    <t>E1829K</t>
  </si>
  <si>
    <t>E1829L</t>
  </si>
  <si>
    <t>E1829M</t>
  </si>
  <si>
    <t>E1829N</t>
  </si>
  <si>
    <t>E1829P</t>
  </si>
  <si>
    <t>E1829Q</t>
  </si>
  <si>
    <t>E1829R</t>
  </si>
  <si>
    <t>E1829S</t>
  </si>
  <si>
    <t>E1829T</t>
  </si>
  <si>
    <t>E1829V</t>
  </si>
  <si>
    <t>A1830C</t>
  </si>
  <si>
    <t>A1830E</t>
  </si>
  <si>
    <t>A1830F</t>
  </si>
  <si>
    <t>A1830G</t>
  </si>
  <si>
    <t>A1830K</t>
  </si>
  <si>
    <t>A1830M</t>
  </si>
  <si>
    <t>A1830P</t>
  </si>
  <si>
    <t>A1830Q</t>
  </si>
  <si>
    <t>A1830R</t>
  </si>
  <si>
    <t>A1830S</t>
  </si>
  <si>
    <t>A1830T</t>
  </si>
  <si>
    <t>A1830V</t>
  </si>
  <si>
    <t>A1830W</t>
  </si>
  <si>
    <t>P1831A</t>
  </si>
  <si>
    <t>P1831C</t>
  </si>
  <si>
    <t>P1831D</t>
  </si>
  <si>
    <t>P1831L</t>
  </si>
  <si>
    <t>P1831N</t>
  </si>
  <si>
    <t>P1831Q</t>
  </si>
  <si>
    <t>P1831R</t>
  </si>
  <si>
    <t>P1831S</t>
  </si>
  <si>
    <t>P1831V</t>
  </si>
  <si>
    <t>V1832*</t>
  </si>
  <si>
    <t>V1832A</t>
  </si>
  <si>
    <t>V1832G</t>
  </si>
  <si>
    <t>V1832K</t>
  </si>
  <si>
    <t>V1832L</t>
  </si>
  <si>
    <t>V1832M</t>
  </si>
  <si>
    <t>V1832P</t>
  </si>
  <si>
    <t>V1832Q</t>
  </si>
  <si>
    <t>V1832R</t>
  </si>
  <si>
    <t>V1832T</t>
  </si>
  <si>
    <t>V1833*</t>
  </si>
  <si>
    <t>V1833A</t>
  </si>
  <si>
    <t>V1833D</t>
  </si>
  <si>
    <t>V1833E</t>
  </si>
  <si>
    <t>V1833G</t>
  </si>
  <si>
    <t>V1833I</t>
  </si>
  <si>
    <t>V1833L</t>
  </si>
  <si>
    <t>V1833P</t>
  </si>
  <si>
    <t>V1833Q</t>
  </si>
  <si>
    <t>V1833R</t>
  </si>
  <si>
    <t>V1833S</t>
  </si>
  <si>
    <t>V1833T</t>
  </si>
  <si>
    <t>V1833W</t>
  </si>
  <si>
    <t>T1834*</t>
  </si>
  <si>
    <t>T1834A</t>
  </si>
  <si>
    <t>T1834C</t>
  </si>
  <si>
    <t>T1834D</t>
  </si>
  <si>
    <t>T1834E</t>
  </si>
  <si>
    <t>T1834F</t>
  </si>
  <si>
    <t>T1834G</t>
  </si>
  <si>
    <t>T1834I</t>
  </si>
  <si>
    <t>T1834K</t>
  </si>
  <si>
    <t>T1834L</t>
  </si>
  <si>
    <t>T1834N</t>
  </si>
  <si>
    <t>T1834P</t>
  </si>
  <si>
    <t>T1834Q</t>
  </si>
  <si>
    <t>T1834S</t>
  </si>
  <si>
    <t>T1834V</t>
  </si>
  <si>
    <t>R1835*</t>
  </si>
  <si>
    <t>R1835C</t>
  </si>
  <si>
    <t>R1835H</t>
  </si>
  <si>
    <t>R1835I</t>
  </si>
  <si>
    <t>R1835K</t>
  </si>
  <si>
    <t>R1835L</t>
  </si>
  <si>
    <t>R1835M</t>
  </si>
  <si>
    <t>R1835P</t>
  </si>
  <si>
    <t>R1835T</t>
  </si>
  <si>
    <t>R1835W</t>
  </si>
  <si>
    <t>E1836*</t>
  </si>
  <si>
    <t>E1836A</t>
  </si>
  <si>
    <t>E1836D</t>
  </si>
  <si>
    <t>E1836G</t>
  </si>
  <si>
    <t>E1836L</t>
  </si>
  <si>
    <t>E1836P</t>
  </si>
  <si>
    <t>E1836Q</t>
  </si>
  <si>
    <t>E1836R</t>
  </si>
  <si>
    <t>E1836V</t>
  </si>
  <si>
    <t>E1836Y</t>
  </si>
  <si>
    <t>W1837A</t>
  </si>
  <si>
    <t>W1837K</t>
  </si>
  <si>
    <t>W1837L</t>
  </si>
  <si>
    <t>W1837M</t>
  </si>
  <si>
    <t>W1837Q</t>
  </si>
  <si>
    <t>W1837R</t>
  </si>
  <si>
    <t>W1837T</t>
  </si>
  <si>
    <t>W1837V</t>
  </si>
  <si>
    <t>W1837Y</t>
  </si>
  <si>
    <t>V1838*</t>
  </si>
  <si>
    <t>V1838A</t>
  </si>
  <si>
    <t>V1838C</t>
  </si>
  <si>
    <t>V1838E</t>
  </si>
  <si>
    <t>V1838G</t>
  </si>
  <si>
    <t>V1838H</t>
  </si>
  <si>
    <t>V1838L</t>
  </si>
  <si>
    <t>V1838M</t>
  </si>
  <si>
    <t>V1838P</t>
  </si>
  <si>
    <t>V1838Q</t>
  </si>
  <si>
    <t>V1838R</t>
  </si>
  <si>
    <t>V1838S</t>
  </si>
  <si>
    <t>L1839A</t>
  </si>
  <si>
    <t>L1839G</t>
  </si>
  <si>
    <t>L1839K</t>
  </si>
  <si>
    <t>L1839M</t>
  </si>
  <si>
    <t>L1839P</t>
  </si>
  <si>
    <t>L1839Q</t>
  </si>
  <si>
    <t>L1839R</t>
  </si>
  <si>
    <t>L1839S</t>
  </si>
  <si>
    <t>L1839T</t>
  </si>
  <si>
    <t>L1839V</t>
  </si>
  <si>
    <t>D1840*</t>
  </si>
  <si>
    <t>D1840A</t>
  </si>
  <si>
    <t>D1840E</t>
  </si>
  <si>
    <t>D1840K</t>
  </si>
  <si>
    <t>D1840R</t>
  </si>
  <si>
    <t>D1840T</t>
  </si>
  <si>
    <t>D1840V</t>
  </si>
  <si>
    <t>S1841C</t>
  </si>
  <si>
    <t>S1841I</t>
  </si>
  <si>
    <t>S1841K</t>
  </si>
  <si>
    <t>S1841L</t>
  </si>
  <si>
    <t>S1841M</t>
  </si>
  <si>
    <t>S1841P</t>
  </si>
  <si>
    <t>S1841R</t>
  </si>
  <si>
    <t>S1841T</t>
  </si>
  <si>
    <t>V1842E</t>
  </si>
  <si>
    <t>V1842F</t>
  </si>
  <si>
    <t>V1842G</t>
  </si>
  <si>
    <t>V1842L</t>
  </si>
  <si>
    <t>V1842W</t>
  </si>
  <si>
    <t>A1843E</t>
  </si>
  <si>
    <t>A1843G</t>
  </si>
  <si>
    <t>A1843K</t>
  </si>
  <si>
    <t>A1843P</t>
  </si>
  <si>
    <t>A1843R</t>
  </si>
  <si>
    <t>A1843S</t>
  </si>
  <si>
    <t>A1843T</t>
  </si>
  <si>
    <t>A1843V</t>
  </si>
  <si>
    <t>L1844*</t>
  </si>
  <si>
    <t>L1844C</t>
  </si>
  <si>
    <t>L1844D</t>
  </si>
  <si>
    <t>L1844G</t>
  </si>
  <si>
    <t>L1844N</t>
  </si>
  <si>
    <t>L1844V</t>
  </si>
  <si>
    <t>L1844W</t>
  </si>
  <si>
    <t>Y1845*</t>
  </si>
  <si>
    <t>Y1845A</t>
  </si>
  <si>
    <t>Y1845D</t>
  </si>
  <si>
    <t>Y1845F</t>
  </si>
  <si>
    <t>Y1845G</t>
  </si>
  <si>
    <t>Y1845K</t>
  </si>
  <si>
    <t>Y1845L</t>
  </si>
  <si>
    <t>Y1845M</t>
  </si>
  <si>
    <t>Y1845Q</t>
  </si>
  <si>
    <t>Y1845R</t>
  </si>
  <si>
    <t>Y1845S</t>
  </si>
  <si>
    <t>Y1845T</t>
  </si>
  <si>
    <t>Y1845V</t>
  </si>
  <si>
    <t>Y1845W</t>
  </si>
  <si>
    <t>Q1846*</t>
  </si>
  <si>
    <t>Q1846D</t>
  </si>
  <si>
    <t>Q1846F</t>
  </si>
  <si>
    <t>Q1846K</t>
  </si>
  <si>
    <t>Q1846L</t>
  </si>
  <si>
    <t>Q1846M</t>
  </si>
  <si>
    <t>Q1846P</t>
  </si>
  <si>
    <t>Q1846R</t>
  </si>
  <si>
    <t>Q1846S</t>
  </si>
  <si>
    <t>Q1846V</t>
  </si>
  <si>
    <t>Q1846W</t>
  </si>
  <si>
    <t>C1847A</t>
  </si>
  <si>
    <t>C1847G</t>
  </si>
  <si>
    <t>C1847K</t>
  </si>
  <si>
    <t>C1847L</t>
  </si>
  <si>
    <t>C1847M</t>
  </si>
  <si>
    <t>C1847P</t>
  </si>
  <si>
    <t>C1847Q</t>
  </si>
  <si>
    <t>C1847R</t>
  </si>
  <si>
    <t>C1847S</t>
  </si>
  <si>
    <t>C1847V</t>
  </si>
  <si>
    <t>Q1848*</t>
  </si>
  <si>
    <t>Q1848D</t>
  </si>
  <si>
    <t>Q1848E</t>
  </si>
  <si>
    <t>Q1848K</t>
  </si>
  <si>
    <t>Q1848L</t>
  </si>
  <si>
    <t>Q1848P</t>
  </si>
  <si>
    <t>Q1848R</t>
  </si>
  <si>
    <t>Q1848T</t>
  </si>
  <si>
    <t>Q1848V</t>
  </si>
  <si>
    <t>E1849*</t>
  </si>
  <si>
    <t>E1849A</t>
  </si>
  <si>
    <t>E1849G</t>
  </si>
  <si>
    <t>E1849K</t>
  </si>
  <si>
    <t>E1849L</t>
  </si>
  <si>
    <t>E1849P</t>
  </si>
  <si>
    <t>E1849Q</t>
  </si>
  <si>
    <t>E1849R</t>
  </si>
  <si>
    <t>E1849S</t>
  </si>
  <si>
    <t>E1849T</t>
  </si>
  <si>
    <t>E1849V</t>
  </si>
  <si>
    <t>L1850A</t>
  </si>
  <si>
    <t>L1850E</t>
  </si>
  <si>
    <t>L1850M</t>
  </si>
  <si>
    <t>L1850P</t>
  </si>
  <si>
    <t>L1850Q</t>
  </si>
  <si>
    <t>L1850R</t>
  </si>
  <si>
    <t>L1850S</t>
  </si>
  <si>
    <t>L1850V</t>
  </si>
  <si>
    <t>L1850W</t>
  </si>
  <si>
    <t>D1851*</t>
  </si>
  <si>
    <t>D1851A</t>
  </si>
  <si>
    <t>D1851G</t>
  </si>
  <si>
    <t>D1851H</t>
  </si>
  <si>
    <t>D1851L</t>
  </si>
  <si>
    <t>D1851N</t>
  </si>
  <si>
    <t>D1851P</t>
  </si>
  <si>
    <t>D1851R</t>
  </si>
  <si>
    <t>T1852K</t>
  </si>
  <si>
    <t>T1852P</t>
  </si>
  <si>
    <t>T1852Q</t>
  </si>
  <si>
    <t>T1852R</t>
  </si>
  <si>
    <t>Y1853*</t>
  </si>
  <si>
    <t>Y1853C</t>
  </si>
  <si>
    <t>Y1853E</t>
  </si>
  <si>
    <t>Y1853F</t>
  </si>
  <si>
    <t>Y1853G</t>
  </si>
  <si>
    <t>Y1853L</t>
  </si>
  <si>
    <t>Y1853P</t>
  </si>
  <si>
    <t>Y1853Q</t>
  </si>
  <si>
    <t>Y1853R</t>
  </si>
  <si>
    <t>Y1853T</t>
  </si>
  <si>
    <t>Y1853W</t>
  </si>
  <si>
    <t>L1854*</t>
  </si>
  <si>
    <t>L1854A</t>
  </si>
  <si>
    <t>L1854E</t>
  </si>
  <si>
    <t>L1854F</t>
  </si>
  <si>
    <t>L1854G</t>
  </si>
  <si>
    <t>L1854H</t>
  </si>
  <si>
    <t>L1854K</t>
  </si>
  <si>
    <t>L1854M</t>
  </si>
  <si>
    <t>L1854Q</t>
  </si>
  <si>
    <t>L1854R</t>
  </si>
  <si>
    <t>L1854T</t>
  </si>
  <si>
    <t>L1854V</t>
  </si>
  <si>
    <t>L1854W</t>
  </si>
  <si>
    <t>I1855A</t>
  </si>
  <si>
    <t>I1855G</t>
  </si>
  <si>
    <t>I1855K</t>
  </si>
  <si>
    <t>I1855L</t>
  </si>
  <si>
    <t>I1855M</t>
  </si>
  <si>
    <t>I1855P</t>
  </si>
  <si>
    <t>I1855R</t>
  </si>
  <si>
    <t>I1855T</t>
  </si>
  <si>
    <t>I1855V</t>
  </si>
  <si>
    <t>P1856A</t>
  </si>
  <si>
    <t>P1856F</t>
  </si>
  <si>
    <t>P1856H</t>
  </si>
  <si>
    <t>P1856L</t>
  </si>
  <si>
    <t>P1856Q</t>
  </si>
  <si>
    <t>P1856R</t>
  </si>
  <si>
    <t>P1856S</t>
  </si>
  <si>
    <t>P1856T</t>
  </si>
  <si>
    <t>Q1857*</t>
  </si>
  <si>
    <t>Q1857A</t>
  </si>
  <si>
    <t>Q1857D</t>
  </si>
  <si>
    <t>Q1857E</t>
  </si>
  <si>
    <t>Q1857G</t>
  </si>
  <si>
    <t>Q1857H</t>
  </si>
  <si>
    <t>Q1857K</t>
  </si>
  <si>
    <t>Q1857L</t>
  </si>
  <si>
    <t>Q1857M</t>
  </si>
  <si>
    <t>Q1857P</t>
  </si>
  <si>
    <t>Q1857R</t>
  </si>
  <si>
    <t>Q1857S</t>
  </si>
  <si>
    <t>Q1857T</t>
  </si>
  <si>
    <t>Q1857V</t>
  </si>
  <si>
    <t>Q1857W</t>
  </si>
  <si>
    <t>Q1857Y</t>
  </si>
  <si>
    <t>I1858A</t>
  </si>
  <si>
    <t>I1858E</t>
  </si>
  <si>
    <t>I1858G</t>
  </si>
  <si>
    <t>I1858H</t>
  </si>
  <si>
    <t>I1858K</t>
  </si>
  <si>
    <t>I1858L</t>
  </si>
  <si>
    <t>I1858M</t>
  </si>
  <si>
    <t>I1858N</t>
  </si>
  <si>
    <t>I1858P</t>
  </si>
  <si>
    <t>I1858Q</t>
  </si>
  <si>
    <t>I1858R</t>
  </si>
  <si>
    <t>I1858S</t>
  </si>
  <si>
    <t>I1858T</t>
  </si>
  <si>
    <t>I1858V</t>
  </si>
  <si>
    <t>I1858W</t>
  </si>
  <si>
    <t>I1858Y</t>
  </si>
  <si>
    <t>P1859A</t>
  </si>
  <si>
    <t>P1859G</t>
  </si>
  <si>
    <t>P1859H</t>
  </si>
  <si>
    <t>P1859L</t>
  </si>
  <si>
    <t>P1859M</t>
  </si>
  <si>
    <t>P1859Q</t>
  </si>
  <si>
    <t>P1859S</t>
  </si>
  <si>
    <t>P1859T</t>
  </si>
  <si>
    <t>P1859V</t>
  </si>
  <si>
    <t>P1859W</t>
  </si>
  <si>
    <t>H1860*</t>
  </si>
  <si>
    <t>H1860N</t>
  </si>
  <si>
    <t>H1860P</t>
  </si>
  <si>
    <t>H1860Q</t>
  </si>
  <si>
    <t>H1860R</t>
  </si>
  <si>
    <t>H1860Y</t>
  </si>
  <si>
    <t>S1861K</t>
  </si>
  <si>
    <t>S1861M</t>
  </si>
  <si>
    <t>S1861R</t>
  </si>
  <si>
    <t>S1861W</t>
  </si>
  <si>
    <t>H1862*</t>
  </si>
  <si>
    <t>H1862K</t>
  </si>
  <si>
    <t>H1862L</t>
  </si>
  <si>
    <t>H1862Q</t>
  </si>
  <si>
    <t>H1862Y</t>
  </si>
  <si>
    <t>Y1863*</t>
  </si>
  <si>
    <t>Y1863L</t>
  </si>
  <si>
    <t>Y1863Q</t>
  </si>
  <si>
    <t>Y1863S</t>
  </si>
  <si>
    <t>Benign</t>
  </si>
  <si>
    <t>Y1863T</t>
  </si>
  <si>
    <t>Y1863R</t>
  </si>
  <si>
    <t>Y1863P</t>
  </si>
  <si>
    <t>Y1863M</t>
  </si>
  <si>
    <t>Y1863I</t>
  </si>
  <si>
    <t>Y1863G</t>
  </si>
  <si>
    <t>Y1863A</t>
  </si>
  <si>
    <t>H1862V</t>
  </si>
  <si>
    <t>H1862T</t>
  </si>
  <si>
    <t>H1862M</t>
  </si>
  <si>
    <t>H1862G</t>
  </si>
  <si>
    <t>H1862F</t>
  </si>
  <si>
    <t>H1862A</t>
  </si>
  <si>
    <t>S1861Y</t>
  </si>
  <si>
    <t>S1861V</t>
  </si>
  <si>
    <t>S1861Q</t>
  </si>
  <si>
    <t>S1861L</t>
  </si>
  <si>
    <t>S1861I</t>
  </si>
  <si>
    <t>S1861E</t>
  </si>
  <si>
    <t>S1861A</t>
  </si>
  <si>
    <t>S1861*</t>
  </si>
  <si>
    <t>H1860V</t>
  </si>
  <si>
    <t>H1860T</t>
  </si>
  <si>
    <t>H1860S</t>
  </si>
  <si>
    <t>H1860M</t>
  </si>
  <si>
    <t>H1860L</t>
  </si>
  <si>
    <t>H1860E</t>
  </si>
  <si>
    <t>H1860A</t>
  </si>
  <si>
    <t>P1859N</t>
  </si>
  <si>
    <t>P1859*</t>
  </si>
  <si>
    <t>Q1857F</t>
  </si>
  <si>
    <t>Q1857C</t>
  </si>
  <si>
    <t>L1844F</t>
  </si>
  <si>
    <t>V1838W</t>
  </si>
  <si>
    <t>V1838T</t>
  </si>
  <si>
    <t>V1838D</t>
  </si>
  <si>
    <t>E1836C</t>
  </si>
  <si>
    <t>R1835G</t>
  </si>
  <si>
    <t>T1834R</t>
  </si>
  <si>
    <t>T1834M</t>
  </si>
  <si>
    <t>V1833F</t>
  </si>
  <si>
    <t>V1833C</t>
  </si>
  <si>
    <t>V1832W</t>
  </si>
  <si>
    <t>V1832S</t>
  </si>
  <si>
    <t>V1832E</t>
  </si>
  <si>
    <t>V1832D</t>
  </si>
  <si>
    <t>P1831G</t>
  </si>
  <si>
    <t>P1831E</t>
  </si>
  <si>
    <t>A1830*</t>
  </si>
  <si>
    <t>C1828F</t>
  </si>
  <si>
    <t>G1820C</t>
  </si>
  <si>
    <t>E1817D</t>
  </si>
  <si>
    <t>A1814W</t>
  </si>
  <si>
    <t>Q1811K</t>
  </si>
  <si>
    <t>V1810M</t>
  </si>
  <si>
    <t>E1794*</t>
  </si>
  <si>
    <t>D1778S</t>
  </si>
  <si>
    <t>P1776M</t>
  </si>
  <si>
    <t>N1774E</t>
  </si>
  <si>
    <t>T1773M</t>
  </si>
  <si>
    <t>C1768T</t>
  </si>
  <si>
    <t>C1768P</t>
  </si>
  <si>
    <t>C1768M</t>
  </si>
  <si>
    <t>C1767V</t>
  </si>
  <si>
    <t>C1767Q</t>
  </si>
  <si>
    <t>C1767N</t>
  </si>
  <si>
    <t>C1767A</t>
  </si>
  <si>
    <t>I1766Y</t>
  </si>
  <si>
    <t>I1766P</t>
  </si>
  <si>
    <t>E1765W</t>
  </si>
  <si>
    <t>E1765S</t>
  </si>
  <si>
    <t>E1765I</t>
  </si>
  <si>
    <t>E1765C</t>
  </si>
  <si>
    <t>L1764Y</t>
  </si>
  <si>
    <t>L1764W</t>
  </si>
  <si>
    <t>L1764G</t>
  </si>
  <si>
    <t>L1764*</t>
  </si>
  <si>
    <t>G1763Y</t>
  </si>
  <si>
    <t>G1763P</t>
  </si>
  <si>
    <t>G1763I</t>
  </si>
  <si>
    <t>G1763H</t>
  </si>
  <si>
    <t>G1763F</t>
  </si>
  <si>
    <t>R1762V</t>
  </si>
  <si>
    <t>R1762Q</t>
  </si>
  <si>
    <t>R1762P</t>
  </si>
  <si>
    <t>R1762H</t>
  </si>
  <si>
    <t>R1762C</t>
  </si>
  <si>
    <t>R1762A</t>
  </si>
  <si>
    <t>F1761P</t>
  </si>
  <si>
    <t>F1761N</t>
  </si>
  <si>
    <t>F1761A</t>
  </si>
  <si>
    <t>I1760Y</t>
  </si>
  <si>
    <t>I1760Q</t>
  </si>
  <si>
    <t>I1760P</t>
  </si>
  <si>
    <t>I1760E</t>
  </si>
  <si>
    <t>I1760*</t>
  </si>
  <si>
    <t>K1759P</t>
  </si>
  <si>
    <t>K1759G</t>
  </si>
  <si>
    <t>K1759A</t>
  </si>
  <si>
    <t>R1758Y</t>
  </si>
  <si>
    <t>R1758V</t>
  </si>
  <si>
    <t>R1758S</t>
  </si>
  <si>
    <t>R1758P</t>
  </si>
  <si>
    <t>R1758L</t>
  </si>
  <si>
    <t>R1758F</t>
  </si>
  <si>
    <t>R1758A</t>
  </si>
  <si>
    <t>R1758*</t>
  </si>
  <si>
    <t>D1757S</t>
  </si>
  <si>
    <t>D1757R</t>
  </si>
  <si>
    <t>Q1756V</t>
  </si>
  <si>
    <t>Q1756T</t>
  </si>
  <si>
    <t>Q1756S</t>
  </si>
  <si>
    <t>Q1756I</t>
  </si>
  <si>
    <t>Q1756F</t>
  </si>
  <si>
    <t>Q1756C</t>
  </si>
  <si>
    <t>Q1756A</t>
  </si>
  <si>
    <t>S1755W</t>
  </si>
  <si>
    <t>S1755V</t>
  </si>
  <si>
    <t>S1755R</t>
  </si>
  <si>
    <t>S1755K</t>
  </si>
  <si>
    <t>S1755I</t>
  </si>
  <si>
    <t>S1755G</t>
  </si>
  <si>
    <t>E1754P</t>
  </si>
  <si>
    <t>E1754M</t>
  </si>
  <si>
    <t>E1754I</t>
  </si>
  <si>
    <t>E1754F</t>
  </si>
  <si>
    <t>R1753Y</t>
  </si>
  <si>
    <t>R1753L</t>
  </si>
  <si>
    <t>A1752Y</t>
  </si>
  <si>
    <t>A1752N</t>
  </si>
  <si>
    <t>A1752L</t>
  </si>
  <si>
    <t>A1752H</t>
  </si>
  <si>
    <t>A1752C</t>
  </si>
  <si>
    <t>A1752*</t>
  </si>
  <si>
    <t>R1751V</t>
  </si>
  <si>
    <t>R1751K</t>
  </si>
  <si>
    <t>R1751D</t>
  </si>
  <si>
    <t>R1751A</t>
  </si>
  <si>
    <t>P1749I</t>
  </si>
  <si>
    <t>P1749D</t>
  </si>
  <si>
    <t>P1749*</t>
  </si>
  <si>
    <t>Q1747V</t>
  </si>
  <si>
    <t>Q1747T</t>
  </si>
  <si>
    <t>Q1747S</t>
  </si>
  <si>
    <t>Q1747C</t>
  </si>
  <si>
    <t>Q1747A</t>
  </si>
  <si>
    <t>H1746V</t>
  </si>
  <si>
    <t>H1746S</t>
  </si>
  <si>
    <t>H1746I</t>
  </si>
  <si>
    <t>H1746F</t>
  </si>
  <si>
    <t>H1746C</t>
  </si>
  <si>
    <t>H1746A</t>
  </si>
  <si>
    <t>H1746*</t>
  </si>
  <si>
    <t>N1745S</t>
  </si>
  <si>
    <t>N1745P</t>
  </si>
  <si>
    <t>N1745L</t>
  </si>
  <si>
    <t>N1745A</t>
  </si>
  <si>
    <t>R1744V</t>
  </si>
  <si>
    <t>R1744D</t>
  </si>
  <si>
    <t>R1744A</t>
  </si>
  <si>
    <t>G1743H</t>
  </si>
  <si>
    <t>G1743F</t>
  </si>
  <si>
    <t>N1742V</t>
  </si>
  <si>
    <t>V1741Y</t>
  </si>
  <si>
    <t>V1741Q</t>
  </si>
  <si>
    <t>V1741H</t>
  </si>
  <si>
    <t>V1741E</t>
  </si>
  <si>
    <t>V1740S</t>
  </si>
  <si>
    <t>V1740R</t>
  </si>
  <si>
    <t>V1740N</t>
  </si>
  <si>
    <t>D1739S</t>
  </si>
  <si>
    <t>D1739P</t>
  </si>
  <si>
    <t>D1739M</t>
  </si>
  <si>
    <t>D1739F</t>
  </si>
  <si>
    <t>D1739*</t>
  </si>
  <si>
    <t>G1738Y</t>
  </si>
  <si>
    <t>G1738F</t>
  </si>
  <si>
    <t>R1737Y</t>
  </si>
  <si>
    <t>R1737V</t>
  </si>
  <si>
    <t>R1737S</t>
  </si>
  <si>
    <t>R1737P</t>
  </si>
  <si>
    <t>R1737E</t>
  </si>
  <si>
    <t>R1737D</t>
  </si>
  <si>
    <t>R1737A</t>
  </si>
  <si>
    <t>V1736Q</t>
  </si>
  <si>
    <t>V1736*</t>
  </si>
  <si>
    <t>E1735T</t>
  </si>
  <si>
    <t>E1735C</t>
  </si>
  <si>
    <t>F1734R</t>
  </si>
  <si>
    <t>F1734Q</t>
  </si>
  <si>
    <t>F1734H</t>
  </si>
  <si>
    <t>F1734G</t>
  </si>
  <si>
    <t>F1734*</t>
  </si>
  <si>
    <t>D1733S</t>
  </si>
  <si>
    <t>D1733R</t>
  </si>
  <si>
    <t>D1733P</t>
  </si>
  <si>
    <t>D1733M</t>
  </si>
  <si>
    <t>D1733L</t>
  </si>
  <si>
    <t>D1733I</t>
  </si>
  <si>
    <t>E1731T</t>
  </si>
  <si>
    <t>E1731S</t>
  </si>
  <si>
    <t>E1731R</t>
  </si>
  <si>
    <t>E1731I</t>
  </si>
  <si>
    <t>E1731F</t>
  </si>
  <si>
    <t>N1730V</t>
  </si>
  <si>
    <t>N1730L</t>
  </si>
  <si>
    <t>N1730A</t>
  </si>
  <si>
    <t>L1729Y</t>
  </si>
  <si>
    <t>L1729G</t>
  </si>
  <si>
    <t>M1728P</t>
  </si>
  <si>
    <t>M1728G</t>
  </si>
  <si>
    <t>M1728C</t>
  </si>
  <si>
    <t>K1727T</t>
  </si>
  <si>
    <t>K1727R</t>
  </si>
  <si>
    <t>K1727P</t>
  </si>
  <si>
    <t>K1727L</t>
  </si>
  <si>
    <t>R1726L</t>
  </si>
  <si>
    <t>R1726F</t>
  </si>
  <si>
    <t>E1725S</t>
  </si>
  <si>
    <t>E1725R</t>
  </si>
  <si>
    <t>K1724R</t>
  </si>
  <si>
    <t>K1724P</t>
  </si>
  <si>
    <t>K1724F</t>
  </si>
  <si>
    <t>K1724A</t>
  </si>
  <si>
    <t>I1723Y</t>
  </si>
  <si>
    <t>I1723W</t>
  </si>
  <si>
    <t>I1723S</t>
  </si>
  <si>
    <t>I1723Q</t>
  </si>
  <si>
    <t>I1723C</t>
  </si>
  <si>
    <t>I1723*</t>
  </si>
  <si>
    <t>S1722H</t>
  </si>
  <si>
    <t>Q1721T</t>
  </si>
  <si>
    <t>Q1721L</t>
  </si>
  <si>
    <t>Q1721G</t>
  </si>
  <si>
    <t>Q1721E</t>
  </si>
  <si>
    <t>Q1721C</t>
  </si>
  <si>
    <t>V1719N</t>
  </si>
  <si>
    <t>V1719H</t>
  </si>
  <si>
    <t>W1718P</t>
  </si>
  <si>
    <t>F1717W</t>
  </si>
  <si>
    <t>F1717Q</t>
  </si>
  <si>
    <t>F1717K</t>
  </si>
  <si>
    <t>Y1716V</t>
  </si>
  <si>
    <t>Y1716R</t>
  </si>
  <si>
    <t>Y1716P</t>
  </si>
  <si>
    <t>Y1716I</t>
  </si>
  <si>
    <t>Y1716*</t>
  </si>
  <si>
    <t>S1715Y</t>
  </si>
  <si>
    <t>S1715Q</t>
  </si>
  <si>
    <t>S1715L</t>
  </si>
  <si>
    <t>S1715*</t>
  </si>
  <si>
    <t>V1714W</t>
  </si>
  <si>
    <t>V1714T</t>
  </si>
  <si>
    <t>V1714S</t>
  </si>
  <si>
    <t>V1714Q</t>
  </si>
  <si>
    <t>V1714C</t>
  </si>
  <si>
    <t>V1714*</t>
  </si>
  <si>
    <t>V1713W</t>
  </si>
  <si>
    <t>V1713T</t>
  </si>
  <si>
    <t>V1713S</t>
  </si>
  <si>
    <t>V1713Q</t>
  </si>
  <si>
    <t>V1713H</t>
  </si>
  <si>
    <t>W1712V</t>
  </si>
  <si>
    <t>W1712T</t>
  </si>
  <si>
    <t>W1712N</t>
  </si>
  <si>
    <t>W1712I</t>
  </si>
  <si>
    <t>K1711W</t>
  </si>
  <si>
    <t>K1711V</t>
  </si>
  <si>
    <t>K1711F</t>
  </si>
  <si>
    <t>G1710Y</t>
  </si>
  <si>
    <t>G1710T</t>
  </si>
  <si>
    <t>G1710P</t>
  </si>
  <si>
    <t>G1710N</t>
  </si>
  <si>
    <t>G1710L</t>
  </si>
  <si>
    <t>G1710F</t>
  </si>
  <si>
    <t>G1709T</t>
  </si>
  <si>
    <t>G1709P</t>
  </si>
  <si>
    <t>G1709N</t>
  </si>
  <si>
    <t>G1709I</t>
  </si>
  <si>
    <t>A1708Y</t>
  </si>
  <si>
    <t>A1708I</t>
  </si>
  <si>
    <t>I1707T</t>
  </si>
  <si>
    <t>I1707R</t>
  </si>
  <si>
    <t>G1706S</t>
  </si>
  <si>
    <t>G1706P</t>
  </si>
  <si>
    <t>G1706L</t>
  </si>
  <si>
    <t>G1706H</t>
  </si>
  <si>
    <t>L1705T</t>
  </si>
  <si>
    <t>L1705S</t>
  </si>
  <si>
    <t>L1705C</t>
  </si>
  <si>
    <t>L1705A</t>
  </si>
  <si>
    <t>F1704P</t>
  </si>
  <si>
    <t>F1704N</t>
  </si>
  <si>
    <t>Y1703S</t>
  </si>
  <si>
    <t>Y1703R</t>
  </si>
  <si>
    <t>L1701S</t>
  </si>
  <si>
    <t>L1701A</t>
  </si>
  <si>
    <t>L1701*</t>
  </si>
  <si>
    <t>T1700Y</t>
  </si>
  <si>
    <t>T1700A</t>
  </si>
  <si>
    <t>R1699M</t>
  </si>
  <si>
    <t>R1699A</t>
  </si>
  <si>
    <t>R1699*</t>
  </si>
  <si>
    <t>E1698S</t>
  </si>
  <si>
    <t>C1697N</t>
  </si>
  <si>
    <t>C1697K</t>
  </si>
  <si>
    <t>V1696Y</t>
  </si>
  <si>
    <t>V1696H</t>
  </si>
  <si>
    <t>V1696C</t>
  </si>
  <si>
    <t>F1695Q</t>
  </si>
  <si>
    <t>F1695P</t>
  </si>
  <si>
    <t>F1695K</t>
  </si>
  <si>
    <t>F1695A</t>
  </si>
  <si>
    <t>E1694L</t>
  </si>
  <si>
    <t>E1694D</t>
  </si>
  <si>
    <t>A1693M</t>
  </si>
  <si>
    <t>A1693L</t>
  </si>
  <si>
    <t>A1693K</t>
  </si>
  <si>
    <t>A1693E</t>
  </si>
  <si>
    <t>A1693*</t>
  </si>
  <si>
    <t>D1692T</t>
  </si>
  <si>
    <t>D1692S</t>
  </si>
  <si>
    <t>D1692R</t>
  </si>
  <si>
    <t>T1691Y</t>
  </si>
  <si>
    <t>T1691L</t>
  </si>
  <si>
    <t>T1691H</t>
  </si>
  <si>
    <t>T1691G</t>
  </si>
  <si>
    <t>K1690V</t>
  </si>
  <si>
    <t>K1690S</t>
  </si>
  <si>
    <t>K1690L</t>
  </si>
  <si>
    <t>K1690F</t>
  </si>
  <si>
    <t>K1690A</t>
  </si>
  <si>
    <t>M1689P</t>
  </si>
  <si>
    <t>M1689E</t>
  </si>
  <si>
    <t>V1688T</t>
  </si>
  <si>
    <t>V1687T</t>
  </si>
  <si>
    <t>H1686S</t>
  </si>
  <si>
    <t>T1685R</t>
  </si>
  <si>
    <t>T1685Q</t>
  </si>
  <si>
    <t>T1685G</t>
  </si>
  <si>
    <t>T1685*</t>
  </si>
  <si>
    <t>T1684W</t>
  </si>
  <si>
    <t>T1684V</t>
  </si>
  <si>
    <t>T1684G</t>
  </si>
  <si>
    <t>T1684F</t>
  </si>
  <si>
    <t>T1684C</t>
  </si>
  <si>
    <t>E1683T</t>
  </si>
  <si>
    <t>E1683S</t>
  </si>
  <si>
    <t>E1683P</t>
  </si>
  <si>
    <t>E1683I</t>
  </si>
  <si>
    <t>E1683F</t>
  </si>
  <si>
    <t>E1682S</t>
  </si>
  <si>
    <t>E1682R</t>
  </si>
  <si>
    <t>E1682P</t>
  </si>
  <si>
    <t>T1681E</t>
  </si>
  <si>
    <t>I1680E</t>
  </si>
  <si>
    <t>L1679W</t>
  </si>
  <si>
    <t>L1679N</t>
  </si>
  <si>
    <t>L1679G</t>
  </si>
  <si>
    <t>L1679D</t>
  </si>
  <si>
    <t>N1678W</t>
  </si>
  <si>
    <t>N1678R</t>
  </si>
  <si>
    <t>N1678P</t>
  </si>
  <si>
    <t>N1678G</t>
  </si>
  <si>
    <t>T1677G</t>
  </si>
  <si>
    <t>T1677*</t>
  </si>
  <si>
    <t>L1676T</t>
  </si>
  <si>
    <t>L1676D</t>
  </si>
  <si>
    <t>L1676A</t>
  </si>
  <si>
    <t>T1675V</t>
  </si>
  <si>
    <t>T1675R</t>
  </si>
  <si>
    <t>T1675Q</t>
  </si>
  <si>
    <t>T1675L</t>
  </si>
  <si>
    <t>I1674Q</t>
  </si>
  <si>
    <t>I1674E</t>
  </si>
  <si>
    <t>I1674*</t>
  </si>
  <si>
    <t>H1673W</t>
  </si>
  <si>
    <t>H1673T</t>
  </si>
  <si>
    <t>H1673A</t>
  </si>
  <si>
    <t>R1670K</t>
  </si>
  <si>
    <t>K1667A</t>
  </si>
  <si>
    <t>Y1666T</t>
  </si>
  <si>
    <t>Y1666D</t>
  </si>
  <si>
    <t>Y1666A</t>
  </si>
  <si>
    <t>V1665L</t>
  </si>
  <si>
    <t>E1660A</t>
  </si>
  <si>
    <t>L1657A</t>
  </si>
  <si>
    <t>G1656Y</t>
  </si>
  <si>
    <t>S1655Y</t>
  </si>
  <si>
    <t>S1651H</t>
  </si>
  <si>
    <t>M1650K</t>
  </si>
  <si>
    <t>M1650H</t>
  </si>
  <si>
    <t>R1649N</t>
  </si>
  <si>
    <t>N1647S</t>
  </si>
  <si>
    <t>R1645V</t>
  </si>
  <si>
    <t>E1644L</t>
  </si>
  <si>
    <t>T1640C</t>
  </si>
  <si>
    <t>E1638G</t>
  </si>
  <si>
    <t>S1633I</t>
  </si>
  <si>
    <t>S1633*</t>
  </si>
  <si>
    <t>V1632P</t>
  </si>
  <si>
    <t>S1631H</t>
  </si>
  <si>
    <t>E1629I</t>
  </si>
  <si>
    <t>A1627P</t>
  </si>
  <si>
    <t>A1627F</t>
  </si>
  <si>
    <t>N1626*</t>
  </si>
  <si>
    <t>Y1625D</t>
  </si>
  <si>
    <t>G1624Y</t>
  </si>
  <si>
    <t>G1624E</t>
  </si>
  <si>
    <t>D1621L</t>
  </si>
  <si>
    <t>T1620Q</t>
  </si>
  <si>
    <t>H1618*</t>
  </si>
  <si>
    <t>A1616W</t>
  </si>
  <si>
    <t>P1614N</t>
  </si>
  <si>
    <t>E1609I</t>
  </si>
  <si>
    <t>V1607I</t>
  </si>
  <si>
    <t>K1606E</t>
  </si>
  <si>
    <t>L1605R</t>
  </si>
  <si>
    <t>P1603V</t>
  </si>
  <si>
    <t>P1603C</t>
  </si>
  <si>
    <t>K1601R</t>
  </si>
  <si>
    <t>K1601G</t>
  </si>
  <si>
    <t>K1601D</t>
  </si>
  <si>
    <t>K1601*</t>
  </si>
  <si>
    <t>L1600C</t>
  </si>
  <si>
    <t>A1599G</t>
  </si>
  <si>
    <t>A1599F</t>
  </si>
  <si>
    <t>S1598F</t>
  </si>
  <si>
    <t>S1596I</t>
  </si>
  <si>
    <t>S1595V</t>
  </si>
  <si>
    <t>S1595M</t>
  </si>
  <si>
    <t>I1593W</t>
  </si>
  <si>
    <t>I1593V</t>
  </si>
  <si>
    <t>I1593E</t>
  </si>
  <si>
    <t>N1592E</t>
  </si>
  <si>
    <t>G1591F</t>
  </si>
  <si>
    <t>V1590A</t>
  </si>
  <si>
    <t>A1588D</t>
  </si>
  <si>
    <t>S1587I</t>
  </si>
  <si>
    <t>E1586V</t>
  </si>
  <si>
    <t>E1586T</t>
  </si>
  <si>
    <t>D1582N</t>
  </si>
  <si>
    <t>D1582F</t>
  </si>
  <si>
    <t>S1580P</t>
  </si>
  <si>
    <t>S1577P</t>
  </si>
  <si>
    <t>Codon</t>
  </si>
  <si>
    <t>S1861P</t>
  </si>
  <si>
    <t>P1859E</t>
  </si>
  <si>
    <t>T1852M</t>
  </si>
  <si>
    <t>L1850K</t>
  </si>
  <si>
    <t>Q1848H</t>
  </si>
  <si>
    <t>Q1848G</t>
  </si>
  <si>
    <t>Q1846G</t>
  </si>
  <si>
    <t>L1839W</t>
  </si>
  <si>
    <t>V1833K</t>
  </si>
  <si>
    <t>M1827Q</t>
  </si>
  <si>
    <t>G1825A</t>
  </si>
  <si>
    <t>I1824N</t>
  </si>
  <si>
    <t>H1822*</t>
  </si>
  <si>
    <t>E1817Q</t>
  </si>
  <si>
    <t>E1817P</t>
  </si>
  <si>
    <t>T1816S</t>
  </si>
  <si>
    <t>D1813*</t>
  </si>
  <si>
    <t>V1809L</t>
  </si>
  <si>
    <t>V1808S</t>
  </si>
  <si>
    <t>H1805E</t>
  </si>
  <si>
    <t>G1803R</t>
  </si>
  <si>
    <t>E1794T</t>
  </si>
  <si>
    <t>K1793E</t>
  </si>
  <si>
    <t>V1792I</t>
  </si>
  <si>
    <t>V1792E</t>
  </si>
  <si>
    <t>V1792A</t>
  </si>
  <si>
    <t>C1787W</t>
  </si>
  <si>
    <t>V1784D</t>
  </si>
  <si>
    <t>W1782Q</t>
  </si>
  <si>
    <t>E1781*</t>
  </si>
  <si>
    <t>L1780M</t>
  </si>
  <si>
    <t>D1778K</t>
  </si>
  <si>
    <t>M1775*</t>
  </si>
  <si>
    <t>C1767H</t>
  </si>
  <si>
    <t>E1765R</t>
  </si>
  <si>
    <t>A1752I</t>
  </si>
  <si>
    <t>K1750V</t>
  </si>
  <si>
    <t>N1745V</t>
  </si>
  <si>
    <t>R1744T</t>
  </si>
  <si>
    <t>N1742P</t>
  </si>
  <si>
    <t>V1740C</t>
  </si>
  <si>
    <t>G1738Q</t>
  </si>
  <si>
    <t>G1738I</t>
  </si>
  <si>
    <t>V1736P</t>
  </si>
  <si>
    <t>F1734D</t>
  </si>
  <si>
    <t>L1729M</t>
  </si>
  <si>
    <t>K1724I</t>
  </si>
  <si>
    <t>W1718N</t>
  </si>
  <si>
    <t>F1717P</t>
  </si>
  <si>
    <t>F1717G</t>
  </si>
  <si>
    <t>S1715T</t>
  </si>
  <si>
    <t>V1714E</t>
  </si>
  <si>
    <t>W1712H</t>
  </si>
  <si>
    <t>W1712E</t>
  </si>
  <si>
    <t>I1707Q</t>
  </si>
  <si>
    <t>G1706I</t>
  </si>
  <si>
    <t>K1702A</t>
  </si>
  <si>
    <t>F1695D</t>
  </si>
  <si>
    <t>K1690D</t>
  </si>
  <si>
    <t>M1689R</t>
  </si>
  <si>
    <t>M1689*</t>
  </si>
  <si>
    <t>E1683K</t>
  </si>
  <si>
    <t>T1681I</t>
  </si>
  <si>
    <t>I1680C</t>
  </si>
  <si>
    <t>N1678V</t>
  </si>
  <si>
    <t>L1676R</t>
  </si>
  <si>
    <t>average</t>
  </si>
  <si>
    <t>Domain</t>
  </si>
  <si>
    <t>Trunc</t>
  </si>
  <si>
    <t>BRCT</t>
  </si>
  <si>
    <t>Truncation</t>
  </si>
  <si>
    <t>Q1779fs</t>
  </si>
  <si>
    <t>fs</t>
  </si>
  <si>
    <t>A1708E</t>
  </si>
  <si>
    <t>L1564P</t>
  </si>
  <si>
    <t xml:space="preserve">T1561I </t>
  </si>
  <si>
    <t>D1546Y</t>
  </si>
  <si>
    <t>V1534M</t>
  </si>
  <si>
    <t>K1476T</t>
  </si>
  <si>
    <t>CC</t>
  </si>
  <si>
    <t>G1422E</t>
  </si>
  <si>
    <t>H1421Y</t>
  </si>
  <si>
    <t>E1415fs</t>
  </si>
  <si>
    <t>V1378I</t>
  </si>
  <si>
    <t>T1376R</t>
  </si>
  <si>
    <t>N1354T</t>
  </si>
  <si>
    <t>E1346K</t>
  </si>
  <si>
    <t>S1297P</t>
  </si>
  <si>
    <t>Q1281P</t>
  </si>
  <si>
    <t>E1250*</t>
  </si>
  <si>
    <t>V1247I</t>
  </si>
  <si>
    <t>P1238L</t>
  </si>
  <si>
    <t>E1219D</t>
  </si>
  <si>
    <t>S1180G</t>
  </si>
  <si>
    <t xml:space="preserve">D1152N </t>
  </si>
  <si>
    <t>P1150S</t>
  </si>
  <si>
    <t>I1044V</t>
  </si>
  <si>
    <t>DBD</t>
  </si>
  <si>
    <t>I1019V</t>
  </si>
  <si>
    <t>S988A</t>
  </si>
  <si>
    <t>E962K</t>
  </si>
  <si>
    <t>R866C</t>
  </si>
  <si>
    <t>Y856H</t>
  </si>
  <si>
    <t>T826K</t>
  </si>
  <si>
    <t>A806T</t>
  </si>
  <si>
    <t>V772A</t>
  </si>
  <si>
    <t>R756S</t>
  </si>
  <si>
    <t>E720K</t>
  </si>
  <si>
    <t>S708Y</t>
  </si>
  <si>
    <t>D695N</t>
  </si>
  <si>
    <t>L668F</t>
  </si>
  <si>
    <t>R612G</t>
  </si>
  <si>
    <t>I591T</t>
  </si>
  <si>
    <t>L574P</t>
  </si>
  <si>
    <t>N550H</t>
  </si>
  <si>
    <t>L512V</t>
  </si>
  <si>
    <t>F486L</t>
  </si>
  <si>
    <t>G462R</t>
  </si>
  <si>
    <t>E445Q</t>
  </si>
  <si>
    <t>I379M</t>
  </si>
  <si>
    <t>C328R</t>
  </si>
  <si>
    <t>A322P</t>
  </si>
  <si>
    <t>S316G</t>
  </si>
  <si>
    <t>R296G</t>
  </si>
  <si>
    <t xml:space="preserve">T293S </t>
  </si>
  <si>
    <t>L246V</t>
  </si>
  <si>
    <t>D214G</t>
  </si>
  <si>
    <t>V191I</t>
  </si>
  <si>
    <t>V191D</t>
  </si>
  <si>
    <t>S186Y</t>
  </si>
  <si>
    <t xml:space="preserve">Y179C </t>
  </si>
  <si>
    <t>R170Q</t>
  </si>
  <si>
    <t>S153R</t>
  </si>
  <si>
    <t>E149A</t>
  </si>
  <si>
    <t>E143K</t>
  </si>
  <si>
    <t>P142H</t>
  </si>
  <si>
    <t>R133H</t>
  </si>
  <si>
    <t>N132K</t>
  </si>
  <si>
    <t>I124V</t>
  </si>
  <si>
    <t>Y105C</t>
  </si>
  <si>
    <t>RING</t>
  </si>
  <si>
    <t>G98C</t>
  </si>
  <si>
    <t>D96N</t>
  </si>
  <si>
    <t>F93Y</t>
  </si>
  <si>
    <t>F93D</t>
  </si>
  <si>
    <t>F93A</t>
  </si>
  <si>
    <t>I90T</t>
  </si>
  <si>
    <t>I90F</t>
  </si>
  <si>
    <t>I90A</t>
  </si>
  <si>
    <t>I89M</t>
  </si>
  <si>
    <t>I89F</t>
  </si>
  <si>
    <t>I89E</t>
  </si>
  <si>
    <t>I89A</t>
  </si>
  <si>
    <t>L87V</t>
  </si>
  <si>
    <t>E85D</t>
  </si>
  <si>
    <t>F79V</t>
  </si>
  <si>
    <t>S72R</t>
  </si>
  <si>
    <t>splice</t>
  </si>
  <si>
    <t>R71G</t>
  </si>
  <si>
    <t>I68K</t>
  </si>
  <si>
    <t>D67Y</t>
  </si>
  <si>
    <t>D67E</t>
  </si>
  <si>
    <t>C64G</t>
  </si>
  <si>
    <t>C61G</t>
  </si>
  <si>
    <t>L52F</t>
  </si>
  <si>
    <t>L51W</t>
  </si>
  <si>
    <t>L49M</t>
  </si>
  <si>
    <t>C47G</t>
  </si>
  <si>
    <t>K45N</t>
  </si>
  <si>
    <t>C44S</t>
  </si>
  <si>
    <t>C44F</t>
  </si>
  <si>
    <t>I42V</t>
  </si>
  <si>
    <t>H41R</t>
  </si>
  <si>
    <t>C39Y</t>
  </si>
  <si>
    <t>K38N</t>
  </si>
  <si>
    <t>T37R</t>
  </si>
  <si>
    <t>S36Y</t>
  </si>
  <si>
    <t>S36I</t>
  </si>
  <si>
    <t>P34S</t>
  </si>
  <si>
    <t>I31M</t>
  </si>
  <si>
    <t>L30F</t>
  </si>
  <si>
    <t>L28P</t>
  </si>
  <si>
    <t>C27A</t>
  </si>
  <si>
    <t>I26A</t>
  </si>
  <si>
    <t>C24R</t>
  </si>
  <si>
    <t>E23fs</t>
  </si>
  <si>
    <t>L22S</t>
  </si>
  <si>
    <t>I21V</t>
  </si>
  <si>
    <t>I21E</t>
  </si>
  <si>
    <t>M18T</t>
  </si>
  <si>
    <t>I15T</t>
  </si>
  <si>
    <t>E9Q</t>
  </si>
  <si>
    <t>R7H</t>
  </si>
  <si>
    <t>R7C</t>
  </si>
  <si>
    <t>StdError</t>
  </si>
  <si>
    <t>I90E</t>
  </si>
  <si>
    <t>Pathogenic</t>
  </si>
  <si>
    <t>Pathogenic/Likely pathogenic</t>
  </si>
  <si>
    <t>Likely pathogenic</t>
  </si>
  <si>
    <t>Likely benign</t>
  </si>
  <si>
    <t>Benign/Likely benign</t>
  </si>
  <si>
    <t>ClinVar ClinSig</t>
  </si>
  <si>
    <t>FuncCall</t>
  </si>
  <si>
    <t>INT</t>
  </si>
  <si>
    <t>BRCA1</t>
  </si>
  <si>
    <t>PS3_moderate</t>
  </si>
  <si>
    <t>PS3</t>
  </si>
  <si>
    <t>BS3_moderate</t>
  </si>
  <si>
    <t>Multiplex HDR</t>
  </si>
  <si>
    <t>Multiplex CR</t>
  </si>
  <si>
    <t>Singleton HDR</t>
  </si>
  <si>
    <t>Gene</t>
  </si>
  <si>
    <t>Assay</t>
  </si>
  <si>
    <t>Control set</t>
  </si>
  <si>
    <t>Total Controls</t>
  </si>
  <si>
    <t>Pathogenic Controls</t>
  </si>
  <si>
    <t>Benign Controls</t>
  </si>
  <si>
    <t>Prior Probability Pathogenic</t>
  </si>
  <si>
    <t>Total Assay Abnormal</t>
  </si>
  <si>
    <t>Total Assay Normal</t>
  </si>
  <si>
    <t>True Path in Abnormal</t>
  </si>
  <si>
    <t>True Path in Normal</t>
  </si>
  <si>
    <t>Proportion Path in Abnormal</t>
  </si>
  <si>
    <t>Proportion Path in Normal</t>
  </si>
  <si>
    <t>Odds Pathogenic Functionally Abnormal</t>
  </si>
  <si>
    <t>Odds Pathogenic Functionally Normal</t>
  </si>
  <si>
    <t>Functionally Abnormal Code</t>
  </si>
  <si>
    <t>Functionally Normal Code</t>
  </si>
  <si>
    <t>ClinVar Review Status</t>
  </si>
  <si>
    <t>Enigma ClinSig</t>
  </si>
  <si>
    <t>HDR_FS_Average</t>
  </si>
  <si>
    <t>P</t>
  </si>
  <si>
    <t>reviewed by expert panel</t>
  </si>
  <si>
    <t>FUNC</t>
  </si>
  <si>
    <t>M</t>
  </si>
  <si>
    <t>T</t>
  </si>
  <si>
    <t>E</t>
  </si>
  <si>
    <t>K</t>
  </si>
  <si>
    <t>G</t>
  </si>
  <si>
    <t>A</t>
  </si>
  <si>
    <t>D</t>
  </si>
  <si>
    <t>L</t>
  </si>
  <si>
    <t>R</t>
  </si>
  <si>
    <t>F</t>
  </si>
  <si>
    <t>LOF</t>
  </si>
  <si>
    <t>criteria provided, multiple submitters, no conflicts</t>
  </si>
  <si>
    <t>criteria provided, single submitter</t>
  </si>
  <si>
    <t>V</t>
  </si>
  <si>
    <t>*</t>
  </si>
  <si>
    <t>Y</t>
  </si>
  <si>
    <t>Q</t>
  </si>
  <si>
    <t>H</t>
  </si>
  <si>
    <t>W</t>
  </si>
  <si>
    <t>HDR_Interpretation</t>
  </si>
  <si>
    <t>CR_FS_average</t>
  </si>
  <si>
    <t>ClinSig_Final</t>
  </si>
  <si>
    <t>CR_Func</t>
  </si>
  <si>
    <t>Review Status</t>
  </si>
  <si>
    <t>Conflicting interpretations of pathogenicity</t>
  </si>
  <si>
    <t>criteria provided, conflicting interpretations</t>
  </si>
  <si>
    <t>Uncertain significance</t>
  </si>
  <si>
    <t>Ransburgh 2010</t>
  </si>
  <si>
    <t>Lu 2015</t>
  </si>
  <si>
    <t>Starita 2015</t>
  </si>
  <si>
    <t>FS1_BRCA1_siRNA</t>
  </si>
  <si>
    <t>FS2_BRCA1_siRNA</t>
  </si>
  <si>
    <t>FS3_BRCA1_siRNA</t>
  </si>
  <si>
    <t>FS4_BRCA1_siRNA</t>
  </si>
  <si>
    <t>FS_average_BRCA1_siRNA</t>
  </si>
  <si>
    <t>std_BRCA1_siRNA</t>
  </si>
  <si>
    <t>var_BRCA1_siRNA</t>
  </si>
  <si>
    <t>FS1_control_siRNA</t>
  </si>
  <si>
    <t>FS2_control_siRNA</t>
  </si>
  <si>
    <t>FS3_control_siRNA</t>
  </si>
  <si>
    <t>FS4_control_siRNA</t>
  </si>
  <si>
    <t>FS_average_control_siRNA</t>
  </si>
  <si>
    <t>std_control_siRNA</t>
  </si>
  <si>
    <t>var_control_siRNA</t>
  </si>
  <si>
    <t>AA</t>
  </si>
  <si>
    <t>%GFP1</t>
  </si>
  <si>
    <t>%GFP2</t>
  </si>
  <si>
    <t>%GFP3</t>
  </si>
  <si>
    <t xml:space="preserve">Ave </t>
  </si>
  <si>
    <t>WT</t>
  </si>
  <si>
    <t>reltoWT1</t>
  </si>
  <si>
    <t>reltoWT2</t>
  </si>
  <si>
    <t>reltoWT3</t>
  </si>
  <si>
    <t>Endog.</t>
  </si>
  <si>
    <t>Empty</t>
  </si>
  <si>
    <t>StdDev</t>
  </si>
  <si>
    <t>Publication</t>
  </si>
  <si>
    <t>Towler 2013</t>
  </si>
  <si>
    <t xml:space="preserve"> </t>
  </si>
  <si>
    <t>Name</t>
  </si>
  <si>
    <t>Sequence</t>
  </si>
  <si>
    <t>Sequencing Primers</t>
  </si>
  <si>
    <t>BRCA1-NheI-Fwd-Long</t>
  </si>
  <si>
    <t>GAAACAAAATGTTCTGCTAGCTTGTTTTCTTCACAG</t>
  </si>
  <si>
    <t>BRCA1-AscI-Barcode-XhoI-Gib-Rev</t>
  </si>
  <si>
    <t>AACGGGCCCTCTAGACTCGAGNNNNNNNNNNNNNNNTGGCGCGCCTCAGTAGTGGCTGTG</t>
  </si>
  <si>
    <t>BRCA1-SbfI-Barcode-Rev</t>
  </si>
  <si>
    <t>GTGTGCTCTTCCGATCCCTGCAGGNNNNNNNNNNNNNNNNAGATCGGAAGAGCGTCGTGTAGGGAAAGAGTGTCTGCAGGTCGAGCCGATATCTC</t>
  </si>
  <si>
    <t>Pool4-Nest1-Fwd</t>
  </si>
  <si>
    <t>ACACTCTTTCCCTACACGACGCTCTTCCGATCTCACTACTGAGGCGCGCCA</t>
  </si>
  <si>
    <t>Cterm56-Nest1-Fwd</t>
  </si>
  <si>
    <t>TGAGATATCGGCTCGACCTGCAGACAC</t>
  </si>
  <si>
    <t>FRT-LacZ-Rev</t>
  </si>
  <si>
    <t>GGGTAACGCCAGGGTTTTCCCAGTCACGACG</t>
  </si>
  <si>
    <t>Pool4-Seq-i701</t>
  </si>
  <si>
    <t>CAAGCAGAAGACGGCATACGAGATCGAGTAATGTGACTGGAGTTCAGACGTGTGCTCTTCCGATCCGGGCCCTCTAGACTCGAG</t>
  </si>
  <si>
    <t>Pool4-Seq-i702</t>
  </si>
  <si>
    <t>CAAGCAGAAGACGGCATACGAGATTCTCCGGAGTGACTGGAGTTCAGACGTGTGCTCTTCCGATCCGGGCCCTCTAGACTCGAG</t>
  </si>
  <si>
    <t>Pool4-Seq-i703</t>
  </si>
  <si>
    <t>CAAGCAGAAGACGGCATACGAGATAATGAGCGGTGACTGGAGTTCAGACGTGTGCTCTTCCGATCCGGGCCCTCTAGACTCGAG</t>
  </si>
  <si>
    <t>Pool4-Seq-i704</t>
  </si>
  <si>
    <t>CAAGCAGAAGACGGCATACGAGATGGAATCTCGTGACTGGAGTTCAGACGTGTGCTCTTCCGATCCGGGCCCTCTAGACTCGAG</t>
  </si>
  <si>
    <t>Pool4-Seq-i705</t>
  </si>
  <si>
    <t>CAAGCAGAAGACGGCATACGAGATTTCTGAATGTGACTGGAGTTCAGACGTGTGCTCTTCCGATCCGGGCCCTCTAGACTCGAG</t>
  </si>
  <si>
    <t>Seq-i701</t>
  </si>
  <si>
    <t>CAAGCAGAAGACGGCATACGAGATCGAGTAATGTGACTGGAGTTCAGACG</t>
  </si>
  <si>
    <t>Seq-i702</t>
  </si>
  <si>
    <t>CAAGCAGAAGACGGCATACGAGATTCTCCGGAGTGACTGGAGTTCAGACG</t>
  </si>
  <si>
    <t>Seq-i703</t>
  </si>
  <si>
    <t>CAAGCAGAAGACGGCATACGAGATAATGAGCGGTGACTGGAGTTCAGACG</t>
  </si>
  <si>
    <t>Seq-i704</t>
  </si>
  <si>
    <t>CAAGCAGAAGACGGCATACGAGATGGAATCTCGTGACTGGAGTTCAGACG</t>
  </si>
  <si>
    <t>Seq-i705</t>
  </si>
  <si>
    <t>CAAGCAGAAGACGGCATACGAGATTTCTGAATGTGACTGGAGTTCAGACG</t>
  </si>
  <si>
    <t>Seq-i501</t>
  </si>
  <si>
    <t>AATGATACGGCGACCACCGAGATCTACACTATAGCCTACACTCTTTCCCTACACG</t>
  </si>
  <si>
    <t>Seq-i502</t>
  </si>
  <si>
    <t>AATGATACGGCGACCACCGAGATCTACACATAGAGGCACACTCTTTCCCTACACG</t>
  </si>
  <si>
    <t>Seq-i503</t>
  </si>
  <si>
    <t>AATGATACGGCGACCACCGAGATCTACACCCTATCCTACACTCTTTCCCTACACG</t>
  </si>
  <si>
    <t>Seq-i504</t>
  </si>
  <si>
    <t>AATGATACGGCGACCACCGAGATCTACACGGCTCTGAACACTCTTTCCCTACACG</t>
  </si>
  <si>
    <t>Singleton HDR Primers</t>
  </si>
  <si>
    <t>BRCA1-G1770V-FWD</t>
  </si>
  <si>
    <t>GAAATCTGTTGCTATGTGCCCTTCACCAACATG</t>
  </si>
  <si>
    <t>BRCA1-G1770V-REV</t>
  </si>
  <si>
    <t>CATGTTGGTGAAGGGCACATAGCAACAGATTTC</t>
  </si>
  <si>
    <t>BRCA1-N1774Y-FWD</t>
  </si>
  <si>
    <t>TATGGGCCCTTCACCTACATGCCCACAGATCAA</t>
  </si>
  <si>
    <t>BRCA1-N1774Y-REV</t>
  </si>
  <si>
    <t>TTGATCTGTGGGCATGTAGGTGAAGGGCCCATA</t>
  </si>
  <si>
    <t>BRCA1-G1788A-FWD</t>
  </si>
  <si>
    <t>ATGGTACAGCTGTGTGCTGCTTCTGTGGTGAAG</t>
  </si>
  <si>
    <t>BRCA1-G1788A-REV</t>
  </si>
  <si>
    <t>CTTCACCACAGAAGCAGCACACAGCTGTACCAT</t>
  </si>
  <si>
    <t>BRCA1-L1800R-FWD</t>
  </si>
  <si>
    <t>CTTTCATCATTCACCCGTGGCACAGGTGTCCAC</t>
  </si>
  <si>
    <t>BRCA1-L1800R-REV</t>
  </si>
  <si>
    <t>GTGGACACCTGTGCCACGGGTGAATGATGAAAG</t>
  </si>
  <si>
    <t>BRCA1-D1818G-FWD</t>
  </si>
  <si>
    <t>GATGCCTGGACAGAGGGCAATGGCTTCCATGCA</t>
  </si>
  <si>
    <t>BRCA1-D1818G-REV</t>
  </si>
  <si>
    <t>TGCATGGAAGCCATTGCCCTCTGTCCAGGCATC</t>
  </si>
  <si>
    <t>BRCA1-A1823T-FWD</t>
  </si>
  <si>
    <t>GACAATGGCTTCCATACAATTGGGCAGATGTGT</t>
  </si>
  <si>
    <t>BRCA1-A1823T-REV</t>
  </si>
  <si>
    <t>ACACATCTGCCCAATTGTATGGAAGCCATTGTC</t>
  </si>
  <si>
    <t>BRCA1-P1831T-FWD</t>
  </si>
  <si>
    <t>CAGATGTGTGAGGCAACTGTGGTGACCCGAGAG</t>
  </si>
  <si>
    <t>BRCA1-P1831T-REV</t>
  </si>
  <si>
    <t>CTCTCGGGTCACCACAGTTGCCTCACACATCTG</t>
  </si>
  <si>
    <t>BRCA1-W1837G-FWD</t>
  </si>
  <si>
    <t>GTGGTGACCCGAGAGGGGGTGTTGGACAGTGTA</t>
  </si>
  <si>
    <t>BRCA1-W1837G-REV</t>
  </si>
  <si>
    <t>TACACTGTCCAACACCCCCTCTCGGGTCACCAC</t>
  </si>
  <si>
    <t>BRCA1-T1852*-FWD</t>
  </si>
  <si>
    <t>TGCCAGGAGCTGGACTGATACCTGATACCCCAG</t>
  </si>
  <si>
    <t>BRCA1-T1852*-REV</t>
  </si>
  <si>
    <t>CTGGGGTATCAGGTATCAGTCCAGCTCCTGGCA</t>
  </si>
  <si>
    <t>BRCA1-L1854P-FWD</t>
  </si>
  <si>
    <t>GAGCTGGACACCTACCCGATACCCCAGATCCCC</t>
  </si>
  <si>
    <t>BRCA1-L1854P-REV</t>
  </si>
  <si>
    <t>GGGGATCTGGGGTATCGGGTAGGTGTCCAGCTC</t>
  </si>
  <si>
    <t>BRCA1-I1858*-FWD</t>
  </si>
  <si>
    <t>TACCTGATACCCCAGTGACCCCACAGCCACTAC</t>
  </si>
  <si>
    <t>BRCA1-I1858*-REV</t>
  </si>
  <si>
    <t>GTAGTGGCTGTGGGGTCACTGGGGTATCAGGTA</t>
  </si>
  <si>
    <t>BRCA1-L1676Q-FWD</t>
  </si>
  <si>
    <t>AGAAAACACCACATCACTCAAACTAATCTAATTACTGAA</t>
  </si>
  <si>
    <t>BRCA1-L1676Q-REV</t>
  </si>
  <si>
    <t>TTCAGTAATTAGATTAGTTTGAGTGATGTGGTGTTTTCT</t>
  </si>
  <si>
    <t>BRCA1-M1728T-FWD</t>
  </si>
  <si>
    <t>TCTATTAAAGAAAGAAAAACGCTGAATGAGCATGATTTT</t>
  </si>
  <si>
    <t>BRCA1-M1728T-REV</t>
  </si>
  <si>
    <t>AAAATCATGCTCATTCAGCGTTTTTCTTTCTTTAATAGA</t>
  </si>
  <si>
    <t>BRCA1-F1734S-FWD</t>
  </si>
  <si>
    <t>ATGCTGAATGAGCATGATTCTGAAGTCAGAGGAGATGTG</t>
  </si>
  <si>
    <t>BRCA1-F1734S-REV</t>
  </si>
  <si>
    <t>CACATCTCCTCTGACTTCAGAATCATGCTCATTCAGCAT</t>
  </si>
  <si>
    <t>BRCA1-V1736A-FWD</t>
  </si>
  <si>
    <t>AATGAGCATGATTTTGAAGCCAGAGGAGATGTGGTCAAT</t>
  </si>
  <si>
    <t>BRCA1-V1736A-REV</t>
  </si>
  <si>
    <t>ATTGACCACATCTCCTCTGGCTTCAAAATCATGCTCATT</t>
  </si>
  <si>
    <t>BRCA1-D1739G-FWD</t>
  </si>
  <si>
    <t>GATTTTGAAGTCAGAGGAGGTGTGGTCAATGGAAGAAAC</t>
  </si>
  <si>
    <t>BRCA1-D1739G-REV</t>
  </si>
  <si>
    <t>GTTTCTTCCATTGACCACACCTCCTCTGACTTCAAAATC</t>
  </si>
  <si>
    <t>BRCA1-D1739V-FWD</t>
  </si>
  <si>
    <t>GATTTTGAAGTCAGAGGAGTTGTGGTCAATGGAAGAAAC</t>
  </si>
  <si>
    <t>BRCA1-D1739V-REV</t>
  </si>
  <si>
    <t>GTTTCTTCCATTGACCACAACTCCTCTGACTTCAAAATC</t>
  </si>
  <si>
    <t>BRCA1-V1741D-FWD</t>
  </si>
  <si>
    <t>GAAGTCAGAGGAGATGTGGACAATGGAAGAAACCACCAA</t>
  </si>
  <si>
    <t>BRCA1-V1741D-REV</t>
  </si>
  <si>
    <t>TTGGTGGTTTCTTCCATTGTCCACATCTCCTCTGACTTC</t>
  </si>
  <si>
    <t>BRCA1-V1741F-FWD</t>
  </si>
  <si>
    <t>GAAGTCAGAGGAGATGTGTTCAATGGAAGAAACCACCAA</t>
  </si>
  <si>
    <t>BRCA1-V1741F-REV</t>
  </si>
  <si>
    <t>TTGGTGGTTTCTTCCATTGAACACATCTCCTCTGACTTC</t>
  </si>
  <si>
    <t>BRCA1-H1746D-FWD</t>
  </si>
  <si>
    <t>GTGGTCAATGGAAGAAACGACCAAGGTCCAAAGCGAGCA</t>
  </si>
  <si>
    <t>BRCA1-H1746D-REV</t>
  </si>
  <si>
    <t>TGCTCGCTTTGGACCTTGGTCGTTTCTTCCATTGACCAC</t>
  </si>
  <si>
    <t>BRCA1-H1746L-FWD</t>
  </si>
  <si>
    <t>GTGGTCAATGGAAGAAACCTCCAAGGTCCAAAGCGAGCA</t>
  </si>
  <si>
    <t>BRCA1-H1746L-REV</t>
  </si>
  <si>
    <t>TGCTCGCTTTGGACCTTGGAGGTTTCTTCCATTGACCAC</t>
  </si>
  <si>
    <t>BRCA1-Q1747P-FWD</t>
  </si>
  <si>
    <t>GTCAATGGAAGAAACCACCCAGGTCCAAAGCGAGCAAGA</t>
  </si>
  <si>
    <t>BRCA1-Q1747P-REV</t>
  </si>
  <si>
    <t>TCTTGCTCGCTTTGGACCTGGGTGGTTTCTTCCATTGAC</t>
  </si>
  <si>
    <t>BRCA1-K1759E-FWD</t>
  </si>
  <si>
    <t>AGAGAATCCCAGGACAGAGAGATCTTCAGGGGGCTAGAA</t>
  </si>
  <si>
    <t>BRCA1-K1759E-REV</t>
  </si>
  <si>
    <t>TTCTAGCCCCCTGAAGATCTCTCTGTCCTGGGATTCTCT</t>
  </si>
  <si>
    <t>BRCA1-G1763V-FWD</t>
  </si>
  <si>
    <t>GACAGAAAGATCTTCAGGGTGCTAGAAATCTGTTGCTAT</t>
  </si>
  <si>
    <t>BRCA1-G1763V-REV</t>
  </si>
  <si>
    <t>ATAGCAACAGATTTCTAGCACCCTGAAGATCTTTCTGTC</t>
  </si>
  <si>
    <t>BRCA1-V1809A-FWD</t>
  </si>
  <si>
    <t>GGTGTCCACCCAATTGTGGCTGTGCAGCCAGATGCCTGG</t>
  </si>
  <si>
    <t>BRCA1-V1809A-REV</t>
  </si>
  <si>
    <t>CCAGGCATCTGGCTGCACAGCCACAATTGGGTGGACACC</t>
  </si>
  <si>
    <t>BRCA1-V1810G-FWD</t>
  </si>
  <si>
    <t>GTCCACCCAATTGTGGTTGGGCAGCCAGATGCCTGGACA</t>
  </si>
  <si>
    <t>BRCA1-V1810G-REV</t>
  </si>
  <si>
    <t>TGTCCAGGCATCTGGCTGCCCAACCACAATTGGGTGGAC</t>
  </si>
  <si>
    <t>BRCA1-S1598*-FWD</t>
  </si>
  <si>
    <t>ATACCATCTTCAACCTGAGCATTGAAAGTTCCC</t>
  </si>
  <si>
    <t>BRCA1-S1598*-REV</t>
  </si>
  <si>
    <t>GGGAACTTTCAATGCTCAGGTTGAAGATGGTAT</t>
  </si>
  <si>
    <t>BRCA1-3UTR-Fwd-1</t>
  </si>
  <si>
    <t>TGGACAGAGGACAATGGCTT</t>
  </si>
  <si>
    <t>BRCA1-3UTR-Rev-1</t>
  </si>
  <si>
    <t>TCATTCTTGGGGTCCTGTGG</t>
  </si>
  <si>
    <t>Inverse PCR Libraries</t>
  </si>
  <si>
    <t>BRCA1-Cterm-Fwd-1</t>
  </si>
  <si>
    <t>NNKGGGCCCTTCACCAACATGCCCACAGAT</t>
  </si>
  <si>
    <t>BRCA1-Cterm-Fwd-2</t>
  </si>
  <si>
    <t>NNKCCCTTCACCAACATGCCCACAGATCAA</t>
  </si>
  <si>
    <t>BRCA1-Cterm-Fwd-3</t>
  </si>
  <si>
    <t>NNKTTCACCAACATGCCCACAGATCAACTG</t>
  </si>
  <si>
    <t>BRCA1-Cterm-Fwd-4</t>
  </si>
  <si>
    <t>NNKACCAACATGCCCACAGATCAACTGGAA</t>
  </si>
  <si>
    <t>BRCA1-Cterm-Fwd-5</t>
  </si>
  <si>
    <t>NNKAACATGCCCACAGATCAACTGGAATGG</t>
  </si>
  <si>
    <t>BRCA1-Cterm-Fwd-6</t>
  </si>
  <si>
    <t>NNKATGCCCACAGATCAACTGGAATGGATG</t>
  </si>
  <si>
    <t>BRCA1-Cterm-Fwd-7</t>
  </si>
  <si>
    <t>NNKCCCACAGATCAACTGGAATGGATGGTA</t>
  </si>
  <si>
    <t>BRCA1-Cterm-Fwd-8</t>
  </si>
  <si>
    <t>NNKACAGATCAACTGGAATGGATGGTACAG</t>
  </si>
  <si>
    <t>BRCA1-Cterm-Fwd-9</t>
  </si>
  <si>
    <t>NNKGATCAACTGGAATGGATGGTACAGCTG</t>
  </si>
  <si>
    <t>BRCA1-Cterm-Fwd-10</t>
  </si>
  <si>
    <t>NNKCAACTGGAATGGATGGTACAGCTGTGT</t>
  </si>
  <si>
    <t>BRCA1-Cterm-Fwd-11</t>
  </si>
  <si>
    <t>NNKCTGGAATGGATGGTACAGCTGTGTGGT</t>
  </si>
  <si>
    <t>BRCA1-Cterm-Fwd-12</t>
  </si>
  <si>
    <t>NNKGAATGGATGGTACAGCTGTGTGGTGCT</t>
  </si>
  <si>
    <t>BRCA1-Cterm-Fwd-13</t>
  </si>
  <si>
    <t>NNKTGGATGGTACAGCTGTGTGGTGCTTCT</t>
  </si>
  <si>
    <t>BRCA1-Cterm-Fwd-14</t>
  </si>
  <si>
    <t>NNKATGGTACAGCTGTGTGGTGCTTCTGTG</t>
  </si>
  <si>
    <t>BRCA1-Cterm-Fwd-15</t>
  </si>
  <si>
    <t>NNKGTACAGCTGTGTGGTGCTTCTGTGGTG</t>
  </si>
  <si>
    <t>BRCA1-Cterm-Fwd-16</t>
  </si>
  <si>
    <t>NNKCAGCTGTGTGGTGCTTCTGTGGTGAAG</t>
  </si>
  <si>
    <t>BRCA1-Cterm-Fwd-17</t>
  </si>
  <si>
    <t>NNKCTGTGTGGTGCTTCTGTGGTGAAGGAG</t>
  </si>
  <si>
    <t>BRCA1-Cterm-Fwd-18</t>
  </si>
  <si>
    <t>NNKTGTGGTGCTTCTGTGGTGAAGGAGCTT</t>
  </si>
  <si>
    <t>BRCA1-Cterm-Fwd-19</t>
  </si>
  <si>
    <t>NNKGGTGCTTCTGTGGTGAAGGAGCTTTCA</t>
  </si>
  <si>
    <t>BRCA1-Cterm-Fwd-20</t>
  </si>
  <si>
    <t>NNKGCTTCTGTGGTGAAGGAGCTTTCATCA</t>
  </si>
  <si>
    <t>BRCA1-Cterm-Fwd-21</t>
  </si>
  <si>
    <t>NNKTCTGTGGTGAAGGAGCTTTCATCATTC</t>
  </si>
  <si>
    <t>BRCA1-Cterm-Fwd-22</t>
  </si>
  <si>
    <t>NNKGTGGTGAAGGAGCTTTCATCATTCACC</t>
  </si>
  <si>
    <t>BRCA1-Cterm-Fwd-23</t>
  </si>
  <si>
    <t>NNKGTGAAGGAGCTTTCATCATTCACCCTT</t>
  </si>
  <si>
    <t>BRCA1-Cterm-Fwd-24</t>
  </si>
  <si>
    <t>NNKAAGGAGCTTTCATCATTCACCCTTGGC</t>
  </si>
  <si>
    <t>BRCA1-Cterm-Fwd-25</t>
  </si>
  <si>
    <t>NNKGAGCTTTCATCATTCACCCTTGGCACA</t>
  </si>
  <si>
    <t>BRCA1-Cterm-Fwd-26</t>
  </si>
  <si>
    <t>NNKCTTTCATCATTCACCCTTGGCACAGGT</t>
  </si>
  <si>
    <t>BRCA1-Cterm-Fwd-27</t>
  </si>
  <si>
    <t>NNKTCATCATTCACCCTTGGCACAGGTGTC</t>
  </si>
  <si>
    <t>BRCA1-Cterm-Fwd-28</t>
  </si>
  <si>
    <t>NNKTCATTCACCCTTGGCACAGGTGTCCAC</t>
  </si>
  <si>
    <t>BRCA1-Cterm-Fwd-29</t>
  </si>
  <si>
    <t>NNKTTCACCCTTGGCACAGGTGTCCACCCA</t>
  </si>
  <si>
    <t>BRCA1-Cterm-Fwd-30</t>
  </si>
  <si>
    <t>NNKACCCTTGGCACAGGTGTCCACCCAATT</t>
  </si>
  <si>
    <t>BRCA1-Cterm-Fwd-31</t>
  </si>
  <si>
    <t>NNKCTTGGCACAGGTGTCCACCCAATTGTG</t>
  </si>
  <si>
    <t>BRCA1-Cterm-Fwd-32</t>
  </si>
  <si>
    <t>NNKGGCACAGGTGTCCACCCAATTGTGGTT</t>
  </si>
  <si>
    <t>BRCA1-Cterm-Fwd-33</t>
  </si>
  <si>
    <t>NNKACAGGTGTCCACCCAATTGTGGTTGTG</t>
  </si>
  <si>
    <t>BRCA1-Cterm-Fwd-34</t>
  </si>
  <si>
    <t>NNKGGTGTCCACCCAATTGTGGTTGTGCAG</t>
  </si>
  <si>
    <t>BRCA1-Cterm-Fwd-35</t>
  </si>
  <si>
    <t>NNKGTCCACCCAATTGTGGTTGTGCAGCCA</t>
  </si>
  <si>
    <t>BRCA1-Cterm-Fwd-36</t>
  </si>
  <si>
    <t>NNKCACCCAATTGTGGTTGTGCAGCCAGAT</t>
  </si>
  <si>
    <t>BRCA1-Cterm-Fwd-37</t>
  </si>
  <si>
    <t>NNKCCAATTGTGGTTGTGCAGCCAGATGCC</t>
  </si>
  <si>
    <t>BRCA1-Cterm-Fwd-38</t>
  </si>
  <si>
    <t>NNKATTGTGGTTGTGCAGCCAGATGCCTGG</t>
  </si>
  <si>
    <t>BRCA1-Cterm-Fwd-39</t>
  </si>
  <si>
    <t>NNKGTGGTTGTGCAGCCAGATGCCTGGACA</t>
  </si>
  <si>
    <t>BRCA1-Cterm-Fwd-40</t>
  </si>
  <si>
    <t>NNKGTTGTGCAGCCAGATGCCTGGACAGAG</t>
  </si>
  <si>
    <t>BRCA1-Cterm-Fwd-41</t>
  </si>
  <si>
    <t>NNKGTGCAGCCAGATGCCTGGACAGAGGAC</t>
  </si>
  <si>
    <t>BRCA1-Cterm-Fwd-42</t>
  </si>
  <si>
    <t>NNKCAGCCAGATGCCTGGACAGAGGACAAT</t>
  </si>
  <si>
    <t>BRCA1-Cterm-Fwd-43</t>
  </si>
  <si>
    <t>NNKCCAGATGCCTGGACAGAGGACAATGGC</t>
  </si>
  <si>
    <t>BRCA1-Cterm-Fwd-44</t>
  </si>
  <si>
    <t>NNKGATGCCTGGACAGAGGACAATGGCTTC</t>
  </si>
  <si>
    <t>BRCA1-Cterm-Fwd-45</t>
  </si>
  <si>
    <t>NNKGCCTGGACAGAGGACAATGGCTTCCAT</t>
  </si>
  <si>
    <t>BRCA1-Cterm-Fwd-46</t>
  </si>
  <si>
    <t>NNKTGGACAGAGGACAATGGCTTCCATGCA</t>
  </si>
  <si>
    <t>BRCA1-Cterm-Fwd-47</t>
  </si>
  <si>
    <t>NNKACAGAGGACAATGGCTTCCATGCAATT</t>
  </si>
  <si>
    <t>BRCA1-Cterm-Fwd-48</t>
  </si>
  <si>
    <t>NNKGAGGACAATGGCTTCCATGCAATTGGG</t>
  </si>
  <si>
    <t>BRCA1-Cterm-Fwd-49</t>
  </si>
  <si>
    <t>NNKGACAATGGCTTCCATGCAATTGGGCAG</t>
  </si>
  <si>
    <t>BRCA1-Cterm-Fwd-50</t>
  </si>
  <si>
    <t>NNKAATGGCTTCCATGCAATTGGGCAGATG</t>
  </si>
  <si>
    <t>BRCA1-Cterm-Fwd-51</t>
  </si>
  <si>
    <t>NNKGGCTTCCATGCAATTGGGCAGATGTGT</t>
  </si>
  <si>
    <t>BRCA1-Cterm-Fwd-52</t>
  </si>
  <si>
    <t>NNKTTCCATGCAATTGGGCAGATGTGTGAG</t>
  </si>
  <si>
    <t>BRCA1-Cterm-Fwd-53</t>
  </si>
  <si>
    <t>NNKCATGCAATTGGGCAGATGTGTGAGGCA</t>
  </si>
  <si>
    <t>BRCA1-Cterm-Fwd-54</t>
  </si>
  <si>
    <t>NNKGCAATTGGGCAGATGTGTGAGGCACCT</t>
  </si>
  <si>
    <t>BRCA1-Cterm-Fwd-55</t>
  </si>
  <si>
    <t>NNKATTGGGCAGATGTGTGAGGCACCTGTG</t>
  </si>
  <si>
    <t>BRCA1-Cterm-Fwd-56</t>
  </si>
  <si>
    <t>NNKGGGCAGATGTGTGAGGCACCTGTGGTG</t>
  </si>
  <si>
    <t>BRCA1-Cterm-Fwd-57</t>
  </si>
  <si>
    <t>NNKCAGATGTGTGAGGCACCTGTGGTGACC</t>
  </si>
  <si>
    <t>BRCA1-Cterm-Fwd-58</t>
  </si>
  <si>
    <t>NNKATGTGTGAGGCACCTGTGGTGACCCGA</t>
  </si>
  <si>
    <t>BRCA1-Cterm-Fwd-59</t>
  </si>
  <si>
    <t>NNKTGTGAGGCACCTGTGGTGACCCGAGAG</t>
  </si>
  <si>
    <t>BRCA1-Cterm-Fwd-60</t>
  </si>
  <si>
    <t>NNKGAGGCACCTGTGGTGACCCGAGAGTGG</t>
  </si>
  <si>
    <t>BRCA1-Cterm-Fwd-61</t>
  </si>
  <si>
    <t>NNKGCACCTGTGGTGACCCGAGAGTGGGTG</t>
  </si>
  <si>
    <t>BRCA1-Cterm-Fwd-62</t>
  </si>
  <si>
    <t>NNKCCTGTGGTGACCCGAGAGTGGGTGTTG</t>
  </si>
  <si>
    <t>BRCA1-Cterm-Fwd-63</t>
  </si>
  <si>
    <t>NNKGTGGTGACCCGAGAGTGGGTGTTGGAC</t>
  </si>
  <si>
    <t>BRCA1-Cterm-Fwd-64</t>
  </si>
  <si>
    <t>NNKGTGACCCGAGAGTGGGTGTTGGACAGT</t>
  </si>
  <si>
    <t>BRCA1-Cterm-Fwd-65</t>
  </si>
  <si>
    <t>NNKACCCGAGAGTGGGTGTTGGACAGTGTA</t>
  </si>
  <si>
    <t>BRCA1-Cterm-Fwd-66</t>
  </si>
  <si>
    <t>NNKCGAGAGTGGGTGTTGGACAGTGTAGCA</t>
  </si>
  <si>
    <t>BRCA1-Cterm-Fwd-67</t>
  </si>
  <si>
    <t>NNKGAGTGGGTGTTGGACAGTGTAGCACTC</t>
  </si>
  <si>
    <t>BRCA1-Cterm-Fwd-68</t>
  </si>
  <si>
    <t>NNKTGGGTGTTGGACAGTGTAGCACTCTAC</t>
  </si>
  <si>
    <t>BRCA1-Cterm-Fwd-69</t>
  </si>
  <si>
    <t>NNKGTGTTGGACAGTGTAGCACTCTACCAG</t>
  </si>
  <si>
    <t>BRCA1-Cterm-Fwd-70</t>
  </si>
  <si>
    <t>NNKTTGGACAGTGTAGCACTCTACCAGTGC</t>
  </si>
  <si>
    <t>BRCA1-Cterm-Fwd-71</t>
  </si>
  <si>
    <t>NNKGACAGTGTAGCACTCTACCAGTGCCAG</t>
  </si>
  <si>
    <t>BRCA1-Cterm-Fwd-72</t>
  </si>
  <si>
    <t>NNKAGTGTAGCACTCTACCAGTGCCAGGAG</t>
  </si>
  <si>
    <t>BRCA1-Cterm-Fwd-73</t>
  </si>
  <si>
    <t>NNKGTAGCACTCTACCAGTGCCAGGAGCTG</t>
  </si>
  <si>
    <t>BRCA1-Cterm-Fwd-74</t>
  </si>
  <si>
    <t>NNKGCACTCTACCAGTGCCAGGAGCTGGAC</t>
  </si>
  <si>
    <t>BRCA1-Cterm-Fwd-75</t>
  </si>
  <si>
    <t>NNKCTCTACCAGTGCCAGGAGCTGGACACC</t>
  </si>
  <si>
    <t>BRCA1-Cterm-Fwd-76</t>
  </si>
  <si>
    <t>NNKTACCAGTGCCAGGAGCTGGACACCTAC</t>
  </si>
  <si>
    <t>BRCA1-Cterm-Fwd-77</t>
  </si>
  <si>
    <t>NNKCAGTGCCAGGAGCTGGACACCTACCTG</t>
  </si>
  <si>
    <t>BRCA1-Cterm-Fwd-78</t>
  </si>
  <si>
    <t>NNKTGCCAGGAGCTGGACACCTACCTGATA</t>
  </si>
  <si>
    <t>BRCA1-Cterm-Fwd-79</t>
  </si>
  <si>
    <t>NNKCAGGAGCTGGACACCTACCTGATACCC</t>
  </si>
  <si>
    <t>BRCA1-Cterm-Fwd-80</t>
  </si>
  <si>
    <t>NNKGAGCTGGACACCTACCTGATACCCCAG</t>
  </si>
  <si>
    <t>BRCA1-Cterm-Fwd-81</t>
  </si>
  <si>
    <t>NNKCTGGACACCTACCTGATACCCCAGATC</t>
  </si>
  <si>
    <t>BRCA1-Cterm-Fwd-82</t>
  </si>
  <si>
    <t>NNKGACACCTACCTGATACCCCAGATCCCC</t>
  </si>
  <si>
    <t>BRCA1-Cterm-Fwd-83</t>
  </si>
  <si>
    <t>NNKACCTACCTGATACCCCAGATCCCCCAC</t>
  </si>
  <si>
    <t>BRCA1-Cterm-Fwd-84</t>
  </si>
  <si>
    <t>NNKTACCTGATACCCCAGATCCCCCACAGC</t>
  </si>
  <si>
    <t>BRCA1-Cterm-Fwd-85</t>
  </si>
  <si>
    <t>NNKCTGATACCCCAGATCCCCCACAGCCAC</t>
  </si>
  <si>
    <t>BRCA1-Cterm-Fwd-86</t>
  </si>
  <si>
    <t>NNKATACCCCAGATCCCCCACAGCCACTAC</t>
  </si>
  <si>
    <t>BRCA1-Cterm-Fwd-87</t>
  </si>
  <si>
    <t>NNKCCCCAGATCCCCCACAGCCACTACTGA</t>
  </si>
  <si>
    <t>BRCA1-Cterm-Fwd-88</t>
  </si>
  <si>
    <t>NNKCAGATCCCCCACAGCCACTACTGAGAT</t>
  </si>
  <si>
    <t>BRCA1-Cterm-Fwd-89</t>
  </si>
  <si>
    <t>NNKATCCCCCACAGCCACTACTGAGATATC</t>
  </si>
  <si>
    <t>BRCA1-Cterm-Fwd-90</t>
  </si>
  <si>
    <t>NNKCCCCACAGCCACTACTGAGATATCGGC</t>
  </si>
  <si>
    <t>BRCA1-Cterm-Fwd-91</t>
  </si>
  <si>
    <t>NNKCACAGCCACTACTGAGATATCGGCTCG</t>
  </si>
  <si>
    <t>BRCA1-Cterm-Fwd-92</t>
  </si>
  <si>
    <t>NNKAGCCACTACTGAGATATCGGCTCGACC</t>
  </si>
  <si>
    <t>BRCA1-Cterm-Fwd-93</t>
  </si>
  <si>
    <t>NNKCACTACTGAGATATCGGCTCGACCTGC</t>
  </si>
  <si>
    <t>BRCA1-Cterm-Fwd-94</t>
  </si>
  <si>
    <t>NNKTACTGAGATATCGGCTCGACCTGCAGG</t>
  </si>
  <si>
    <t>BRCA1-Cterm-Fwd-95</t>
  </si>
  <si>
    <t>NNKTGAGATATCGGCTCGACCTGCAGGCAT</t>
  </si>
  <si>
    <t>BRCA1-Cterm-Fwd-96</t>
  </si>
  <si>
    <t>NNKGATATCGGCTCGACCTGCAGGCATGCA</t>
  </si>
  <si>
    <t>BRCA1-Cterm-Fwd-97</t>
  </si>
  <si>
    <t>NNNATCACTTTAACTAATCTAATTACTGAA</t>
  </si>
  <si>
    <t>BRCA1-Cterm-Fwd-98</t>
  </si>
  <si>
    <t>NNNACTTTAACTAATCTAATTACTGAAGAG</t>
  </si>
  <si>
    <t>BRCA1-Cterm-Fwd-99</t>
  </si>
  <si>
    <t>NNNTTAACTAATCTAATTACTGAAGAGACT</t>
  </si>
  <si>
    <t>BRCA1-Cterm-Fwd-100</t>
  </si>
  <si>
    <t>NNNACTAATCTAATTACTGAAGAGACTACT</t>
  </si>
  <si>
    <t>BRCA1-Cterm-Fwd-101</t>
  </si>
  <si>
    <t>NNNAATCTAATTACTGAAGAGACTACTCAT</t>
  </si>
  <si>
    <t>BRCA1-Cterm-Fwd-102</t>
  </si>
  <si>
    <t>NNNCTAATTACTGAAGAGACTACTCATGTT</t>
  </si>
  <si>
    <t>BRCA1-Cterm-Fwd-103</t>
  </si>
  <si>
    <t>NNNATTACTGAAGAGACTACTCATGTTGTT</t>
  </si>
  <si>
    <t>BRCA1-Cterm-Fwd-104</t>
  </si>
  <si>
    <t>NNNACTGAAGAGACTACTCATGTTGTTATG</t>
  </si>
  <si>
    <t>BRCA1-Cterm-Fwd-105</t>
  </si>
  <si>
    <t>NNNGAAGAGACTACTCATGTTGTTATGAAA</t>
  </si>
  <si>
    <t>BRCA1-Cterm-Fwd-106</t>
  </si>
  <si>
    <t>NNNGAGACTACTCATGTTGTTATGAAAACA</t>
  </si>
  <si>
    <t>BRCA1-Cterm-Fwd-107</t>
  </si>
  <si>
    <t>NNNACTACTCATGTTGTTATGAAAACAGAT</t>
  </si>
  <si>
    <t>BRCA1-Cterm-Fwd-108</t>
  </si>
  <si>
    <t>NNNACTCATGTTGTTATGAAAACAGATGCT</t>
  </si>
  <si>
    <t>BRCA1-Cterm-Fwd-109</t>
  </si>
  <si>
    <t>NNNCATGTTGTTATGAAAACAGATGCTGAG</t>
  </si>
  <si>
    <t>BRCA1-Cterm-Fwd-110</t>
  </si>
  <si>
    <t>NNNGTTGTTATGAAAACAGATGCTGAGTTT</t>
  </si>
  <si>
    <t>BRCA1-Cterm-Fwd-111</t>
  </si>
  <si>
    <t>NNNGTTATGAAAACAGATGCTGAGTTTGTG</t>
  </si>
  <si>
    <t>BRCA1-Cterm-Fwd-112</t>
  </si>
  <si>
    <t>NNNATGAAAACAGATGCTGAGTTTGTGTGT</t>
  </si>
  <si>
    <t>BRCA1-Cterm-Fwd-113</t>
  </si>
  <si>
    <t>NNNAAAACAGATGCTGAGTTTGTGTGTGAA</t>
  </si>
  <si>
    <t>BRCA1-Cterm-Fwd-114</t>
  </si>
  <si>
    <t>NNNACAGATGCTGAGTTTGTGTGTGAACGG</t>
  </si>
  <si>
    <t>BRCA1-Cterm-Fwd-115</t>
  </si>
  <si>
    <t>NNNGATGCTGAGTTTGTGTGTGAACGGACA</t>
  </si>
  <si>
    <t>BRCA1-Cterm-Fwd-116</t>
  </si>
  <si>
    <t>NNNGCTGAGTTTGTGTGTGAACGGACACTG</t>
  </si>
  <si>
    <t>BRCA1-Cterm-Fwd-117</t>
  </si>
  <si>
    <t>NNNGAGTTTGTGTGTGAACGGACACTGAAA</t>
  </si>
  <si>
    <t>BRCA1-Cterm-Fwd-118</t>
  </si>
  <si>
    <t>NNNTTTGTGTGTGAACGGACACTGAAATAT</t>
  </si>
  <si>
    <t>BRCA1-Cterm-Fwd-119</t>
  </si>
  <si>
    <t>NNNGTGTGTGAACGGACACTGAAATATTTT</t>
  </si>
  <si>
    <t>BRCA1-Cterm-Fwd-120</t>
  </si>
  <si>
    <t>NNNTGTGAACGGACACTGAAATATTTTCTA</t>
  </si>
  <si>
    <t>BRCA1-Cterm-Fwd-121</t>
  </si>
  <si>
    <t>NNNGAACGGACACTGAAATATTTTCTAGGA</t>
  </si>
  <si>
    <t>BRCA1-Cterm-Fwd-122</t>
  </si>
  <si>
    <t>NNNCGGACACTGAAATATTTTCTAGGAATT</t>
  </si>
  <si>
    <t>BRCA1-Cterm-Fwd-123</t>
  </si>
  <si>
    <t>NNNACACTGAAATATTTTCTAGGAATTGCG</t>
  </si>
  <si>
    <t>BRCA1-Cterm-Fwd-124</t>
  </si>
  <si>
    <t>NNNCTGAAATATTTTCTAGGAATTGCGGGA</t>
  </si>
  <si>
    <t>BRCA1-Cterm-Fwd-125</t>
  </si>
  <si>
    <t>NNNAAATATTTTCTAGGAATTGCGGGAGGA</t>
  </si>
  <si>
    <t>BRCA1-Cterm-Fwd-126</t>
  </si>
  <si>
    <t>NNNTATTTTCTAGGAATTGCGGGAGGAAAA</t>
  </si>
  <si>
    <t>BRCA1-Cterm-Fwd-127</t>
  </si>
  <si>
    <t>NNNTTTCTAGGAATTGCGGGAGGAAAATGG</t>
  </si>
  <si>
    <t>BRCA1-Cterm-Fwd-128</t>
  </si>
  <si>
    <t>NNNCTAGGAATTGCGGGAGGAAAATGGGTA</t>
  </si>
  <si>
    <t>BRCA1-Cterm-Fwd-129</t>
  </si>
  <si>
    <t>NNNGGAATTGCGGGAGGAAAATGGGTAGTT</t>
  </si>
  <si>
    <t>BRCA1-Cterm-Fwd-130</t>
  </si>
  <si>
    <t>NNNATTGCGGGAGGAAAATGGGTAGTTAGC</t>
  </si>
  <si>
    <t>BRCA1-Cterm-Fwd-131</t>
  </si>
  <si>
    <t>NNNGCGGGAGGAAAATGGGTAGTTAGCTAT</t>
  </si>
  <si>
    <t>BRCA1-Cterm-Fwd-132</t>
  </si>
  <si>
    <t>NNNGGAGGAAAATGGGTAGTTAGCTATTTC</t>
  </si>
  <si>
    <t>BRCA1-Cterm-Fwd-133</t>
  </si>
  <si>
    <t>NNNGGAAAATGGGTAGTTAGCTATTTCTGG</t>
  </si>
  <si>
    <t>BRCA1-Cterm-Fwd-134</t>
  </si>
  <si>
    <t>NNNAAATGGGTAGTTAGCTATTTCTGGGTG</t>
  </si>
  <si>
    <t>BRCA1-Cterm-Fwd-135</t>
  </si>
  <si>
    <t>NNNTGGGTAGTTAGCTATTTCTGGGTGACC</t>
  </si>
  <si>
    <t>BRCA1-Cterm-Fwd-136</t>
  </si>
  <si>
    <t>NNNGTAGTTAGCTATTTCTGGGTGACCCAG</t>
  </si>
  <si>
    <t>BRCA1-Cterm-Fwd-137</t>
  </si>
  <si>
    <t>NNNGTTAGCTATTTCTGGGTGACCCAGTCT</t>
  </si>
  <si>
    <t>BRCA1-Cterm-Fwd-138</t>
  </si>
  <si>
    <t>NNNAGCTATTTCTGGGTGACCCAGTCTATT</t>
  </si>
  <si>
    <t>BRCA1-Cterm-Fwd-139</t>
  </si>
  <si>
    <t>NNNTATTTCTGGGTGACCCAGTCTATTAAA</t>
  </si>
  <si>
    <t>BRCA1-Cterm-Fwd-140</t>
  </si>
  <si>
    <t>NNNTTCTGGGTGACCCAGTCTATTAAAGAA</t>
  </si>
  <si>
    <t>BRCA1-Cterm-Fwd-141</t>
  </si>
  <si>
    <t>NNNTGGGTGACCCAGTCTATTAAAGAAAGA</t>
  </si>
  <si>
    <t>BRCA1-Cterm-Fwd-142</t>
  </si>
  <si>
    <t>NNNGTGACCCAGTCTATTAAAGAAAGAAAA</t>
  </si>
  <si>
    <t>BRCA1-Cterm-Fwd-143</t>
  </si>
  <si>
    <t>NNNACCCAGTCTATTAAAGAAAGAAAAATG</t>
  </si>
  <si>
    <t>BRCA1-Cterm-Fwd-144</t>
  </si>
  <si>
    <t>NNNCAGTCTATTAAAGAAAGAAAAATGCTG</t>
  </si>
  <si>
    <t>BRCA1-Cterm-Fwd-145</t>
  </si>
  <si>
    <t>NNNTCTATTAAAGAAAGAAAAATGCTGAAT</t>
  </si>
  <si>
    <t>BRCA1-Cterm-Fwd-146</t>
  </si>
  <si>
    <t>NNNATTAAAGAAAGAAAAATGCTGAATGAG</t>
  </si>
  <si>
    <t>BRCA1-Cterm-Fwd-147</t>
  </si>
  <si>
    <t>NNNAAAGAAAGAAAAATGCTGAATGAGCAT</t>
  </si>
  <si>
    <t>BRCA1-Cterm-Fwd-148</t>
  </si>
  <si>
    <t>NNNGAAAGAAAAATGCTGAATGAGCATGAT</t>
  </si>
  <si>
    <t>BRCA1-Cterm-Fwd-149</t>
  </si>
  <si>
    <t>NNNAGAAAAATGCTGAATGAGCATGATTTT</t>
  </si>
  <si>
    <t>BRCA1-Cterm-Fwd-150</t>
  </si>
  <si>
    <t>NNNAAAATGCTGAATGAGCATGATTTTGAA</t>
  </si>
  <si>
    <t>BRCA1-Cterm-Fwd-151</t>
  </si>
  <si>
    <t>NNNATGCTGAATGAGCATGATTTTGAAGTC</t>
  </si>
  <si>
    <t>BRCA1-Cterm-Fwd-152</t>
  </si>
  <si>
    <t>NNNCTGAATGAGCATGATTTTGAAGTCAGA</t>
  </si>
  <si>
    <t>BRCA1-Cterm-Fwd-153</t>
  </si>
  <si>
    <t>NNNAATGAGCATGATTTTGAAGTCAGAGGA</t>
  </si>
  <si>
    <t>BRCA1-Cterm-Fwd-154</t>
  </si>
  <si>
    <t>NNNGAGCATGATTTTGAAGTCAGAGGAGAT</t>
  </si>
  <si>
    <t>BRCA1-Cterm-Fwd-155</t>
  </si>
  <si>
    <t>NNNCATGATTTTGAAGTCAGAGGAGATGTG</t>
  </si>
  <si>
    <t>BRCA1-Cterm-Fwd-156</t>
  </si>
  <si>
    <t>NNNGATTTTGAAGTCAGAGGAGATGTGGTC</t>
  </si>
  <si>
    <t>BRCA1-Cterm-Fwd-157</t>
  </si>
  <si>
    <t>NNNTTTGAAGTCAGAGGAGATGTGGTCAAT</t>
  </si>
  <si>
    <t>BRCA1-Cterm-Fwd-158</t>
  </si>
  <si>
    <t>NNNGAAGTCAGAGGAGATGTGGTCAATGGA</t>
  </si>
  <si>
    <t>BRCA1-Cterm-Fwd-159</t>
  </si>
  <si>
    <t>NNNGTCAGAGGAGATGTGGTCAATGGAAGA</t>
  </si>
  <si>
    <t>BRCA1-Cterm-Fwd-160</t>
  </si>
  <si>
    <t>NNNAGAGGAGATGTGGTCAATGGAAGAAAC</t>
  </si>
  <si>
    <t>BRCA1-Cterm-Fwd-161</t>
  </si>
  <si>
    <t>NNNGGAGATGTGGTCAATGGAAGAAACCAC</t>
  </si>
  <si>
    <t>BRCA1-Cterm-Fwd-162</t>
  </si>
  <si>
    <t>NNNGATGTGGTCAATGGAAGAAACCACCAA</t>
  </si>
  <si>
    <t>BRCA1-Cterm-Fwd-163</t>
  </si>
  <si>
    <t>NNNGTGGTCAATGGAAGAAACCACCAAGGT</t>
  </si>
  <si>
    <t>BRCA1-Cterm-Fwd-164</t>
  </si>
  <si>
    <t>NNNGTCAATGGAAGAAACCACCAAGGTCCA</t>
  </si>
  <si>
    <t>BRCA1-Cterm-Fwd-165</t>
  </si>
  <si>
    <t>NNNAATGGAAGAAACCACCAAGGTCCAAAG</t>
  </si>
  <si>
    <t>BRCA1-Cterm-Fwd-166</t>
  </si>
  <si>
    <t>NNNGGAAGAAACCACCAAGGTCCAAAGCGA</t>
  </si>
  <si>
    <t>BRCA1-Cterm-Fwd-167</t>
  </si>
  <si>
    <t>NNNAGAAACCACCAAGGTCCAAAGCGAGCA</t>
  </si>
  <si>
    <t>BRCA1-Cterm-Fwd-168</t>
  </si>
  <si>
    <t>NNNAACCACCAAGGTCCAAAGCGAGCAAGA</t>
  </si>
  <si>
    <t>BRCA1-Cterm-Fwd-169</t>
  </si>
  <si>
    <t>NNNCACCAAGGTCCAAAGCGAGCAAGAGAA</t>
  </si>
  <si>
    <t>BRCA1-Cterm-Fwd-170</t>
  </si>
  <si>
    <t>NNNCAAGGTCCAAAGCGAGCAAGAGAATCC</t>
  </si>
  <si>
    <t>BRCA1-Cterm-Fwd-171</t>
  </si>
  <si>
    <t>NNNGGTCCAAAGCGAGCAAGAGAATCCCAG</t>
  </si>
  <si>
    <t>BRCA1-Cterm-Fwd-172</t>
  </si>
  <si>
    <t>NNNCCAAAGCGAGCAAGAGAATCCCAGGAC</t>
  </si>
  <si>
    <t>BRCA1-Cterm-Fwd-173</t>
  </si>
  <si>
    <t>NNNAAGCGAGCAAGAGAATCCCAGGACAGA</t>
  </si>
  <si>
    <t>BRCA1-Cterm-Fwd-174</t>
  </si>
  <si>
    <t>NNNCGAGCAAGAGAATCCCAGGACAGAAAG</t>
  </si>
  <si>
    <t>BRCA1-Cterm-Fwd-175</t>
  </si>
  <si>
    <t>NNNGCAAGAGAATCCCAGGACAGAAAGATC</t>
  </si>
  <si>
    <t>BRCA1-Cterm-Fwd-176</t>
  </si>
  <si>
    <t>NNNAGAGAATCCCAGGACAGAAAGATCTTC</t>
  </si>
  <si>
    <t>BRCA1-Cterm-Fwd-177</t>
  </si>
  <si>
    <t>NNNGAATCCCAGGACAGAAAGATCTTCAGG</t>
  </si>
  <si>
    <t>BRCA1-Cterm-Fwd-178</t>
  </si>
  <si>
    <t>NNNTCCCAGGACAGAAAGATCTTCAGGGGG</t>
  </si>
  <si>
    <t>BRCA1-Cterm-Fwd-179</t>
  </si>
  <si>
    <t>NNNCAGGACAGAAAGATCTTCAGGGGGCTA</t>
  </si>
  <si>
    <t>BRCA1-Cterm-Fwd-180</t>
  </si>
  <si>
    <t>NNNGACAGAAAGATCTTCAGGGGGCTAGAA</t>
  </si>
  <si>
    <t>BRCA1-Cterm-Fwd-181</t>
  </si>
  <si>
    <t>NNNAGAAAGATCTTCAGGGGGCTAGAAATC</t>
  </si>
  <si>
    <t>BRCA1-Cterm-Fwd-182</t>
  </si>
  <si>
    <t>NNNAAGATCTTCAGGGGGCTAGAAATCTGT</t>
  </si>
  <si>
    <t>BRCA1-Cterm-Fwd-183</t>
  </si>
  <si>
    <t>NNNATCTTCAGGGGGCTAGAAATCTGTTGC</t>
  </si>
  <si>
    <t>BRCA1-Cterm-Fwd-184</t>
  </si>
  <si>
    <t>NNNTTCAGGGGGCTAGAAATCTGTTGCTAT</t>
  </si>
  <si>
    <t>BRCA1-Cterm-Fwd-185</t>
  </si>
  <si>
    <t>NNNAGGGGGCTAGAAATCTGTTGCTATGGG</t>
  </si>
  <si>
    <t>BRCA1-Cterm-Fwd-186</t>
  </si>
  <si>
    <t>NNNGGGCTAGAAATCTGTTGCTATGGGCCC</t>
  </si>
  <si>
    <t>BRCA1-Cterm-Fwd-187</t>
  </si>
  <si>
    <t>NNNCTAGAAATCTGTTGCTATGGGCCCTTC</t>
  </si>
  <si>
    <t>BRCA1-Cterm-Fwd-188</t>
  </si>
  <si>
    <t>NNNGAAATCTGTTGCTATGGGCCCTTCACC</t>
  </si>
  <si>
    <t>BRCA1-Cterm-Fwd-189</t>
  </si>
  <si>
    <t>NNNATCTGTTGCTATGGGCCCTTCACCAAC</t>
  </si>
  <si>
    <t>BRCA1-Cterm-Fwd-190</t>
  </si>
  <si>
    <t>NNNTGTTGCTATGGGCCCTTCACCAACATG</t>
  </si>
  <si>
    <t>BRCA1-Cterm-Fwd-191</t>
  </si>
  <si>
    <t>NNNTGCTATGGGCCCTTCACCAACATGCCC</t>
  </si>
  <si>
    <t>BRCA1-Cterm-Fwd-192</t>
  </si>
  <si>
    <t>NNNTATGGGCCCTTCACCAACATGCCCACA</t>
  </si>
  <si>
    <t>BRCA1-Cterm-Fwd-193</t>
  </si>
  <si>
    <t>NNNGATCCTTCTGAAGACAGAGCCCCAGAG</t>
  </si>
  <si>
    <t>BRCA1-Cterm-Fwd-194</t>
  </si>
  <si>
    <t>NNNCCTTCTGAAGACAGAGCCCCAGAGTCA</t>
  </si>
  <si>
    <t>BRCA1-Cterm-Fwd-195</t>
  </si>
  <si>
    <t>NNNTCTGAAGACAGAGCCCCAGAGTCAGCT</t>
  </si>
  <si>
    <t>BRCA1-Cterm-Fwd-196</t>
  </si>
  <si>
    <t>NNNGAAGACAGAGCCCCAGAGTCAGCTCGT</t>
  </si>
  <si>
    <t>BRCA1-Cterm-Fwd-197</t>
  </si>
  <si>
    <t>NNNGACAGAGCCCCAGAGTCAGCTCGTGTT</t>
  </si>
  <si>
    <t>BRCA1-Cterm-Fwd-198</t>
  </si>
  <si>
    <t>NNNAGAGCCCCAGAGTCAGCTCGTGTTGGC</t>
  </si>
  <si>
    <t>BRCA1-Cterm-Fwd-199</t>
  </si>
  <si>
    <t>NNNGCCCCAGAGTCAGCTCGTGTTGGCAAC</t>
  </si>
  <si>
    <t>BRCA1-Cterm-Fwd-200</t>
  </si>
  <si>
    <t>NNNCCAGAGTCAGCTCGTGTTGGCAACATA</t>
  </si>
  <si>
    <t>BRCA1-Cterm-Fwd-201</t>
  </si>
  <si>
    <t>NNNGAGTCAGCTCGTGTTGGCAACATACCA</t>
  </si>
  <si>
    <t>BRCA1-Cterm-Fwd-202</t>
  </si>
  <si>
    <t>NNNTCAGCTCGTGTTGGCAACATACCATCT</t>
  </si>
  <si>
    <t>BRCA1-Cterm-Fwd-203</t>
  </si>
  <si>
    <t>NNNGCTCGTGTTGGCAACATACCATCTTCA</t>
  </si>
  <si>
    <t>BRCA1-Cterm-Fwd-204</t>
  </si>
  <si>
    <t>NNNCGTGTTGGCAACATACCATCTTCAACC</t>
  </si>
  <si>
    <t>BRCA1-Cterm-Fwd-205</t>
  </si>
  <si>
    <t>NNNGTTGGCAACATACCATCTTCAACCTCT</t>
  </si>
  <si>
    <t>BRCA1-Cterm-Fwd-206</t>
  </si>
  <si>
    <t>NNNGGCAACATACCATCTTCAACCTCTGCA</t>
  </si>
  <si>
    <t>BRCA1-Cterm-Fwd-207</t>
  </si>
  <si>
    <t>NNNAACATACCATCTTCAACCTCTGCATTG</t>
  </si>
  <si>
    <t>BRCA1-Cterm-Fwd-208</t>
  </si>
  <si>
    <t>NNNATACCATCTTCAACCTCTGCATTGAAA</t>
  </si>
  <si>
    <t>BRCA1-Cterm-Fwd-209</t>
  </si>
  <si>
    <t>NNNCCATCTTCAACCTCTGCATTGAAAGTT</t>
  </si>
  <si>
    <t>BRCA1-Cterm-Fwd-210</t>
  </si>
  <si>
    <t>NNNTCTTCAACCTCTGCATTGAAAGTTCCC</t>
  </si>
  <si>
    <t>BRCA1-Cterm-Fwd-211</t>
  </si>
  <si>
    <t>NNNTCAACCTCTGCATTGAAAGTTCCCCAA</t>
  </si>
  <si>
    <t>BRCA1-Cterm-Fwd-212</t>
  </si>
  <si>
    <t>NNNACCTCTGCATTGAAAGTTCCCCAATTG</t>
  </si>
  <si>
    <t>BRCA1-Cterm-Fwd-213</t>
  </si>
  <si>
    <t>NNNTCTGCATTGAAAGTTCCCCAATTGAAA</t>
  </si>
  <si>
    <t>BRCA1-Cterm-Fwd-214</t>
  </si>
  <si>
    <t>NNNGCATTGAAAGTTCCCCAATTGAAAGTT</t>
  </si>
  <si>
    <t>BRCA1-Cterm-Fwd-215</t>
  </si>
  <si>
    <t>NNNTTGAAAGTTCCCCAATTGAAAGTTGCA</t>
  </si>
  <si>
    <t>BRCA1-Cterm-Fwd-216</t>
  </si>
  <si>
    <t>NNNAAAGTTCCCCAATTGAAAGTTGCAGAA</t>
  </si>
  <si>
    <t>BRCA1-Cterm-Fwd-217</t>
  </si>
  <si>
    <t>NNNGTTCCCCAATTGAAAGTTGCAGAATCT</t>
  </si>
  <si>
    <t>BRCA1-Cterm-Fwd-218</t>
  </si>
  <si>
    <t>NNNCCCCAATTGAAAGTTGCAGAATCTGCC</t>
  </si>
  <si>
    <t>BRCA1-Cterm-Fwd-219</t>
  </si>
  <si>
    <t>NNNCAATTGAAAGTTGCAGAATCTGCCCAG</t>
  </si>
  <si>
    <t>BRCA1-Cterm-Fwd-220</t>
  </si>
  <si>
    <t>NNNTTGAAAGTTGCAGAATCTGCCCAGGGT</t>
  </si>
  <si>
    <t>BRCA1-Cterm-Fwd-221</t>
  </si>
  <si>
    <t>NNNAAAGTTGCAGAATCTGCCCAGGGTCCA</t>
  </si>
  <si>
    <t>BRCA1-Cterm-Fwd-222</t>
  </si>
  <si>
    <t>NNNGTTGCAGAATCTGCCCAGGGTCCAGCT</t>
  </si>
  <si>
    <t>BRCA1-Cterm-Fwd-223</t>
  </si>
  <si>
    <t>NNNGCAGAATCTGCCCAGGGTCCAGCTGCT</t>
  </si>
  <si>
    <t>BRCA1-Cterm-Fwd-224</t>
  </si>
  <si>
    <t>NNNGAATCTGCCCAGGGTCCAGCTGCTGCT</t>
  </si>
  <si>
    <t>BRCA1-Cterm-Fwd-225</t>
  </si>
  <si>
    <t>NNNTCTGCCCAGGGTCCAGCTGCTGCTCAT</t>
  </si>
  <si>
    <t>BRCA1-Cterm-Fwd-226</t>
  </si>
  <si>
    <t>NNNGCCCAGGGTCCAGCTGCTGCTCATACT</t>
  </si>
  <si>
    <t>BRCA1-Cterm-Fwd-227</t>
  </si>
  <si>
    <t>NNNCAGGGTCCAGCTGCTGCTCATACTACT</t>
  </si>
  <si>
    <t>BRCA1-Cterm-Fwd-228</t>
  </si>
  <si>
    <t>NNNGGTCCAGCTGCTGCTCATACTACTGAT</t>
  </si>
  <si>
    <t>BRCA1-Cterm-Fwd-229</t>
  </si>
  <si>
    <t>NNNCCAGCTGCTGCTCATACTACTGATACT</t>
  </si>
  <si>
    <t>BRCA1-Cterm-Fwd-230</t>
  </si>
  <si>
    <t>NNNGCTGCTGCTCATACTACTGATACTGCT</t>
  </si>
  <si>
    <t>BRCA1-Cterm-Fwd-231</t>
  </si>
  <si>
    <t>NNNGCTGCTCATACTACTGATACTGCTGGG</t>
  </si>
  <si>
    <t>BRCA1-Cterm-Fwd-232</t>
  </si>
  <si>
    <t>NNNGCTCATACTACTGATACTGCTGGGTAT</t>
  </si>
  <si>
    <t>BRCA1-Cterm-Fwd-233</t>
  </si>
  <si>
    <t>NNNCATACTACTGATACTGCTGGGTATAAT</t>
  </si>
  <si>
    <t>BRCA1-Cterm-Fwd-234</t>
  </si>
  <si>
    <t>NNNACTACTGATACTGCTGGGTATAATGCA</t>
  </si>
  <si>
    <t>BRCA1-Cterm-Fwd-235</t>
  </si>
  <si>
    <t>NNNACTGATACTGCTGGGTATAATGCAATG</t>
  </si>
  <si>
    <t>BRCA1-Cterm-Fwd-236</t>
  </si>
  <si>
    <t>NNNGATACTGCTGGGTATAATGCAATGGAA</t>
  </si>
  <si>
    <t>BRCA1-Cterm-Fwd-237</t>
  </si>
  <si>
    <t>NNNACTGCTGGGTATAATGCAATGGAAGAA</t>
  </si>
  <si>
    <t>BRCA1-Cterm-Fwd-238</t>
  </si>
  <si>
    <t>NNNGCTGGGTATAATGCAATGGAAGAAAGT</t>
  </si>
  <si>
    <t>BRCA1-Cterm-Fwd-239</t>
  </si>
  <si>
    <t>NNNGGGTATAATGCAATGGAAGAAAGTGTG</t>
  </si>
  <si>
    <t>BRCA1-Cterm-Fwd-240</t>
  </si>
  <si>
    <t>NNNTATAATGCAATGGAAGAAAGTGTGAGC</t>
  </si>
  <si>
    <t>BRCA1-Cterm-Fwd-241</t>
  </si>
  <si>
    <t>NNNAATGCAATGGAAGAAAGTGTGAGCAGG</t>
  </si>
  <si>
    <t>BRCA1-Cterm-Fwd-242</t>
  </si>
  <si>
    <t>NNNGCAATGGAAGAAAGTGTGAGCAGGGAG</t>
  </si>
  <si>
    <t>BRCA1-Cterm-Fwd-243</t>
  </si>
  <si>
    <t>NNNATGGAAGAAAGTGTGAGCAGGGAGAAG</t>
  </si>
  <si>
    <t>BRCA1-Cterm-Fwd-244</t>
  </si>
  <si>
    <t>NNNGAAGAAAGTGTGAGCAGGGAGAAGCCA</t>
  </si>
  <si>
    <t>BRCA1-Cterm-Fwd-245</t>
  </si>
  <si>
    <t>NNNGAAAGTGTGAGCAGGGAGAAGCCAGAA</t>
  </si>
  <si>
    <t>BRCA1-Cterm-Fwd-246</t>
  </si>
  <si>
    <t>NNNAGTGTGAGCAGGGAGAAGCCAGAATTG</t>
  </si>
  <si>
    <t>BRCA1-Cterm-Fwd-247</t>
  </si>
  <si>
    <t>NNNGTGAGCAGGGAGAAGCCAGAATTGACA</t>
  </si>
  <si>
    <t>BRCA1-Cterm-Fwd-248</t>
  </si>
  <si>
    <t>NNNAGCAGGGAGAAGCCAGAATTGACAGCT</t>
  </si>
  <si>
    <t>BRCA1-Cterm-Fwd-249</t>
  </si>
  <si>
    <t>NNNAGGGAGAAGCCAGAATTGACAGCTTCA</t>
  </si>
  <si>
    <t>BRCA1-Cterm-Fwd-250</t>
  </si>
  <si>
    <t>NNNGAGAAGCCAGAATTGACAGCTTCAACA</t>
  </si>
  <si>
    <t>BRCA1-Cterm-Fwd-251</t>
  </si>
  <si>
    <t>NNNAAGCCAGAATTGACAGCTTCAACAGAA</t>
  </si>
  <si>
    <t>BRCA1-Cterm-Fwd-252</t>
  </si>
  <si>
    <t>NNNCCAGAATTGACAGCTTCAACAGAAAGG</t>
  </si>
  <si>
    <t>BRCA1-Cterm-Fwd-253</t>
  </si>
  <si>
    <t>NNNGAATTGACAGCTTCAACAGAAAGGGTC</t>
  </si>
  <si>
    <t>BRCA1-Cterm-Fwd-254</t>
  </si>
  <si>
    <t>NNNTTGACAGCTTCAACAGAAAGGGTCAAC</t>
  </si>
  <si>
    <t>BRCA1-Cterm-Fwd-255</t>
  </si>
  <si>
    <t>NNNACAGCTTCAACAGAAAGGGTCAACAAA</t>
  </si>
  <si>
    <t>BRCA1-Cterm-Fwd-256</t>
  </si>
  <si>
    <t>NNNGCTTCAACAGAAAGGGTCAACAAAAGA</t>
  </si>
  <si>
    <t>BRCA1-Cterm-Fwd-257</t>
  </si>
  <si>
    <t>NNNTCAACAGAAAGGGTCAACAAAAGAATG</t>
  </si>
  <si>
    <t>BRCA1-Cterm-Fwd-258</t>
  </si>
  <si>
    <t>NNNACAGAAAGGGTCAACAAAAGAATGTCC</t>
  </si>
  <si>
    <t>BRCA1-Cterm-Fwd-259</t>
  </si>
  <si>
    <t>NNNGAAAGGGTCAACAAAAGAATGTCCATG</t>
  </si>
  <si>
    <t>BRCA1-Cterm-Fwd-260</t>
  </si>
  <si>
    <t>NNNAGGGTCAACAAAAGAATGTCCATGGTG</t>
  </si>
  <si>
    <t>BRCA1-Cterm-Fwd-261</t>
  </si>
  <si>
    <t>NNNGTCAACAAAAGAATGTCCATGGTGGTG</t>
  </si>
  <si>
    <t>BRCA1-Cterm-Fwd-262</t>
  </si>
  <si>
    <t>NNNAACAAAAGAATGTCCATGGTGGTGTCT</t>
  </si>
  <si>
    <t>BRCA1-Cterm-Fwd-263</t>
  </si>
  <si>
    <t>NNNAAAAGAATGTCCATGGTGGTGTCTGGC</t>
  </si>
  <si>
    <t>BRCA1-Cterm-Fwd-264</t>
  </si>
  <si>
    <t>NNNAGAATGTCCATGGTGGTGTCTGGCCTG</t>
  </si>
  <si>
    <t>BRCA1-Cterm-Fwd-265</t>
  </si>
  <si>
    <t>NNNATGTCCATGGTGGTGTCTGGCCTGACC</t>
  </si>
  <si>
    <t>BRCA1-Cterm-Fwd-266</t>
  </si>
  <si>
    <t>NNNTCCATGGTGGTGTCTGGCCTGACCCCA</t>
  </si>
  <si>
    <t>BRCA1-Cterm-Fwd-267</t>
  </si>
  <si>
    <t>NNNATGGTGGTGTCTGGCCTGACCCCAGAA</t>
  </si>
  <si>
    <t>BRCA1-Cterm-Fwd-268</t>
  </si>
  <si>
    <t>NNNGTGGTGTCTGGCCTGACCCCAGAAGAA</t>
  </si>
  <si>
    <t>BRCA1-Cterm-Fwd-269</t>
  </si>
  <si>
    <t>NNNGTGTCTGGCCTGACCCCAGAAGAATTT</t>
  </si>
  <si>
    <t>BRCA1-Cterm-Fwd-270</t>
  </si>
  <si>
    <t>NNNTCTGGCCTGACCCCAGAAGAATTTATG</t>
  </si>
  <si>
    <t>BRCA1-Cterm-Fwd-271</t>
  </si>
  <si>
    <t>NNNGGCCTGACCCCAGAAGAATTTATGCTC</t>
  </si>
  <si>
    <t>BRCA1-Cterm-Fwd-272</t>
  </si>
  <si>
    <t>NNNCTGACCCCAGAAGAATTTATGCTCGTG</t>
  </si>
  <si>
    <t>BRCA1-Cterm-Fwd-273</t>
  </si>
  <si>
    <t>NNNACCCCAGAAGAATTTATGCTCGTGTAC</t>
  </si>
  <si>
    <t>BRCA1-Cterm-Fwd-274</t>
  </si>
  <si>
    <t>NNNCCAGAAGAATTTATGCTCGTGTACAAG</t>
  </si>
  <si>
    <t>BRCA1-Cterm-Fwd-275</t>
  </si>
  <si>
    <t>NNNGAAGAATTTATGCTCGTGTACAAGTTT</t>
  </si>
  <si>
    <t>BRCA1-Cterm-Fwd-276</t>
  </si>
  <si>
    <t>NNNGAATTTATGCTCGTGTACAAGTTTGCC</t>
  </si>
  <si>
    <t>BRCA1-Cterm-Fwd-277</t>
  </si>
  <si>
    <t>NNNTTTATGCTCGTGTACAAGTTTGCCAGA</t>
  </si>
  <si>
    <t>BRCA1-Cterm-Fwd-278</t>
  </si>
  <si>
    <t>NNNATGCTCGTGTACAAGTTTGCCAGAAAA</t>
  </si>
  <si>
    <t>BRCA1-Cterm-Fwd-279</t>
  </si>
  <si>
    <t>NNNCTCGTGTACAAGTTTGCCAGAAAACAC</t>
  </si>
  <si>
    <t>BRCA1-Cterm-Fwd-280</t>
  </si>
  <si>
    <t>NNNGTGTACAAGTTTGCCAGAAAACACCAC</t>
  </si>
  <si>
    <t>BRCA1-Cterm-Fwd-281</t>
  </si>
  <si>
    <t>NNNTACAAGTTTGCCAGAAAACACCACATC</t>
  </si>
  <si>
    <t>BRCA1-Cterm-Fwd-282</t>
  </si>
  <si>
    <t>NNNAAGTTTGCCAGAAAACACCACATCACT</t>
  </si>
  <si>
    <t>BRCA1-Cterm-Fwd-283</t>
  </si>
  <si>
    <t>NNNTTTGCCAGAAAACACCACATCACTTTA</t>
  </si>
  <si>
    <t>BRCA1-Cterm-Fwd-284</t>
  </si>
  <si>
    <t>NNNGCCAGAAAACACCACATCACTTTAACT</t>
  </si>
  <si>
    <t>BRCA1-Cterm-Fwd-285</t>
  </si>
  <si>
    <t>NNNAGAAAACACCACATCACTTTAACTAAT</t>
  </si>
  <si>
    <t>BRCA1-Cterm-Fwd-286</t>
  </si>
  <si>
    <t>NNNAAACACCACATCACTTTAACTAATCTA</t>
  </si>
  <si>
    <t>BRCA1-Cterm-Fwd-287</t>
  </si>
  <si>
    <t>NNNCACCACATCACTTTAACTAATCTAATT</t>
  </si>
  <si>
    <t>BRCA1-Cterm-Fwd-288</t>
  </si>
  <si>
    <t>NNNCACATCACTTTAACTAATCTAATTACT</t>
  </si>
  <si>
    <t>BRCA1-Cterm-Rev-1</t>
  </si>
  <si>
    <t>GCAACAGATTTCTAGCCCCCTGAAGATCTT</t>
  </si>
  <si>
    <t>BRCA1-Cterm-Rev-2</t>
  </si>
  <si>
    <t>ATAGCAACAGATTTCTAGCCCCCTGAAGAT</t>
  </si>
  <si>
    <t>BRCA1-Cterm-Rev-3</t>
  </si>
  <si>
    <t>CCCATAGCAACAGATTTCTAGCCCCCTGAA</t>
  </si>
  <si>
    <t>BRCA1-Cterm-Rev-4</t>
  </si>
  <si>
    <t>GGGCCCATAGCAACAGATTTCTAGCCCCCT</t>
  </si>
  <si>
    <t>BRCA1-Cterm-Rev-5</t>
  </si>
  <si>
    <t>GAAGGGCCCATAGCAACAGATTTCTAGCCC</t>
  </si>
  <si>
    <t>BRCA1-Cterm-Rev-6</t>
  </si>
  <si>
    <t>GGTGAAGGGCCCATAGCAACAGATTTCTAG</t>
  </si>
  <si>
    <t>BRCA1-Cterm-Rev-7</t>
  </si>
  <si>
    <t>GTTGGTGAAGGGCCCATAGCAACAGATTTC</t>
  </si>
  <si>
    <t>BRCA1-Cterm-Rev-8</t>
  </si>
  <si>
    <t>CATGTTGGTGAAGGGCCCATAGCAACAGAT</t>
  </si>
  <si>
    <t>BRCA1-Cterm-Rev-9</t>
  </si>
  <si>
    <t>GGGCATGTTGGTGAAGGGCCCATAGCAACA</t>
  </si>
  <si>
    <t>BRCA1-Cterm-Rev-10</t>
  </si>
  <si>
    <t>TGTGGGCATGTTGGTGAAGGGCCCATAGCA</t>
  </si>
  <si>
    <t>BRCA1-Cterm-Rev-11</t>
  </si>
  <si>
    <t>ATCTGTGGGCATGTTGGTGAAGGGCCCATA</t>
  </si>
  <si>
    <t>BRCA1-Cterm-Rev-12</t>
  </si>
  <si>
    <t>TTGATCTGTGGGCATGTTGGTGAAGGGCCC</t>
  </si>
  <si>
    <t>BRCA1-Cterm-Rev-13</t>
  </si>
  <si>
    <t>CAGTTGATCTGTGGGCATGTTGGTGAAGGG</t>
  </si>
  <si>
    <t>BRCA1-Cterm-Rev-14</t>
  </si>
  <si>
    <t>TTCCAGTTGATCTGTGGGCATGTTGGTGAA</t>
  </si>
  <si>
    <t>BRCA1-Cterm-Rev-15</t>
  </si>
  <si>
    <t>CCATTCCAGTTGATCTGTGGGCATGTTGGT</t>
  </si>
  <si>
    <t>BRCA1-Cterm-Rev-16</t>
  </si>
  <si>
    <t>CATCCATTCCAGTTGATCTGTGGGCATGTT</t>
  </si>
  <si>
    <t>BRCA1-Cterm-Rev-17</t>
  </si>
  <si>
    <t>TACCATCCATTCCAGTTGATCTGTGGGCAT</t>
  </si>
  <si>
    <t>BRCA1-Cterm-Rev-18</t>
  </si>
  <si>
    <t>CTGTACCATCCATTCCAGTTGATCTGTGGG</t>
  </si>
  <si>
    <t>BRCA1-Cterm-Rev-19</t>
  </si>
  <si>
    <t>CAGCTGTACCATCCATTCCAGTTGATCTGT</t>
  </si>
  <si>
    <t>BRCA1-Cterm-Rev-20</t>
  </si>
  <si>
    <t>ACACAGCTGTACCATCCATTCCAGTTGATC</t>
  </si>
  <si>
    <t>BRCA1-Cterm-Rev-21</t>
  </si>
  <si>
    <t>ACCACACAGCTGTACCATCCATTCCAGTTG</t>
  </si>
  <si>
    <t>BRCA1-Cterm-Rev-22</t>
  </si>
  <si>
    <t>AGCACCACACAGCTGTACCATCCATTCCAG</t>
  </si>
  <si>
    <t>BRCA1-Cterm-Rev-23</t>
  </si>
  <si>
    <t>AGAAGCACCACACAGCTGTACCATCCATTC</t>
  </si>
  <si>
    <t>BRCA1-Cterm-Rev-24</t>
  </si>
  <si>
    <t>CACAGAAGCACCACACAGCTGTACCATCCA</t>
  </si>
  <si>
    <t>BRCA1-Cterm-Rev-25</t>
  </si>
  <si>
    <t>CACCACAGAAGCACCACACAGCTGTACCAT</t>
  </si>
  <si>
    <t>BRCA1-Cterm-Rev-26</t>
  </si>
  <si>
    <t>CTTCACCACAGAAGCACCACACAGCTGTAC</t>
  </si>
  <si>
    <t>BRCA1-Cterm-Rev-27</t>
  </si>
  <si>
    <t>CTCCTTCACCACAGAAGCACCACACAGCTG</t>
  </si>
  <si>
    <t>BRCA1-Cterm-Rev-28</t>
  </si>
  <si>
    <t>AAGCTCCTTCACCACAGAAGCACCACACAG</t>
  </si>
  <si>
    <t>BRCA1-Cterm-Rev-29</t>
  </si>
  <si>
    <t>TGAAAGCTCCTTCACCACAGAAGCACCACA</t>
  </si>
  <si>
    <t>BRCA1-Cterm-Rev-30</t>
  </si>
  <si>
    <t>TGATGAAAGCTCCTTCACCACAGAAGCACC</t>
  </si>
  <si>
    <t>BRCA1-Cterm-Rev-31</t>
  </si>
  <si>
    <t>GAATGATGAAAGCTCCTTCACCACAGAAGC</t>
  </si>
  <si>
    <t>BRCA1-Cterm-Rev-32</t>
  </si>
  <si>
    <t>GGTGAATGATGAAAGCTCCTTCACCACAGA</t>
  </si>
  <si>
    <t>BRCA1-Cterm-Rev-33</t>
  </si>
  <si>
    <t>AAGGGTGAATGATGAAAGCTCCTTCACCAC</t>
  </si>
  <si>
    <t>BRCA1-Cterm-Rev-34</t>
  </si>
  <si>
    <t>GCCAAGGGTGAATGATGAAAGCTCCTTCAC</t>
  </si>
  <si>
    <t>BRCA1-Cterm-Rev-35</t>
  </si>
  <si>
    <t>TGTGCCAAGGGTGAATGATGAAAGCTCCTT</t>
  </si>
  <si>
    <t>BRCA1-Cterm-Rev-36</t>
  </si>
  <si>
    <t>ACCTGTGCCAAGGGTGAATGATGAAAGCTC</t>
  </si>
  <si>
    <t>BRCA1-Cterm-Rev-37</t>
  </si>
  <si>
    <t>GACACCTGTGCCAAGGGTGAATGATGAAAG</t>
  </si>
  <si>
    <t>BRCA1-Cterm-Rev-38</t>
  </si>
  <si>
    <t>GTGGACACCTGTGCCAAGGGTGAATGATGA</t>
  </si>
  <si>
    <t>BRCA1-Cterm-Rev-39</t>
  </si>
  <si>
    <t>TGGGTGGACACCTGTGCCAAGGGTGAATGA</t>
  </si>
  <si>
    <t>BRCA1-Cterm-Rev-40</t>
  </si>
  <si>
    <t>AATTGGGTGGACACCTGTGCCAAGGGTGAA</t>
  </si>
  <si>
    <t>BRCA1-Cterm-Rev-41</t>
  </si>
  <si>
    <t>CACAATTGGGTGGACACCTGTGCCAAGGGT</t>
  </si>
  <si>
    <t>BRCA1-Cterm-Rev-42</t>
  </si>
  <si>
    <t>AACCACAATTGGGTGGACACCTGTGCCAAG</t>
  </si>
  <si>
    <t>BRCA1-Cterm-Rev-43</t>
  </si>
  <si>
    <t>CACAACCACAATTGGGTGGACACCTGTGCC</t>
  </si>
  <si>
    <t>BRCA1-Cterm-Rev-44</t>
  </si>
  <si>
    <t>CTGCACAACCACAATTGGGTGGACACCTGT</t>
  </si>
  <si>
    <t>BRCA1-Cterm-Rev-45</t>
  </si>
  <si>
    <t>TGGCTGCACAACCACAATTGGGTGGACACC</t>
  </si>
  <si>
    <t>BRCA1-Cterm-Rev-46</t>
  </si>
  <si>
    <t>ATCTGGCTGCACAACCACAATTGGGTGGAC</t>
  </si>
  <si>
    <t>BRCA1-Cterm-Rev-47</t>
  </si>
  <si>
    <t>GGCATCTGGCTGCACAACCACAATTGGGTG</t>
  </si>
  <si>
    <t>BRCA1-Cterm-Rev-48</t>
  </si>
  <si>
    <t>CCAGGCATCTGGCTGCACAACCACAATTGG</t>
  </si>
  <si>
    <t>BRCA1-Cterm-Rev-49</t>
  </si>
  <si>
    <t>TGTCCAGGCATCTGGCTGCACAACCACAAT</t>
  </si>
  <si>
    <t>BRCA1-Cterm-Rev-50</t>
  </si>
  <si>
    <t>CTCTGTCCAGGCATCTGGCTGCACAACCAC</t>
  </si>
  <si>
    <t>BRCA1-Cterm-Rev-51</t>
  </si>
  <si>
    <t>GTCCTCTGTCCAGGCATCTGGCTGCACAAC</t>
  </si>
  <si>
    <t>BRCA1-Cterm-Rev-52</t>
  </si>
  <si>
    <t>ATTGTCCTCTGTCCAGGCATCTGGCTGCAC</t>
  </si>
  <si>
    <t>BRCA1-Cterm-Rev-53</t>
  </si>
  <si>
    <t>GCCATTGTCCTCTGTCCAGGCATCTGGCTG</t>
  </si>
  <si>
    <t>BRCA1-Cterm-Rev-54</t>
  </si>
  <si>
    <t>GAAGCCATTGTCCTCTGTCCAGGCATCTGG</t>
  </si>
  <si>
    <t>BRCA1-Cterm-Rev-55</t>
  </si>
  <si>
    <t>ATGGAAGCCATTGTCCTCTGTCCAGGCATC</t>
  </si>
  <si>
    <t>BRCA1-Cterm-Rev-56</t>
  </si>
  <si>
    <t>TGCATGGAAGCCATTGTCCTCTGTCCAGGC</t>
  </si>
  <si>
    <t>BRCA1-Cterm-Rev-57</t>
  </si>
  <si>
    <t>AATTGCATGGAAGCCATTGTCCTCTGTCCA</t>
  </si>
  <si>
    <t>BRCA1-Cterm-Rev-58</t>
  </si>
  <si>
    <t>CCCAATTGCATGGAAGCCATTGTCCTCTGT</t>
  </si>
  <si>
    <t>BRCA1-Cterm-Rev-59</t>
  </si>
  <si>
    <t>CTGCCCAATTGCATGGAAGCCATTGTCCTC</t>
  </si>
  <si>
    <t>BRCA1-Cterm-Rev-60</t>
  </si>
  <si>
    <t>CATCTGCCCAATTGCATGGAAGCCATTGTC</t>
  </si>
  <si>
    <t>BRCA1-Cterm-Rev-61</t>
  </si>
  <si>
    <t>ACACATCTGCCCAATTGCATGGAAGCCATT</t>
  </si>
  <si>
    <t>BRCA1-Cterm-Rev-62</t>
  </si>
  <si>
    <t>CTCACACATCTGCCCAATTGCATGGAAGCC</t>
  </si>
  <si>
    <t>BRCA1-Cterm-Rev-63</t>
  </si>
  <si>
    <t>TGCCTCACACATCTGCCCAATTGCATGGAA</t>
  </si>
  <si>
    <t>BRCA1-Cterm-Rev-64</t>
  </si>
  <si>
    <t>AGGTGCCTCACACATCTGCCCAATTGCATG</t>
  </si>
  <si>
    <t>BRCA1-Cterm-Rev-65</t>
  </si>
  <si>
    <t>CACAGGTGCCTCACACATCTGCCCAATTGC</t>
  </si>
  <si>
    <t>BRCA1-Cterm-Rev-66</t>
  </si>
  <si>
    <t>CACCACAGGTGCCTCACACATCTGCCCAAT</t>
  </si>
  <si>
    <t>BRCA1-Cterm-Rev-67</t>
  </si>
  <si>
    <t>GGTCACCACAGGTGCCTCACACATCTGCCC</t>
  </si>
  <si>
    <t>BRCA1-Cterm-Rev-68</t>
  </si>
  <si>
    <t>TCGGGTCACCACAGGTGCCTCACACATCTG</t>
  </si>
  <si>
    <t>BRCA1-Cterm-Rev-69</t>
  </si>
  <si>
    <t>CTCTCGGGTCACCACAGGTGCCTCACACAT</t>
  </si>
  <si>
    <t>BRCA1-Cterm-Rev-70</t>
  </si>
  <si>
    <t>CCACTCTCGGGTCACCACAGGTGCCTCACA</t>
  </si>
  <si>
    <t>BRCA1-Cterm-Rev-71</t>
  </si>
  <si>
    <t>CACCCACTCTCGGGTCACCACAGGTGCCTC</t>
  </si>
  <si>
    <t>BRCA1-Cterm-Rev-72</t>
  </si>
  <si>
    <t>CAACACCCACTCTCGGGTCACCACAGGTGC</t>
  </si>
  <si>
    <t>BRCA1-Cterm-Rev-73</t>
  </si>
  <si>
    <t>GTCCAACACCCACTCTCGGGTCACCACAGG</t>
  </si>
  <si>
    <t>BRCA1-Cterm-Rev-74</t>
  </si>
  <si>
    <t>ACTGTCCAACACCCACTCTCGGGTCACCAC</t>
  </si>
  <si>
    <t>BRCA1-Cterm-Rev-75</t>
  </si>
  <si>
    <t>TACACTGTCCAACACCCACTCTCGGGTCAC</t>
  </si>
  <si>
    <t>BRCA1-Cterm-Rev-76</t>
  </si>
  <si>
    <t>TGCTACACTGTCCAACACCCACTCTCGGGT</t>
  </si>
  <si>
    <t>BRCA1-Cterm-Rev-77</t>
  </si>
  <si>
    <t>GAGTGCTACACTGTCCAACACCCACTCTCG</t>
  </si>
  <si>
    <t>BRCA1-Cterm-Rev-78</t>
  </si>
  <si>
    <t>GTAGAGTGCTACACTGTCCAACACCCACTC</t>
  </si>
  <si>
    <t>BRCA1-Cterm-Rev-79</t>
  </si>
  <si>
    <t>CTGGTAGAGTGCTACACTGTCCAACACCCA</t>
  </si>
  <si>
    <t>BRCA1-Cterm-Rev-80</t>
  </si>
  <si>
    <t>GCACTGGTAGAGTGCTACACTGTCCAACAC</t>
  </si>
  <si>
    <t>BRCA1-Cterm-Rev-81</t>
  </si>
  <si>
    <t>CTGGCACTGGTAGAGTGCTACACTGTCCAA</t>
  </si>
  <si>
    <t>BRCA1-Cterm-Rev-82</t>
  </si>
  <si>
    <t>CTCCTGGCACTGGTAGAGTGCTACACTGTC</t>
  </si>
  <si>
    <t>BRCA1-Cterm-Rev-83</t>
  </si>
  <si>
    <t>CAGCTCCTGGCACTGGTAGAGTGCTACACT</t>
  </si>
  <si>
    <t>BRCA1-Cterm-Rev-84</t>
  </si>
  <si>
    <t>GTCCAGCTCCTGGCACTGGTAGAGTGCTAC</t>
  </si>
  <si>
    <t>BRCA1-Cterm-Rev-85</t>
  </si>
  <si>
    <t>GGTGTCCAGCTCCTGGCACTGGTAGAGTGC</t>
  </si>
  <si>
    <t>BRCA1-Cterm-Rev-86</t>
  </si>
  <si>
    <t>GTAGGTGTCCAGCTCCTGGCACTGGTAGAG</t>
  </si>
  <si>
    <t>BRCA1-Cterm-Rev-87</t>
  </si>
  <si>
    <t>CAGGTAGGTGTCCAGCTCCTGGCACTGGTA</t>
  </si>
  <si>
    <t>BRCA1-Cterm-Rev-88</t>
  </si>
  <si>
    <t>TATCAGGTAGGTGTCCAGCTCCTGGCACTG</t>
  </si>
  <si>
    <t>BRCA1-Cterm-Rev-89</t>
  </si>
  <si>
    <t>GGGTATCAGGTAGGTGTCCAGCTCCTGGCA</t>
  </si>
  <si>
    <t>BRCA1-Cterm-Rev-90</t>
  </si>
  <si>
    <t>CTGGGGTATCAGGTAGGTGTCCAGCTCCTG</t>
  </si>
  <si>
    <t>BRCA1-Cterm-Rev-91</t>
  </si>
  <si>
    <t>GATCTGGGGTATCAGGTAGGTGTCCAGCTC</t>
  </si>
  <si>
    <t>BRCA1-Cterm-Rev-92</t>
  </si>
  <si>
    <t>GGGGATCTGGGGTATCAGGTAGGTGTCCAG</t>
  </si>
  <si>
    <t>BRCA1-Cterm-Rev-93</t>
  </si>
  <si>
    <t>GTGGGGGATCTGGGGTATCAGGTAGGTGTC</t>
  </si>
  <si>
    <t>BRCA1-Cterm-Rev-94</t>
  </si>
  <si>
    <t>GCTGTGGGGGATCTGGGGTATCAGGTAGGT</t>
  </si>
  <si>
    <t>BRCA1-Cterm-Rev-95</t>
  </si>
  <si>
    <t>GTGGCTGTGGGGGATCTGGGGTATCAGGTA</t>
  </si>
  <si>
    <t>BRCA1-Cterm-Rev-96</t>
  </si>
  <si>
    <t>GTAGTGGCTGTGGGGGATCTGGGGTATCAG</t>
  </si>
  <si>
    <t>BRCA1-Cterm-Rev-97</t>
  </si>
  <si>
    <t>GTGTTTTCTGGCAAACTTGTACACGAGCAT</t>
  </si>
  <si>
    <t>BRCA1-Cterm-Rev-98</t>
  </si>
  <si>
    <t>GTGGTGTTTTCTGGCAAACTTGTACACGAG</t>
  </si>
  <si>
    <t>BRCA1-Cterm-Rev-99</t>
  </si>
  <si>
    <t>GATGTGGTGTTTTCTGGCAAACTTGTACAC</t>
  </si>
  <si>
    <t>BRCA1-Cterm-Rev-100</t>
  </si>
  <si>
    <t>AGTGATGTGGTGTTTTCTGGCAAACTTGTA</t>
  </si>
  <si>
    <t>BRCA1-Cterm-Rev-101</t>
  </si>
  <si>
    <t>TAAAGTGATGTGGTGTTTTCTGGCAAACTT</t>
  </si>
  <si>
    <t>BRCA1-Cterm-Rev-102</t>
  </si>
  <si>
    <t>AGTTAAAGTGATGTGGTGTTTTCTGGCAAA</t>
  </si>
  <si>
    <t>BRCA1-Cterm-Rev-103</t>
  </si>
  <si>
    <t>ATTAGTTAAAGTGATGTGGTGTTTTCTGGC</t>
  </si>
  <si>
    <t>BRCA1-Cterm-Rev-104</t>
  </si>
  <si>
    <t>TAGATTAGTTAAAGTGATGTGGTGTTTTCT</t>
  </si>
  <si>
    <t>BRCA1-Cterm-Rev-105</t>
  </si>
  <si>
    <t>AATTAGATTAGTTAAAGTGATGTGGTGTTT</t>
  </si>
  <si>
    <t>BRCA1-Cterm-Rev-106</t>
  </si>
  <si>
    <t>AGTAATTAGATTAGTTAAAGTGATGTGGTG</t>
  </si>
  <si>
    <t>BRCA1-Cterm-Rev-107</t>
  </si>
  <si>
    <t>TTCAGTAATTAGATTAGTTAAAGTGATGTG</t>
  </si>
  <si>
    <t>BRCA1-Cterm-Rev-108</t>
  </si>
  <si>
    <t>CTCTTCAGTAATTAGATTAGTTAAAGTGAT</t>
  </si>
  <si>
    <t>BRCA1-Cterm-Rev-109</t>
  </si>
  <si>
    <t>AGTCTCTTCAGTAATTAGATTAGTTAAAGT</t>
  </si>
  <si>
    <t>BRCA1-Cterm-Rev-110</t>
  </si>
  <si>
    <t>AGTAGTCTCTTCAGTAATTAGATTAGTTAA</t>
  </si>
  <si>
    <t>BRCA1-Cterm-Rev-111</t>
  </si>
  <si>
    <t>ATGAGTAGTCTCTTCAGTAATTAGATTAGT</t>
  </si>
  <si>
    <t>BRCA1-Cterm-Rev-112</t>
  </si>
  <si>
    <t>AACATGAGTAGTCTCTTCAGTAATTAGATT</t>
  </si>
  <si>
    <t>BRCA1-Cterm-Rev-113</t>
  </si>
  <si>
    <t>AACAACATGAGTAGTCTCTTCAGTAATTAG</t>
  </si>
  <si>
    <t>BRCA1-Cterm-Rev-114</t>
  </si>
  <si>
    <t>CATAACAACATGAGTAGTCTCTTCAGTAAT</t>
  </si>
  <si>
    <t>BRCA1-Cterm-Rev-115</t>
  </si>
  <si>
    <t>TTTCATAACAACATGAGTAGTCTCTTCAGT</t>
  </si>
  <si>
    <t>BRCA1-Cterm-Rev-116</t>
  </si>
  <si>
    <t>TGTTTTCATAACAACATGAGTAGTCTCTTC</t>
  </si>
  <si>
    <t>BRCA1-Cterm-Rev-117</t>
  </si>
  <si>
    <t>ATCTGTTTTCATAACAACATGAGTAGTCTC</t>
  </si>
  <si>
    <t>BRCA1-Cterm-Rev-118</t>
  </si>
  <si>
    <t>AGCATCTGTTTTCATAACAACATGAGTAGT</t>
  </si>
  <si>
    <t>BRCA1-Cterm-Rev-119</t>
  </si>
  <si>
    <t>CTCAGCATCTGTTTTCATAACAACATGAGT</t>
  </si>
  <si>
    <t>BRCA1-Cterm-Rev-120</t>
  </si>
  <si>
    <t>AAACTCAGCATCTGTTTTCATAACAACATG</t>
  </si>
  <si>
    <t>BRCA1-Cterm-Rev-121</t>
  </si>
  <si>
    <t>CACAAACTCAGCATCTGTTTTCATAACAAC</t>
  </si>
  <si>
    <t>BRCA1-Cterm-Rev-122</t>
  </si>
  <si>
    <t>ACACACAAACTCAGCATCTGTTTTCATAAC</t>
  </si>
  <si>
    <t>BRCA1-Cterm-Rev-123</t>
  </si>
  <si>
    <t>TTCACACACAAACTCAGCATCTGTTTTCAT</t>
  </si>
  <si>
    <t>BRCA1-Cterm-Rev-124</t>
  </si>
  <si>
    <t>CCGTTCACACACAAACTCAGCATCTGTTTT</t>
  </si>
  <si>
    <t>BRCA1-Cterm-Rev-125</t>
  </si>
  <si>
    <t>TGTCCGTTCACACACAAACTCAGCATCTGT</t>
  </si>
  <si>
    <t>BRCA1-Cterm-Rev-126</t>
  </si>
  <si>
    <t>CAGTGTCCGTTCACACACAAACTCAGCATC</t>
  </si>
  <si>
    <t>BRCA1-Cterm-Rev-127</t>
  </si>
  <si>
    <t>TTTCAGTGTCCGTTCACACACAAACTCAGC</t>
  </si>
  <si>
    <t>BRCA1-Cterm-Rev-128</t>
  </si>
  <si>
    <t>ATATTTCAGTGTCCGTTCACACACAAACTC</t>
  </si>
  <si>
    <t>BRCA1-Cterm-Rev-129</t>
  </si>
  <si>
    <t>AAAATATTTCAGTGTCCGTTCACACACAAA</t>
  </si>
  <si>
    <t>BRCA1-Cterm-Rev-130</t>
  </si>
  <si>
    <t>TAGAAAATATTTCAGTGTCCGTTCACACAC</t>
  </si>
  <si>
    <t>BRCA1-Cterm-Rev-131</t>
  </si>
  <si>
    <t>TCCTAGAAAATATTTCAGTGTCCGTTCACA</t>
  </si>
  <si>
    <t>BRCA1-Cterm-Rev-132</t>
  </si>
  <si>
    <t>AATTCCTAGAAAATATTTCAGTGTCCGTTC</t>
  </si>
  <si>
    <t>BRCA1-Cterm-Rev-133</t>
  </si>
  <si>
    <t>CGCAATTCCTAGAAAATATTTCAGTGTCCG</t>
  </si>
  <si>
    <t>BRCA1-Cterm-Rev-134</t>
  </si>
  <si>
    <t>TCCCGCAATTCCTAGAAAATATTTCAGTGT</t>
  </si>
  <si>
    <t>BRCA1-Cterm-Rev-135</t>
  </si>
  <si>
    <t>TCCTCCCGCAATTCCTAGAAAATATTTCAG</t>
  </si>
  <si>
    <t>BRCA1-Cterm-Rev-136</t>
  </si>
  <si>
    <t>TTTTCCTCCCGCAATTCCTAGAAAATATTT</t>
  </si>
  <si>
    <t>BRCA1-Cterm-Rev-137</t>
  </si>
  <si>
    <t>CCATTTTCCTCCCGCAATTCCTAGAAAATA</t>
  </si>
  <si>
    <t>BRCA1-Cterm-Rev-138</t>
  </si>
  <si>
    <t>TACCCATTTTCCTCCCGCAATTCCTAGAAA</t>
  </si>
  <si>
    <t>BRCA1-Cterm-Rev-139</t>
  </si>
  <si>
    <t>AACTACCCATTTTCCTCCCGCAATTCCTAG</t>
  </si>
  <si>
    <t>BRCA1-Cterm-Rev-140</t>
  </si>
  <si>
    <t>GCTAACTACCCATTTTCCTCCCGCAATTCC</t>
  </si>
  <si>
    <t>BRCA1-Cterm-Rev-141</t>
  </si>
  <si>
    <t>ATAGCTAACTACCCATTTTCCTCCCGCAAT</t>
  </si>
  <si>
    <t>BRCA1-Cterm-Rev-142</t>
  </si>
  <si>
    <t>GAAATAGCTAACTACCCATTTTCCTCCCGC</t>
  </si>
  <si>
    <t>BRCA1-Cterm-Rev-143</t>
  </si>
  <si>
    <t>CCAGAAATAGCTAACTACCCATTTTCCTCC</t>
  </si>
  <si>
    <t>BRCA1-Cterm-Rev-144</t>
  </si>
  <si>
    <t>CACCCAGAAATAGCTAACTACCCATTTTCC</t>
  </si>
  <si>
    <t>BRCA1-Cterm-Rev-145</t>
  </si>
  <si>
    <t>GGTCACCCAGAAATAGCTAACTACCCATTT</t>
  </si>
  <si>
    <t>BRCA1-Cterm-Rev-146</t>
  </si>
  <si>
    <t>CTGGGTCACCCAGAAATAGCTAACTACCCA</t>
  </si>
  <si>
    <t>BRCA1-Cterm-Rev-147</t>
  </si>
  <si>
    <t>AGACTGGGTCACCCAGAAATAGCTAACTAC</t>
  </si>
  <si>
    <t>BRCA1-Cterm-Rev-148</t>
  </si>
  <si>
    <t>AATAGACTGGGTCACCCAGAAATAGCTAAC</t>
  </si>
  <si>
    <t>BRCA1-Cterm-Rev-149</t>
  </si>
  <si>
    <t>TTTAATAGACTGGGTCACCCAGAAATAGCT</t>
  </si>
  <si>
    <t>BRCA1-Cterm-Rev-150</t>
  </si>
  <si>
    <t>TTCTTTAATAGACTGGGTCACCCAGAAATA</t>
  </si>
  <si>
    <t>BRCA1-Cterm-Rev-151</t>
  </si>
  <si>
    <t>TCTTTCTTTAATAGACTGGGTCACCCAGAA</t>
  </si>
  <si>
    <t>BRCA1-Cterm-Rev-152</t>
  </si>
  <si>
    <t>TTTTCTTTCTTTAATAGACTGGGTCACCCA</t>
  </si>
  <si>
    <t>BRCA1-Cterm-Rev-153</t>
  </si>
  <si>
    <t>CATTTTTCTTTCTTTAATAGACTGGGTCAC</t>
  </si>
  <si>
    <t>BRCA1-Cterm-Rev-154</t>
  </si>
  <si>
    <t>CAGCATTTTTCTTTCTTTAATAGACTGGGT</t>
  </si>
  <si>
    <t>BRCA1-Cterm-Rev-155</t>
  </si>
  <si>
    <t>ATTCAGCATTTTTCTTTCTTTAATAGACTG</t>
  </si>
  <si>
    <t>BRCA1-Cterm-Rev-156</t>
  </si>
  <si>
    <t>CTCATTCAGCATTTTTCTTTCTTTAATAGA</t>
  </si>
  <si>
    <t>BRCA1-Cterm-Rev-157</t>
  </si>
  <si>
    <t>ATGCTCATTCAGCATTTTTCTTTCTTTAAT</t>
  </si>
  <si>
    <t>BRCA1-Cterm-Rev-158</t>
  </si>
  <si>
    <t>ATCATGCTCATTCAGCATTTTTCTTTCTTT</t>
  </si>
  <si>
    <t>BRCA1-Cterm-Rev-159</t>
  </si>
  <si>
    <t>AAAATCATGCTCATTCAGCATTTTTCTTTC</t>
  </si>
  <si>
    <t>BRCA1-Cterm-Rev-160</t>
  </si>
  <si>
    <t>TTCAAAATCATGCTCATTCAGCATTTTTCT</t>
  </si>
  <si>
    <t>BRCA1-Cterm-Rev-161</t>
  </si>
  <si>
    <t>GACTTCAAAATCATGCTCATTCAGCATTTT</t>
  </si>
  <si>
    <t>BRCA1-Cterm-Rev-162</t>
  </si>
  <si>
    <t>TCTGACTTCAAAATCATGCTCATTCAGCAT</t>
  </si>
  <si>
    <t>BRCA1-Cterm-Rev-163</t>
  </si>
  <si>
    <t>TCCTCTGACTTCAAAATCATGCTCATTCAG</t>
  </si>
  <si>
    <t>BRCA1-Cterm-Rev-164</t>
  </si>
  <si>
    <t>ATCTCCTCTGACTTCAAAATCATGCTCATT</t>
  </si>
  <si>
    <t>BRCA1-Cterm-Rev-165</t>
  </si>
  <si>
    <t>CACATCTCCTCTGACTTCAAAATCATGCTC</t>
  </si>
  <si>
    <t>BRCA1-Cterm-Rev-166</t>
  </si>
  <si>
    <t>GACCACATCTCCTCTGACTTCAAAATCATG</t>
  </si>
  <si>
    <t>BRCA1-Cterm-Rev-167</t>
  </si>
  <si>
    <t>ATTGACCACATCTCCTCTGACTTCAAAATC</t>
  </si>
  <si>
    <t>BRCA1-Cterm-Rev-168</t>
  </si>
  <si>
    <t>TCCATTGACCACATCTCCTCTGACTTCAAA</t>
  </si>
  <si>
    <t>BRCA1-Cterm-Rev-169</t>
  </si>
  <si>
    <t>TCTTCCATTGACCACATCTCCTCTGACTTC</t>
  </si>
  <si>
    <t>BRCA1-Cterm-Rev-170</t>
  </si>
  <si>
    <t>GTTTCTTCCATTGACCACATCTCCTCTGAC</t>
  </si>
  <si>
    <t>BRCA1-Cterm-Rev-171</t>
  </si>
  <si>
    <t>GTGGTTTCTTCCATTGACCACATCTCCTCT</t>
  </si>
  <si>
    <t>BRCA1-Cterm-Rev-172</t>
  </si>
  <si>
    <t>TTGGTGGTTTCTTCCATTGACCACATCTCC</t>
  </si>
  <si>
    <t>BRCA1-Cterm-Rev-173</t>
  </si>
  <si>
    <t>ACCTTGGTGGTTTCTTCCATTGACCACATC</t>
  </si>
  <si>
    <t>BRCA1-Cterm-Rev-174</t>
  </si>
  <si>
    <t>TGGACCTTGGTGGTTTCTTCCATTGACCAC</t>
  </si>
  <si>
    <t>BRCA1-Cterm-Rev-175</t>
  </si>
  <si>
    <t>CTTTGGACCTTGGTGGTTTCTTCCATTGAC</t>
  </si>
  <si>
    <t>BRCA1-Cterm-Rev-176</t>
  </si>
  <si>
    <t>TCGCTTTGGACCTTGGTGGTTTCTTCCATT</t>
  </si>
  <si>
    <t>BRCA1-Cterm-Rev-177</t>
  </si>
  <si>
    <t>TGCTCGCTTTGGACCTTGGTGGTTTCTTCC</t>
  </si>
  <si>
    <t>BRCA1-Cterm-Rev-178</t>
  </si>
  <si>
    <t>TCTTGCTCGCTTTGGACCTTGGTGGTTTCT</t>
  </si>
  <si>
    <t>BRCA1-Cterm-Rev-179</t>
  </si>
  <si>
    <t>TTCTCTTGCTCGCTTTGGACCTTGGTGGTT</t>
  </si>
  <si>
    <t>BRCA1-Cterm-Rev-180</t>
  </si>
  <si>
    <t>GGATTCTCTTGCTCGCTTTGGACCTTGGTG</t>
  </si>
  <si>
    <t>BRCA1-Cterm-Rev-181</t>
  </si>
  <si>
    <t>CTGGGATTCTCTTGCTCGCTTTGGACCTTG</t>
  </si>
  <si>
    <t>BRCA1-Cterm-Rev-182</t>
  </si>
  <si>
    <t>GTCCTGGGATTCTCTTGCTCGCTTTGGACC</t>
  </si>
  <si>
    <t>BRCA1-Cterm-Rev-183</t>
  </si>
  <si>
    <t>TCTGTCCTGGGATTCTCTTGCTCGCTTTGG</t>
  </si>
  <si>
    <t>BRCA1-Cterm-Rev-184</t>
  </si>
  <si>
    <t>CTTTCTGTCCTGGGATTCTCTTGCTCGCTT</t>
  </si>
  <si>
    <t>BRCA1-Cterm-Rev-185</t>
  </si>
  <si>
    <t>GATCTTTCTGTCCTGGGATTCTCTTGCTCG</t>
  </si>
  <si>
    <t>BRCA1-Cterm-Rev-186</t>
  </si>
  <si>
    <t>GAAGATCTTTCTGTCCTGGGATTCTCTTGC</t>
  </si>
  <si>
    <t>BRCA1-Cterm-Rev-187</t>
  </si>
  <si>
    <t>CCTGAAGATCTTTCTGTCCTGGGATTCTCT</t>
  </si>
  <si>
    <t>BRCA1-Cterm-Rev-188</t>
  </si>
  <si>
    <t>CCCCCTGAAGATCTTTCTGTCCTGGGATTC</t>
  </si>
  <si>
    <t>BRCA1-Cterm-Rev-189</t>
  </si>
  <si>
    <t>TAGCCCCCTGAAGATCTTTCTGTCCTGGGA</t>
  </si>
  <si>
    <t>BRCA1-Cterm-Rev-190</t>
  </si>
  <si>
    <t>TTCTAGCCCCCTGAAGATCTTTCTGTCCTG</t>
  </si>
  <si>
    <t>BRCA1-Cterm-Rev-191</t>
  </si>
  <si>
    <t>GATTTCTAGCCCCCTGAAGATCTTTCTGTC</t>
  </si>
  <si>
    <t>BRCA1-Cterm-Rev-192</t>
  </si>
  <si>
    <t>ACAGATTTCTAGCCCCCTGAAGATCTTTCT</t>
  </si>
  <si>
    <t>BRCA1-Cterm-Rev-193</t>
  </si>
  <si>
    <t>TTCAGGGTCATCAGAGAAGAGGCTGATTCC</t>
  </si>
  <si>
    <t>BRCA1-Cterm-Rev-194</t>
  </si>
  <si>
    <t>AGATTCAGGGTCATCAGAGAAGAGGCTGAT</t>
  </si>
  <si>
    <t>BRCA1-Cterm-Rev-195</t>
  </si>
  <si>
    <t>ATCAGATTCAGGGTCATCAGAGAAGAGGCT</t>
  </si>
  <si>
    <t>BRCA1-Cterm-Rev-196</t>
  </si>
  <si>
    <t>AGGATCAGATTCAGGGTCATCAGAGAAGAG</t>
  </si>
  <si>
    <t>BRCA1-Cterm-Rev-197</t>
  </si>
  <si>
    <t>AGAAGGATCAGATTCAGGGTCATCAGAGAA</t>
  </si>
  <si>
    <t>BRCA1-Cterm-Rev-198</t>
  </si>
  <si>
    <t>TTCAGAAGGATCAGATTCAGGGTCATCAGA</t>
  </si>
  <si>
    <t>BRCA1-Cterm-Rev-199</t>
  </si>
  <si>
    <t>GTCTTCAGAAGGATCAGATTCAGGGTCATC</t>
  </si>
  <si>
    <t>BRCA1-Cterm-Rev-200</t>
  </si>
  <si>
    <t>TCTGTCTTCAGAAGGATCAGATTCAGGGTC</t>
  </si>
  <si>
    <t>BRCA1-Cterm-Rev-201</t>
  </si>
  <si>
    <t>GGCTCTGTCTTCAGAAGGATCAGATTCAGG</t>
  </si>
  <si>
    <t>BRCA1-Cterm-Rev-202</t>
  </si>
  <si>
    <t>TGGGGCTCTGTCTTCAGAAGGATCAGATTC</t>
  </si>
  <si>
    <t>BRCA1-Cterm-Rev-203</t>
  </si>
  <si>
    <t>CTCTGGGGCTCTGTCTTCAGAAGGATCAGA</t>
  </si>
  <si>
    <t>BRCA1-Cterm-Rev-204</t>
  </si>
  <si>
    <t>TGACTCTGGGGCTCTGTCTTCAGAAGGATC</t>
  </si>
  <si>
    <t>BRCA1-Cterm-Rev-205</t>
  </si>
  <si>
    <t>AGCTGACTCTGGGGCTCTGTCTTCAGAAGG</t>
  </si>
  <si>
    <t>BRCA1-Cterm-Rev-206</t>
  </si>
  <si>
    <t>ACGAGCTGACTCTGGGGCTCTGTCTTCAGA</t>
  </si>
  <si>
    <t>BRCA1-Cterm-Rev-207</t>
  </si>
  <si>
    <t>AACACGAGCTGACTCTGGGGCTCTGTCTTC</t>
  </si>
  <si>
    <t>BRCA1-Cterm-Rev-208</t>
  </si>
  <si>
    <t>GCCAACACGAGCTGACTCTGGGGCTCTGTC</t>
  </si>
  <si>
    <t>BRCA1-Cterm-Rev-209</t>
  </si>
  <si>
    <t>GTTGCCAACACGAGCTGACTCTGGGGCTCT</t>
  </si>
  <si>
    <t>BRCA1-Cterm-Rev-210</t>
  </si>
  <si>
    <t>TATGTTGCCAACACGAGCTGACTCTGGGGC</t>
  </si>
  <si>
    <t>BRCA1-Cterm-Rev-211</t>
  </si>
  <si>
    <t>TGGTATGTTGCCAACACGAGCTGACTCTGG</t>
  </si>
  <si>
    <t>BRCA1-Cterm-Rev-212</t>
  </si>
  <si>
    <t>AGATGGTATGTTGCCAACACGAGCTGACTC</t>
  </si>
  <si>
    <t>BRCA1-Cterm-Rev-213</t>
  </si>
  <si>
    <t>TGAAGATGGTATGTTGCCAACACGAGCTGA</t>
  </si>
  <si>
    <t>BRCA1-Cterm-Rev-214</t>
  </si>
  <si>
    <t>GGTTGAAGATGGTATGTTGCCAACACGAGC</t>
  </si>
  <si>
    <t>BRCA1-Cterm-Rev-215</t>
  </si>
  <si>
    <t>AGAGGTTGAAGATGGTATGTTGCCAACACG</t>
  </si>
  <si>
    <t>BRCA1-Cterm-Rev-216</t>
  </si>
  <si>
    <t>TGCAGAGGTTGAAGATGGTATGTTGCCAAC</t>
  </si>
  <si>
    <t>BRCA1-Cterm-Rev-217</t>
  </si>
  <si>
    <t>CAATGCAGAGGTTGAAGATGGTATGTTGCC</t>
  </si>
  <si>
    <t>BRCA1-Cterm-Rev-218</t>
  </si>
  <si>
    <t>TTTCAATGCAGAGGTTGAAGATGGTATGTT</t>
  </si>
  <si>
    <t>BRCA1-Cterm-Rev-219</t>
  </si>
  <si>
    <t>AACTTTCAATGCAGAGGTTGAAGATGGTAT</t>
  </si>
  <si>
    <t>BRCA1-Cterm-Rev-220</t>
  </si>
  <si>
    <t>GGGAACTTTCAATGCAGAGGTTGAAGATGG</t>
  </si>
  <si>
    <t>BRCA1-Cterm-Rev-221</t>
  </si>
  <si>
    <t>TTGGGGAACTTTCAATGCAGAGGTTGAAGA</t>
  </si>
  <si>
    <t>BRCA1-Cterm-Rev-222</t>
  </si>
  <si>
    <t>CAATTGGGGAACTTTCAATGCAGAGGTTGA</t>
  </si>
  <si>
    <t>BRCA1-Cterm-Rev-223</t>
  </si>
  <si>
    <t>TTTCAATTGGGGAACTTTCAATGCAGAGGT</t>
  </si>
  <si>
    <t>BRCA1-Cterm-Rev-224</t>
  </si>
  <si>
    <t>AACTTTCAATTGGGGAACTTTCAATGCAGA</t>
  </si>
  <si>
    <t>BRCA1-Cterm-Rev-225</t>
  </si>
  <si>
    <t>TGCAACTTTCAATTGGGGAACTTTCAATGC</t>
  </si>
  <si>
    <t>BRCA1-Cterm-Rev-226</t>
  </si>
  <si>
    <t>TTCTGCAACTTTCAATTGGGGAACTTTCAA</t>
  </si>
  <si>
    <t>BRCA1-Cterm-Rev-227</t>
  </si>
  <si>
    <t>AGATTCTGCAACTTTCAATTGGGGAACTTT</t>
  </si>
  <si>
    <t>BRCA1-Cterm-Rev-228</t>
  </si>
  <si>
    <t>GGCAGATTCTGCAACTTTCAATTGGGGAAC</t>
  </si>
  <si>
    <t>BRCA1-Cterm-Rev-229</t>
  </si>
  <si>
    <t>CTGGGCAGATTCTGCAACTTTCAATTGGGG</t>
  </si>
  <si>
    <t>BRCA1-Cterm-Rev-230</t>
  </si>
  <si>
    <t>ACCCTGGGCAGATTCTGCAACTTTCAATTG</t>
  </si>
  <si>
    <t>BRCA1-Cterm-Rev-231</t>
  </si>
  <si>
    <t>TGGACCCTGGGCAGATTCTGCAACTTTCAA</t>
  </si>
  <si>
    <t>BRCA1-Cterm-Rev-232</t>
  </si>
  <si>
    <t>AGCTGGACCCTGGGCAGATTCTGCAACTTT</t>
  </si>
  <si>
    <t>BRCA1-Cterm-Rev-233</t>
  </si>
  <si>
    <t>AGCAGCTGGACCCTGGGCAGATTCTGCAAC</t>
  </si>
  <si>
    <t>BRCA1-Cterm-Rev-234</t>
  </si>
  <si>
    <t>AGCAGCAGCTGGACCCTGGGCAGATTCTGC</t>
  </si>
  <si>
    <t>BRCA1-Cterm-Rev-235</t>
  </si>
  <si>
    <t>ATGAGCAGCAGCTGGACCCTGGGCAGATTC</t>
  </si>
  <si>
    <t>BRCA1-Cterm-Rev-236</t>
  </si>
  <si>
    <t>AGTATGAGCAGCAGCTGGACCCTGGGCAGA</t>
  </si>
  <si>
    <t>BRCA1-Cterm-Rev-237</t>
  </si>
  <si>
    <t>AGTAGTATGAGCAGCAGCTGGACCCTGGGC</t>
  </si>
  <si>
    <t>BRCA1-Cterm-Rev-238</t>
  </si>
  <si>
    <t>ATCAGTAGTATGAGCAGCAGCTGGACCCTG</t>
  </si>
  <si>
    <t>BRCA1-Cterm-Rev-239</t>
  </si>
  <si>
    <t>AGTATCAGTAGTATGAGCAGCAGCTGGACC</t>
  </si>
  <si>
    <t>BRCA1-Cterm-Rev-240</t>
  </si>
  <si>
    <t>AGCAGTATCAGTAGTATGAGCAGCAGCTGG</t>
  </si>
  <si>
    <t>BRCA1-Cterm-Rev-241</t>
  </si>
  <si>
    <t>CCCAGCAGTATCAGTAGTATGAGCAGCAGC</t>
  </si>
  <si>
    <t>BRCA1-Cterm-Rev-242</t>
  </si>
  <si>
    <t>ATACCCAGCAGTATCAGTAGTATGAGCAGC</t>
  </si>
  <si>
    <t>BRCA1-Cterm-Rev-243</t>
  </si>
  <si>
    <t>ATTATACCCAGCAGTATCAGTAGTATGAGC</t>
  </si>
  <si>
    <t>BRCA1-Cterm-Rev-244</t>
  </si>
  <si>
    <t>TGCATTATACCCAGCAGTATCAGTAGTATG</t>
  </si>
  <si>
    <t>BRCA1-Cterm-Rev-245</t>
  </si>
  <si>
    <t>CATTGCATTATACCCAGCAGTATCAGTAGT</t>
  </si>
  <si>
    <t>BRCA1-Cterm-Rev-246</t>
  </si>
  <si>
    <t>TTCCATTGCATTATACCCAGCAGTATCAGT</t>
  </si>
  <si>
    <t>BRCA1-Cterm-Rev-247</t>
  </si>
  <si>
    <t>TTCTTCCATTGCATTATACCCAGCAGTATC</t>
  </si>
  <si>
    <t>BRCA1-Cterm-Rev-248</t>
  </si>
  <si>
    <t>ACTTTCTTCCATTGCATTATACCCAGCAGT</t>
  </si>
  <si>
    <t>BRCA1-Cterm-Rev-249</t>
  </si>
  <si>
    <t>CACACTTTCTTCCATTGCATTATACCCAGC</t>
  </si>
  <si>
    <t>BRCA1-Cterm-Rev-250</t>
  </si>
  <si>
    <t>GCTCACACTTTCTTCCATTGCATTATACCC</t>
  </si>
  <si>
    <t>BRCA1-Cterm-Rev-251</t>
  </si>
  <si>
    <t>CCTGCTCACACTTTCTTCCATTGCATTATA</t>
  </si>
  <si>
    <t>BRCA1-Cterm-Rev-252</t>
  </si>
  <si>
    <t>CTCCCTGCTCACACTTTCTTCCATTGCATT</t>
  </si>
  <si>
    <t>BRCA1-Cterm-Rev-253</t>
  </si>
  <si>
    <t>CTTCTCCCTGCTCACACTTTCTTCCATTGC</t>
  </si>
  <si>
    <t>BRCA1-Cterm-Rev-254</t>
  </si>
  <si>
    <t>TGGCTTCTCCCTGCTCACACTTTCTTCCAT</t>
  </si>
  <si>
    <t>BRCA1-Cterm-Rev-255</t>
  </si>
  <si>
    <t>TTCTGGCTTCTCCCTGCTCACACTTTCTTC</t>
  </si>
  <si>
    <t>BRCA1-Cterm-Rev-256</t>
  </si>
  <si>
    <t>CAATTCTGGCTTCTCCCTGCTCACACTTTC</t>
  </si>
  <si>
    <t>BRCA1-Cterm-Rev-257</t>
  </si>
  <si>
    <t>TGTCAATTCTGGCTTCTCCCTGCTCACACT</t>
  </si>
  <si>
    <t>BRCA1-Cterm-Rev-258</t>
  </si>
  <si>
    <t>AGCTGTCAATTCTGGCTTCTCCCTGCTCAC</t>
  </si>
  <si>
    <t>BRCA1-Cterm-Rev-259</t>
  </si>
  <si>
    <t>TGAAGCTGTCAATTCTGGCTTCTCCCTGCT</t>
  </si>
  <si>
    <t>BRCA1-Cterm-Rev-260</t>
  </si>
  <si>
    <t>TGTTGAAGCTGTCAATTCTGGCTTCTCCCT</t>
  </si>
  <si>
    <t>BRCA1-Cterm-Rev-261</t>
  </si>
  <si>
    <t>TTCTGTTGAAGCTGTCAATTCTGGCTTCTC</t>
  </si>
  <si>
    <t>BRCA1-Cterm-Rev-262</t>
  </si>
  <si>
    <t>CCTTTCTGTTGAAGCTGTCAATTCTGGCTT</t>
  </si>
  <si>
    <t>BRCA1-Cterm-Rev-263</t>
  </si>
  <si>
    <t>GACCCTTTCTGTTGAAGCTGTCAATTCTGG</t>
  </si>
  <si>
    <t>BRCA1-Cterm-Rev-264</t>
  </si>
  <si>
    <t>GTTGACCCTTTCTGTTGAAGCTGTCAATTC</t>
  </si>
  <si>
    <t>BRCA1-Cterm-Rev-265</t>
  </si>
  <si>
    <t>TTTGTTGACCCTTTCTGTTGAAGCTGTCAA</t>
  </si>
  <si>
    <t>BRCA1-Cterm-Rev-266</t>
  </si>
  <si>
    <t>TCTTTTGTTGACCCTTTCTGTTGAAGCTGT</t>
  </si>
  <si>
    <t>BRCA1-Cterm-Rev-267</t>
  </si>
  <si>
    <t>CATTCTTTTGTTGACCCTTTCTGTTGAAGC</t>
  </si>
  <si>
    <t>BRCA1-Cterm-Rev-268</t>
  </si>
  <si>
    <t>GGACATTCTTTTGTTGACCCTTTCTGTTGA</t>
  </si>
  <si>
    <t>BRCA1-Cterm-Rev-269</t>
  </si>
  <si>
    <t>CATGGACATTCTTTTGTTGACCCTTTCTGT</t>
  </si>
  <si>
    <t>BRCA1-Cterm-Rev-270</t>
  </si>
  <si>
    <t>CACCATGGACATTCTTTTGTTGACCCTTTC</t>
  </si>
  <si>
    <t>BRCA1-Cterm-Rev-271</t>
  </si>
  <si>
    <t>CACCACCATGGACATTCTTTTGTTGACCCT</t>
  </si>
  <si>
    <t>BRCA1-Cterm-Rev-272</t>
  </si>
  <si>
    <t>AGACACCACCATGGACATTCTTTTGTTGAC</t>
  </si>
  <si>
    <t>BRCA1-Cterm-Rev-273</t>
  </si>
  <si>
    <t>GCCAGACACCACCATGGACATTCTTTTGTT</t>
  </si>
  <si>
    <t>BRCA1-Cterm-Rev-274</t>
  </si>
  <si>
    <t>CAGGCCAGACACCACCATGGACATTCTTTT</t>
  </si>
  <si>
    <t>BRCA1-Cterm-Rev-275</t>
  </si>
  <si>
    <t>GGTCAGGCCAGACACCACCATGGACATTCT</t>
  </si>
  <si>
    <t>BRCA1-Cterm-Rev-276</t>
  </si>
  <si>
    <t>TGGGGTCAGGCCAGACACCACCATGGACAT</t>
  </si>
  <si>
    <t>BRCA1-Cterm-Rev-277</t>
  </si>
  <si>
    <t>TTCTGGGGTCAGGCCAGACACCACCATGGA</t>
  </si>
  <si>
    <t>BRCA1-Cterm-Rev-278</t>
  </si>
  <si>
    <t>TTCTTCTGGGGTCAGGCCAGACACCACCAT</t>
  </si>
  <si>
    <t>BRCA1-Cterm-Rev-279</t>
  </si>
  <si>
    <t>AAATTCTTCTGGGGTCAGGCCAGACACCAC</t>
  </si>
  <si>
    <t>BRCA1-Cterm-Rev-280</t>
  </si>
  <si>
    <t>CATAAATTCTTCTGGGGTCAGGCCAGACAC</t>
  </si>
  <si>
    <t>BRCA1-Cterm-Rev-281</t>
  </si>
  <si>
    <t>GAGCATAAATTCTTCTGGGGTCAGGCCAGA</t>
  </si>
  <si>
    <t>BRCA1-Cterm-Rev-282</t>
  </si>
  <si>
    <t>CACGAGCATAAATTCTTCTGGGGTCAGGCC</t>
  </si>
  <si>
    <t>BRCA1-Cterm-Rev-283</t>
  </si>
  <si>
    <t>GTACACGAGCATAAATTCTTCTGGGGTCAG</t>
  </si>
  <si>
    <t>BRCA1-Cterm-Rev-284</t>
  </si>
  <si>
    <t>CTTGTACACGAGCATAAATTCTTCTGGGGT</t>
  </si>
  <si>
    <t>BRCA1-Cterm-Rev-285</t>
  </si>
  <si>
    <t>AAACTTGTACACGAGCATAAATTCTTCTGG</t>
  </si>
  <si>
    <t>BRCA1-Cterm-Rev-286</t>
  </si>
  <si>
    <t>GGCAAACTTGTACACGAGCATAAATTCTTC</t>
  </si>
  <si>
    <t>BRCA1-Cterm-Rev-287</t>
  </si>
  <si>
    <t>TCTGGCAAACTTGTACACGAGCATAAATTC</t>
  </si>
  <si>
    <t>BRCA1-Cterm-Rev-288</t>
  </si>
  <si>
    <t>TTTTCTGGCAAACTTGTACACGAGCATAAA</t>
  </si>
  <si>
    <t>Functional_Score_HDR</t>
  </si>
  <si>
    <t>Functional_Score_CR</t>
  </si>
  <si>
    <t>Functional_Score_SGE</t>
  </si>
  <si>
    <t>SGE_Functional_Class</t>
  </si>
  <si>
    <t>AA_mut</t>
  </si>
  <si>
    <t>AA_wt</t>
  </si>
  <si>
    <t>BRCA1-L1707S-FWD</t>
  </si>
  <si>
    <t>BRCA1-L1707S-REV</t>
  </si>
  <si>
    <t>AAATATTTTCTAGGAAGTGCGGGAGGAAAATGG</t>
  </si>
  <si>
    <t>CCATTTTCCTCCCGCACTTCCTAGAAAATATTT</t>
  </si>
  <si>
    <t>BRCA1-F1704L-FWD</t>
  </si>
  <si>
    <t>BRCA1-F1704L-REV</t>
  </si>
  <si>
    <t>CGGACACTGAAATATCTTCTAGGAATTGCGGGA</t>
  </si>
  <si>
    <t>TCCCGCAATTCCTAGAAGATATTTCAGTGTCCG</t>
  </si>
  <si>
    <t>BRCA1-F1704Y-REV</t>
  </si>
  <si>
    <t>BRCA1-F1704Y-FWD</t>
  </si>
  <si>
    <t>CGGACACTGAAATATTATCTAGGAATTGCGGGA</t>
  </si>
  <si>
    <t>TCCCGCAATTCCTAGATAATATTTCAGTGTCCG</t>
  </si>
  <si>
    <t>BRCA1-F1734I-FWD</t>
  </si>
  <si>
    <t>BRCA1-F1734I-REV</t>
  </si>
  <si>
    <t>CTGAATGAGCATGATATTGAAGTCAGAGGAGAT</t>
  </si>
  <si>
    <t>ATCTCCTCTGACTTCAATATCATGCTCATTCAG</t>
  </si>
  <si>
    <t>BRCA1-P1749L-FWD</t>
  </si>
  <si>
    <t>BRCA1-P1749L-REV</t>
  </si>
  <si>
    <t>AGAAACCACCAAGGTCTAAAGCGAGCAAGAGAA</t>
  </si>
  <si>
    <t>TTCTCTTGCTCGCTTTAGACCTTGGTGGTTTCT</t>
  </si>
  <si>
    <t>BRCA1-S1715I-FWD</t>
  </si>
  <si>
    <t>GGAAAATGGGTAGTTATCTATTTCTGGGTGACC</t>
  </si>
  <si>
    <t>BRCA1-S1715I-REV</t>
  </si>
  <si>
    <t>GGTCACCCAGAAATAGATAACTACCCATTTTCC</t>
  </si>
  <si>
    <t>BRCA1-A1789P-FWD</t>
  </si>
  <si>
    <t>BRCA1-A1789P-REV</t>
  </si>
  <si>
    <t>GTACAGCTGTGTGGTCCTTCTGTGGTGAAGGAG</t>
  </si>
  <si>
    <t>CTCCTTCACCACAGAAGGACCACACAGCTGTAC</t>
  </si>
  <si>
    <t>BRCA1-D1840A-FWD</t>
  </si>
  <si>
    <t>BRCA1-D1840A-REV</t>
  </si>
  <si>
    <t>CGAGAGTGGGTGTTGGCCAGTGTAGCACTCTAC</t>
  </si>
  <si>
    <t>GTAGAGTGCTACACTGGCCAACACCCACTCTCG</t>
  </si>
  <si>
    <t>BRCA1-P1856L-FWD</t>
  </si>
  <si>
    <t>BRCA1-P1856L-REV</t>
  </si>
  <si>
    <t>GACACCTACCTGATACTCCAGATCCCCCACAGC</t>
  </si>
  <si>
    <t>GCTGTGGGGGATCTGGAGTATCAGGTAGGTGTC</t>
  </si>
  <si>
    <t>BRCA1-V1838M-FWD</t>
  </si>
  <si>
    <t>BRCA1-V1838M-REV</t>
  </si>
  <si>
    <t>GTGACCCGAGAGTGGTTTTTGGACAGTGTAGCA</t>
  </si>
  <si>
    <t>TGCTACACTGTCCAAAAACCACTCTCGGGTCAC</t>
  </si>
  <si>
    <t>TTTGAAGTCAGAGGAGGTGTGGTCAATGGAAGA</t>
  </si>
  <si>
    <t>TCTTCCATTGACCACACCTCCTCTGACTTCAAA</t>
  </si>
  <si>
    <t>TTTGAAGTCAGAGGAGTTGTGGTCAATGGAAGA</t>
  </si>
  <si>
    <t>TCTTCCATTGACCACAACTCCTCTGACTTCAAA</t>
  </si>
  <si>
    <t>BRCA1-F1761S-FWD</t>
  </si>
  <si>
    <t>BRCA1-F1761S-REV</t>
  </si>
  <si>
    <t>CAGGACAGAAAGATCTCCAGGGGGCTAGAAATC</t>
  </si>
  <si>
    <t>GATTTCTAGCCCCCTGGAGATCTTTCTGTCCTG</t>
  </si>
  <si>
    <t>BRCA1-V1687G-FWD</t>
  </si>
  <si>
    <t>BRCA1-V1687G-REV</t>
  </si>
  <si>
    <t>GAAGAGACTACTCATGGTGTTATGAAAACAGAT</t>
  </si>
  <si>
    <t>ATCTGTTTTCATAACACCATGAGTAGTCTCTTC</t>
  </si>
  <si>
    <t>BRCA1-V1713A-FWD</t>
  </si>
  <si>
    <t>BRCA1-V1713A-REV</t>
  </si>
  <si>
    <t>GCGGGAGGAAAATGGGCAGTTAGCTATTTCTGG</t>
  </si>
  <si>
    <t>CCAGAAATAGCTAACTGCCCATTTTCCTCCCGC</t>
  </si>
  <si>
    <t>BRCA1-Q1811R-FWD</t>
  </si>
  <si>
    <t>BRCA1-Q1811R-REV</t>
  </si>
  <si>
    <t>CCAATTGTGGTTGTGCGGCCAGATGCCTGGACA</t>
  </si>
  <si>
    <t>TGTCCAGGCATCTGGCCGCACAACCACAATTGG</t>
  </si>
  <si>
    <t>BRCA1-L1780R-FWD</t>
  </si>
  <si>
    <t>BRCA1-L1780R-REV</t>
  </si>
  <si>
    <t>ATGCCCACAGATCAACGGGAATGGATGGTACAG</t>
  </si>
  <si>
    <t>CTGTACCATCCATTCCCGTTGATCTGTGGGCAT</t>
  </si>
  <si>
    <t>BRCA1-I1674R-FWD</t>
  </si>
  <si>
    <t>BRCA1-I1674R-REV</t>
  </si>
  <si>
    <t>ACTAATCTAATTACTAAAGAGACTACTCATGTT</t>
  </si>
  <si>
    <t>AACATGAGTAGTCTCTTTAGTAATTAGATTAGT</t>
  </si>
  <si>
    <t>GCCAGAAAACACCACAGAACTTTAACTAATCTA</t>
  </si>
  <si>
    <t>TAGATTAGTTAAAGTTCTGTGGTGTTTTCTGGC</t>
  </si>
  <si>
    <t>BRCA1-E1682K-FWD</t>
  </si>
  <si>
    <t>BRCA1-E1682K-REV</t>
  </si>
  <si>
    <t>BRCA1-K1727R-FWD</t>
  </si>
  <si>
    <t>BRCA1-K1727R-REV</t>
  </si>
  <si>
    <t>TCTATTAAAGAAAGAAGAATGCTGAATGAGCAT</t>
  </si>
  <si>
    <t>ATGCTCATTCAGCATTCTTCTTTCTTTAATAGA</t>
  </si>
  <si>
    <t>BRCA1-L1764P-FWD</t>
  </si>
  <si>
    <t>BRCA1-L1764P-REV</t>
  </si>
  <si>
    <t>AAGATCTTCAGGGGGCCAGAAATCTGTTGCTAT</t>
  </si>
  <si>
    <t>ATAGCAACAGATTTCTGGCCCCCTGAAGATCTT</t>
  </si>
  <si>
    <t>S1715N</t>
  </si>
  <si>
    <t>CR_SGE</t>
  </si>
  <si>
    <t>HDR_SGE</t>
  </si>
  <si>
    <t>HDR_CR</t>
  </si>
  <si>
    <t>HDR_CR_SGE</t>
  </si>
  <si>
    <t>SGE only</t>
  </si>
  <si>
    <t>CR only</t>
  </si>
  <si>
    <t>HDR only</t>
  </si>
  <si>
    <t>Functional Assay Combinations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</si>
</sst>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8"/>
      <name val="Calibri"/>
      <family val="2"/>
      <scheme val="minor"/>
    </font>
    <font>
      <b/>
      <sz val="10"/>
      <name val="Arial"/>
      <family val="2"/>
    </font>
    <font>
      <sz val="12"/>
      <name val="Calibri"/>
      <family val="2"/>
    </font>
    <font>
      <b/>
      <sz val="12"/>
      <name val="Calibri"/>
      <family val="2"/>
    </font>
    <font>
      <sz val="12"/>
      <color theme="1"/>
      <name val="Calibri"/>
      <family val="2"/>
    </font>
    <font>
      <sz val="12"/>
      <color rgb="FF00B0F0"/>
      <name val="Calibri"/>
      <family val="2"/>
    </font>
    <font>
      <sz val="12"/>
      <color rgb="FFFF0000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theme="1"/>
      <name val="Courier New"/>
      <family val="1"/>
    </font>
    <font>
      <sz val="12"/>
      <color theme="1"/>
      <name val="Courier New"/>
      <family val="1"/>
    </font>
    <font>
      <u/>
      <sz val="10.5"/>
      <color theme="1"/>
      <name val="Courier New"/>
      <family val="1"/>
    </font>
    <font>
      <sz val="10.5"/>
      <color theme="1"/>
      <name val="Courier New"/>
      <family val="1"/>
    </font>
    <font>
      <sz val="12"/>
      <color rgb="FF000000"/>
      <name val="Courier New"/>
      <family val="1"/>
    </font>
    <font>
      <sz val="12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66">
    <xf numFmtId="0" fontId="0" fillId="0" borderId="0" xfId="0"/>
    <xf numFmtId="3" fontId="0" fillId="0" borderId="0" xfId="0" applyNumberFormat="1"/>
    <xf numFmtId="0" fontId="1" fillId="0" borderId="0" xfId="0" applyFont="1"/>
    <xf numFmtId="11" fontId="0" fillId="0" borderId="0" xfId="0" applyNumberFormat="1"/>
    <xf numFmtId="0" fontId="0" fillId="0" borderId="0" xfId="0"/>
    <xf numFmtId="0" fontId="2" fillId="0" borderId="0" xfId="2"/>
    <xf numFmtId="0" fontId="2" fillId="0" borderId="0" xfId="2" applyAlignment="1">
      <alignment horizontal="left"/>
    </xf>
    <xf numFmtId="1" fontId="2" fillId="0" borderId="0" xfId="2" applyNumberFormat="1" applyAlignment="1">
      <alignment horizontal="left"/>
    </xf>
    <xf numFmtId="2" fontId="2" fillId="0" borderId="0" xfId="2" applyNumberFormat="1"/>
    <xf numFmtId="0" fontId="1" fillId="0" borderId="0" xfId="0" applyFont="1"/>
    <xf numFmtId="0" fontId="0" fillId="0" borderId="0" xfId="0"/>
    <xf numFmtId="0" fontId="4" fillId="0" borderId="0" xfId="0" applyFont="1"/>
    <xf numFmtId="0" fontId="5" fillId="0" borderId="0" xfId="0" applyFont="1"/>
    <xf numFmtId="0" fontId="0" fillId="0" borderId="0" xfId="0" applyFont="1"/>
    <xf numFmtId="0" fontId="7" fillId="0" borderId="0" xfId="0" applyFont="1"/>
    <xf numFmtId="11" fontId="1" fillId="0" borderId="0" xfId="0" applyNumberFormat="1" applyFont="1"/>
    <xf numFmtId="0" fontId="8" fillId="0" borderId="0" xfId="2" applyFont="1"/>
    <xf numFmtId="0" fontId="9" fillId="0" borderId="0" xfId="2" applyFont="1" applyAlignment="1">
      <alignment horizontal="left"/>
    </xf>
    <xf numFmtId="0" fontId="9" fillId="0" borderId="0" xfId="2" applyFont="1"/>
    <xf numFmtId="0" fontId="10" fillId="0" borderId="0" xfId="2" applyFont="1" applyAlignment="1">
      <alignment horizontal="left"/>
    </xf>
    <xf numFmtId="0" fontId="11" fillId="0" borderId="0" xfId="0" applyFont="1"/>
    <xf numFmtId="1" fontId="9" fillId="0" borderId="0" xfId="2" applyNumberFormat="1" applyFont="1" applyAlignment="1">
      <alignment horizontal="left"/>
    </xf>
    <xf numFmtId="0" fontId="10" fillId="0" borderId="0" xfId="2" applyFont="1"/>
    <xf numFmtId="2" fontId="9" fillId="0" borderId="0" xfId="2" applyNumberFormat="1" applyFont="1"/>
    <xf numFmtId="0" fontId="12" fillId="0" borderId="0" xfId="2" applyFont="1"/>
    <xf numFmtId="0" fontId="13" fillId="0" borderId="0" xfId="2" applyFont="1"/>
    <xf numFmtId="0" fontId="13" fillId="0" borderId="0" xfId="0" applyFont="1"/>
    <xf numFmtId="0" fontId="11" fillId="0" borderId="0" xfId="2" applyFont="1"/>
    <xf numFmtId="0" fontId="12" fillId="0" borderId="0" xfId="0" applyFont="1"/>
    <xf numFmtId="2" fontId="9" fillId="0" borderId="0" xfId="2" applyNumberFormat="1" applyFont="1" applyAlignment="1">
      <alignment horizontal="right"/>
    </xf>
    <xf numFmtId="0" fontId="10" fillId="0" borderId="0" xfId="2" applyFont="1" applyAlignment="1">
      <alignment horizontal="left" vertical="center"/>
    </xf>
    <xf numFmtId="2" fontId="9" fillId="0" borderId="0" xfId="2" applyNumberFormat="1" applyFont="1" applyAlignment="1">
      <alignment horizontal="right" vertical="center"/>
    </xf>
    <xf numFmtId="2" fontId="11" fillId="0" borderId="0" xfId="1" applyNumberFormat="1" applyFont="1" applyAlignment="1">
      <alignment horizontal="right" vertical="center"/>
    </xf>
    <xf numFmtId="0" fontId="14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4" fillId="0" borderId="0" xfId="0" applyFont="1"/>
    <xf numFmtId="2" fontId="9" fillId="0" borderId="0" xfId="2" applyNumberFormat="1" applyFont="1" applyAlignment="1">
      <alignment horizontal="left"/>
    </xf>
    <xf numFmtId="2" fontId="11" fillId="0" borderId="0" xfId="0" applyNumberFormat="1" applyFont="1"/>
    <xf numFmtId="0" fontId="16" fillId="0" borderId="1" xfId="0" applyFont="1" applyBorder="1" applyAlignment="1">
      <alignment vertical="center" wrapText="1"/>
    </xf>
    <xf numFmtId="0" fontId="16" fillId="0" borderId="2" xfId="0" applyFont="1" applyBorder="1" applyAlignment="1">
      <alignment vertical="center" wrapText="1"/>
    </xf>
    <xf numFmtId="0" fontId="16" fillId="0" borderId="3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17" fillId="0" borderId="5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7" fillId="0" borderId="3" xfId="0" applyFont="1" applyBorder="1" applyAlignment="1">
      <alignment vertical="center" wrapText="1"/>
    </xf>
    <xf numFmtId="0" fontId="17" fillId="0" borderId="4" xfId="0" applyFont="1" applyBorder="1"/>
    <xf numFmtId="0" fontId="17" fillId="0" borderId="4" xfId="0" applyFont="1" applyBorder="1" applyAlignment="1">
      <alignment vertical="center"/>
    </xf>
    <xf numFmtId="0" fontId="17" fillId="0" borderId="5" xfId="0" applyFont="1" applyBorder="1"/>
    <xf numFmtId="0" fontId="17" fillId="0" borderId="5" xfId="0" applyFont="1" applyBorder="1" applyAlignment="1">
      <alignment vertical="center"/>
    </xf>
    <xf numFmtId="0" fontId="18" fillId="0" borderId="0" xfId="0" applyFont="1"/>
    <xf numFmtId="0" fontId="19" fillId="0" borderId="0" xfId="0" applyFont="1"/>
    <xf numFmtId="0" fontId="17" fillId="0" borderId="1" xfId="0" applyFont="1" applyBorder="1"/>
    <xf numFmtId="0" fontId="16" fillId="0" borderId="2" xfId="0" applyFont="1" applyBorder="1"/>
    <xf numFmtId="0" fontId="16" fillId="0" borderId="3" xfId="0" applyFont="1" applyBorder="1"/>
    <xf numFmtId="0" fontId="17" fillId="0" borderId="0" xfId="0" applyFont="1"/>
    <xf numFmtId="164" fontId="0" fillId="0" borderId="0" xfId="0" applyNumberFormat="1" applyFont="1"/>
    <xf numFmtId="165" fontId="1" fillId="0" borderId="0" xfId="0" applyNumberFormat="1" applyFont="1"/>
    <xf numFmtId="0" fontId="17" fillId="0" borderId="6" xfId="0" applyFont="1" applyBorder="1" applyAlignment="1">
      <alignment vertical="center" wrapText="1"/>
    </xf>
    <xf numFmtId="0" fontId="20" fillId="0" borderId="4" xfId="0" applyFont="1" applyBorder="1"/>
    <xf numFmtId="0" fontId="21" fillId="0" borderId="0" xfId="0" applyFont="1"/>
    <xf numFmtId="0" fontId="0" fillId="2" borderId="0" xfId="0" applyFill="1"/>
    <xf numFmtId="0" fontId="0" fillId="3" borderId="0" xfId="0" applyFill="1"/>
    <xf numFmtId="0" fontId="2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0" borderId="0" xfId="0" applyFill="1" applyAlignment="1">
      <alignment wrapText="1"/>
    </xf>
  </cellXfs>
  <cellStyles count="3">
    <cellStyle name="Normal" xfId="0" builtinId="0"/>
    <cellStyle name="Normal 2" xfId="1" xr:uid="{05CCAFB7-9DDA-8448-80EC-C13B2022E1A0}"/>
    <cellStyle name="Normal 3" xfId="2" xr:uid="{7E4E7FBC-CA75-4C48-8BD8-6DE4CCA7CF8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B3372-4C1A-AB4D-B1A5-DFE8FA54B740}">
  <dimension ref="A1:H14"/>
  <sheetViews>
    <sheetView workbookViewId="0">
      <selection sqref="A1:XFD1"/>
    </sheetView>
  </sheetViews>
  <sheetFormatPr baseColWidth="10" defaultRowHeight="16" x14ac:dyDescent="0.2"/>
  <cols>
    <col min="1" max="1" width="16.5" bestFit="1" customWidth="1"/>
    <col min="2" max="2" width="12.5" bestFit="1" customWidth="1"/>
    <col min="3" max="3" width="17.1640625" bestFit="1" customWidth="1"/>
    <col min="4" max="4" width="27" bestFit="1" customWidth="1"/>
    <col min="5" max="5" width="11.83203125" bestFit="1" customWidth="1"/>
    <col min="6" max="7" width="11.5" bestFit="1" customWidth="1"/>
    <col min="8" max="8" width="11.1640625" bestFit="1" customWidth="1"/>
  </cols>
  <sheetData>
    <row r="1" spans="1:8" x14ac:dyDescent="0.2">
      <c r="B1" s="2" t="s">
        <v>0</v>
      </c>
      <c r="C1" s="2"/>
      <c r="D1" s="2"/>
      <c r="E1" s="2" t="s">
        <v>20</v>
      </c>
      <c r="F1" s="2"/>
      <c r="G1" s="2"/>
      <c r="H1" s="2"/>
    </row>
    <row r="2" spans="1:8" x14ac:dyDescent="0.2">
      <c r="B2" s="2" t="s">
        <v>1</v>
      </c>
      <c r="C2" s="2" t="s">
        <v>2</v>
      </c>
      <c r="D2" s="2" t="s">
        <v>3</v>
      </c>
      <c r="E2" s="2" t="s">
        <v>16</v>
      </c>
      <c r="F2" s="2" t="s">
        <v>17</v>
      </c>
      <c r="G2" s="2" t="s">
        <v>18</v>
      </c>
      <c r="H2" s="2" t="s">
        <v>19</v>
      </c>
    </row>
    <row r="3" spans="1:8" x14ac:dyDescent="0.2">
      <c r="A3" s="2" t="s">
        <v>4</v>
      </c>
      <c r="B3">
        <v>12.1</v>
      </c>
      <c r="C3">
        <v>8.1</v>
      </c>
      <c r="D3">
        <v>1.7</v>
      </c>
      <c r="E3" s="1">
        <v>713000</v>
      </c>
      <c r="F3" s="1">
        <v>2000000</v>
      </c>
      <c r="G3" s="1">
        <v>913000</v>
      </c>
      <c r="H3" s="1">
        <v>2000000</v>
      </c>
    </row>
    <row r="4" spans="1:8" x14ac:dyDescent="0.2">
      <c r="A4" s="2" t="s">
        <v>5</v>
      </c>
      <c r="B4">
        <v>12.1</v>
      </c>
      <c r="C4">
        <v>8.1</v>
      </c>
      <c r="D4">
        <v>1.7</v>
      </c>
      <c r="E4" s="1">
        <v>915000</v>
      </c>
      <c r="F4" s="1">
        <v>2000000</v>
      </c>
      <c r="G4" s="1">
        <v>811000</v>
      </c>
      <c r="H4" s="1">
        <v>2000000</v>
      </c>
    </row>
    <row r="5" spans="1:8" x14ac:dyDescent="0.2">
      <c r="A5" s="2" t="s">
        <v>6</v>
      </c>
      <c r="B5">
        <v>9.6999999999999993</v>
      </c>
      <c r="C5">
        <v>5.9</v>
      </c>
      <c r="D5">
        <v>2</v>
      </c>
      <c r="E5" s="1">
        <v>401000</v>
      </c>
      <c r="F5" s="1">
        <v>2000000</v>
      </c>
      <c r="G5" s="1">
        <v>667000</v>
      </c>
      <c r="H5" s="1">
        <v>2000000</v>
      </c>
    </row>
    <row r="6" spans="1:8" x14ac:dyDescent="0.2">
      <c r="A6" s="2" t="s">
        <v>7</v>
      </c>
      <c r="B6">
        <v>9.6999999999999993</v>
      </c>
      <c r="C6">
        <v>5.9</v>
      </c>
      <c r="D6">
        <v>2</v>
      </c>
      <c r="E6" s="1">
        <v>435000</v>
      </c>
      <c r="F6" s="1">
        <v>2000000</v>
      </c>
      <c r="G6" s="1">
        <v>636000</v>
      </c>
      <c r="H6" s="1">
        <v>2000000</v>
      </c>
    </row>
    <row r="7" spans="1:8" x14ac:dyDescent="0.2">
      <c r="A7" s="2" t="s">
        <v>8</v>
      </c>
      <c r="B7">
        <v>11.3</v>
      </c>
      <c r="C7">
        <v>6.1</v>
      </c>
      <c r="D7">
        <v>1.5</v>
      </c>
      <c r="E7" s="1">
        <v>544000</v>
      </c>
      <c r="F7" s="1">
        <v>2000000</v>
      </c>
      <c r="G7" s="1">
        <v>484000</v>
      </c>
      <c r="H7" s="1">
        <v>2000000</v>
      </c>
    </row>
    <row r="8" spans="1:8" x14ac:dyDescent="0.2">
      <c r="A8" s="2" t="s">
        <v>9</v>
      </c>
      <c r="B8">
        <v>8.1999999999999993</v>
      </c>
      <c r="C8">
        <v>4.3</v>
      </c>
      <c r="D8">
        <v>1.2</v>
      </c>
      <c r="E8" s="1">
        <v>570000</v>
      </c>
      <c r="F8" s="1">
        <v>2000000</v>
      </c>
      <c r="G8" s="1">
        <v>515000</v>
      </c>
      <c r="H8" s="1">
        <v>2000000</v>
      </c>
    </row>
    <row r="9" spans="1:8" x14ac:dyDescent="0.2">
      <c r="A9" s="2" t="s">
        <v>10</v>
      </c>
      <c r="B9">
        <v>7.2</v>
      </c>
      <c r="C9">
        <v>3.8</v>
      </c>
      <c r="D9">
        <v>0.7</v>
      </c>
      <c r="E9" s="1">
        <v>368000</v>
      </c>
      <c r="F9" s="1">
        <v>2000000</v>
      </c>
      <c r="G9" s="1">
        <v>379000</v>
      </c>
      <c r="H9" s="1">
        <v>2000000</v>
      </c>
    </row>
    <row r="10" spans="1:8" x14ac:dyDescent="0.2">
      <c r="A10" s="2" t="s">
        <v>11</v>
      </c>
      <c r="B10">
        <v>7.2</v>
      </c>
      <c r="C10">
        <v>3.8</v>
      </c>
      <c r="D10">
        <v>0.7</v>
      </c>
      <c r="E10" s="1">
        <v>428000</v>
      </c>
      <c r="F10" s="1">
        <v>2000000</v>
      </c>
      <c r="G10" s="1">
        <v>372000</v>
      </c>
      <c r="H10" s="1">
        <v>2000000</v>
      </c>
    </row>
    <row r="11" spans="1:8" x14ac:dyDescent="0.2">
      <c r="A11" s="2" t="s">
        <v>12</v>
      </c>
      <c r="B11">
        <v>9.6999999999999993</v>
      </c>
      <c r="C11">
        <v>6.5</v>
      </c>
      <c r="D11">
        <v>1.5</v>
      </c>
      <c r="E11" s="1">
        <v>547000</v>
      </c>
      <c r="F11" s="1">
        <v>2000000</v>
      </c>
      <c r="G11" s="1">
        <v>543000</v>
      </c>
      <c r="H11" s="1">
        <v>2000000</v>
      </c>
    </row>
    <row r="12" spans="1:8" x14ac:dyDescent="0.2">
      <c r="A12" s="2" t="s">
        <v>13</v>
      </c>
      <c r="B12">
        <v>9.6999999999999993</v>
      </c>
      <c r="C12">
        <v>6.5</v>
      </c>
      <c r="D12">
        <v>1.5</v>
      </c>
      <c r="E12" s="1">
        <v>403000</v>
      </c>
      <c r="F12" s="1">
        <v>2000000</v>
      </c>
      <c r="G12" s="1">
        <v>530000</v>
      </c>
      <c r="H12" s="1">
        <v>2000000</v>
      </c>
    </row>
    <row r="13" spans="1:8" x14ac:dyDescent="0.2">
      <c r="A13" s="2" t="s">
        <v>14</v>
      </c>
      <c r="B13">
        <v>8.3000000000000007</v>
      </c>
      <c r="C13">
        <v>5.2</v>
      </c>
      <c r="D13">
        <v>1.2</v>
      </c>
      <c r="E13" s="1">
        <v>403000</v>
      </c>
      <c r="F13" s="1">
        <v>2000000</v>
      </c>
      <c r="G13" s="1">
        <v>425000</v>
      </c>
      <c r="H13" s="1">
        <v>2000000</v>
      </c>
    </row>
    <row r="14" spans="1:8" x14ac:dyDescent="0.2">
      <c r="A14" s="2" t="s">
        <v>15</v>
      </c>
      <c r="B14">
        <v>8.3000000000000007</v>
      </c>
      <c r="C14">
        <v>5.2</v>
      </c>
      <c r="D14">
        <v>1.2</v>
      </c>
      <c r="E14" s="1">
        <v>264000</v>
      </c>
      <c r="F14" s="1">
        <v>2000000</v>
      </c>
      <c r="G14" s="1">
        <v>431000</v>
      </c>
      <c r="H14" s="1">
        <v>2000000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EA2F9-9E1D-9D49-9927-D211BB233624}">
  <dimension ref="A1:Q2272"/>
  <sheetViews>
    <sheetView topLeftCell="A1898" workbookViewId="0">
      <selection activeCell="F1925" sqref="F1925"/>
    </sheetView>
  </sheetViews>
  <sheetFormatPr baseColWidth="10" defaultRowHeight="16" x14ac:dyDescent="0.2"/>
  <cols>
    <col min="1" max="2" width="10.83203125" style="10"/>
    <col min="3" max="3" width="10.83203125" style="9"/>
    <col min="4" max="4" width="16.83203125" style="9" bestFit="1" customWidth="1"/>
    <col min="5" max="7" width="16.83203125" style="4" bestFit="1" customWidth="1"/>
    <col min="8" max="8" width="23.6640625" style="9" bestFit="1" customWidth="1"/>
    <col min="9" max="9" width="16.33203125" style="9" bestFit="1" customWidth="1"/>
    <col min="10" max="10" width="16.33203125" style="4" bestFit="1" customWidth="1"/>
    <col min="11" max="14" width="17" style="4" bestFit="1" customWidth="1"/>
    <col min="15" max="15" width="23.6640625" style="9" bestFit="1" customWidth="1"/>
    <col min="16" max="17" width="16.5" style="4" bestFit="1" customWidth="1"/>
    <col min="18" max="16384" width="10.83203125" style="4"/>
  </cols>
  <sheetData>
    <row r="1" spans="1:17" x14ac:dyDescent="0.2">
      <c r="A1" s="10" t="s">
        <v>2582</v>
      </c>
      <c r="B1" s="10" t="s">
        <v>2861</v>
      </c>
      <c r="C1" s="9" t="s">
        <v>73</v>
      </c>
      <c r="D1" s="10" t="s">
        <v>2847</v>
      </c>
      <c r="E1" s="10" t="s">
        <v>2848</v>
      </c>
      <c r="F1" s="10" t="s">
        <v>2849</v>
      </c>
      <c r="G1" s="10" t="s">
        <v>2850</v>
      </c>
      <c r="H1" s="9" t="s">
        <v>2851</v>
      </c>
      <c r="I1" s="10" t="s">
        <v>2852</v>
      </c>
      <c r="J1" s="10" t="s">
        <v>2853</v>
      </c>
      <c r="K1" s="10" t="s">
        <v>2854</v>
      </c>
      <c r="L1" s="10" t="s">
        <v>2855</v>
      </c>
      <c r="M1" s="10" t="s">
        <v>2856</v>
      </c>
      <c r="N1" s="10" t="s">
        <v>2857</v>
      </c>
      <c r="O1" s="9" t="s">
        <v>2858</v>
      </c>
      <c r="P1" s="10" t="s">
        <v>2859</v>
      </c>
      <c r="Q1" s="10" t="s">
        <v>2860</v>
      </c>
    </row>
    <row r="2" spans="1:17" x14ac:dyDescent="0.2">
      <c r="A2" s="10">
        <v>1577</v>
      </c>
      <c r="B2" s="10" t="s">
        <v>2831</v>
      </c>
      <c r="C2" s="9" t="s">
        <v>75</v>
      </c>
      <c r="D2" s="10">
        <v>-1.2418036720000001</v>
      </c>
      <c r="E2" s="10">
        <v>-1.5505981959999999</v>
      </c>
      <c r="F2" s="10">
        <v>-0.49559945599999999</v>
      </c>
      <c r="G2" s="10">
        <v>-0.98548093000000003</v>
      </c>
      <c r="H2" s="9">
        <v>-1.06837056325</v>
      </c>
      <c r="I2" s="10">
        <v>0.44630332196801897</v>
      </c>
      <c r="J2" s="10">
        <v>0.19918665519968901</v>
      </c>
      <c r="K2" s="10">
        <v>-0.58176791299999997</v>
      </c>
      <c r="L2" s="10">
        <v>-0.849583003</v>
      </c>
      <c r="M2" s="10">
        <v>-2.1239622999999999E-2</v>
      </c>
      <c r="N2" s="10">
        <v>-8.056017E-2</v>
      </c>
      <c r="O2" s="9">
        <v>-0.38328767749999998</v>
      </c>
      <c r="P2" s="10">
        <v>0.39981181908146202</v>
      </c>
      <c r="Q2" s="10">
        <v>0.15984949067722701</v>
      </c>
    </row>
    <row r="3" spans="1:17" x14ac:dyDescent="0.2">
      <c r="A3" s="10">
        <v>1577</v>
      </c>
      <c r="B3" s="10" t="s">
        <v>2822</v>
      </c>
      <c r="C3" s="9" t="s">
        <v>77</v>
      </c>
      <c r="D3" s="10">
        <v>-0.331299807</v>
      </c>
      <c r="E3" s="10">
        <v>-0.40271327600000001</v>
      </c>
      <c r="F3" s="10">
        <v>-0.53622120200000001</v>
      </c>
      <c r="G3" s="10">
        <v>0.338348239</v>
      </c>
      <c r="H3" s="9">
        <v>-0.23297151125000001</v>
      </c>
      <c r="I3" s="10">
        <v>0.39023384118211102</v>
      </c>
      <c r="J3" s="10">
        <v>0.152282450803745</v>
      </c>
      <c r="K3" s="10">
        <v>-0.13332378</v>
      </c>
      <c r="L3" s="10">
        <v>-0.17102614699999999</v>
      </c>
      <c r="M3" s="10">
        <v>-8.1711444999999994E-2</v>
      </c>
      <c r="N3" s="10">
        <v>0.35770697899999998</v>
      </c>
      <c r="O3" s="9">
        <v>-7.0885979999999998E-3</v>
      </c>
      <c r="P3" s="10">
        <v>0.24593713521944899</v>
      </c>
      <c r="Q3" s="10">
        <v>6.0485074479949601E-2</v>
      </c>
    </row>
    <row r="4" spans="1:17" x14ac:dyDescent="0.2">
      <c r="A4" s="10">
        <v>1577</v>
      </c>
      <c r="B4" s="10" t="s">
        <v>2826</v>
      </c>
      <c r="C4" s="9" t="s">
        <v>78</v>
      </c>
      <c r="D4" s="10">
        <v>-2.2754254000000002E-2</v>
      </c>
      <c r="E4" s="10">
        <v>-0.45888584999999998</v>
      </c>
      <c r="F4" s="10">
        <v>-2.5267739999999999E-3</v>
      </c>
      <c r="G4" s="10">
        <v>7.9726629999999996E-3</v>
      </c>
      <c r="H4" s="9">
        <v>-0.11904855374999999</v>
      </c>
      <c r="I4" s="10">
        <v>0.22691679440388901</v>
      </c>
      <c r="J4" s="10">
        <v>5.1491231582537003E-2</v>
      </c>
      <c r="K4" s="10">
        <v>-4.7451694000000003E-2</v>
      </c>
      <c r="L4" s="10">
        <v>-0.31876413999999997</v>
      </c>
      <c r="M4" s="10">
        <v>-0.35648029799999997</v>
      </c>
      <c r="N4" s="10">
        <v>-3.6658598000000001E-2</v>
      </c>
      <c r="O4" s="9">
        <v>-0.18983868249999999</v>
      </c>
      <c r="P4" s="10">
        <v>0.17139563820739401</v>
      </c>
      <c r="Q4" s="10">
        <v>2.9376464796520101E-2</v>
      </c>
    </row>
    <row r="5" spans="1:17" x14ac:dyDescent="0.2">
      <c r="A5" s="10">
        <v>1577</v>
      </c>
      <c r="B5" s="10" t="s">
        <v>79</v>
      </c>
      <c r="C5" s="9" t="s">
        <v>80</v>
      </c>
      <c r="D5" s="10">
        <v>3.7731270999999997E-2</v>
      </c>
      <c r="E5" s="10">
        <v>-0.42729602700000002</v>
      </c>
      <c r="F5" s="10">
        <v>-0.17015196099999999</v>
      </c>
      <c r="G5" s="10">
        <v>-0.242601025</v>
      </c>
      <c r="H5" s="9">
        <v>-0.20057943549999999</v>
      </c>
      <c r="I5" s="10">
        <v>0.19225334924040699</v>
      </c>
      <c r="J5" s="10">
        <v>3.69613502941539E-2</v>
      </c>
      <c r="K5" s="10">
        <v>-0.61689820200000001</v>
      </c>
      <c r="L5" s="10">
        <v>0.127037761</v>
      </c>
      <c r="M5" s="10">
        <v>-0.99278316300000002</v>
      </c>
      <c r="N5" s="10">
        <v>0.34768124299999997</v>
      </c>
      <c r="O5" s="9">
        <v>-0.28374059024999998</v>
      </c>
      <c r="P5" s="10">
        <v>0.627473173290928</v>
      </c>
      <c r="Q5" s="10">
        <v>0.39372258319978698</v>
      </c>
    </row>
    <row r="6" spans="1:17" x14ac:dyDescent="0.2">
      <c r="A6" s="10">
        <v>1577</v>
      </c>
      <c r="B6" s="10" t="s">
        <v>2824</v>
      </c>
      <c r="C6" s="9" t="s">
        <v>81</v>
      </c>
      <c r="D6" s="10">
        <v>-0.37695652099999999</v>
      </c>
      <c r="E6" s="10">
        <v>-0.27267269799999999</v>
      </c>
      <c r="F6" s="10">
        <v>-0.155512872</v>
      </c>
      <c r="G6" s="10">
        <v>-0.16126764699999999</v>
      </c>
      <c r="H6" s="9">
        <v>-0.24160243449999999</v>
      </c>
      <c r="I6" s="10">
        <v>0.105120852451389</v>
      </c>
      <c r="J6" s="10">
        <v>1.10503936201068E-2</v>
      </c>
      <c r="K6" s="10">
        <v>0.261911326</v>
      </c>
      <c r="L6" s="10">
        <v>-3.5563734E-2</v>
      </c>
      <c r="M6" s="10">
        <v>-0.12026252799999999</v>
      </c>
      <c r="N6" s="10">
        <v>0.14084175600000001</v>
      </c>
      <c r="O6" s="9">
        <v>6.1731704999999998E-2</v>
      </c>
      <c r="P6" s="10">
        <v>0.17216134305585401</v>
      </c>
      <c r="Q6" s="10">
        <v>2.9639528042795699E-2</v>
      </c>
    </row>
    <row r="7" spans="1:17" x14ac:dyDescent="0.2">
      <c r="A7" s="10">
        <v>1577</v>
      </c>
      <c r="B7" s="10" t="s">
        <v>82</v>
      </c>
      <c r="C7" s="9" t="s">
        <v>83</v>
      </c>
      <c r="D7" s="10">
        <v>-0.18835194999999999</v>
      </c>
      <c r="E7" s="10">
        <v>-0.43191290100000002</v>
      </c>
      <c r="F7" s="10">
        <v>-0.31271023599999997</v>
      </c>
      <c r="G7" s="10">
        <v>-0.27587149999999999</v>
      </c>
      <c r="H7" s="9">
        <v>-0.30221164675000001</v>
      </c>
      <c r="I7" s="10">
        <v>0.10097932066364999</v>
      </c>
      <c r="J7" s="10">
        <v>1.01968232016922E-2</v>
      </c>
      <c r="K7" s="10">
        <v>8.1732879999999994E-2</v>
      </c>
      <c r="L7" s="10">
        <v>-1.3703949999999999E-3</v>
      </c>
      <c r="M7" s="10">
        <v>-4.8503440000000002E-2</v>
      </c>
      <c r="N7" s="10">
        <v>-0.23736558599999999</v>
      </c>
      <c r="O7" s="9">
        <v>-5.1376635249999997E-2</v>
      </c>
      <c r="P7" s="10">
        <v>0.13517755258185499</v>
      </c>
      <c r="Q7" s="10">
        <v>1.8272970722020401E-2</v>
      </c>
    </row>
    <row r="8" spans="1:17" x14ac:dyDescent="0.2">
      <c r="A8" s="10">
        <v>1577</v>
      </c>
      <c r="B8" s="10" t="s">
        <v>2814</v>
      </c>
      <c r="C8" s="9" t="s">
        <v>2581</v>
      </c>
      <c r="D8" s="10">
        <v>-0.98201732900000005</v>
      </c>
      <c r="E8" s="10">
        <v>0.69823520699999997</v>
      </c>
      <c r="F8" s="10">
        <v>0.26307604800000001</v>
      </c>
      <c r="G8" s="10">
        <v>7.4137633999999994E-2</v>
      </c>
      <c r="H8" s="9">
        <v>1.3357889750000001E-2</v>
      </c>
      <c r="I8" s="10">
        <v>0.71318116016807198</v>
      </c>
      <c r="J8" s="10">
        <v>0.50862736721867796</v>
      </c>
      <c r="K8" s="10">
        <v>-0.52798794699999996</v>
      </c>
      <c r="L8" s="10">
        <v>0.145998348</v>
      </c>
      <c r="M8" s="10">
        <v>0.25179536499999999</v>
      </c>
      <c r="N8" s="10">
        <v>-1.2621896000000001E-2</v>
      </c>
      <c r="O8" s="9">
        <v>-3.5704032500000003E-2</v>
      </c>
      <c r="P8" s="10">
        <v>0.345710811779189</v>
      </c>
      <c r="Q8" s="10">
        <v>0.119515965381025</v>
      </c>
    </row>
    <row r="9" spans="1:17" x14ac:dyDescent="0.2">
      <c r="A9" s="10">
        <v>1577</v>
      </c>
      <c r="B9" s="10" t="s">
        <v>74</v>
      </c>
      <c r="C9" s="9" t="s">
        <v>84</v>
      </c>
      <c r="D9" s="10">
        <v>-0.11050475899999999</v>
      </c>
      <c r="E9" s="10">
        <v>-0.25641581200000002</v>
      </c>
      <c r="F9" s="10">
        <v>-0.29400557199999999</v>
      </c>
      <c r="G9" s="10">
        <v>0.85588766000000005</v>
      </c>
      <c r="H9" s="9">
        <v>4.874037925E-2</v>
      </c>
      <c r="I9" s="10">
        <v>0.54388749910094902</v>
      </c>
      <c r="J9" s="10">
        <v>0.29581361167828402</v>
      </c>
      <c r="K9" s="10">
        <v>0.112479364</v>
      </c>
      <c r="L9" s="10">
        <v>-0.12594666299999999</v>
      </c>
      <c r="M9" s="10">
        <v>-0.33261011000000001</v>
      </c>
      <c r="N9" s="10">
        <v>-0.14072158200000001</v>
      </c>
      <c r="O9" s="9">
        <v>-0.121699748</v>
      </c>
      <c r="P9" s="10">
        <v>0.18230277356805799</v>
      </c>
      <c r="Q9" s="10">
        <v>3.3234301250606703E-2</v>
      </c>
    </row>
    <row r="10" spans="1:17" x14ac:dyDescent="0.2">
      <c r="A10" s="10">
        <v>1577</v>
      </c>
      <c r="B10" s="10" t="s">
        <v>2825</v>
      </c>
      <c r="C10" s="9" t="s">
        <v>85</v>
      </c>
      <c r="D10" s="10">
        <v>-4.1507596000000001E-2</v>
      </c>
      <c r="E10" s="10">
        <v>0.146426694</v>
      </c>
      <c r="F10" s="10">
        <v>-0.26106580899999998</v>
      </c>
      <c r="G10" s="10">
        <v>0.16154038400000001</v>
      </c>
      <c r="H10" s="9">
        <v>1.3484180000000001E-3</v>
      </c>
      <c r="I10" s="10">
        <v>0.19782739665851201</v>
      </c>
      <c r="J10" s="10">
        <v>3.9135678868684298E-2</v>
      </c>
      <c r="K10" s="10">
        <v>0.18382878499999999</v>
      </c>
      <c r="L10" s="10">
        <v>-0.18422455200000001</v>
      </c>
      <c r="M10" s="10">
        <v>-0.25303588799999999</v>
      </c>
      <c r="N10" s="10">
        <v>7.1189261000000004E-2</v>
      </c>
      <c r="O10" s="9">
        <v>-4.55605985E-2</v>
      </c>
      <c r="P10" s="10">
        <v>0.20698124448778599</v>
      </c>
      <c r="Q10" s="10">
        <v>4.28412355697129E-2</v>
      </c>
    </row>
    <row r="11" spans="1:17" x14ac:dyDescent="0.2">
      <c r="A11" s="10">
        <v>1577</v>
      </c>
      <c r="B11" s="10" t="s">
        <v>2818</v>
      </c>
      <c r="C11" s="9" t="s">
        <v>86</v>
      </c>
      <c r="D11" s="10">
        <v>-0.49441509900000002</v>
      </c>
      <c r="E11" s="10">
        <v>0.126353515</v>
      </c>
      <c r="F11" s="10">
        <v>-0.719269359</v>
      </c>
      <c r="G11" s="10">
        <v>-0.21079713899999999</v>
      </c>
      <c r="H11" s="9">
        <v>-0.32453202074999998</v>
      </c>
      <c r="I11" s="10">
        <v>0.36556404644496099</v>
      </c>
      <c r="J11" s="10">
        <v>0.13363707205321301</v>
      </c>
      <c r="K11" s="10">
        <v>-0.218448264</v>
      </c>
      <c r="L11" s="10">
        <v>-1.0278208710000001</v>
      </c>
      <c r="M11" s="10">
        <v>-0.974539551</v>
      </c>
      <c r="N11" s="10">
        <v>-3.102058E-3</v>
      </c>
      <c r="O11" s="9">
        <v>-0.55597768599999997</v>
      </c>
      <c r="P11" s="10">
        <v>0.52199220837584304</v>
      </c>
      <c r="Q11" s="10">
        <v>0.27247586560509002</v>
      </c>
    </row>
    <row r="12" spans="1:17" x14ac:dyDescent="0.2">
      <c r="A12" s="10">
        <v>1577</v>
      </c>
      <c r="B12" s="10" t="s">
        <v>2830</v>
      </c>
      <c r="C12" s="9" t="s">
        <v>87</v>
      </c>
      <c r="D12" s="10">
        <v>-8.1411786999999999E-2</v>
      </c>
      <c r="E12" s="10">
        <v>0.155607575</v>
      </c>
      <c r="F12" s="10">
        <v>-2.0950156000000001E-2</v>
      </c>
      <c r="G12" s="10">
        <v>-0.16085706499999999</v>
      </c>
      <c r="H12" s="9">
        <v>-2.6902858000000002E-2</v>
      </c>
      <c r="I12" s="10">
        <v>0.134487230780068</v>
      </c>
      <c r="J12" s="10">
        <v>1.80868152428913E-2</v>
      </c>
      <c r="K12" s="10">
        <v>-2.86039E-3</v>
      </c>
      <c r="L12" s="10">
        <v>-0.228683786</v>
      </c>
      <c r="M12" s="10">
        <v>0.19815586600000001</v>
      </c>
      <c r="N12" s="10">
        <v>0.51005817099999995</v>
      </c>
      <c r="O12" s="9">
        <v>0.119167465</v>
      </c>
      <c r="P12" s="10">
        <v>0.31354212994316</v>
      </c>
      <c r="Q12" s="10">
        <v>9.8308667249293699E-2</v>
      </c>
    </row>
    <row r="13" spans="1:17" x14ac:dyDescent="0.2">
      <c r="A13" s="10">
        <v>1578</v>
      </c>
      <c r="B13" s="10" t="s">
        <v>2822</v>
      </c>
      <c r="C13" s="9" t="s">
        <v>88</v>
      </c>
      <c r="D13" s="10">
        <v>-0.35979716099999998</v>
      </c>
      <c r="E13" s="10">
        <v>6.0509456000000003E-2</v>
      </c>
      <c r="F13" s="10">
        <v>-0.156228433</v>
      </c>
      <c r="G13" s="10">
        <v>-3.2775288999999999E-2</v>
      </c>
      <c r="H13" s="9">
        <v>-0.12207285649999999</v>
      </c>
      <c r="I13" s="10">
        <v>0.18164966717587699</v>
      </c>
      <c r="J13" s="10">
        <v>3.2996601585106901E-2</v>
      </c>
      <c r="K13" s="10">
        <v>-0.14747991299999999</v>
      </c>
      <c r="L13" s="10">
        <v>-0.28433366799999998</v>
      </c>
      <c r="M13" s="10">
        <v>-0.11649282399999999</v>
      </c>
      <c r="N13" s="10">
        <v>-1.0166438E-2</v>
      </c>
      <c r="O13" s="9">
        <v>-0.13961821075</v>
      </c>
      <c r="P13" s="10">
        <v>0.112985124256542</v>
      </c>
      <c r="Q13" s="10">
        <v>1.27656383032663E-2</v>
      </c>
    </row>
    <row r="14" spans="1:17" x14ac:dyDescent="0.2">
      <c r="A14" s="10">
        <v>1578</v>
      </c>
      <c r="B14" s="10" t="s">
        <v>2821</v>
      </c>
      <c r="C14" s="9" t="s">
        <v>89</v>
      </c>
      <c r="D14" s="10">
        <v>-0.67470638400000005</v>
      </c>
      <c r="E14" s="10">
        <v>-1.1275468470000001</v>
      </c>
      <c r="F14" s="10">
        <v>-0.35462431599999999</v>
      </c>
      <c r="G14" s="10">
        <v>-1.5901760039999999</v>
      </c>
      <c r="H14" s="9">
        <v>-0.93676338775000001</v>
      </c>
      <c r="I14" s="10">
        <v>0.53879685332861305</v>
      </c>
      <c r="J14" s="10">
        <v>0.29030204915681501</v>
      </c>
      <c r="K14" s="10">
        <v>6.2273358000000001E-2</v>
      </c>
      <c r="L14" s="10">
        <v>0.69410262700000003</v>
      </c>
      <c r="M14" s="10">
        <v>-0.29424045999999998</v>
      </c>
      <c r="N14" s="10">
        <v>0.89807375499999997</v>
      </c>
      <c r="O14" s="9">
        <v>0.34005232024999998</v>
      </c>
      <c r="P14" s="10">
        <v>0.552638526916156</v>
      </c>
      <c r="Q14" s="10">
        <v>0.305409341432059</v>
      </c>
    </row>
    <row r="15" spans="1:17" x14ac:dyDescent="0.2">
      <c r="A15" s="10">
        <v>1578</v>
      </c>
      <c r="B15" s="10" t="s">
        <v>2824</v>
      </c>
      <c r="C15" s="9" t="s">
        <v>90</v>
      </c>
      <c r="D15" s="10">
        <v>-0.340920267</v>
      </c>
      <c r="E15" s="10">
        <v>0.17142207200000001</v>
      </c>
      <c r="F15" s="10">
        <v>-0.15668807800000001</v>
      </c>
      <c r="G15" s="10">
        <v>-3.7202816E-2</v>
      </c>
      <c r="H15" s="9">
        <v>-9.0847272000000007E-2</v>
      </c>
      <c r="I15" s="10">
        <v>0.21489101968573501</v>
      </c>
      <c r="J15" s="10">
        <v>4.6178150341575297E-2</v>
      </c>
      <c r="K15" s="10">
        <v>-6.5634266999999996E-2</v>
      </c>
      <c r="L15" s="10">
        <v>3.626102E-3</v>
      </c>
      <c r="M15" s="10">
        <v>-0.261884638</v>
      </c>
      <c r="N15" s="10">
        <v>8.0885205000000002E-2</v>
      </c>
      <c r="O15" s="9">
        <v>-6.0751899499999998E-2</v>
      </c>
      <c r="P15" s="10">
        <v>0.146837566103038</v>
      </c>
      <c r="Q15" s="10">
        <v>2.1561270819064102E-2</v>
      </c>
    </row>
    <row r="16" spans="1:17" x14ac:dyDescent="0.2">
      <c r="A16" s="10">
        <v>1578</v>
      </c>
      <c r="B16" s="10" t="s">
        <v>74</v>
      </c>
      <c r="C16" s="9" t="s">
        <v>91</v>
      </c>
      <c r="D16" s="10">
        <v>-0.71061355999999998</v>
      </c>
      <c r="E16" s="10">
        <v>-0.60494495000000004</v>
      </c>
      <c r="F16" s="10">
        <v>-0.49814823400000002</v>
      </c>
      <c r="G16" s="10">
        <v>-5.4138563000000001E-2</v>
      </c>
      <c r="H16" s="9">
        <v>-0.46696132699999998</v>
      </c>
      <c r="I16" s="10">
        <v>0.28856030479313299</v>
      </c>
      <c r="J16" s="10">
        <v>8.3267049502306206E-2</v>
      </c>
      <c r="K16" s="10">
        <v>0.162400552</v>
      </c>
      <c r="L16" s="10">
        <v>-0.31513305600000002</v>
      </c>
      <c r="M16" s="10">
        <v>0.85187444999999995</v>
      </c>
      <c r="N16" s="10">
        <v>0.50550498499999996</v>
      </c>
      <c r="O16" s="9">
        <v>0.30116173275000002</v>
      </c>
      <c r="P16" s="10">
        <v>0.498034334025452</v>
      </c>
      <c r="Q16" s="10">
        <v>0.24803819786817499</v>
      </c>
    </row>
    <row r="17" spans="1:17" x14ac:dyDescent="0.2">
      <c r="A17" s="10">
        <v>1578</v>
      </c>
      <c r="B17" s="10" t="s">
        <v>2818</v>
      </c>
      <c r="C17" s="9" t="s">
        <v>92</v>
      </c>
      <c r="D17" s="10">
        <v>-0.31517570900000003</v>
      </c>
      <c r="E17" s="10">
        <v>-5.6404997999999998E-2</v>
      </c>
      <c r="F17" s="10">
        <v>-0.137876783</v>
      </c>
      <c r="G17" s="10">
        <v>0.33566453200000002</v>
      </c>
      <c r="H17" s="9">
        <v>-4.3448239749999999E-2</v>
      </c>
      <c r="I17" s="10">
        <v>0.274861746225045</v>
      </c>
      <c r="J17" s="10">
        <v>7.5548979537881103E-2</v>
      </c>
      <c r="K17" s="10">
        <v>-0.43973855099999998</v>
      </c>
      <c r="L17" s="10">
        <v>1.5775529E-2</v>
      </c>
      <c r="M17" s="10">
        <v>-0.370004577</v>
      </c>
      <c r="N17" s="10">
        <v>-0.19928402100000001</v>
      </c>
      <c r="O17" s="9">
        <v>-0.248312905</v>
      </c>
      <c r="P17" s="10">
        <v>0.20297715258909499</v>
      </c>
      <c r="Q17" s="10">
        <v>4.1199724473176901E-2</v>
      </c>
    </row>
    <row r="18" spans="1:17" x14ac:dyDescent="0.2">
      <c r="A18" s="10">
        <v>1578</v>
      </c>
      <c r="B18" s="10" t="s">
        <v>2830</v>
      </c>
      <c r="C18" s="9" t="s">
        <v>93</v>
      </c>
      <c r="D18" s="10">
        <v>-0.63851654800000002</v>
      </c>
      <c r="E18" s="10">
        <v>-0.20235552100000001</v>
      </c>
      <c r="F18" s="10">
        <v>-0.436672279</v>
      </c>
      <c r="G18" s="10">
        <v>5.6134661000000002E-2</v>
      </c>
      <c r="H18" s="9">
        <v>-0.30535242174999999</v>
      </c>
      <c r="I18" s="10">
        <v>0.299735723867597</v>
      </c>
      <c r="J18" s="10">
        <v>8.9841504162432306E-2</v>
      </c>
      <c r="K18" s="10">
        <v>2.3144926999999999E-2</v>
      </c>
      <c r="L18" s="10">
        <v>-0.15474682100000001</v>
      </c>
      <c r="M18" s="10">
        <v>-0.52810526999999996</v>
      </c>
      <c r="N18" s="10">
        <v>-0.24061217600000001</v>
      </c>
      <c r="O18" s="9">
        <v>-0.22507983500000001</v>
      </c>
      <c r="P18" s="10">
        <v>0.229947771752747</v>
      </c>
      <c r="Q18" s="10">
        <v>5.2875977734053399E-2</v>
      </c>
    </row>
    <row r="19" spans="1:17" x14ac:dyDescent="0.2">
      <c r="A19" s="10">
        <v>1578</v>
      </c>
      <c r="B19" s="10" t="s">
        <v>2835</v>
      </c>
      <c r="C19" s="9" t="s">
        <v>94</v>
      </c>
      <c r="D19" s="10">
        <v>-0.25724042499999999</v>
      </c>
      <c r="E19" s="10">
        <v>-1.524356914</v>
      </c>
      <c r="F19" s="10">
        <v>-0.81612708599999995</v>
      </c>
      <c r="G19" s="10">
        <v>-7.8404188999999999E-2</v>
      </c>
      <c r="H19" s="9">
        <v>-0.66903215324999998</v>
      </c>
      <c r="I19" s="10">
        <v>0.65105841652957497</v>
      </c>
      <c r="J19" s="10">
        <v>0.42387706173399697</v>
      </c>
      <c r="K19" s="10">
        <v>-0.34408897900000002</v>
      </c>
      <c r="L19" s="10">
        <v>-0.37574431699999999</v>
      </c>
      <c r="M19" s="10">
        <v>0.90012149299999999</v>
      </c>
      <c r="N19" s="10">
        <v>0.22560797199999999</v>
      </c>
      <c r="O19" s="9">
        <v>0.10147404224999999</v>
      </c>
      <c r="P19" s="10">
        <v>0.59986408222067</v>
      </c>
      <c r="Q19" s="10">
        <v>0.35983691713844701</v>
      </c>
    </row>
    <row r="20" spans="1:17" x14ac:dyDescent="0.2">
      <c r="A20" s="10">
        <v>1579</v>
      </c>
      <c r="B20" s="10" t="s">
        <v>2831</v>
      </c>
      <c r="C20" s="9" t="s">
        <v>95</v>
      </c>
      <c r="D20" s="10">
        <v>-1.475867829</v>
      </c>
      <c r="E20" s="10">
        <v>-2.435846808</v>
      </c>
      <c r="F20" s="10">
        <v>-0.41325734400000003</v>
      </c>
      <c r="G20" s="10">
        <v>-1.643037128</v>
      </c>
      <c r="H20" s="9">
        <v>-1.4920022774999999</v>
      </c>
      <c r="I20" s="10">
        <v>0.83218687320429796</v>
      </c>
      <c r="J20" s="10">
        <v>0.69253499193354695</v>
      </c>
      <c r="K20" s="10">
        <v>-0.27861391800000002</v>
      </c>
      <c r="L20" s="10">
        <v>-0.46662733299999998</v>
      </c>
      <c r="M20" s="10">
        <v>-7.9575608000000006E-2</v>
      </c>
      <c r="N20" s="10">
        <v>0.63313138400000002</v>
      </c>
      <c r="O20" s="9">
        <v>-4.7921368749999999E-2</v>
      </c>
      <c r="P20" s="10">
        <v>0.480752389374833</v>
      </c>
      <c r="Q20" s="10">
        <v>0.23112285988961101</v>
      </c>
    </row>
    <row r="21" spans="1:17" x14ac:dyDescent="0.2">
      <c r="A21" s="10">
        <v>1579</v>
      </c>
      <c r="B21" s="10" t="s">
        <v>2822</v>
      </c>
      <c r="C21" s="9" t="s">
        <v>22</v>
      </c>
      <c r="D21" s="10">
        <v>-7.0452527000000001E-2</v>
      </c>
      <c r="E21" s="10">
        <v>5.1583030000000004E-3</v>
      </c>
      <c r="F21" s="10">
        <v>-0.23585371299999999</v>
      </c>
      <c r="G21" s="10">
        <v>-0.107713691</v>
      </c>
      <c r="H21" s="9">
        <v>-0.10221540675</v>
      </c>
      <c r="I21" s="10">
        <v>0.100709850730622</v>
      </c>
      <c r="J21" s="10">
        <v>1.0142474034184199E-2</v>
      </c>
      <c r="K21" s="10">
        <v>-0.41853551900000002</v>
      </c>
      <c r="L21" s="10">
        <v>0.31662722799999998</v>
      </c>
      <c r="M21" s="10">
        <v>-0.41797848599999998</v>
      </c>
      <c r="N21" s="10">
        <v>0.22707925100000001</v>
      </c>
      <c r="O21" s="9">
        <v>-7.3201881750000003E-2</v>
      </c>
      <c r="P21" s="10">
        <v>0.40010903570092599</v>
      </c>
      <c r="Q21" s="10">
        <v>0.16008724044952499</v>
      </c>
    </row>
    <row r="22" spans="1:17" x14ac:dyDescent="0.2">
      <c r="A22" s="10">
        <v>1579</v>
      </c>
      <c r="B22" s="10" t="s">
        <v>96</v>
      </c>
      <c r="C22" s="9" t="s">
        <v>97</v>
      </c>
      <c r="D22" s="10">
        <v>-0.57322489899999995</v>
      </c>
      <c r="E22" s="10">
        <v>-0.457398941</v>
      </c>
      <c r="F22" s="10">
        <v>-0.11147813400000001</v>
      </c>
      <c r="G22" s="10">
        <v>-0.620204541</v>
      </c>
      <c r="H22" s="9">
        <v>-0.44057662850000001</v>
      </c>
      <c r="I22" s="10">
        <v>0.22981917521953499</v>
      </c>
      <c r="J22" s="10">
        <v>5.2816853298587603E-2</v>
      </c>
      <c r="K22" s="10">
        <v>-0.55661432200000005</v>
      </c>
      <c r="L22" s="10">
        <v>0.41221946399999998</v>
      </c>
      <c r="M22" s="10">
        <v>0.85661617099999998</v>
      </c>
      <c r="N22" s="10">
        <v>-0.76675729199999998</v>
      </c>
      <c r="O22" s="9">
        <v>-1.363399475E-2</v>
      </c>
      <c r="P22" s="10">
        <v>0.77474917574624702</v>
      </c>
      <c r="Q22" s="10">
        <v>0.60023628531948903</v>
      </c>
    </row>
    <row r="23" spans="1:17" x14ac:dyDescent="0.2">
      <c r="A23" s="10">
        <v>1579</v>
      </c>
      <c r="B23" s="10" t="s">
        <v>2821</v>
      </c>
      <c r="C23" s="9" t="s">
        <v>98</v>
      </c>
      <c r="D23" s="10">
        <v>0.25732970199999999</v>
      </c>
      <c r="E23" s="10">
        <v>0.60347138099999997</v>
      </c>
      <c r="F23" s="10">
        <v>-1.2705370000000001E-2</v>
      </c>
      <c r="G23" s="10">
        <v>0.47752120100000001</v>
      </c>
      <c r="H23" s="9">
        <v>0.33140422850000001</v>
      </c>
      <c r="I23" s="10">
        <v>0.27035110281388602</v>
      </c>
      <c r="J23" s="10">
        <v>7.3089718792684805E-2</v>
      </c>
      <c r="K23" s="10">
        <v>0.19502723299999999</v>
      </c>
      <c r="L23" s="10">
        <v>-9.4324278999999997E-2</v>
      </c>
      <c r="M23" s="10">
        <v>-0.242216184</v>
      </c>
      <c r="N23" s="10">
        <v>-0.200472704</v>
      </c>
      <c r="O23" s="9">
        <v>-8.5496483499999998E-2</v>
      </c>
      <c r="P23" s="10">
        <v>0.197105793334135</v>
      </c>
      <c r="Q23" s="10">
        <v>3.8850693765878803E-2</v>
      </c>
    </row>
    <row r="24" spans="1:17" x14ac:dyDescent="0.2">
      <c r="A24" s="10">
        <v>1579</v>
      </c>
      <c r="B24" s="10" t="s">
        <v>79</v>
      </c>
      <c r="C24" s="9" t="s">
        <v>99</v>
      </c>
      <c r="D24" s="10">
        <v>2.6896733999999999E-2</v>
      </c>
      <c r="E24" s="10">
        <v>-7.6177315999999995E-2</v>
      </c>
      <c r="F24" s="10">
        <v>-0.26971798600000002</v>
      </c>
      <c r="G24" s="10">
        <v>0.49046190899999997</v>
      </c>
      <c r="H24" s="9">
        <v>4.2865835249999998E-2</v>
      </c>
      <c r="I24" s="10">
        <v>0.32273682498176398</v>
      </c>
      <c r="J24" s="10">
        <v>0.10415905819931</v>
      </c>
      <c r="K24" s="10">
        <v>0.54749919599999997</v>
      </c>
      <c r="L24" s="10">
        <v>-0.14571732600000001</v>
      </c>
      <c r="M24" s="10">
        <v>-4.513123E-3</v>
      </c>
      <c r="N24" s="10">
        <v>-0.45067552100000002</v>
      </c>
      <c r="O24" s="9">
        <v>-1.3351693249999999E-2</v>
      </c>
      <c r="P24" s="10">
        <v>0.41769391957420898</v>
      </c>
      <c r="Q24" s="10">
        <v>0.174468210449266</v>
      </c>
    </row>
    <row r="25" spans="1:17" x14ac:dyDescent="0.2">
      <c r="A25" s="10">
        <v>1579</v>
      </c>
      <c r="B25" s="10" t="s">
        <v>2824</v>
      </c>
      <c r="C25" s="9" t="s">
        <v>100</v>
      </c>
      <c r="D25" s="10">
        <v>0.41174582900000001</v>
      </c>
      <c r="E25" s="10">
        <v>0.32283518300000003</v>
      </c>
      <c r="F25" s="10">
        <v>0.32201338200000001</v>
      </c>
      <c r="G25" s="10">
        <v>0.35524446399999998</v>
      </c>
      <c r="H25" s="9">
        <v>0.35295971450000002</v>
      </c>
      <c r="I25" s="10">
        <v>4.2135457086164001E-2</v>
      </c>
      <c r="J25" s="10">
        <v>1.7753967438598999E-3</v>
      </c>
      <c r="K25" s="10">
        <v>-0.406076518</v>
      </c>
      <c r="L25" s="10">
        <v>0.34129791700000001</v>
      </c>
      <c r="M25" s="10">
        <v>-0.225322782</v>
      </c>
      <c r="N25" s="10">
        <v>0.73829252300000003</v>
      </c>
      <c r="O25" s="9">
        <v>0.112047785</v>
      </c>
      <c r="P25" s="10">
        <v>0.52504278801250803</v>
      </c>
      <c r="Q25" s="10">
        <v>0.27566992924394701</v>
      </c>
    </row>
    <row r="26" spans="1:17" x14ac:dyDescent="0.2">
      <c r="A26" s="10">
        <v>1579</v>
      </c>
      <c r="B26" s="10" t="s">
        <v>2825</v>
      </c>
      <c r="C26" s="9" t="s">
        <v>101</v>
      </c>
      <c r="D26" s="10">
        <v>0.33408570700000001</v>
      </c>
      <c r="E26" s="10">
        <v>0.21361382800000001</v>
      </c>
      <c r="F26" s="10">
        <v>0.23728908300000001</v>
      </c>
      <c r="G26" s="10">
        <v>0.57342408899999997</v>
      </c>
      <c r="H26" s="9">
        <v>0.33960317649999999</v>
      </c>
      <c r="I26" s="10">
        <v>0.16436154381545301</v>
      </c>
      <c r="J26" s="10">
        <v>2.7014717085399001E-2</v>
      </c>
      <c r="K26" s="10">
        <v>6.1886587999999999E-2</v>
      </c>
      <c r="L26" s="10">
        <v>2.6548965000000001E-2</v>
      </c>
      <c r="M26" s="10">
        <v>-0.31211285100000002</v>
      </c>
      <c r="N26" s="10">
        <v>0.16941730599999999</v>
      </c>
      <c r="O26" s="9">
        <v>-1.3564998E-2</v>
      </c>
      <c r="P26" s="10">
        <v>0.20809886750095299</v>
      </c>
      <c r="Q26" s="10">
        <v>4.3305138655179598E-2</v>
      </c>
    </row>
    <row r="27" spans="1:17" x14ac:dyDescent="0.2">
      <c r="A27" s="10">
        <v>1579</v>
      </c>
      <c r="B27" s="10" t="s">
        <v>74</v>
      </c>
      <c r="C27" s="9" t="s">
        <v>102</v>
      </c>
      <c r="D27" s="10">
        <v>1.77151E-3</v>
      </c>
      <c r="E27" s="10">
        <v>-1.8891860999999999E-2</v>
      </c>
      <c r="F27" s="10">
        <v>3.73051E-4</v>
      </c>
      <c r="G27" s="10">
        <v>-6.8483516999999994E-2</v>
      </c>
      <c r="H27" s="9">
        <v>-2.130770425E-2</v>
      </c>
      <c r="I27" s="10">
        <v>3.2833412279969901E-2</v>
      </c>
      <c r="J27" s="10">
        <v>1.0780329619464E-3</v>
      </c>
      <c r="K27" s="10">
        <v>-8.5250702999999997E-2</v>
      </c>
      <c r="L27" s="10">
        <v>-0.13532126799999999</v>
      </c>
      <c r="M27" s="10">
        <v>-0.246571389</v>
      </c>
      <c r="N27" s="10">
        <v>-1.4152792000000001E-2</v>
      </c>
      <c r="O27" s="9">
        <v>-0.12032403799999999</v>
      </c>
      <c r="P27" s="10">
        <v>9.7751015079818704E-2</v>
      </c>
      <c r="Q27" s="10">
        <v>9.5552609491349003E-3</v>
      </c>
    </row>
    <row r="28" spans="1:17" x14ac:dyDescent="0.2">
      <c r="A28" s="10">
        <v>1579</v>
      </c>
      <c r="B28" s="10" t="s">
        <v>2818</v>
      </c>
      <c r="C28" s="9" t="s">
        <v>103</v>
      </c>
      <c r="D28" s="10">
        <v>0.127028206</v>
      </c>
      <c r="E28" s="10">
        <v>-8.1110094999999993E-2</v>
      </c>
      <c r="F28" s="10">
        <v>6.2409514999999999E-2</v>
      </c>
      <c r="G28" s="10">
        <v>0.31211324299999998</v>
      </c>
      <c r="H28" s="9">
        <v>0.10511021750000001</v>
      </c>
      <c r="I28" s="10">
        <v>0.16312776747857299</v>
      </c>
      <c r="J28" s="10">
        <v>2.6610668522543599E-2</v>
      </c>
      <c r="K28" s="10">
        <v>0.12707890599999999</v>
      </c>
      <c r="L28" s="10">
        <v>-0.12948684299999999</v>
      </c>
      <c r="M28" s="10">
        <v>-0.21473177099999999</v>
      </c>
      <c r="N28" s="10">
        <v>-0.180500151</v>
      </c>
      <c r="O28" s="9">
        <v>-9.9409964749999996E-2</v>
      </c>
      <c r="P28" s="10">
        <v>0.15500168222925501</v>
      </c>
      <c r="Q28" s="10">
        <v>2.40255214938992E-2</v>
      </c>
    </row>
    <row r="29" spans="1:17" x14ac:dyDescent="0.2">
      <c r="A29" s="10">
        <v>1579</v>
      </c>
      <c r="B29" s="10" t="s">
        <v>2830</v>
      </c>
      <c r="C29" s="9" t="s">
        <v>104</v>
      </c>
      <c r="D29" s="10">
        <v>-0.73124861200000002</v>
      </c>
      <c r="E29" s="10">
        <v>-5.8671695000000003E-2</v>
      </c>
      <c r="F29" s="10">
        <v>0.170913646</v>
      </c>
      <c r="G29" s="10">
        <v>-0.100732324</v>
      </c>
      <c r="H29" s="9">
        <v>-0.17993474625</v>
      </c>
      <c r="I29" s="10">
        <v>0.38644504749547698</v>
      </c>
      <c r="J29" s="10">
        <v>0.14933977473378199</v>
      </c>
      <c r="K29" s="10">
        <v>9.3897131999999994E-2</v>
      </c>
      <c r="L29" s="10">
        <v>8.1006843999999995E-2</v>
      </c>
      <c r="M29" s="10">
        <v>0.341405187</v>
      </c>
      <c r="N29" s="10">
        <v>8.5324959000000006E-2</v>
      </c>
      <c r="O29" s="9">
        <v>0.15040853074999999</v>
      </c>
      <c r="P29" s="10">
        <v>0.127443747489947</v>
      </c>
      <c r="Q29" s="10">
        <v>1.6241908774281499E-2</v>
      </c>
    </row>
    <row r="30" spans="1:17" x14ac:dyDescent="0.2">
      <c r="A30" s="10">
        <v>1579</v>
      </c>
      <c r="B30" s="10" t="s">
        <v>2835</v>
      </c>
      <c r="C30" s="9" t="s">
        <v>105</v>
      </c>
      <c r="D30" s="10">
        <v>-0.36121771800000002</v>
      </c>
      <c r="E30" s="10">
        <v>0.75686899100000005</v>
      </c>
      <c r="F30" s="10">
        <v>6.8146473999999999E-2</v>
      </c>
      <c r="G30" s="10">
        <v>3.7424059000000003E-2</v>
      </c>
      <c r="H30" s="9">
        <v>0.12530545174999999</v>
      </c>
      <c r="I30" s="10">
        <v>0.46424404025708899</v>
      </c>
      <c r="J30" s="10">
        <v>0.21552252891422599</v>
      </c>
      <c r="K30" s="10">
        <v>-0.20034959299999999</v>
      </c>
      <c r="L30" s="10">
        <v>-0.51651933000000005</v>
      </c>
      <c r="M30" s="10">
        <v>0.40625674299999998</v>
      </c>
      <c r="N30" s="10">
        <v>0.17527403899999999</v>
      </c>
      <c r="O30" s="9">
        <v>-3.3834535499999999E-2</v>
      </c>
      <c r="P30" s="10">
        <v>0.40747949010018503</v>
      </c>
      <c r="Q30" s="10">
        <v>0.16603953485230699</v>
      </c>
    </row>
    <row r="31" spans="1:17" x14ac:dyDescent="0.2">
      <c r="A31" s="10">
        <v>1580</v>
      </c>
      <c r="B31" s="10" t="s">
        <v>2831</v>
      </c>
      <c r="C31" s="9" t="s">
        <v>106</v>
      </c>
      <c r="D31" s="10">
        <v>-0.79045244299999995</v>
      </c>
      <c r="E31" s="10">
        <v>-3.4398673020000001</v>
      </c>
      <c r="F31" s="10">
        <v>-1.7434470950000001</v>
      </c>
      <c r="G31" s="10">
        <v>-0.17952944000000001</v>
      </c>
      <c r="H31" s="9">
        <v>-1.5383240702500001</v>
      </c>
      <c r="I31" s="10">
        <v>1.4216864323212</v>
      </c>
      <c r="J31" s="10">
        <v>2.0211923118462001</v>
      </c>
      <c r="K31" s="10">
        <v>-0.78705746700000001</v>
      </c>
      <c r="L31" s="10">
        <v>-0.13087468399999999</v>
      </c>
      <c r="M31" s="10">
        <v>0.69528274599999995</v>
      </c>
      <c r="N31" s="10">
        <v>0.141742063</v>
      </c>
      <c r="O31" s="9">
        <v>-2.0226836000000002E-2</v>
      </c>
      <c r="P31" s="10">
        <v>0.61602490455174896</v>
      </c>
      <c r="Q31" s="10">
        <v>0.37948668302799199</v>
      </c>
    </row>
    <row r="32" spans="1:17" x14ac:dyDescent="0.2">
      <c r="A32" s="10">
        <v>1580</v>
      </c>
      <c r="B32" s="10" t="s">
        <v>2822</v>
      </c>
      <c r="C32" s="9" t="s">
        <v>107</v>
      </c>
      <c r="D32" s="10">
        <v>0.86054491499999997</v>
      </c>
      <c r="E32" s="10">
        <v>0.574866039</v>
      </c>
      <c r="F32" s="10">
        <v>-0.42997342999999999</v>
      </c>
      <c r="G32" s="10">
        <v>9.2460905999999995E-2</v>
      </c>
      <c r="H32" s="9">
        <v>0.27447460750000002</v>
      </c>
      <c r="I32" s="10">
        <v>0.56659492953464097</v>
      </c>
      <c r="J32" s="10">
        <v>0.32102981417436499</v>
      </c>
      <c r="K32" s="10">
        <v>-1.288061261</v>
      </c>
      <c r="L32" s="10">
        <v>0.46662908800000003</v>
      </c>
      <c r="M32" s="10">
        <v>-0.54374656399999999</v>
      </c>
      <c r="N32" s="10">
        <v>-0.79210977999999999</v>
      </c>
      <c r="O32" s="9">
        <v>-0.53932212925</v>
      </c>
      <c r="P32" s="10">
        <v>0.73857279282299104</v>
      </c>
      <c r="Q32" s="10">
        <v>0.54548977029835299</v>
      </c>
    </row>
    <row r="33" spans="1:17" x14ac:dyDescent="0.2">
      <c r="A33" s="10">
        <v>1580</v>
      </c>
      <c r="B33" s="10" t="s">
        <v>2823</v>
      </c>
      <c r="C33" s="9" t="s">
        <v>108</v>
      </c>
      <c r="D33" s="10">
        <v>8.7076821999999998E-2</v>
      </c>
      <c r="E33" s="10">
        <v>-0.56863518499999999</v>
      </c>
      <c r="F33" s="10">
        <v>0.55684687899999996</v>
      </c>
      <c r="G33" s="10">
        <v>-6.0924079999999999E-2</v>
      </c>
      <c r="H33" s="9">
        <v>3.5911089999999999E-3</v>
      </c>
      <c r="I33" s="10">
        <v>0.463561197854929</v>
      </c>
      <c r="J33" s="10">
        <v>0.21488898415669699</v>
      </c>
      <c r="K33" s="10">
        <v>6.1081936000000003E-2</v>
      </c>
      <c r="L33" s="10">
        <v>-2.9149508000000001E-2</v>
      </c>
      <c r="M33" s="10">
        <v>-0.54080437800000003</v>
      </c>
      <c r="N33" s="10">
        <v>-0.35081968200000002</v>
      </c>
      <c r="O33" s="9">
        <v>-0.21492290824999999</v>
      </c>
      <c r="P33" s="10">
        <v>0.28009349375520498</v>
      </c>
      <c r="Q33" s="10">
        <v>7.8452365243997402E-2</v>
      </c>
    </row>
    <row r="34" spans="1:17" x14ac:dyDescent="0.2">
      <c r="A34" s="10">
        <v>1580</v>
      </c>
      <c r="B34" s="10" t="s">
        <v>2819</v>
      </c>
      <c r="C34" s="9" t="s">
        <v>109</v>
      </c>
      <c r="D34" s="10">
        <v>-0.41779373199999997</v>
      </c>
      <c r="E34" s="10">
        <v>-0.60749974100000004</v>
      </c>
      <c r="F34" s="10">
        <v>-0.30823987400000002</v>
      </c>
      <c r="G34" s="10">
        <v>-0.37462870100000001</v>
      </c>
      <c r="H34" s="9">
        <v>-0.42704051225</v>
      </c>
      <c r="I34" s="10">
        <v>0.12846740934720799</v>
      </c>
      <c r="J34" s="10">
        <v>1.6503875264383201E-2</v>
      </c>
      <c r="K34" s="10">
        <v>-0.48178659699999998</v>
      </c>
      <c r="L34" s="10">
        <v>-0.14862910700000001</v>
      </c>
      <c r="M34" s="10">
        <v>-0.50125454599999997</v>
      </c>
      <c r="N34" s="10">
        <v>-0.25075433899999999</v>
      </c>
      <c r="O34" s="9">
        <v>-0.34560614725</v>
      </c>
      <c r="P34" s="10">
        <v>0.17375112358533201</v>
      </c>
      <c r="Q34" s="10">
        <v>3.01894529471653E-2</v>
      </c>
    </row>
    <row r="35" spans="1:17" x14ac:dyDescent="0.2">
      <c r="A35" s="10">
        <v>1580</v>
      </c>
      <c r="B35" s="10" t="s">
        <v>2826</v>
      </c>
      <c r="C35" s="9" t="s">
        <v>110</v>
      </c>
      <c r="D35" s="10">
        <v>-0.34212050900000002</v>
      </c>
      <c r="E35" s="10">
        <v>0.20108506400000001</v>
      </c>
      <c r="F35" s="10">
        <v>0.244749985</v>
      </c>
      <c r="G35" s="10">
        <v>6.1400309E-2</v>
      </c>
      <c r="H35" s="9">
        <v>4.1278712250000002E-2</v>
      </c>
      <c r="I35" s="10">
        <v>0.26729413910835198</v>
      </c>
      <c r="J35" s="10">
        <v>7.1446156801675195E-2</v>
      </c>
      <c r="K35" s="10">
        <v>7.7579027999999994E-2</v>
      </c>
      <c r="L35" s="10">
        <v>-0.235088824</v>
      </c>
      <c r="M35" s="10">
        <v>0.19348008</v>
      </c>
      <c r="N35" s="10">
        <v>0.24287815400000001</v>
      </c>
      <c r="O35" s="9">
        <v>6.9712109499999994E-2</v>
      </c>
      <c r="P35" s="10">
        <v>0.21468619499059699</v>
      </c>
      <c r="Q35" s="10">
        <v>4.6090162319540599E-2</v>
      </c>
    </row>
    <row r="36" spans="1:17" x14ac:dyDescent="0.2">
      <c r="A36" s="10">
        <v>1580</v>
      </c>
      <c r="B36" s="10" t="s">
        <v>79</v>
      </c>
      <c r="C36" s="9" t="s">
        <v>111</v>
      </c>
      <c r="D36" s="10">
        <v>0.56103018100000002</v>
      </c>
      <c r="E36" s="10">
        <v>-0.38773882399999998</v>
      </c>
      <c r="F36" s="10">
        <v>-9.3234519999999994E-3</v>
      </c>
      <c r="G36" s="10">
        <v>-0.56838561200000004</v>
      </c>
      <c r="H36" s="9">
        <v>-0.10110442675</v>
      </c>
      <c r="I36" s="10">
        <v>0.49911821241125498</v>
      </c>
      <c r="J36" s="10">
        <v>0.249118989960607</v>
      </c>
      <c r="K36" s="10">
        <v>-7.5736796999999995E-2</v>
      </c>
      <c r="L36" s="10">
        <v>0.439659619</v>
      </c>
      <c r="M36" s="10">
        <v>4.7687539000000001E-2</v>
      </c>
      <c r="N36" s="10">
        <v>-1.1234038180000001</v>
      </c>
      <c r="O36" s="9">
        <v>-0.177948364</v>
      </c>
      <c r="P36" s="10">
        <v>0.66750390793235403</v>
      </c>
      <c r="Q36" s="10">
        <v>0.44556146710496503</v>
      </c>
    </row>
    <row r="37" spans="1:17" x14ac:dyDescent="0.2">
      <c r="A37" s="10">
        <v>1580</v>
      </c>
      <c r="B37" s="10" t="s">
        <v>2820</v>
      </c>
      <c r="C37" s="9" t="s">
        <v>112</v>
      </c>
      <c r="D37" s="10">
        <v>-4.6141369000000002E-2</v>
      </c>
      <c r="E37" s="10">
        <v>-0.15388331599999999</v>
      </c>
      <c r="F37" s="10">
        <v>-0.25717019800000002</v>
      </c>
      <c r="G37" s="10">
        <v>-0.19718718900000001</v>
      </c>
      <c r="H37" s="9">
        <v>-0.16359551775</v>
      </c>
      <c r="I37" s="10">
        <v>8.9021392714855596E-2</v>
      </c>
      <c r="J37" s="10">
        <v>7.9248083608925001E-3</v>
      </c>
      <c r="K37" s="10">
        <v>-0.12533978600000001</v>
      </c>
      <c r="L37" s="10">
        <v>-0.29148146600000002</v>
      </c>
      <c r="M37" s="10">
        <v>-0.13560894400000001</v>
      </c>
      <c r="N37" s="10">
        <v>-7.4937582000000003E-2</v>
      </c>
      <c r="O37" s="9">
        <v>-0.1568419445</v>
      </c>
      <c r="P37" s="10">
        <v>9.3593717108704205E-2</v>
      </c>
      <c r="Q37" s="10">
        <v>8.7597838822240995E-3</v>
      </c>
    </row>
    <row r="38" spans="1:17" x14ac:dyDescent="0.2">
      <c r="A38" s="10">
        <v>1580</v>
      </c>
      <c r="B38" s="10" t="s">
        <v>2824</v>
      </c>
      <c r="C38" s="9" t="s">
        <v>113</v>
      </c>
      <c r="D38" s="10">
        <v>-0.19940840200000001</v>
      </c>
      <c r="E38" s="10">
        <v>0.199376361</v>
      </c>
      <c r="F38" s="10">
        <v>-0.10851409300000001</v>
      </c>
      <c r="G38" s="10">
        <v>0.108568808</v>
      </c>
      <c r="H38" s="15">
        <v>5.668475E-6</v>
      </c>
      <c r="I38" s="10">
        <v>0.18536193283719399</v>
      </c>
      <c r="J38" s="10">
        <v>3.4359046145140598E-2</v>
      </c>
      <c r="K38" s="10">
        <v>0.29061780599999998</v>
      </c>
      <c r="L38" s="10">
        <v>-0.13490779</v>
      </c>
      <c r="M38" s="10">
        <v>-8.2482937000000006E-2</v>
      </c>
      <c r="N38" s="10">
        <v>-0.14733233900000001</v>
      </c>
      <c r="O38" s="9">
        <v>-1.8526315000000002E-2</v>
      </c>
      <c r="P38" s="10">
        <v>0.20800334659837999</v>
      </c>
      <c r="Q38" s="10">
        <v>4.32653921961259E-2</v>
      </c>
    </row>
    <row r="39" spans="1:17" x14ac:dyDescent="0.2">
      <c r="A39" s="10">
        <v>1580</v>
      </c>
      <c r="B39" s="10" t="s">
        <v>2814</v>
      </c>
      <c r="C39" s="9" t="s">
        <v>2580</v>
      </c>
      <c r="D39" s="10">
        <v>-6.2223111999999997E-2</v>
      </c>
      <c r="E39" s="10">
        <v>-1.5474026080000001</v>
      </c>
      <c r="F39" s="10">
        <v>-0.91215049199999998</v>
      </c>
      <c r="G39" s="10">
        <v>-0.17480627600000001</v>
      </c>
      <c r="H39" s="9">
        <v>-0.67414562200000006</v>
      </c>
      <c r="I39" s="10">
        <v>0.69354476482534499</v>
      </c>
      <c r="J39" s="10">
        <v>0.48100434081664301</v>
      </c>
      <c r="K39" s="10">
        <v>-1.27885168</v>
      </c>
      <c r="L39" s="10">
        <v>0.15697757200000001</v>
      </c>
      <c r="M39" s="10">
        <v>-0.24427309699999999</v>
      </c>
      <c r="N39" s="10">
        <v>0.77147892799999995</v>
      </c>
      <c r="O39" s="9">
        <v>-0.14866706900000001</v>
      </c>
      <c r="P39" s="10">
        <v>0.86149967496575397</v>
      </c>
      <c r="Q39" s="10">
        <v>0.74218168996610001</v>
      </c>
    </row>
    <row r="40" spans="1:17" x14ac:dyDescent="0.2">
      <c r="A40" s="10">
        <v>1580</v>
      </c>
      <c r="B40" s="10" t="s">
        <v>2833</v>
      </c>
      <c r="C40" s="9" t="s">
        <v>114</v>
      </c>
      <c r="D40" s="10">
        <v>-0.492244654</v>
      </c>
      <c r="E40" s="10">
        <v>-0.471693262</v>
      </c>
      <c r="F40" s="10">
        <v>-8.8476059999999995E-2</v>
      </c>
      <c r="G40" s="10">
        <v>-0.18573483299999999</v>
      </c>
      <c r="H40" s="9">
        <v>-0.30953720200000001</v>
      </c>
      <c r="I40" s="10">
        <v>0.20320076761945899</v>
      </c>
      <c r="J40" s="10">
        <v>4.1290551961137401E-2</v>
      </c>
      <c r="K40" s="10">
        <v>6.3372634999999997E-2</v>
      </c>
      <c r="L40" s="10">
        <v>-0.18610691500000001</v>
      </c>
      <c r="M40" s="10">
        <v>-0.14995455299999999</v>
      </c>
      <c r="N40" s="10">
        <v>-0.27816834699999998</v>
      </c>
      <c r="O40" s="9">
        <v>-0.13771429499999999</v>
      </c>
      <c r="P40" s="10">
        <v>0.14451639321822499</v>
      </c>
      <c r="Q40" s="10">
        <v>2.0884987908804799E-2</v>
      </c>
    </row>
    <row r="41" spans="1:17" x14ac:dyDescent="0.2">
      <c r="A41" s="10">
        <v>1580</v>
      </c>
      <c r="B41" s="10" t="s">
        <v>2825</v>
      </c>
      <c r="C41" s="9" t="s">
        <v>115</v>
      </c>
      <c r="D41" s="10">
        <v>0.11367698800000001</v>
      </c>
      <c r="E41" s="10">
        <v>-0.43576187100000002</v>
      </c>
      <c r="F41" s="10">
        <v>0.364220667</v>
      </c>
      <c r="G41" s="10">
        <v>8.4828107E-2</v>
      </c>
      <c r="H41" s="9">
        <v>3.1740972499999999E-2</v>
      </c>
      <c r="I41" s="10">
        <v>0.335972920744532</v>
      </c>
      <c r="J41" s="10">
        <v>0.112877803473612</v>
      </c>
      <c r="K41" s="10">
        <v>0.54574429599999996</v>
      </c>
      <c r="L41" s="10">
        <v>0.31178731500000001</v>
      </c>
      <c r="M41" s="10">
        <v>9.9142415999999997E-2</v>
      </c>
      <c r="N41" s="10">
        <v>-0.119238998</v>
      </c>
      <c r="O41" s="9">
        <v>0.20935875725</v>
      </c>
      <c r="P41" s="10">
        <v>0.28505611538592801</v>
      </c>
      <c r="Q41" s="10">
        <v>8.1256988918916001E-2</v>
      </c>
    </row>
    <row r="42" spans="1:17" x14ac:dyDescent="0.2">
      <c r="A42" s="10">
        <v>1580</v>
      </c>
      <c r="B42" s="10" t="s">
        <v>2818</v>
      </c>
      <c r="C42" s="9" t="s">
        <v>116</v>
      </c>
      <c r="D42" s="10">
        <v>-7.0759935999999996E-2</v>
      </c>
      <c r="E42" s="10">
        <v>-0.183607675</v>
      </c>
      <c r="F42" s="10">
        <v>7.3128314E-2</v>
      </c>
      <c r="G42" s="10">
        <v>0.205377485</v>
      </c>
      <c r="H42" s="9">
        <v>6.0345470000000003E-3</v>
      </c>
      <c r="I42" s="10">
        <v>0.16941147686924499</v>
      </c>
      <c r="J42" s="10">
        <v>2.8700248495018899E-2</v>
      </c>
      <c r="K42" s="10">
        <v>-8.4951039999999998E-3</v>
      </c>
      <c r="L42" s="10">
        <v>0.14591799499999999</v>
      </c>
      <c r="M42" s="10">
        <v>-0.85182691200000005</v>
      </c>
      <c r="N42" s="10">
        <v>0.20268354999999999</v>
      </c>
      <c r="O42" s="9">
        <v>-0.1279301175</v>
      </c>
      <c r="P42" s="10">
        <v>0.49077811598682503</v>
      </c>
      <c r="Q42" s="10">
        <v>0.24086315913157699</v>
      </c>
    </row>
    <row r="43" spans="1:17" x14ac:dyDescent="0.2">
      <c r="A43" s="10">
        <v>1580</v>
      </c>
      <c r="B43" s="10" t="s">
        <v>2830</v>
      </c>
      <c r="C43" s="9" t="s">
        <v>117</v>
      </c>
      <c r="D43" s="10">
        <v>0.20814920100000001</v>
      </c>
      <c r="E43" s="10">
        <v>0.198758082</v>
      </c>
      <c r="F43" s="10">
        <v>-0.61129685499999997</v>
      </c>
      <c r="G43" s="10">
        <v>-6.5602155999999995E-2</v>
      </c>
      <c r="H43" s="9">
        <v>-6.7497931999999997E-2</v>
      </c>
      <c r="I43" s="10">
        <v>0.384098281496151</v>
      </c>
      <c r="J43" s="10">
        <v>0.147531489848296</v>
      </c>
      <c r="K43" s="10">
        <v>-0.27077753199999999</v>
      </c>
      <c r="L43" s="10">
        <v>-0.25715453700000002</v>
      </c>
      <c r="M43" s="10">
        <v>-0.20752889999999999</v>
      </c>
      <c r="N43" s="10">
        <v>0.26737624700000001</v>
      </c>
      <c r="O43" s="9">
        <v>-0.11702118025</v>
      </c>
      <c r="P43" s="10">
        <v>0.25770228480959401</v>
      </c>
      <c r="Q43" s="10">
        <v>6.6410467596085307E-2</v>
      </c>
    </row>
    <row r="44" spans="1:17" x14ac:dyDescent="0.2">
      <c r="A44" s="10">
        <v>1581</v>
      </c>
      <c r="B44" s="10" t="s">
        <v>2831</v>
      </c>
      <c r="C44" s="9" t="s">
        <v>118</v>
      </c>
      <c r="D44" s="10">
        <v>-2.9797226299999999</v>
      </c>
      <c r="E44" s="10">
        <v>-1.3877395889999999</v>
      </c>
      <c r="F44" s="10">
        <v>-1.3261876429999999</v>
      </c>
      <c r="G44" s="10">
        <v>-0.67095347100000002</v>
      </c>
      <c r="H44" s="9">
        <v>-1.5911508335</v>
      </c>
      <c r="I44" s="10">
        <v>0.98089694441637998</v>
      </c>
      <c r="J44" s="10">
        <v>0.96215881556538996</v>
      </c>
      <c r="K44" s="10">
        <v>0.116660493</v>
      </c>
      <c r="L44" s="10">
        <v>-0.13916412</v>
      </c>
      <c r="M44" s="10">
        <v>-0.155448682</v>
      </c>
      <c r="N44" s="10">
        <v>-0.52065349800000005</v>
      </c>
      <c r="O44" s="9">
        <v>-0.17465145200000001</v>
      </c>
      <c r="P44" s="10">
        <v>0.26217561687033297</v>
      </c>
      <c r="Q44" s="10">
        <v>6.8736054081339995E-2</v>
      </c>
    </row>
    <row r="45" spans="1:17" x14ac:dyDescent="0.2">
      <c r="A45" s="10">
        <v>1581</v>
      </c>
      <c r="B45" s="10" t="s">
        <v>2826</v>
      </c>
      <c r="C45" s="9" t="s">
        <v>119</v>
      </c>
      <c r="D45" s="10">
        <v>-0.77084048000000005</v>
      </c>
      <c r="E45" s="10">
        <v>-0.14307600300000001</v>
      </c>
      <c r="F45" s="10">
        <v>-0.99503379000000003</v>
      </c>
      <c r="G45" s="10">
        <v>-0.26053073500000001</v>
      </c>
      <c r="H45" s="9">
        <v>-0.542370252</v>
      </c>
      <c r="I45" s="10">
        <v>0.40660067812056699</v>
      </c>
      <c r="J45" s="10">
        <v>0.16532411144810499</v>
      </c>
      <c r="K45" s="10">
        <v>0.46402374000000002</v>
      </c>
      <c r="L45" s="10">
        <v>0.83319060700000003</v>
      </c>
      <c r="M45" s="10">
        <v>-0.65919512999999996</v>
      </c>
      <c r="N45" s="10">
        <v>-1.177926177</v>
      </c>
      <c r="O45" s="9">
        <v>-0.13497674000000001</v>
      </c>
      <c r="P45" s="10">
        <v>0.94139931934506504</v>
      </c>
      <c r="Q45" s="10">
        <v>0.88623267846335196</v>
      </c>
    </row>
    <row r="46" spans="1:17" x14ac:dyDescent="0.2">
      <c r="A46" s="10">
        <v>1581</v>
      </c>
      <c r="B46" s="10" t="s">
        <v>2834</v>
      </c>
      <c r="C46" s="9" t="s">
        <v>120</v>
      </c>
      <c r="D46" s="10">
        <v>-0.63459490299999999</v>
      </c>
      <c r="E46" s="10">
        <v>0.29328111400000001</v>
      </c>
      <c r="F46" s="10">
        <v>-0.43068705400000001</v>
      </c>
      <c r="G46" s="10">
        <v>0.46614924400000002</v>
      </c>
      <c r="H46" s="9">
        <v>-7.6462899749999994E-2</v>
      </c>
      <c r="I46" s="10">
        <v>0.53793576405704702</v>
      </c>
      <c r="J46" s="10">
        <v>0.28937488625163799</v>
      </c>
      <c r="K46" s="10">
        <v>9.0917072000000002E-2</v>
      </c>
      <c r="L46" s="10">
        <v>2.2752620000000001E-2</v>
      </c>
      <c r="M46" s="10">
        <v>-1.152304057</v>
      </c>
      <c r="N46" s="10">
        <v>-0.92460369200000003</v>
      </c>
      <c r="O46" s="9">
        <v>-0.490809514</v>
      </c>
      <c r="P46" s="10">
        <v>0.63976670373486499</v>
      </c>
      <c r="Q46" s="10">
        <v>0.40930143520777401</v>
      </c>
    </row>
    <row r="47" spans="1:17" x14ac:dyDescent="0.2">
      <c r="A47" s="10">
        <v>1581</v>
      </c>
      <c r="B47" s="10" t="s">
        <v>2824</v>
      </c>
      <c r="C47" s="9" t="s">
        <v>121</v>
      </c>
      <c r="D47" s="10">
        <v>-0.116979443</v>
      </c>
      <c r="E47" s="10">
        <v>1.7646636E-2</v>
      </c>
      <c r="F47" s="10">
        <v>4.7656311E-2</v>
      </c>
      <c r="G47" s="10">
        <v>-5.6090536000000003E-2</v>
      </c>
      <c r="H47" s="9">
        <v>-2.6941758E-2</v>
      </c>
      <c r="I47" s="10">
        <v>7.4183180387202105E-2</v>
      </c>
      <c r="J47" s="10">
        <v>5.5031442523600996E-3</v>
      </c>
      <c r="K47" s="10">
        <v>0.17446479300000001</v>
      </c>
      <c r="L47" s="10">
        <v>-3.3994599E-2</v>
      </c>
      <c r="M47" s="10">
        <v>2.2060209999999999E-3</v>
      </c>
      <c r="N47" s="10">
        <v>-3.9650102999999999E-2</v>
      </c>
      <c r="O47" s="9">
        <v>2.5756527750000001E-2</v>
      </c>
      <c r="P47" s="10">
        <v>0.10085798434070101</v>
      </c>
      <c r="Q47" s="10">
        <v>1.01723330052691E-2</v>
      </c>
    </row>
    <row r="48" spans="1:17" x14ac:dyDescent="0.2">
      <c r="A48" s="10">
        <v>1581</v>
      </c>
      <c r="B48" s="10" t="s">
        <v>82</v>
      </c>
      <c r="C48" s="9" t="s">
        <v>122</v>
      </c>
      <c r="D48" s="10">
        <v>6.8846913999999995E-2</v>
      </c>
      <c r="E48" s="10">
        <v>0.25758411199999998</v>
      </c>
      <c r="F48" s="10">
        <v>-0.25644698399999999</v>
      </c>
      <c r="G48" s="10">
        <v>0.37749774600000002</v>
      </c>
      <c r="H48" s="9">
        <v>0.111870447</v>
      </c>
      <c r="I48" s="10">
        <v>0.27646524104126202</v>
      </c>
      <c r="J48" s="10">
        <v>7.6433029504003103E-2</v>
      </c>
      <c r="K48" s="10">
        <v>5.7947483000000001E-2</v>
      </c>
      <c r="L48" s="10">
        <v>0.18481979100000001</v>
      </c>
      <c r="M48" s="10">
        <v>-0.36524025700000001</v>
      </c>
      <c r="N48" s="10">
        <v>1.1168311E-2</v>
      </c>
      <c r="O48" s="9">
        <v>-2.7826167749999998E-2</v>
      </c>
      <c r="P48" s="10">
        <v>0.236603930604911</v>
      </c>
      <c r="Q48" s="10">
        <v>5.5981419977693597E-2</v>
      </c>
    </row>
    <row r="49" spans="1:17" x14ac:dyDescent="0.2">
      <c r="A49" s="10">
        <v>1581</v>
      </c>
      <c r="B49" s="10" t="s">
        <v>2814</v>
      </c>
      <c r="C49" s="9" t="s">
        <v>123</v>
      </c>
      <c r="D49" s="10">
        <v>2.8369186000000001E-2</v>
      </c>
      <c r="E49" s="10">
        <v>-0.14673802699999999</v>
      </c>
      <c r="F49" s="10">
        <v>-0.36824988800000003</v>
      </c>
      <c r="G49" s="10">
        <v>-2.1445605E-2</v>
      </c>
      <c r="H49" s="9">
        <v>-0.12701608349999999</v>
      </c>
      <c r="I49" s="10">
        <v>0.17689206821983</v>
      </c>
      <c r="J49" s="10">
        <v>3.1290803799089301E-2</v>
      </c>
      <c r="K49" s="10">
        <v>-0.145935599</v>
      </c>
      <c r="L49" s="10">
        <v>-0.196891915</v>
      </c>
      <c r="M49" s="10">
        <v>-0.49413061400000002</v>
      </c>
      <c r="N49" s="10">
        <v>-1.5108069E-2</v>
      </c>
      <c r="O49" s="9">
        <v>-0.21301654924999999</v>
      </c>
      <c r="P49" s="10">
        <v>0.20244566486777801</v>
      </c>
      <c r="Q49" s="10">
        <v>4.0984247223757E-2</v>
      </c>
    </row>
    <row r="50" spans="1:17" x14ac:dyDescent="0.2">
      <c r="A50" s="10">
        <v>1581</v>
      </c>
      <c r="B50" s="10" t="s">
        <v>2833</v>
      </c>
      <c r="C50" s="9" t="s">
        <v>124</v>
      </c>
      <c r="D50" s="10">
        <v>0.15375728</v>
      </c>
      <c r="E50" s="10">
        <v>-0.17487493700000001</v>
      </c>
      <c r="F50" s="10">
        <v>-0.56901700799999999</v>
      </c>
      <c r="G50" s="10">
        <v>7.1900879999999999E-3</v>
      </c>
      <c r="H50" s="9">
        <v>-0.14573614425</v>
      </c>
      <c r="I50" s="10">
        <v>0.31256919369372899</v>
      </c>
      <c r="J50" s="10">
        <v>9.7699500846348306E-2</v>
      </c>
      <c r="K50" s="10">
        <v>-0.186487862</v>
      </c>
      <c r="L50" s="10">
        <v>-0.21957022300000001</v>
      </c>
      <c r="M50" s="10">
        <v>-0.23442703000000001</v>
      </c>
      <c r="N50" s="10">
        <v>8.1464263999999995E-2</v>
      </c>
      <c r="O50" s="9">
        <v>-0.13975521275</v>
      </c>
      <c r="P50" s="10">
        <v>0.148834568388409</v>
      </c>
      <c r="Q50" s="10">
        <v>2.21517287473641E-2</v>
      </c>
    </row>
    <row r="51" spans="1:17" x14ac:dyDescent="0.2">
      <c r="A51" s="10">
        <v>1581</v>
      </c>
      <c r="B51" s="10" t="s">
        <v>2825</v>
      </c>
      <c r="C51" s="9" t="s">
        <v>125</v>
      </c>
      <c r="D51" s="10">
        <v>0.132056074</v>
      </c>
      <c r="E51" s="10">
        <v>-0.29548839700000001</v>
      </c>
      <c r="F51" s="10">
        <v>0.41716024899999998</v>
      </c>
      <c r="G51" s="10">
        <v>0.23733810699999999</v>
      </c>
      <c r="H51" s="9">
        <v>0.12276650825</v>
      </c>
      <c r="I51" s="10">
        <v>0.30266471418079</v>
      </c>
      <c r="J51" s="10">
        <v>9.16059292101397E-2</v>
      </c>
      <c r="K51" s="10">
        <v>0.17608885699999999</v>
      </c>
      <c r="L51" s="10">
        <v>-0.265367878</v>
      </c>
      <c r="M51" s="10">
        <v>0.22039435900000001</v>
      </c>
      <c r="N51" s="10">
        <v>0.40774398499999998</v>
      </c>
      <c r="O51" s="9">
        <v>0.13471483049999999</v>
      </c>
      <c r="P51" s="10">
        <v>0.28499349964545101</v>
      </c>
      <c r="Q51" s="10">
        <v>8.1221294840161898E-2</v>
      </c>
    </row>
    <row r="52" spans="1:17" x14ac:dyDescent="0.2">
      <c r="A52" s="10">
        <v>1581</v>
      </c>
      <c r="B52" s="10" t="s">
        <v>2818</v>
      </c>
      <c r="C52" s="9" t="s">
        <v>126</v>
      </c>
      <c r="D52" s="10">
        <v>0.22268174600000001</v>
      </c>
      <c r="E52" s="10">
        <v>0.14333359700000001</v>
      </c>
      <c r="F52" s="10">
        <v>-0.128577944</v>
      </c>
      <c r="G52" s="10">
        <v>0.104981224</v>
      </c>
      <c r="H52" s="9">
        <v>8.5604656000000001E-2</v>
      </c>
      <c r="I52" s="10">
        <v>0.15096621781275901</v>
      </c>
      <c r="J52" s="10">
        <v>2.2790798920689401E-2</v>
      </c>
      <c r="K52" s="10">
        <v>-0.10683454000000001</v>
      </c>
      <c r="L52" s="10">
        <v>-2.3335137999999998E-2</v>
      </c>
      <c r="M52" s="10">
        <v>-0.734640552</v>
      </c>
      <c r="N52" s="10">
        <v>-0.38654398400000001</v>
      </c>
      <c r="O52" s="9">
        <v>-0.31283855324999998</v>
      </c>
      <c r="P52" s="10">
        <v>0.32124720366516202</v>
      </c>
      <c r="Q52" s="10">
        <v>0.103199765862686</v>
      </c>
    </row>
    <row r="53" spans="1:17" x14ac:dyDescent="0.2">
      <c r="A53" s="10">
        <v>1581</v>
      </c>
      <c r="B53" s="10" t="s">
        <v>2830</v>
      </c>
      <c r="C53" s="9" t="s">
        <v>127</v>
      </c>
      <c r="D53" s="10">
        <v>0.35916373800000001</v>
      </c>
      <c r="E53" s="10">
        <v>-0.43437545799999999</v>
      </c>
      <c r="F53" s="10">
        <v>-0.873274518</v>
      </c>
      <c r="G53" s="10">
        <v>-0.160047314</v>
      </c>
      <c r="H53" s="9">
        <v>-0.27713338799999998</v>
      </c>
      <c r="I53" s="10">
        <v>0.51597561206454801</v>
      </c>
      <c r="J53" s="10">
        <v>0.26623083224538502</v>
      </c>
      <c r="K53" s="10">
        <v>0.21020145100000001</v>
      </c>
      <c r="L53" s="10">
        <v>-0.67707935900000005</v>
      </c>
      <c r="M53" s="10">
        <v>-0.77246500100000004</v>
      </c>
      <c r="N53" s="10">
        <v>-0.28807470299999999</v>
      </c>
      <c r="O53" s="9">
        <v>-0.38185440300000001</v>
      </c>
      <c r="P53" s="10">
        <v>0.44686283514552</v>
      </c>
      <c r="Q53" s="10">
        <v>0.19968639343429201</v>
      </c>
    </row>
    <row r="54" spans="1:17" x14ac:dyDescent="0.2">
      <c r="A54" s="10">
        <v>1581</v>
      </c>
      <c r="B54" s="10" t="s">
        <v>2832</v>
      </c>
      <c r="C54" s="9" t="s">
        <v>128</v>
      </c>
      <c r="D54" s="10">
        <v>0.14256218200000001</v>
      </c>
      <c r="E54" s="10">
        <v>-0.351359225</v>
      </c>
      <c r="F54" s="10">
        <v>0.20608942799999999</v>
      </c>
      <c r="G54" s="10">
        <v>-8.9670488000000007E-2</v>
      </c>
      <c r="H54" s="9">
        <v>-2.3094526000000001E-2</v>
      </c>
      <c r="I54" s="10">
        <v>0.25308595443857701</v>
      </c>
      <c r="J54" s="10">
        <v>6.4052500334085799E-2</v>
      </c>
      <c r="K54" s="10">
        <v>8.3831235000000004E-2</v>
      </c>
      <c r="L54" s="10">
        <v>-0.24932758599999999</v>
      </c>
      <c r="M54" s="10">
        <v>-0.14207288900000001</v>
      </c>
      <c r="N54" s="10">
        <v>-0.25385951299999998</v>
      </c>
      <c r="O54" s="9">
        <v>-0.14035718824999999</v>
      </c>
      <c r="P54" s="10">
        <v>0.15813572025091999</v>
      </c>
      <c r="Q54" s="10">
        <v>2.5006906019277401E-2</v>
      </c>
    </row>
    <row r="55" spans="1:17" x14ac:dyDescent="0.2">
      <c r="A55" s="10">
        <v>1582</v>
      </c>
      <c r="B55" s="10" t="s">
        <v>2831</v>
      </c>
      <c r="C55" s="9" t="s">
        <v>129</v>
      </c>
      <c r="D55" s="10">
        <v>-0.73952163900000001</v>
      </c>
      <c r="E55" s="10">
        <v>-5.5723492999999999</v>
      </c>
      <c r="F55" s="10">
        <v>-0.19502851199999999</v>
      </c>
      <c r="G55" s="10">
        <v>-1.229541977</v>
      </c>
      <c r="H55" s="9">
        <v>-1.934110357</v>
      </c>
      <c r="I55" s="10">
        <v>2.4620213292630799</v>
      </c>
      <c r="J55" s="10">
        <v>6.0615490257463502</v>
      </c>
      <c r="K55" s="10">
        <v>0.52850518499999999</v>
      </c>
      <c r="L55" s="10">
        <v>0.53798472100000005</v>
      </c>
      <c r="M55" s="10">
        <v>-7.8574547999999994E-2</v>
      </c>
      <c r="N55" s="10">
        <v>0.30540919300000002</v>
      </c>
      <c r="O55" s="9">
        <v>0.32333113775</v>
      </c>
      <c r="P55" s="10">
        <v>0.28868779376621201</v>
      </c>
      <c r="Q55" s="10">
        <v>8.3340642269603193E-2</v>
      </c>
    </row>
    <row r="56" spans="1:17" x14ac:dyDescent="0.2">
      <c r="A56" s="10">
        <v>1582</v>
      </c>
      <c r="B56" s="10" t="s">
        <v>2819</v>
      </c>
      <c r="C56" s="9" t="s">
        <v>130</v>
      </c>
      <c r="D56" s="10">
        <v>-6.9787168999999996E-2</v>
      </c>
      <c r="E56" s="10">
        <v>-0.249587803</v>
      </c>
      <c r="F56" s="10">
        <v>-0.62436650999999999</v>
      </c>
      <c r="G56" s="10">
        <v>-0.14794879899999999</v>
      </c>
      <c r="H56" s="9">
        <v>-0.27292256999999998</v>
      </c>
      <c r="I56" s="10">
        <v>0.24558758715310899</v>
      </c>
      <c r="J56" s="10">
        <v>6.0313262963686297E-2</v>
      </c>
      <c r="K56" s="10">
        <v>-0.10847836399999999</v>
      </c>
      <c r="L56" s="10">
        <v>-0.33550518699999998</v>
      </c>
      <c r="M56" s="10">
        <v>-0.32520497300000001</v>
      </c>
      <c r="N56" s="10">
        <v>-0.46807992300000001</v>
      </c>
      <c r="O56" s="9">
        <v>-0.30931711150000002</v>
      </c>
      <c r="P56" s="10">
        <v>0.14886243342337899</v>
      </c>
      <c r="Q56" s="10">
        <v>2.2160024084730001E-2</v>
      </c>
    </row>
    <row r="57" spans="1:17" x14ac:dyDescent="0.2">
      <c r="A57" s="10">
        <v>1582</v>
      </c>
      <c r="B57" s="10" t="s">
        <v>2826</v>
      </c>
      <c r="C57" s="9" t="s">
        <v>2579</v>
      </c>
      <c r="D57" s="10">
        <v>0.116204029</v>
      </c>
      <c r="E57" s="10">
        <v>-1.2816437110000001</v>
      </c>
      <c r="F57" s="10">
        <v>-0.21937267499999999</v>
      </c>
      <c r="G57" s="10">
        <v>-0.74775207499999996</v>
      </c>
      <c r="H57" s="9">
        <v>-0.53314110775000001</v>
      </c>
      <c r="I57" s="10">
        <v>0.61275708899673897</v>
      </c>
      <c r="J57" s="10">
        <v>0.37547125011575799</v>
      </c>
      <c r="K57" s="10">
        <v>-1.5744352049999999</v>
      </c>
      <c r="L57" s="10">
        <v>-0.51091212200000002</v>
      </c>
      <c r="M57" s="10">
        <v>-0.57175299499999999</v>
      </c>
      <c r="N57" s="10">
        <v>-5.272561187</v>
      </c>
      <c r="O57" s="9">
        <v>-1.9824153772499999</v>
      </c>
      <c r="P57" s="10">
        <v>2.24698297406924</v>
      </c>
      <c r="Q57" s="10">
        <v>5.0489324857570699</v>
      </c>
    </row>
    <row r="58" spans="1:17" x14ac:dyDescent="0.2">
      <c r="A58" s="10">
        <v>1582</v>
      </c>
      <c r="B58" s="10" t="s">
        <v>2821</v>
      </c>
      <c r="C58" s="9" t="s">
        <v>131</v>
      </c>
      <c r="D58" s="10">
        <v>-0.27033460199999998</v>
      </c>
      <c r="E58" s="10">
        <v>-1.5580256000000001E-2</v>
      </c>
      <c r="F58" s="10">
        <v>-2.7060623999999998E-2</v>
      </c>
      <c r="G58" s="10">
        <v>-0.22291362100000001</v>
      </c>
      <c r="H58" s="9">
        <v>-0.13397227575000001</v>
      </c>
      <c r="I58" s="10">
        <v>0.131595362805316</v>
      </c>
      <c r="J58" s="10">
        <v>1.73173395118629E-2</v>
      </c>
      <c r="K58" s="10">
        <v>0.155245041</v>
      </c>
      <c r="L58" s="10">
        <v>0.18634866899999999</v>
      </c>
      <c r="M58" s="10">
        <v>-0.13669716300000001</v>
      </c>
      <c r="N58" s="10">
        <v>-0.118947105</v>
      </c>
      <c r="O58" s="9">
        <v>2.14873605E-2</v>
      </c>
      <c r="P58" s="10">
        <v>0.17302654007238699</v>
      </c>
      <c r="Q58" s="10">
        <v>2.99381835694216E-2</v>
      </c>
    </row>
    <row r="59" spans="1:17" x14ac:dyDescent="0.2">
      <c r="A59" s="10">
        <v>1582</v>
      </c>
      <c r="B59" s="10" t="s">
        <v>79</v>
      </c>
      <c r="C59" s="9" t="s">
        <v>132</v>
      </c>
      <c r="D59" s="10">
        <v>-0.40126504499999999</v>
      </c>
      <c r="E59" s="10">
        <v>-0.32647928900000001</v>
      </c>
      <c r="F59" s="10">
        <v>-0.21852079199999999</v>
      </c>
      <c r="G59" s="10">
        <v>-0.431833776</v>
      </c>
      <c r="H59" s="9">
        <v>-0.34452472574999998</v>
      </c>
      <c r="I59" s="10">
        <v>9.4947289222532205E-2</v>
      </c>
      <c r="J59" s="10">
        <v>9.0149877307070993E-3</v>
      </c>
      <c r="K59" s="10">
        <v>-0.55188121300000004</v>
      </c>
      <c r="L59" s="10">
        <v>-7.2816268000000003E-2</v>
      </c>
      <c r="M59" s="10">
        <v>-0.54468729800000004</v>
      </c>
      <c r="N59" s="10">
        <v>-0.16220896200000001</v>
      </c>
      <c r="O59" s="9">
        <v>-0.33289843499999999</v>
      </c>
      <c r="P59" s="10">
        <v>0.25138656112042701</v>
      </c>
      <c r="Q59" s="10">
        <v>6.3195203111954507E-2</v>
      </c>
    </row>
    <row r="60" spans="1:17" x14ac:dyDescent="0.2">
      <c r="A60" s="10">
        <v>1582</v>
      </c>
      <c r="B60" s="10" t="s">
        <v>2820</v>
      </c>
      <c r="C60" s="9" t="s">
        <v>133</v>
      </c>
      <c r="D60" s="10">
        <v>-0.68788168999999999</v>
      </c>
      <c r="E60" s="10">
        <v>-7.9228087000000003E-2</v>
      </c>
      <c r="F60" s="10">
        <v>0.43803762699999998</v>
      </c>
      <c r="G60" s="10">
        <v>-0.13379754399999999</v>
      </c>
      <c r="H60" s="9">
        <v>-0.1157174235</v>
      </c>
      <c r="I60" s="10">
        <v>0.46031690759346899</v>
      </c>
      <c r="J60" s="10">
        <v>0.211891655416415</v>
      </c>
      <c r="K60" s="10">
        <v>-1.6338812000000001E-2</v>
      </c>
      <c r="L60" s="10">
        <v>8.3171830000000002E-2</v>
      </c>
      <c r="M60" s="10">
        <v>0.37501966199999998</v>
      </c>
      <c r="N60" s="10">
        <v>-0.20846778799999999</v>
      </c>
      <c r="O60" s="9">
        <v>5.8346223000000003E-2</v>
      </c>
      <c r="P60" s="10">
        <v>0.24335567156589499</v>
      </c>
      <c r="Q60" s="10">
        <v>5.9221982883288102E-2</v>
      </c>
    </row>
    <row r="61" spans="1:17" x14ac:dyDescent="0.2">
      <c r="A61" s="10">
        <v>1582</v>
      </c>
      <c r="B61" s="10" t="s">
        <v>2824</v>
      </c>
      <c r="C61" s="9" t="s">
        <v>134</v>
      </c>
      <c r="D61" s="10">
        <v>-0.40737198000000002</v>
      </c>
      <c r="E61" s="10">
        <v>-0.27034497200000002</v>
      </c>
      <c r="F61" s="10">
        <v>0.150063209</v>
      </c>
      <c r="G61" s="10">
        <v>-0.18273383500000001</v>
      </c>
      <c r="H61" s="9">
        <v>-0.17759689475000001</v>
      </c>
      <c r="I61" s="10">
        <v>0.237196351419247</v>
      </c>
      <c r="J61" s="10">
        <v>5.6262109126603101E-2</v>
      </c>
      <c r="K61" s="10">
        <v>0.188132943</v>
      </c>
      <c r="L61" s="10">
        <v>-2.1533456999999999E-2</v>
      </c>
      <c r="M61" s="10">
        <v>-3.6971881999999998E-2</v>
      </c>
      <c r="N61" s="10">
        <v>-6.3165823999999995E-2</v>
      </c>
      <c r="O61" s="9">
        <v>1.6615445E-2</v>
      </c>
      <c r="P61" s="10">
        <v>0.11562906690828301</v>
      </c>
      <c r="Q61" s="10">
        <v>1.3370081114080201E-2</v>
      </c>
    </row>
    <row r="62" spans="1:17" x14ac:dyDescent="0.2">
      <c r="A62" s="10">
        <v>1582</v>
      </c>
      <c r="B62" s="10" t="s">
        <v>2817</v>
      </c>
      <c r="C62" s="9" t="s">
        <v>135</v>
      </c>
      <c r="D62" s="10">
        <v>-6.1307611999999997E-2</v>
      </c>
      <c r="E62" s="10">
        <v>0.48961238000000001</v>
      </c>
      <c r="F62" s="10">
        <v>0.178368105</v>
      </c>
      <c r="G62" s="10">
        <v>0.63443782699999995</v>
      </c>
      <c r="H62" s="9">
        <v>0.31027767499999998</v>
      </c>
      <c r="I62" s="10">
        <v>0.31236543808737699</v>
      </c>
      <c r="J62" s="10">
        <v>9.7572166911519098E-2</v>
      </c>
      <c r="K62" s="10">
        <v>-0.106453327</v>
      </c>
      <c r="L62" s="10">
        <v>0.56128182100000001</v>
      </c>
      <c r="M62" s="10">
        <v>-0.10228810100000001</v>
      </c>
      <c r="N62" s="10">
        <v>-0.48237986199999999</v>
      </c>
      <c r="O62" s="9">
        <v>-3.2459867250000003E-2</v>
      </c>
      <c r="P62" s="10">
        <v>0.43409223611125902</v>
      </c>
      <c r="Q62" s="10">
        <v>0.188436069452073</v>
      </c>
    </row>
    <row r="63" spans="1:17" x14ac:dyDescent="0.2">
      <c r="A63" s="10">
        <v>1582</v>
      </c>
      <c r="B63" s="10" t="s">
        <v>82</v>
      </c>
      <c r="C63" s="9" t="s">
        <v>2578</v>
      </c>
      <c r="D63" s="10">
        <v>-8.0122619000000006E-2</v>
      </c>
      <c r="E63" s="10">
        <v>0.106109917</v>
      </c>
      <c r="F63" s="10">
        <v>-6.2218506999999999E-2</v>
      </c>
      <c r="G63" s="10">
        <v>0.64915478800000004</v>
      </c>
      <c r="H63" s="9">
        <v>0.15323089449999999</v>
      </c>
      <c r="I63" s="10">
        <v>0.34109294995854</v>
      </c>
      <c r="J63" s="10">
        <v>0.116344400511419</v>
      </c>
      <c r="K63" s="10">
        <v>1.039175484</v>
      </c>
      <c r="L63" s="10">
        <v>-3.7946616000000002E-2</v>
      </c>
      <c r="M63" s="10">
        <v>-0.31387367100000002</v>
      </c>
      <c r="N63" s="10">
        <v>0.708914237</v>
      </c>
      <c r="O63" s="9">
        <v>0.34906735825000001</v>
      </c>
      <c r="P63" s="10">
        <v>0.63113908290226095</v>
      </c>
      <c r="Q63" s="10">
        <v>0.39833654196670798</v>
      </c>
    </row>
    <row r="64" spans="1:17" x14ac:dyDescent="0.2">
      <c r="A64" s="10">
        <v>1582</v>
      </c>
      <c r="B64" s="10" t="s">
        <v>2814</v>
      </c>
      <c r="C64" s="9" t="s">
        <v>136</v>
      </c>
      <c r="D64" s="10">
        <v>7.2209923999999995E-2</v>
      </c>
      <c r="E64" s="10">
        <v>-0.73030778299999999</v>
      </c>
      <c r="F64" s="10">
        <v>-0.41859739000000001</v>
      </c>
      <c r="G64" s="10">
        <v>-0.39208278299999999</v>
      </c>
      <c r="H64" s="9">
        <v>-0.36719450825</v>
      </c>
      <c r="I64" s="10">
        <v>0.33075125993856702</v>
      </c>
      <c r="J64" s="10">
        <v>0.10939639595094899</v>
      </c>
      <c r="K64" s="10">
        <v>-0.24064555000000001</v>
      </c>
      <c r="L64" s="10">
        <v>0.162317242</v>
      </c>
      <c r="M64" s="10">
        <v>0.35667680899999998</v>
      </c>
      <c r="N64" s="10">
        <v>-0.31710765099999999</v>
      </c>
      <c r="O64" s="9">
        <v>-9.6897874999999998E-3</v>
      </c>
      <c r="P64" s="10">
        <v>0.322313102567089</v>
      </c>
      <c r="Q64" s="10">
        <v>0.103885736086422</v>
      </c>
    </row>
    <row r="65" spans="1:17" x14ac:dyDescent="0.2">
      <c r="A65" s="10">
        <v>1582</v>
      </c>
      <c r="B65" s="10" t="s">
        <v>2825</v>
      </c>
      <c r="C65" s="9" t="s">
        <v>137</v>
      </c>
      <c r="D65" s="10">
        <v>9.9694121999999996E-2</v>
      </c>
      <c r="E65" s="10">
        <v>-3.1110822999999999E-2</v>
      </c>
      <c r="F65" s="10">
        <v>-2.8960855000000001E-2</v>
      </c>
      <c r="G65" s="10">
        <v>0.28611246800000001</v>
      </c>
      <c r="H65" s="9">
        <v>8.1433728250000004E-2</v>
      </c>
      <c r="I65" s="10">
        <v>0.149532681503139</v>
      </c>
      <c r="J65" s="10">
        <v>2.2360022837519401E-2</v>
      </c>
      <c r="K65" s="10">
        <v>-0.35256490099999999</v>
      </c>
      <c r="L65" s="10">
        <v>0.28364637599999998</v>
      </c>
      <c r="M65" s="10">
        <v>-0.44770325799999999</v>
      </c>
      <c r="N65" s="10">
        <v>0.209460493</v>
      </c>
      <c r="O65" s="9">
        <v>-7.6790322499999994E-2</v>
      </c>
      <c r="P65" s="10">
        <v>0.37659977291021401</v>
      </c>
      <c r="Q65" s="10">
        <v>0.14182738895602401</v>
      </c>
    </row>
    <row r="66" spans="1:17" x14ac:dyDescent="0.2">
      <c r="A66" s="10">
        <v>1582</v>
      </c>
      <c r="B66" s="10" t="s">
        <v>74</v>
      </c>
      <c r="C66" s="9" t="s">
        <v>138</v>
      </c>
      <c r="D66" s="10">
        <v>-4.4150239000000001E-2</v>
      </c>
      <c r="E66" s="10">
        <v>-0.41195331000000002</v>
      </c>
      <c r="F66" s="10">
        <v>0.13472958300000001</v>
      </c>
      <c r="G66" s="10">
        <v>-6.0597796000000002E-2</v>
      </c>
      <c r="H66" s="9">
        <v>-9.5492940750000005E-2</v>
      </c>
      <c r="I66" s="10">
        <v>0.22876721785676801</v>
      </c>
      <c r="J66" s="10">
        <v>5.2334439965926099E-2</v>
      </c>
      <c r="K66" s="10">
        <v>0.62604693199999994</v>
      </c>
      <c r="L66" s="10">
        <v>6.8253524999999995E-2</v>
      </c>
      <c r="M66" s="10">
        <v>2.3935972E-2</v>
      </c>
      <c r="N66" s="10">
        <v>-6.0504694999999997E-2</v>
      </c>
      <c r="O66" s="9">
        <v>0.16443293349999999</v>
      </c>
      <c r="P66" s="10">
        <v>0.31234291792649099</v>
      </c>
      <c r="Q66" s="10">
        <v>9.7558098378834696E-2</v>
      </c>
    </row>
    <row r="67" spans="1:17" x14ac:dyDescent="0.2">
      <c r="A67" s="10">
        <v>1582</v>
      </c>
      <c r="B67" s="10" t="s">
        <v>2818</v>
      </c>
      <c r="C67" s="9" t="s">
        <v>139</v>
      </c>
      <c r="D67" s="10">
        <v>2.6537844000000001E-2</v>
      </c>
      <c r="E67" s="10">
        <v>2.0637804999999999E-2</v>
      </c>
      <c r="F67" s="10">
        <v>0.32392828200000001</v>
      </c>
      <c r="G67" s="10">
        <v>9.9007453999999995E-2</v>
      </c>
      <c r="H67" s="9">
        <v>0.11752784625</v>
      </c>
      <c r="I67" s="10">
        <v>0.142139609081782</v>
      </c>
      <c r="J67" s="10">
        <v>2.02036684699218E-2</v>
      </c>
      <c r="K67" s="10">
        <v>0.11064394499999999</v>
      </c>
      <c r="L67" s="10">
        <v>4.0320380000000003E-2</v>
      </c>
      <c r="M67" s="10">
        <v>-0.243263598</v>
      </c>
      <c r="N67" s="10">
        <v>-8.6234619999999998E-2</v>
      </c>
      <c r="O67" s="9">
        <v>-4.463347325E-2</v>
      </c>
      <c r="P67" s="10">
        <v>0.155470056784281</v>
      </c>
      <c r="Q67" s="10">
        <v>2.4170938556507801E-2</v>
      </c>
    </row>
    <row r="68" spans="1:17" x14ac:dyDescent="0.2">
      <c r="A68" s="10">
        <v>1582</v>
      </c>
      <c r="B68" s="10" t="s">
        <v>2830</v>
      </c>
      <c r="C68" s="9" t="s">
        <v>140</v>
      </c>
      <c r="D68" s="10">
        <v>-0.34911836400000001</v>
      </c>
      <c r="E68" s="10">
        <v>-2.1743539999999999E-3</v>
      </c>
      <c r="F68" s="10">
        <v>-0.21960027200000001</v>
      </c>
      <c r="G68" s="10">
        <v>-0.224805166</v>
      </c>
      <c r="H68" s="9">
        <v>-0.19892453925</v>
      </c>
      <c r="I68" s="10">
        <v>0.144182885201012</v>
      </c>
      <c r="J68" s="10">
        <v>2.0788704384888401E-2</v>
      </c>
      <c r="K68" s="10">
        <v>-3.1205450999999999E-2</v>
      </c>
      <c r="L68" s="10">
        <v>-0.121263077</v>
      </c>
      <c r="M68" s="10">
        <v>-0.24641848099999999</v>
      </c>
      <c r="N68" s="10">
        <v>-6.0739371E-2</v>
      </c>
      <c r="O68" s="9">
        <v>-0.114906595</v>
      </c>
      <c r="P68" s="10">
        <v>9.5351543748153703E-2</v>
      </c>
      <c r="Q68" s="10">
        <v>9.0919168951559999E-3</v>
      </c>
    </row>
    <row r="69" spans="1:17" x14ac:dyDescent="0.2">
      <c r="A69" s="10">
        <v>1583</v>
      </c>
      <c r="B69" s="10" t="s">
        <v>2822</v>
      </c>
      <c r="C69" s="9" t="s">
        <v>141</v>
      </c>
      <c r="D69" s="10">
        <v>-1.0153805840000001</v>
      </c>
      <c r="E69" s="10">
        <v>0.56653683200000005</v>
      </c>
      <c r="F69" s="10">
        <v>1.133622511</v>
      </c>
      <c r="G69" s="10">
        <v>0.66674082300000004</v>
      </c>
      <c r="H69" s="9">
        <v>0.33787989550000003</v>
      </c>
      <c r="I69" s="10">
        <v>0.93540610427505</v>
      </c>
      <c r="J69" s="10">
        <v>0.87498457991502498</v>
      </c>
      <c r="K69" s="10">
        <v>-0.11106746000000001</v>
      </c>
      <c r="L69" s="10">
        <v>5.8825449000000002E-2</v>
      </c>
      <c r="M69" s="10">
        <v>0.105469761</v>
      </c>
      <c r="N69" s="10">
        <v>0.346156352</v>
      </c>
      <c r="O69" s="9">
        <v>9.9846025500000005E-2</v>
      </c>
      <c r="P69" s="10">
        <v>0.188739317051907</v>
      </c>
      <c r="Q69" s="10">
        <v>3.56225298012205E-2</v>
      </c>
    </row>
    <row r="70" spans="1:17" x14ac:dyDescent="0.2">
      <c r="A70" s="10">
        <v>1583</v>
      </c>
      <c r="B70" s="10" t="s">
        <v>96</v>
      </c>
      <c r="C70" s="9" t="s">
        <v>142</v>
      </c>
      <c r="D70" s="10">
        <v>0.22847168700000001</v>
      </c>
      <c r="E70" s="10">
        <v>-0.84029784200000002</v>
      </c>
      <c r="F70" s="10">
        <v>-9.2396251999999998E-2</v>
      </c>
      <c r="G70" s="10">
        <v>-0.14836392000000001</v>
      </c>
      <c r="H70" s="9">
        <v>-0.21314658175000001</v>
      </c>
      <c r="I70" s="10">
        <v>0.44986028717260601</v>
      </c>
      <c r="J70" s="10">
        <v>0.202374277975019</v>
      </c>
      <c r="K70" s="10">
        <v>-0.43920915199999999</v>
      </c>
      <c r="L70" s="10">
        <v>0.33162639999999999</v>
      </c>
      <c r="M70" s="10">
        <v>-0.15982141399999999</v>
      </c>
      <c r="N70" s="10">
        <v>-0.29520106099999999</v>
      </c>
      <c r="O70" s="9">
        <v>-0.140651307</v>
      </c>
      <c r="P70" s="10">
        <v>0.33488114249888401</v>
      </c>
      <c r="Q70" s="10">
        <v>0.112145379601357</v>
      </c>
    </row>
    <row r="71" spans="1:17" x14ac:dyDescent="0.2">
      <c r="A71" s="10">
        <v>1583</v>
      </c>
      <c r="B71" s="10" t="s">
        <v>2821</v>
      </c>
      <c r="C71" s="9" t="s">
        <v>143</v>
      </c>
      <c r="D71" s="10">
        <v>0.113294952</v>
      </c>
      <c r="E71" s="10">
        <v>6.1276918E-2</v>
      </c>
      <c r="F71" s="10">
        <v>0.23549014099999999</v>
      </c>
      <c r="G71" s="10">
        <v>0.27306617700000002</v>
      </c>
      <c r="H71" s="9">
        <v>0.17078204699999999</v>
      </c>
      <c r="I71" s="10">
        <v>9.9908825182121894E-2</v>
      </c>
      <c r="J71" s="10">
        <v>9.9817733492718001E-3</v>
      </c>
      <c r="K71" s="10">
        <v>0.15891701499999999</v>
      </c>
      <c r="L71" s="10">
        <v>2.9784825000000001E-2</v>
      </c>
      <c r="M71" s="10">
        <v>-0.148521922</v>
      </c>
      <c r="N71" s="10">
        <v>3.486098E-2</v>
      </c>
      <c r="O71" s="9">
        <v>1.8760224499999999E-2</v>
      </c>
      <c r="P71" s="10">
        <v>0.126501671404984</v>
      </c>
      <c r="Q71" s="10">
        <v>1.6002672868254499E-2</v>
      </c>
    </row>
    <row r="72" spans="1:17" x14ac:dyDescent="0.2">
      <c r="A72" s="10">
        <v>1583</v>
      </c>
      <c r="B72" s="10" t="s">
        <v>2824</v>
      </c>
      <c r="C72" s="9" t="s">
        <v>144</v>
      </c>
      <c r="D72" s="10">
        <v>-3.6103745E-2</v>
      </c>
      <c r="E72" s="10">
        <v>0.109887475</v>
      </c>
      <c r="F72" s="10">
        <v>-7.1520987999999994E-2</v>
      </c>
      <c r="G72" s="10">
        <v>-0.11334696499999999</v>
      </c>
      <c r="H72" s="9">
        <v>-2.7771055499999999E-2</v>
      </c>
      <c r="I72" s="10">
        <v>9.7050841683160305E-2</v>
      </c>
      <c r="J72" s="10">
        <v>9.4188658714098004E-3</v>
      </c>
      <c r="K72" s="10">
        <v>4.6513143E-2</v>
      </c>
      <c r="L72" s="10">
        <v>-3.0852167999999999E-2</v>
      </c>
      <c r="M72" s="10">
        <v>-0.10447498</v>
      </c>
      <c r="N72" s="10">
        <v>-4.5567858000000003E-2</v>
      </c>
      <c r="O72" s="9">
        <v>-3.3595465749999998E-2</v>
      </c>
      <c r="P72" s="10">
        <v>6.2161506295856803E-2</v>
      </c>
      <c r="Q72" s="10">
        <v>3.8640528649698E-3</v>
      </c>
    </row>
    <row r="73" spans="1:17" x14ac:dyDescent="0.2">
      <c r="A73" s="10">
        <v>1583</v>
      </c>
      <c r="B73" s="10" t="s">
        <v>2817</v>
      </c>
      <c r="C73" s="9" t="s">
        <v>145</v>
      </c>
      <c r="D73" s="10">
        <v>0.239674526</v>
      </c>
      <c r="E73" s="10">
        <v>-0.13650536399999999</v>
      </c>
      <c r="F73" s="10">
        <v>2.6072827E-2</v>
      </c>
      <c r="G73" s="10">
        <v>-8.1397291999999996E-2</v>
      </c>
      <c r="H73" s="9">
        <v>1.196117425E-2</v>
      </c>
      <c r="I73" s="10">
        <v>0.16614313659116001</v>
      </c>
      <c r="J73" s="10">
        <v>2.7603541836348899E-2</v>
      </c>
      <c r="K73" s="10">
        <v>-8.7744723999999996E-2</v>
      </c>
      <c r="L73" s="10">
        <v>-1.1127291580000001</v>
      </c>
      <c r="M73" s="10">
        <v>-0.34888298699999998</v>
      </c>
      <c r="N73" s="10">
        <v>-0.68184831800000001</v>
      </c>
      <c r="O73" s="9">
        <v>-0.55780129675000001</v>
      </c>
      <c r="P73" s="10">
        <v>0.44269351188934702</v>
      </c>
      <c r="Q73" s="10">
        <v>0.19597754546892299</v>
      </c>
    </row>
    <row r="74" spans="1:17" x14ac:dyDescent="0.2">
      <c r="A74" s="10">
        <v>1583</v>
      </c>
      <c r="B74" s="10" t="s">
        <v>2814</v>
      </c>
      <c r="C74" s="9" t="s">
        <v>146</v>
      </c>
      <c r="D74" s="10">
        <v>-0.15247923399999999</v>
      </c>
      <c r="E74" s="10">
        <v>-0.47185639899999998</v>
      </c>
      <c r="F74" s="10">
        <v>-0.20069051399999999</v>
      </c>
      <c r="G74" s="10">
        <v>0.100951284</v>
      </c>
      <c r="H74" s="9">
        <v>-0.18101871575</v>
      </c>
      <c r="I74" s="10">
        <v>0.23473042724381299</v>
      </c>
      <c r="J74" s="10">
        <v>5.5098373474063198E-2</v>
      </c>
      <c r="K74" s="10">
        <v>-0.18078712799999999</v>
      </c>
      <c r="L74" s="10">
        <v>-1.2750009E-2</v>
      </c>
      <c r="M74" s="10">
        <v>0.53320023100000002</v>
      </c>
      <c r="N74" s="10">
        <v>0.67635305999999995</v>
      </c>
      <c r="O74" s="9">
        <v>0.25400403849999997</v>
      </c>
      <c r="P74" s="10">
        <v>0.41494187954160799</v>
      </c>
      <c r="Q74" s="10">
        <v>0.172176763397522</v>
      </c>
    </row>
    <row r="75" spans="1:17" x14ac:dyDescent="0.2">
      <c r="A75" s="10">
        <v>1583</v>
      </c>
      <c r="B75" s="10" t="s">
        <v>2833</v>
      </c>
      <c r="C75" s="9" t="s">
        <v>147</v>
      </c>
      <c r="D75" s="10">
        <v>-9.8576810000000001E-2</v>
      </c>
      <c r="E75" s="10">
        <v>0.16865459999999999</v>
      </c>
      <c r="F75" s="10">
        <v>-8.8943243000000005E-2</v>
      </c>
      <c r="G75" s="10">
        <v>-0.25430419599999998</v>
      </c>
      <c r="H75" s="9">
        <v>-6.8292412250000004E-2</v>
      </c>
      <c r="I75" s="10">
        <v>0.17520261781320801</v>
      </c>
      <c r="J75" s="10">
        <v>3.0695957288601201E-2</v>
      </c>
      <c r="K75" s="10">
        <v>0.334530773</v>
      </c>
      <c r="L75" s="10">
        <v>-0.13949637600000001</v>
      </c>
      <c r="M75" s="10">
        <v>-0.273111188</v>
      </c>
      <c r="N75" s="10">
        <v>-0.14047949000000001</v>
      </c>
      <c r="O75" s="9">
        <v>-5.4639069999999998E-2</v>
      </c>
      <c r="P75" s="10">
        <v>0.26692856293485701</v>
      </c>
      <c r="Q75" s="10">
        <v>7.1250857710468199E-2</v>
      </c>
    </row>
    <row r="76" spans="1:17" x14ac:dyDescent="0.2">
      <c r="A76" s="10">
        <v>1583</v>
      </c>
      <c r="B76" s="10" t="s">
        <v>2818</v>
      </c>
      <c r="C76" s="9" t="s">
        <v>148</v>
      </c>
      <c r="D76" s="10">
        <v>0.32489093899999999</v>
      </c>
      <c r="E76" s="10">
        <v>-0.65328951800000001</v>
      </c>
      <c r="F76" s="10">
        <v>-0.39891407099999998</v>
      </c>
      <c r="G76" s="10">
        <v>0.23523838699999999</v>
      </c>
      <c r="H76" s="9">
        <v>-0.12301856575</v>
      </c>
      <c r="I76" s="10">
        <v>0.47828742448322098</v>
      </c>
      <c r="J76" s="10">
        <v>0.22875886041879301</v>
      </c>
      <c r="K76" s="10">
        <v>-0.13410608700000001</v>
      </c>
      <c r="L76" s="10">
        <v>-0.22461874900000001</v>
      </c>
      <c r="M76" s="10">
        <v>9.4948141999999999E-2</v>
      </c>
      <c r="N76" s="10">
        <v>0.19456488999999999</v>
      </c>
      <c r="O76" s="9">
        <v>-1.7302951E-2</v>
      </c>
      <c r="P76" s="10">
        <v>0.19503085449017801</v>
      </c>
      <c r="Q76" s="10">
        <v>3.8037034203169E-2</v>
      </c>
    </row>
    <row r="77" spans="1:17" x14ac:dyDescent="0.2">
      <c r="A77" s="10">
        <v>1583</v>
      </c>
      <c r="B77" s="10" t="s">
        <v>2830</v>
      </c>
      <c r="C77" s="9" t="s">
        <v>149</v>
      </c>
      <c r="D77" s="10">
        <v>-0.39956185300000002</v>
      </c>
      <c r="E77" s="10">
        <v>-0.86210082399999999</v>
      </c>
      <c r="F77" s="10">
        <v>-0.31034683099999999</v>
      </c>
      <c r="G77" s="10">
        <v>-0.22078842900000001</v>
      </c>
      <c r="H77" s="9">
        <v>-0.44819948425</v>
      </c>
      <c r="I77" s="10">
        <v>0.28542312466373998</v>
      </c>
      <c r="J77" s="10">
        <v>8.1466360092812995E-2</v>
      </c>
      <c r="K77" s="10">
        <v>5.7267371999999997E-2</v>
      </c>
      <c r="L77" s="10">
        <v>0.65000586299999996</v>
      </c>
      <c r="M77" s="10">
        <v>-1.0161353879999999</v>
      </c>
      <c r="N77" s="10">
        <v>0.11314159</v>
      </c>
      <c r="O77" s="9">
        <v>-4.8930141000000003E-2</v>
      </c>
      <c r="P77" s="10">
        <v>0.69798344900829301</v>
      </c>
      <c r="Q77" s="10">
        <v>0.48718089508951301</v>
      </c>
    </row>
    <row r="78" spans="1:17" x14ac:dyDescent="0.2">
      <c r="A78" s="10">
        <v>1583</v>
      </c>
      <c r="B78" s="10" t="s">
        <v>2832</v>
      </c>
      <c r="C78" s="9" t="s">
        <v>150</v>
      </c>
      <c r="D78" s="10">
        <v>-1.1369155390000001</v>
      </c>
      <c r="E78" s="10">
        <v>-6.5529799E-2</v>
      </c>
      <c r="F78" s="10">
        <v>0.25426998499999998</v>
      </c>
      <c r="G78" s="10">
        <v>-0.383889117</v>
      </c>
      <c r="H78" s="9">
        <v>-0.33301611749999999</v>
      </c>
      <c r="I78" s="10">
        <v>0.59590162463852003</v>
      </c>
      <c r="J78" s="10">
        <v>0.35509874624682802</v>
      </c>
      <c r="K78" s="10">
        <v>-0.34003075199999999</v>
      </c>
      <c r="L78" s="10">
        <v>-0.17643434899999999</v>
      </c>
      <c r="M78" s="10">
        <v>-0.903542807</v>
      </c>
      <c r="N78" s="10">
        <v>-0.32360709500000001</v>
      </c>
      <c r="O78" s="9">
        <v>-0.43590375100000001</v>
      </c>
      <c r="P78" s="10">
        <v>0.320319022307888</v>
      </c>
      <c r="Q78" s="10">
        <v>0.10260427605228099</v>
      </c>
    </row>
    <row r="79" spans="1:17" x14ac:dyDescent="0.2">
      <c r="A79" s="10">
        <v>1584</v>
      </c>
      <c r="B79" s="10" t="s">
        <v>96</v>
      </c>
      <c r="C79" s="9" t="s">
        <v>151</v>
      </c>
      <c r="D79" s="10">
        <v>-1.1747766999999999E-2</v>
      </c>
      <c r="E79" s="10">
        <v>-0.264014529</v>
      </c>
      <c r="F79" s="10">
        <v>-0.58968525500000002</v>
      </c>
      <c r="G79" s="10">
        <v>-0.14445411</v>
      </c>
      <c r="H79" s="9">
        <v>-0.25247541499999998</v>
      </c>
      <c r="I79" s="10">
        <v>0.24729336841778601</v>
      </c>
      <c r="J79" s="10">
        <v>6.1154010063415101E-2</v>
      </c>
      <c r="K79" s="10">
        <v>0.28544012600000002</v>
      </c>
      <c r="L79" s="10">
        <v>-0.62656562500000001</v>
      </c>
      <c r="M79" s="10">
        <v>-1.1030569E-2</v>
      </c>
      <c r="N79" s="10">
        <v>-0.59924006699999999</v>
      </c>
      <c r="O79" s="9">
        <v>-0.23784903399999999</v>
      </c>
      <c r="P79" s="10">
        <v>0.44980819167356501</v>
      </c>
      <c r="Q79" s="10">
        <v>0.202327409296643</v>
      </c>
    </row>
    <row r="80" spans="1:17" x14ac:dyDescent="0.2">
      <c r="A80" s="10">
        <v>1584</v>
      </c>
      <c r="B80" s="10" t="s">
        <v>2819</v>
      </c>
      <c r="C80" s="9" t="s">
        <v>152</v>
      </c>
      <c r="D80" s="10">
        <v>0.14352848600000001</v>
      </c>
      <c r="E80" s="10">
        <v>0.34280756400000001</v>
      </c>
      <c r="F80" s="10">
        <v>-0.78371585399999999</v>
      </c>
      <c r="G80" s="10">
        <v>0.351210258</v>
      </c>
      <c r="H80" s="9">
        <v>1.345761375E-2</v>
      </c>
      <c r="I80" s="10">
        <v>0.54004697570982296</v>
      </c>
      <c r="J80" s="10">
        <v>0.29165073597332603</v>
      </c>
      <c r="K80" s="10">
        <v>-0.97195706500000001</v>
      </c>
      <c r="L80" s="10">
        <v>-0.16981284499999999</v>
      </c>
      <c r="M80" s="10">
        <v>0.53426217300000001</v>
      </c>
      <c r="N80" s="10">
        <v>-0.42390949700000002</v>
      </c>
      <c r="O80" s="9">
        <v>-0.25785430850000002</v>
      </c>
      <c r="P80" s="10">
        <v>0.62522446423340095</v>
      </c>
      <c r="Q80" s="10">
        <v>0.39090563067594303</v>
      </c>
    </row>
    <row r="81" spans="1:17" x14ac:dyDescent="0.2">
      <c r="A81" s="10">
        <v>1584</v>
      </c>
      <c r="B81" s="10" t="s">
        <v>2826</v>
      </c>
      <c r="C81" s="9" t="s">
        <v>153</v>
      </c>
      <c r="D81" s="10">
        <v>0.26712724700000001</v>
      </c>
      <c r="E81" s="10">
        <v>-8.6582672999999999E-2</v>
      </c>
      <c r="F81" s="10">
        <v>-0.124739875</v>
      </c>
      <c r="G81" s="10">
        <v>9.2693989000000004E-2</v>
      </c>
      <c r="H81" s="9">
        <v>3.7124672249999997E-2</v>
      </c>
      <c r="I81" s="10">
        <v>0.18027088162072499</v>
      </c>
      <c r="J81" s="10">
        <v>3.2497590760313701E-2</v>
      </c>
      <c r="K81" s="10">
        <v>0.19872970500000001</v>
      </c>
      <c r="L81" s="10">
        <v>-1.0076844E-2</v>
      </c>
      <c r="M81" s="10">
        <v>-0.14909635099999999</v>
      </c>
      <c r="N81" s="10">
        <v>-0.18632107000000001</v>
      </c>
      <c r="O81" s="9">
        <v>-3.6691139999999997E-2</v>
      </c>
      <c r="P81" s="10">
        <v>0.174313264387088</v>
      </c>
      <c r="Q81" s="10">
        <v>3.0385114141283E-2</v>
      </c>
    </row>
    <row r="82" spans="1:17" x14ac:dyDescent="0.2">
      <c r="A82" s="10">
        <v>1584</v>
      </c>
      <c r="B82" s="10" t="s">
        <v>2821</v>
      </c>
      <c r="C82" s="9" t="s">
        <v>154</v>
      </c>
      <c r="D82" s="10">
        <v>1.2532527E-2</v>
      </c>
      <c r="E82" s="10">
        <v>8.9437476000000002E-2</v>
      </c>
      <c r="F82" s="10">
        <v>-6.6526589999999997E-2</v>
      </c>
      <c r="G82" s="10">
        <v>0.48480381099999997</v>
      </c>
      <c r="H82" s="9">
        <v>0.13006180649999999</v>
      </c>
      <c r="I82" s="10">
        <v>0.244916553927714</v>
      </c>
      <c r="J82" s="10">
        <v>5.99841183878271E-2</v>
      </c>
      <c r="K82" s="10">
        <v>-0.16093273899999999</v>
      </c>
      <c r="L82" s="10">
        <v>-8.0279352999999998E-2</v>
      </c>
      <c r="M82" s="10">
        <v>-0.298785992</v>
      </c>
      <c r="N82" s="10">
        <v>-0.37661141999999997</v>
      </c>
      <c r="O82" s="9">
        <v>-0.22915237575</v>
      </c>
      <c r="P82" s="10">
        <v>0.13342926463636001</v>
      </c>
      <c r="Q82" s="10">
        <v>1.7803368661399799E-2</v>
      </c>
    </row>
    <row r="83" spans="1:17" x14ac:dyDescent="0.2">
      <c r="A83" s="10">
        <v>1584</v>
      </c>
      <c r="B83" s="10" t="s">
        <v>2834</v>
      </c>
      <c r="C83" s="9" t="s">
        <v>155</v>
      </c>
      <c r="D83" s="10">
        <v>-0.34189246600000001</v>
      </c>
      <c r="E83" s="10">
        <v>-0.196475803</v>
      </c>
      <c r="F83" s="10">
        <v>-0.20787826200000001</v>
      </c>
      <c r="G83" s="10">
        <v>-0.22511276899999999</v>
      </c>
      <c r="H83" s="9">
        <v>-0.24283982500000001</v>
      </c>
      <c r="I83" s="10">
        <v>6.7076095162935306E-2</v>
      </c>
      <c r="J83" s="10">
        <v>4.4992025423071002E-3</v>
      </c>
      <c r="K83" s="10">
        <v>-0.208624432</v>
      </c>
      <c r="L83" s="10">
        <v>-0.173220765</v>
      </c>
      <c r="M83" s="10">
        <v>-1.8051600000000001E-3</v>
      </c>
      <c r="N83" s="10">
        <v>-0.181926748</v>
      </c>
      <c r="O83" s="9">
        <v>-0.14139427600000001</v>
      </c>
      <c r="P83" s="10">
        <v>9.4270571353495897E-2</v>
      </c>
      <c r="Q83" s="10">
        <v>8.8869406233145001E-3</v>
      </c>
    </row>
    <row r="84" spans="1:17" x14ac:dyDescent="0.2">
      <c r="A84" s="10">
        <v>1584</v>
      </c>
      <c r="B84" s="10" t="s">
        <v>79</v>
      </c>
      <c r="C84" s="9" t="s">
        <v>156</v>
      </c>
      <c r="D84" s="10">
        <v>-0.74304886400000003</v>
      </c>
      <c r="E84" s="10">
        <v>-0.52479750700000005</v>
      </c>
      <c r="F84" s="10">
        <v>7.4272585000000002E-2</v>
      </c>
      <c r="G84" s="10">
        <v>0.61108124500000005</v>
      </c>
      <c r="H84" s="9">
        <v>-0.14562313525000001</v>
      </c>
      <c r="I84" s="10">
        <v>0.61145900719461599</v>
      </c>
      <c r="J84" s="10">
        <v>0.37388211747942601</v>
      </c>
      <c r="K84" s="10">
        <v>-0.40317264899999999</v>
      </c>
      <c r="L84" s="10">
        <v>-0.42283506700000001</v>
      </c>
      <c r="M84" s="10">
        <v>-0.135360284</v>
      </c>
      <c r="N84" s="10">
        <v>0.100010578</v>
      </c>
      <c r="O84" s="9">
        <v>-0.2153393555</v>
      </c>
      <c r="P84" s="10">
        <v>0.247775468838492</v>
      </c>
      <c r="Q84" s="10">
        <v>6.1392682958134902E-2</v>
      </c>
    </row>
    <row r="85" spans="1:17" x14ac:dyDescent="0.2">
      <c r="A85" s="10">
        <v>1584</v>
      </c>
      <c r="B85" s="10" t="s">
        <v>2820</v>
      </c>
      <c r="C85" s="9" t="s">
        <v>157</v>
      </c>
      <c r="D85" s="10">
        <v>-0.24892344699999999</v>
      </c>
      <c r="E85" s="10">
        <v>-0.33032121599999997</v>
      </c>
      <c r="F85" s="10">
        <v>6.9845567999999997E-2</v>
      </c>
      <c r="G85" s="10">
        <v>-0.26513958900000001</v>
      </c>
      <c r="H85" s="9">
        <v>-0.19363467100000001</v>
      </c>
      <c r="I85" s="10">
        <v>0.17914133152095199</v>
      </c>
      <c r="J85" s="10">
        <v>3.2091616659099598E-2</v>
      </c>
      <c r="K85" s="10">
        <v>0.75924091900000001</v>
      </c>
      <c r="L85" s="10">
        <v>1.1803246999999999E-2</v>
      </c>
      <c r="M85" s="10">
        <v>0.1526208</v>
      </c>
      <c r="N85" s="10">
        <v>-0.58917115600000003</v>
      </c>
      <c r="O85" s="9">
        <v>8.3623452500000001E-2</v>
      </c>
      <c r="P85" s="10">
        <v>0.55348300851566101</v>
      </c>
      <c r="Q85" s="10">
        <v>0.30634344071554798</v>
      </c>
    </row>
    <row r="86" spans="1:17" x14ac:dyDescent="0.2">
      <c r="A86" s="10">
        <v>1584</v>
      </c>
      <c r="B86" s="10" t="s">
        <v>2824</v>
      </c>
      <c r="C86" s="9" t="s">
        <v>158</v>
      </c>
      <c r="D86" s="10">
        <v>-0.38052947199999998</v>
      </c>
      <c r="E86" s="10">
        <v>6.7029438999999996E-2</v>
      </c>
      <c r="F86" s="10">
        <v>-1.6360402E-2</v>
      </c>
      <c r="G86" s="10">
        <v>-0.20192307200000001</v>
      </c>
      <c r="H86" s="9">
        <v>-0.13294587699999999</v>
      </c>
      <c r="I86" s="10">
        <v>0.19969793016242199</v>
      </c>
      <c r="J86" s="10">
        <v>3.9879263311155801E-2</v>
      </c>
      <c r="K86" s="10">
        <v>-0.12195075499999999</v>
      </c>
      <c r="L86" s="10">
        <v>-0.19564383499999999</v>
      </c>
      <c r="M86" s="10">
        <v>-0.38437283100000003</v>
      </c>
      <c r="N86" s="10">
        <v>-9.3893368000000005E-2</v>
      </c>
      <c r="O86" s="9">
        <v>-0.1989651975</v>
      </c>
      <c r="P86" s="10">
        <v>0.130841297910852</v>
      </c>
      <c r="Q86" s="10">
        <v>1.71194452389965E-2</v>
      </c>
    </row>
    <row r="87" spans="1:17" x14ac:dyDescent="0.2">
      <c r="A87" s="10">
        <v>1584</v>
      </c>
      <c r="B87" s="10" t="s">
        <v>2817</v>
      </c>
      <c r="C87" s="9" t="s">
        <v>159</v>
      </c>
      <c r="D87" s="10">
        <v>-0.15749807199999999</v>
      </c>
      <c r="E87" s="10">
        <v>1.9205916999999999E-2</v>
      </c>
      <c r="F87" s="10">
        <v>-5.6547844E-2</v>
      </c>
      <c r="G87" s="10">
        <v>0.133552119</v>
      </c>
      <c r="H87" s="9">
        <v>-1.5321970000000001E-2</v>
      </c>
      <c r="I87" s="10">
        <v>0.12284039241123999</v>
      </c>
      <c r="J87" s="10">
        <v>1.5089762007747601E-2</v>
      </c>
      <c r="K87" s="10">
        <v>-0.25400908100000003</v>
      </c>
      <c r="L87" s="10">
        <v>0.27660102600000003</v>
      </c>
      <c r="M87" s="10">
        <v>-1.9094954000000001E-2</v>
      </c>
      <c r="N87" s="10">
        <v>-0.26736375200000001</v>
      </c>
      <c r="O87" s="9">
        <v>-6.5966690499999994E-2</v>
      </c>
      <c r="P87" s="10">
        <v>0.25525824640700501</v>
      </c>
      <c r="Q87" s="10">
        <v>6.5156772358779702E-2</v>
      </c>
    </row>
    <row r="88" spans="1:17" x14ac:dyDescent="0.2">
      <c r="A88" s="10">
        <v>1584</v>
      </c>
      <c r="B88" s="10" t="s">
        <v>82</v>
      </c>
      <c r="C88" s="9" t="s">
        <v>160</v>
      </c>
      <c r="D88" s="10">
        <v>-0.25347474599999997</v>
      </c>
      <c r="E88" s="10">
        <v>0.52508218399999995</v>
      </c>
      <c r="F88" s="10">
        <v>-0.132543566</v>
      </c>
      <c r="G88" s="10">
        <v>-0.192737677</v>
      </c>
      <c r="H88" s="9">
        <v>-1.3418451499999999E-2</v>
      </c>
      <c r="I88" s="10">
        <v>0.362379238046521</v>
      </c>
      <c r="J88" s="10">
        <v>0.131318712167177</v>
      </c>
      <c r="K88" s="10">
        <v>9.7283994999999998E-2</v>
      </c>
      <c r="L88" s="10">
        <v>-0.16582196199999999</v>
      </c>
      <c r="M88" s="10">
        <v>-0.45587714099999999</v>
      </c>
      <c r="N88" s="10">
        <v>-4.6123351999999999E-2</v>
      </c>
      <c r="O88" s="9">
        <v>-0.14263461499999999</v>
      </c>
      <c r="P88" s="10">
        <v>0.23489990525466101</v>
      </c>
      <c r="Q88" s="10">
        <v>5.51779654886487E-2</v>
      </c>
    </row>
    <row r="89" spans="1:17" x14ac:dyDescent="0.2">
      <c r="A89" s="10">
        <v>1584</v>
      </c>
      <c r="B89" s="10" t="s">
        <v>2814</v>
      </c>
      <c r="C89" s="9" t="s">
        <v>161</v>
      </c>
      <c r="D89" s="10">
        <v>-0.426376005</v>
      </c>
      <c r="E89" s="10">
        <v>0.16836688999999999</v>
      </c>
      <c r="F89" s="10">
        <v>0.43678013700000001</v>
      </c>
      <c r="G89" s="10">
        <v>0.301510691</v>
      </c>
      <c r="H89" s="9">
        <v>0.12007042850000001</v>
      </c>
      <c r="I89" s="10">
        <v>0.380421635028168</v>
      </c>
      <c r="J89" s="10">
        <v>0.144720620397504</v>
      </c>
      <c r="K89" s="10">
        <v>-0.323255772</v>
      </c>
      <c r="L89" s="10">
        <v>-0.64737651200000002</v>
      </c>
      <c r="M89" s="10">
        <v>0.26668119899999998</v>
      </c>
      <c r="N89" s="10">
        <v>-0.716814383</v>
      </c>
      <c r="O89" s="9">
        <v>-0.35519136699999998</v>
      </c>
      <c r="P89" s="10">
        <v>0.44866050091022203</v>
      </c>
      <c r="Q89" s="10">
        <v>0.20129624507701099</v>
      </c>
    </row>
    <row r="90" spans="1:17" x14ac:dyDescent="0.2">
      <c r="A90" s="10">
        <v>1584</v>
      </c>
      <c r="B90" s="10" t="s">
        <v>2825</v>
      </c>
      <c r="C90" s="9" t="s">
        <v>162</v>
      </c>
      <c r="D90" s="10">
        <v>-0.83871216000000004</v>
      </c>
      <c r="E90" s="10">
        <v>-0.36942756700000001</v>
      </c>
      <c r="F90" s="10">
        <v>-0.64993893400000002</v>
      </c>
      <c r="G90" s="10">
        <v>1.266580947</v>
      </c>
      <c r="H90" s="9">
        <v>-0.14787442875000001</v>
      </c>
      <c r="I90" s="10">
        <v>0.96247863030945102</v>
      </c>
      <c r="J90" s="10">
        <v>0.92636511380235698</v>
      </c>
      <c r="K90" s="10">
        <v>-0.13936905899999999</v>
      </c>
      <c r="L90" s="10">
        <v>0.90400650400000004</v>
      </c>
      <c r="M90" s="10">
        <v>-3.8536659000000001E-2</v>
      </c>
      <c r="N90" s="10">
        <v>0.28789914599999999</v>
      </c>
      <c r="O90" s="9">
        <v>0.25349998325</v>
      </c>
      <c r="P90" s="10">
        <v>0.47045138633417999</v>
      </c>
      <c r="Q90" s="10">
        <v>0.22132450690375199</v>
      </c>
    </row>
    <row r="91" spans="1:17" x14ac:dyDescent="0.2">
      <c r="A91" s="10">
        <v>1584</v>
      </c>
      <c r="B91" s="10" t="s">
        <v>74</v>
      </c>
      <c r="C91" s="9" t="s">
        <v>163</v>
      </c>
      <c r="D91" s="10">
        <v>-0.30031018599999998</v>
      </c>
      <c r="E91" s="10">
        <v>0.126826406</v>
      </c>
      <c r="F91" s="10">
        <v>-0.80916703999999995</v>
      </c>
      <c r="G91" s="10">
        <v>0.13467079700000001</v>
      </c>
      <c r="H91" s="9">
        <v>-0.21199500574999999</v>
      </c>
      <c r="I91" s="10">
        <v>0.44698662821514601</v>
      </c>
      <c r="J91" s="10">
        <v>0.199797045803146</v>
      </c>
      <c r="K91" s="10">
        <v>-0.566759762</v>
      </c>
      <c r="L91" s="10">
        <v>0.29544293599999999</v>
      </c>
      <c r="M91" s="10">
        <v>-0.376807479</v>
      </c>
      <c r="N91" s="10">
        <v>0.46992716600000001</v>
      </c>
      <c r="O91" s="9">
        <v>-4.4549284750000001E-2</v>
      </c>
      <c r="P91" s="10">
        <v>0.50444029007167102</v>
      </c>
      <c r="Q91" s="10">
        <v>0.25446000624759202</v>
      </c>
    </row>
    <row r="92" spans="1:17" x14ac:dyDescent="0.2">
      <c r="A92" s="10">
        <v>1584</v>
      </c>
      <c r="B92" s="10" t="s">
        <v>2818</v>
      </c>
      <c r="C92" s="9" t="s">
        <v>164</v>
      </c>
      <c r="D92" s="10">
        <v>-0.64091863299999996</v>
      </c>
      <c r="E92" s="10">
        <v>-0.43055933899999999</v>
      </c>
      <c r="F92" s="10">
        <v>2.7991477000000001E-2</v>
      </c>
      <c r="G92" s="10">
        <v>0.331383961</v>
      </c>
      <c r="H92" s="9">
        <v>-0.1780256335</v>
      </c>
      <c r="I92" s="10">
        <v>0.43969094683542198</v>
      </c>
      <c r="J92" s="10">
        <v>0.19332812872902999</v>
      </c>
      <c r="K92" s="10">
        <v>-0.26462745100000001</v>
      </c>
      <c r="L92" s="10">
        <v>0.18798234699999999</v>
      </c>
      <c r="M92" s="10">
        <v>-0.31795309500000002</v>
      </c>
      <c r="N92" s="10">
        <v>-5.0316473E-2</v>
      </c>
      <c r="O92" s="9">
        <v>-0.11122866775</v>
      </c>
      <c r="P92" s="10">
        <v>0.23058165751088899</v>
      </c>
      <c r="Q92" s="10">
        <v>5.31679007804692E-2</v>
      </c>
    </row>
    <row r="93" spans="1:17" x14ac:dyDescent="0.2">
      <c r="A93" s="10">
        <v>1584</v>
      </c>
      <c r="B93" s="10" t="s">
        <v>2830</v>
      </c>
      <c r="C93" s="9" t="s">
        <v>165</v>
      </c>
      <c r="D93" s="10">
        <v>-0.45077383300000001</v>
      </c>
      <c r="E93" s="10">
        <v>-0.15936154899999999</v>
      </c>
      <c r="F93" s="10">
        <v>-4.5810417999999999E-2</v>
      </c>
      <c r="G93" s="10">
        <v>-1.065464448</v>
      </c>
      <c r="H93" s="9">
        <v>-0.43035256225000001</v>
      </c>
      <c r="I93" s="10">
        <v>0.45646939498963601</v>
      </c>
      <c r="J93" s="10">
        <v>0.208364308562205</v>
      </c>
      <c r="K93" s="10">
        <v>-8.1795053000000006E-2</v>
      </c>
      <c r="L93" s="10">
        <v>-9.8929801999999997E-2</v>
      </c>
      <c r="M93" s="10">
        <v>-0.53692744000000003</v>
      </c>
      <c r="N93" s="10">
        <v>-0.53134442500000001</v>
      </c>
      <c r="O93" s="9">
        <v>-0.31224917974999999</v>
      </c>
      <c r="P93" s="10">
        <v>0.25631836231522398</v>
      </c>
      <c r="Q93" s="10">
        <v>6.5699102859958794E-2</v>
      </c>
    </row>
    <row r="94" spans="1:17" x14ac:dyDescent="0.2">
      <c r="A94" s="10">
        <v>1584</v>
      </c>
      <c r="B94" s="10" t="s">
        <v>2835</v>
      </c>
      <c r="C94" s="9" t="s">
        <v>166</v>
      </c>
      <c r="D94" s="10">
        <v>-4.0282658999999998E-2</v>
      </c>
      <c r="E94" s="10">
        <v>-6.5649805000000006E-2</v>
      </c>
      <c r="F94" s="10">
        <v>-2.5348664E-2</v>
      </c>
      <c r="G94" s="10">
        <v>0.21563594</v>
      </c>
      <c r="H94" s="9">
        <v>2.108870325E-2</v>
      </c>
      <c r="I94" s="10">
        <v>0.130760683849068</v>
      </c>
      <c r="J94" s="10">
        <v>1.7098356440675901E-2</v>
      </c>
      <c r="K94" s="10">
        <v>0.132524269</v>
      </c>
      <c r="L94" s="10">
        <v>-8.7579946000000006E-2</v>
      </c>
      <c r="M94" s="10">
        <v>0.102804993</v>
      </c>
      <c r="N94" s="10">
        <v>-0.176561364</v>
      </c>
      <c r="O94" s="9">
        <v>-7.2030122499999998E-3</v>
      </c>
      <c r="P94" s="10">
        <v>0.14918464747992499</v>
      </c>
      <c r="Q94" s="10">
        <v>2.2256059043709701E-2</v>
      </c>
    </row>
    <row r="95" spans="1:17" x14ac:dyDescent="0.2">
      <c r="A95" s="10">
        <v>1585</v>
      </c>
      <c r="B95" s="10" t="s">
        <v>2834</v>
      </c>
      <c r="C95" s="9" t="s">
        <v>167</v>
      </c>
      <c r="D95" s="10">
        <v>-0.10103786300000001</v>
      </c>
      <c r="E95" s="10">
        <v>0.20805696700000001</v>
      </c>
      <c r="F95" s="10">
        <v>-7.5197554E-2</v>
      </c>
      <c r="G95" s="10">
        <v>0.41056394600000001</v>
      </c>
      <c r="H95" s="9">
        <v>0.11059637425</v>
      </c>
      <c r="I95" s="10">
        <v>0.24412260948938999</v>
      </c>
      <c r="J95" s="10">
        <v>5.9595848463909397E-2</v>
      </c>
      <c r="K95" s="10">
        <v>-8.3056328999999998E-2</v>
      </c>
      <c r="L95" s="10">
        <v>-0.168180054</v>
      </c>
      <c r="M95" s="10">
        <v>-0.29162985800000002</v>
      </c>
      <c r="N95" s="10">
        <v>-0.12595705500000001</v>
      </c>
      <c r="O95" s="9">
        <v>-0.167205824</v>
      </c>
      <c r="P95" s="10">
        <v>8.9934953927262404E-2</v>
      </c>
      <c r="Q95" s="10">
        <v>8.0882959378988008E-3</v>
      </c>
    </row>
    <row r="96" spans="1:17" x14ac:dyDescent="0.2">
      <c r="A96" s="10">
        <v>1585</v>
      </c>
      <c r="B96" s="10" t="s">
        <v>79</v>
      </c>
      <c r="C96" s="9" t="s">
        <v>168</v>
      </c>
      <c r="D96" s="10">
        <v>-0.368132448</v>
      </c>
      <c r="E96" s="10">
        <v>-4.9707384E-2</v>
      </c>
      <c r="F96" s="10">
        <v>-0.39927225599999999</v>
      </c>
      <c r="G96" s="10">
        <v>-8.1449538000000002E-2</v>
      </c>
      <c r="H96" s="9">
        <v>-0.22464040625000001</v>
      </c>
      <c r="I96" s="10">
        <v>0.184563842627601</v>
      </c>
      <c r="J96" s="10">
        <v>3.4063812005466002E-2</v>
      </c>
      <c r="K96" s="10">
        <v>-0.13847616099999999</v>
      </c>
      <c r="L96" s="10">
        <v>0.21906679500000001</v>
      </c>
      <c r="M96" s="10">
        <v>2.8156741999999998E-2</v>
      </c>
      <c r="N96" s="10">
        <v>-0.23791764200000001</v>
      </c>
      <c r="O96" s="9">
        <v>-3.2292566250000002E-2</v>
      </c>
      <c r="P96" s="10">
        <v>0.200326629056263</v>
      </c>
      <c r="Q96" s="10">
        <v>4.0130758309045597E-2</v>
      </c>
    </row>
    <row r="97" spans="1:17" x14ac:dyDescent="0.2">
      <c r="A97" s="10">
        <v>1585</v>
      </c>
      <c r="B97" s="10" t="s">
        <v>2820</v>
      </c>
      <c r="C97" s="9" t="s">
        <v>169</v>
      </c>
      <c r="D97" s="10">
        <v>-7.8225138E-2</v>
      </c>
      <c r="E97" s="10">
        <v>5.4600506E-2</v>
      </c>
      <c r="F97" s="10">
        <v>0.16343180199999999</v>
      </c>
      <c r="G97" s="10">
        <v>-5.2063219000000001E-2</v>
      </c>
      <c r="H97" s="9">
        <v>2.193598775E-2</v>
      </c>
      <c r="I97" s="10">
        <v>0.11044783069231</v>
      </c>
      <c r="J97" s="10">
        <v>1.2198723304637201E-2</v>
      </c>
      <c r="K97" s="10">
        <v>-4.0282762999999999E-2</v>
      </c>
      <c r="L97" s="10">
        <v>-0.45730757100000002</v>
      </c>
      <c r="M97" s="10">
        <v>0.18184320300000001</v>
      </c>
      <c r="N97" s="10">
        <v>-0.20601520000000001</v>
      </c>
      <c r="O97" s="9">
        <v>-0.13044058275000001</v>
      </c>
      <c r="P97" s="10">
        <v>0.26969312565984699</v>
      </c>
      <c r="Q97" s="10">
        <v>7.2734382028178293E-2</v>
      </c>
    </row>
    <row r="98" spans="1:17" x14ac:dyDescent="0.2">
      <c r="A98" s="10">
        <v>1585</v>
      </c>
      <c r="B98" s="10" t="s">
        <v>2824</v>
      </c>
      <c r="C98" s="9" t="s">
        <v>170</v>
      </c>
      <c r="D98" s="10">
        <v>-0.48064353999999998</v>
      </c>
      <c r="E98" s="10">
        <v>-0.294112816</v>
      </c>
      <c r="F98" s="10">
        <v>-0.358546539</v>
      </c>
      <c r="G98" s="10">
        <v>0.280269345</v>
      </c>
      <c r="H98" s="9">
        <v>-0.21325838750000001</v>
      </c>
      <c r="I98" s="10">
        <v>0.33798941211147798</v>
      </c>
      <c r="J98" s="10">
        <v>0.11423684269946199</v>
      </c>
      <c r="K98" s="10">
        <v>-0.154007646</v>
      </c>
      <c r="L98" s="10">
        <v>-0.38667091999999997</v>
      </c>
      <c r="M98" s="10">
        <v>-0.45863298800000002</v>
      </c>
      <c r="N98" s="10">
        <v>-0.37144621999999999</v>
      </c>
      <c r="O98" s="9">
        <v>-0.34268944350000002</v>
      </c>
      <c r="P98" s="10">
        <v>0.131409092390703</v>
      </c>
      <c r="Q98" s="10">
        <v>1.7268349562948399E-2</v>
      </c>
    </row>
    <row r="99" spans="1:17" x14ac:dyDescent="0.2">
      <c r="A99" s="10">
        <v>1585</v>
      </c>
      <c r="B99" s="10" t="s">
        <v>2825</v>
      </c>
      <c r="C99" s="9" t="s">
        <v>171</v>
      </c>
      <c r="D99" s="10">
        <v>-0.25194523899999999</v>
      </c>
      <c r="E99" s="10">
        <v>-0.359468332</v>
      </c>
      <c r="F99" s="10">
        <v>-0.104909115</v>
      </c>
      <c r="G99" s="10">
        <v>-0.39621436700000001</v>
      </c>
      <c r="H99" s="9">
        <v>-0.27813426325000001</v>
      </c>
      <c r="I99" s="10">
        <v>0.13070444855785901</v>
      </c>
      <c r="J99" s="10">
        <v>1.7083652872813999E-2</v>
      </c>
      <c r="K99" s="10">
        <v>0.25303849</v>
      </c>
      <c r="L99" s="10">
        <v>0.33846110699999998</v>
      </c>
      <c r="M99" s="10">
        <v>-0.259124984</v>
      </c>
      <c r="N99" s="10">
        <v>-0.50554971199999998</v>
      </c>
      <c r="O99" s="9">
        <v>-4.329377475E-2</v>
      </c>
      <c r="P99" s="10">
        <v>0.40571470406391602</v>
      </c>
      <c r="Q99" s="10">
        <v>0.16460442109367099</v>
      </c>
    </row>
    <row r="100" spans="1:17" x14ac:dyDescent="0.2">
      <c r="A100" s="10">
        <v>1585</v>
      </c>
      <c r="B100" s="10" t="s">
        <v>74</v>
      </c>
      <c r="C100" s="9" t="s">
        <v>172</v>
      </c>
      <c r="D100" s="10">
        <v>-0.35829489399999997</v>
      </c>
      <c r="E100" s="10">
        <v>-1.2199730230000001</v>
      </c>
      <c r="F100" s="10">
        <v>0.53369705000000001</v>
      </c>
      <c r="G100" s="10">
        <v>0.34216814800000001</v>
      </c>
      <c r="H100" s="9">
        <v>-0.17560067974999999</v>
      </c>
      <c r="I100" s="10">
        <v>0.79483302139171197</v>
      </c>
      <c r="J100" s="10">
        <v>0.63175953189467804</v>
      </c>
      <c r="K100" s="10">
        <v>0.86214970700000004</v>
      </c>
      <c r="L100" s="10">
        <v>-1.1021826539999999</v>
      </c>
      <c r="M100" s="10">
        <v>-3.2954347000000002E-2</v>
      </c>
      <c r="N100" s="10">
        <v>-0.29258342300000001</v>
      </c>
      <c r="O100" s="9">
        <v>-0.14139267924999999</v>
      </c>
      <c r="P100" s="10">
        <v>0.809286148297228</v>
      </c>
      <c r="Q100" s="10">
        <v>0.65494406982576303</v>
      </c>
    </row>
    <row r="101" spans="1:17" x14ac:dyDescent="0.2">
      <c r="A101" s="10">
        <v>1585</v>
      </c>
      <c r="B101" s="10" t="s">
        <v>2832</v>
      </c>
      <c r="C101" s="9" t="s">
        <v>173</v>
      </c>
      <c r="D101" s="10">
        <v>-0.58147298599999997</v>
      </c>
      <c r="E101" s="10">
        <v>6.8818673999999996E-2</v>
      </c>
      <c r="F101" s="10">
        <v>-0.44354090099999999</v>
      </c>
      <c r="G101" s="10">
        <v>-6.4306797999999998E-2</v>
      </c>
      <c r="H101" s="9">
        <v>-0.25512550299999998</v>
      </c>
      <c r="I101" s="10">
        <v>0.307329708865477</v>
      </c>
      <c r="J101" s="10">
        <v>9.4451549951339295E-2</v>
      </c>
      <c r="K101" s="10">
        <v>0.44146592699999998</v>
      </c>
      <c r="L101" s="10">
        <v>-0.39137662400000001</v>
      </c>
      <c r="M101" s="10">
        <v>-0.47725440400000002</v>
      </c>
      <c r="N101" s="10">
        <v>8.0728277000000001E-2</v>
      </c>
      <c r="O101" s="9">
        <v>-8.6609205999999994E-2</v>
      </c>
      <c r="P101" s="10">
        <v>0.42908896867067398</v>
      </c>
      <c r="Q101" s="10">
        <v>0.18411734303486199</v>
      </c>
    </row>
    <row r="102" spans="1:17" x14ac:dyDescent="0.2">
      <c r="A102" s="10">
        <v>1586</v>
      </c>
      <c r="B102" s="10" t="s">
        <v>2834</v>
      </c>
      <c r="C102" s="9" t="s">
        <v>174</v>
      </c>
      <c r="D102" s="10">
        <v>-0.54430621800000001</v>
      </c>
      <c r="E102" s="10">
        <v>0.45708769599999999</v>
      </c>
      <c r="F102" s="10">
        <v>0.57551947699999995</v>
      </c>
      <c r="G102" s="10">
        <v>-0.85168576100000004</v>
      </c>
      <c r="H102" s="9">
        <v>-9.0846201749999994E-2</v>
      </c>
      <c r="I102" s="10">
        <v>0.71385750104079804</v>
      </c>
      <c r="J102" s="10">
        <v>0.50959253179221298</v>
      </c>
      <c r="K102" s="10">
        <v>-0.13765147799999999</v>
      </c>
      <c r="L102" s="10">
        <v>-0.50803542999999995</v>
      </c>
      <c r="M102" s="10">
        <v>-0.90492080699999999</v>
      </c>
      <c r="N102" s="10">
        <v>-0.39684860799999999</v>
      </c>
      <c r="O102" s="9">
        <v>-0.48686408074999998</v>
      </c>
      <c r="P102" s="10">
        <v>0.318994189939654</v>
      </c>
      <c r="Q102" s="10">
        <v>0.10175729321525601</v>
      </c>
    </row>
    <row r="103" spans="1:17" x14ac:dyDescent="0.2">
      <c r="A103" s="10">
        <v>1586</v>
      </c>
      <c r="B103" s="10" t="s">
        <v>82</v>
      </c>
      <c r="C103" s="9" t="s">
        <v>175</v>
      </c>
      <c r="D103" s="10">
        <v>-0.162461562</v>
      </c>
      <c r="E103" s="10">
        <v>-0.82064694699999996</v>
      </c>
      <c r="F103" s="10">
        <v>-0.35562636600000003</v>
      </c>
      <c r="G103" s="10">
        <v>0.70717739499999999</v>
      </c>
      <c r="H103" s="9">
        <v>-0.15788937024999999</v>
      </c>
      <c r="I103" s="10">
        <v>0.63945522082088602</v>
      </c>
      <c r="J103" s="10">
        <v>0.40890297943508802</v>
      </c>
      <c r="K103" s="10">
        <v>-0.55185918300000003</v>
      </c>
      <c r="L103" s="10">
        <v>-4.6547748999999999E-2</v>
      </c>
      <c r="M103" s="10">
        <v>0.52630449999999995</v>
      </c>
      <c r="N103" s="10">
        <v>0.455895567</v>
      </c>
      <c r="O103" s="9">
        <v>9.5948283999999995E-2</v>
      </c>
      <c r="P103" s="10">
        <v>0.50157357483245102</v>
      </c>
      <c r="Q103" s="10">
        <v>0.25157605097020402</v>
      </c>
    </row>
    <row r="104" spans="1:17" x14ac:dyDescent="0.2">
      <c r="A104" s="10">
        <v>1586</v>
      </c>
      <c r="B104" s="10" t="s">
        <v>2818</v>
      </c>
      <c r="C104" s="9" t="s">
        <v>2577</v>
      </c>
      <c r="D104" s="10">
        <v>0.55039427299999999</v>
      </c>
      <c r="E104" s="10">
        <v>0.413771465</v>
      </c>
      <c r="F104" s="10">
        <v>0.39079473100000001</v>
      </c>
      <c r="G104" s="10">
        <v>-1.720979348</v>
      </c>
      <c r="H104" s="9">
        <v>-9.1504719750000005E-2</v>
      </c>
      <c r="I104" s="10">
        <v>1.0885982828195699</v>
      </c>
      <c r="J104" s="10">
        <v>1.18504622135773</v>
      </c>
      <c r="K104" s="10">
        <v>0.27726746400000002</v>
      </c>
      <c r="L104" s="10">
        <v>-5.5910398E-2</v>
      </c>
      <c r="M104" s="10">
        <v>-2.5427446480000002</v>
      </c>
      <c r="N104" s="10">
        <v>-0.17645523099999999</v>
      </c>
      <c r="O104" s="9">
        <v>-0.62446070325000003</v>
      </c>
      <c r="P104" s="10">
        <v>1.2931724985558399</v>
      </c>
      <c r="Q104" s="10">
        <v>1.6722951110211499</v>
      </c>
    </row>
    <row r="105" spans="1:17" x14ac:dyDescent="0.2">
      <c r="A105" s="10">
        <v>1586</v>
      </c>
      <c r="B105" s="10" t="s">
        <v>2830</v>
      </c>
      <c r="C105" s="9" t="s">
        <v>2576</v>
      </c>
      <c r="D105" s="10">
        <v>0.652874595</v>
      </c>
      <c r="E105" s="10">
        <v>-0.117870342</v>
      </c>
      <c r="F105" s="10">
        <v>-0.16692251499999999</v>
      </c>
      <c r="G105" s="10">
        <v>1.0070457799999999</v>
      </c>
      <c r="H105" s="9">
        <v>0.34378187924999998</v>
      </c>
      <c r="I105" s="10">
        <v>0.58005719851842596</v>
      </c>
      <c r="J105" s="10">
        <v>0.336466353553044</v>
      </c>
      <c r="K105" s="10">
        <v>-0.30919068799999999</v>
      </c>
      <c r="L105" s="10">
        <v>-0.32693819099999999</v>
      </c>
      <c r="M105" s="10">
        <v>0.452164925</v>
      </c>
      <c r="N105" s="10">
        <v>5.0478178999999998E-2</v>
      </c>
      <c r="O105" s="9">
        <v>-3.337144375E-2</v>
      </c>
      <c r="P105" s="10">
        <v>0.36743889070331098</v>
      </c>
      <c r="Q105" s="10">
        <v>0.13501133840127899</v>
      </c>
    </row>
    <row r="106" spans="1:17" x14ac:dyDescent="0.2">
      <c r="A106" s="10">
        <v>1587</v>
      </c>
      <c r="B106" s="10" t="s">
        <v>2831</v>
      </c>
      <c r="C106" s="9" t="s">
        <v>176</v>
      </c>
      <c r="D106" s="10">
        <v>-1.0796247059999999</v>
      </c>
      <c r="E106" s="10">
        <v>-0.533126973</v>
      </c>
      <c r="F106" s="10">
        <v>-0.28413107599999998</v>
      </c>
      <c r="G106" s="10">
        <v>-1.0225316250000001</v>
      </c>
      <c r="H106" s="9">
        <v>-0.72985359500000002</v>
      </c>
      <c r="I106" s="10">
        <v>0.38530082925859799</v>
      </c>
      <c r="J106" s="10">
        <v>0.14845672902736301</v>
      </c>
      <c r="K106" s="10">
        <v>-0.59457937199999999</v>
      </c>
      <c r="L106" s="10">
        <v>-0.103799984</v>
      </c>
      <c r="M106" s="10">
        <v>-0.38762063099999999</v>
      </c>
      <c r="N106" s="10">
        <v>-1.027723688</v>
      </c>
      <c r="O106" s="9">
        <v>-0.52843091850000001</v>
      </c>
      <c r="P106" s="10">
        <v>0.38893352267261799</v>
      </c>
      <c r="Q106" s="10">
        <v>0.15126928505853199</v>
      </c>
    </row>
    <row r="107" spans="1:17" x14ac:dyDescent="0.2">
      <c r="A107" s="10">
        <v>1587</v>
      </c>
      <c r="B107" s="10" t="s">
        <v>2822</v>
      </c>
      <c r="C107" s="9" t="s">
        <v>177</v>
      </c>
      <c r="D107" s="10">
        <v>-3.4793666000000001E-2</v>
      </c>
      <c r="E107" s="10">
        <v>-0.42454177599999998</v>
      </c>
      <c r="F107" s="10">
        <v>-0.55545752599999998</v>
      </c>
      <c r="G107" s="10">
        <v>0.14760110700000001</v>
      </c>
      <c r="H107" s="9">
        <v>-0.21679796500000001</v>
      </c>
      <c r="I107" s="10">
        <v>0.32851181500541599</v>
      </c>
      <c r="J107" s="10">
        <v>0.107920012598153</v>
      </c>
      <c r="K107" s="10">
        <v>-0.448920863</v>
      </c>
      <c r="L107" s="10">
        <v>0.53360777100000001</v>
      </c>
      <c r="M107" s="10">
        <v>-0.19637535</v>
      </c>
      <c r="N107" s="10">
        <v>-0.471147335</v>
      </c>
      <c r="O107" s="9">
        <v>-0.14570894425</v>
      </c>
      <c r="P107" s="10">
        <v>0.46971122268037502</v>
      </c>
      <c r="Q107" s="10">
        <v>0.22062863271189301</v>
      </c>
    </row>
    <row r="108" spans="1:17" x14ac:dyDescent="0.2">
      <c r="A108" s="10">
        <v>1587</v>
      </c>
      <c r="B108" s="10" t="s">
        <v>2823</v>
      </c>
      <c r="C108" s="9" t="s">
        <v>178</v>
      </c>
      <c r="D108" s="10">
        <v>-0.63929913800000004</v>
      </c>
      <c r="E108" s="10">
        <v>0.14753632699999999</v>
      </c>
      <c r="F108" s="10">
        <v>-0.207404529</v>
      </c>
      <c r="G108" s="10">
        <v>-0.28762341499999999</v>
      </c>
      <c r="H108" s="9">
        <v>-0.24669768875</v>
      </c>
      <c r="I108" s="10">
        <v>0.322890706276804</v>
      </c>
      <c r="J108" s="10">
        <v>0.104258408199933</v>
      </c>
      <c r="K108" s="10">
        <v>9.2498865E-2</v>
      </c>
      <c r="L108" s="10">
        <v>-0.250139889</v>
      </c>
      <c r="M108" s="10">
        <v>-0.30052751999999999</v>
      </c>
      <c r="N108" s="10">
        <v>0.13274606899999999</v>
      </c>
      <c r="O108" s="9">
        <v>-8.1355618749999997E-2</v>
      </c>
      <c r="P108" s="10">
        <v>0.22552853950867</v>
      </c>
      <c r="Q108" s="10">
        <v>5.08631221329141E-2</v>
      </c>
    </row>
    <row r="109" spans="1:17" x14ac:dyDescent="0.2">
      <c r="A109" s="10">
        <v>1587</v>
      </c>
      <c r="B109" s="10" t="s">
        <v>2821</v>
      </c>
      <c r="C109" s="9" t="s">
        <v>179</v>
      </c>
      <c r="D109" s="10">
        <v>-0.33480740799999997</v>
      </c>
      <c r="E109" s="10">
        <v>-0.60255968000000004</v>
      </c>
      <c r="F109" s="10">
        <v>-0.63171385099999999</v>
      </c>
      <c r="G109" s="10">
        <v>-0.18121580600000001</v>
      </c>
      <c r="H109" s="9">
        <v>-0.43757418625</v>
      </c>
      <c r="I109" s="10">
        <v>0.21694166067821199</v>
      </c>
      <c r="J109" s="10">
        <v>4.7063684137820597E-2</v>
      </c>
      <c r="K109" s="10">
        <v>-1.2347558780000001</v>
      </c>
      <c r="L109" s="10">
        <v>-0.29743761099999999</v>
      </c>
      <c r="M109" s="10">
        <v>0.235274334</v>
      </c>
      <c r="N109" s="10">
        <v>0.52120651200000001</v>
      </c>
      <c r="O109" s="9">
        <v>-0.19392816099999999</v>
      </c>
      <c r="P109" s="10">
        <v>0.77237057706685797</v>
      </c>
      <c r="Q109" s="10">
        <v>0.59655630831859197</v>
      </c>
    </row>
    <row r="110" spans="1:17" x14ac:dyDescent="0.2">
      <c r="A110" s="10">
        <v>1587</v>
      </c>
      <c r="B110" s="10" t="s">
        <v>2834</v>
      </c>
      <c r="C110" s="9" t="s">
        <v>180</v>
      </c>
      <c r="D110" s="10">
        <v>-0.237210541</v>
      </c>
      <c r="E110" s="10">
        <v>-1.7406759190000001</v>
      </c>
      <c r="F110" s="10">
        <v>0.24355668799999999</v>
      </c>
      <c r="G110" s="10">
        <v>0.58243315799999995</v>
      </c>
      <c r="H110" s="9">
        <v>-0.2879741535</v>
      </c>
      <c r="I110" s="10">
        <v>1.02519157351512</v>
      </c>
      <c r="J110" s="10">
        <v>1.0510177624064001</v>
      </c>
      <c r="K110" s="10">
        <v>-0.10245781800000001</v>
      </c>
      <c r="L110" s="10">
        <v>-0.393450356</v>
      </c>
      <c r="M110" s="10">
        <v>5.3676006999999998E-2</v>
      </c>
      <c r="N110" s="10">
        <v>-0.39411352300000002</v>
      </c>
      <c r="O110" s="9">
        <v>-0.20908642275</v>
      </c>
      <c r="P110" s="10">
        <v>0.222589938039577</v>
      </c>
      <c r="Q110" s="10">
        <v>4.95462805164631E-2</v>
      </c>
    </row>
    <row r="111" spans="1:17" x14ac:dyDescent="0.2">
      <c r="A111" s="10">
        <v>1587</v>
      </c>
      <c r="B111" s="10" t="s">
        <v>79</v>
      </c>
      <c r="C111" s="9" t="s">
        <v>2575</v>
      </c>
      <c r="D111" s="10">
        <v>-0.23397616700000001</v>
      </c>
      <c r="E111" s="10">
        <v>0.77914662199999996</v>
      </c>
      <c r="F111" s="10">
        <v>0.17068288200000001</v>
      </c>
      <c r="G111" s="10">
        <v>-1.274882252</v>
      </c>
      <c r="H111" s="9">
        <v>-0.13975722900000001</v>
      </c>
      <c r="I111" s="10">
        <v>0.86374058142842103</v>
      </c>
      <c r="J111" s="10">
        <v>0.746047792006307</v>
      </c>
      <c r="K111" s="10">
        <v>-4.4942304880000004</v>
      </c>
      <c r="L111" s="10">
        <v>-6.7222789000000005E-2</v>
      </c>
      <c r="M111" s="10">
        <v>-9.7886371E-2</v>
      </c>
      <c r="N111" s="10">
        <v>-1.715952476</v>
      </c>
      <c r="O111" s="9">
        <v>-1.5938230312499999</v>
      </c>
      <c r="P111" s="10">
        <v>2.0813147933909102</v>
      </c>
      <c r="Q111" s="10">
        <v>4.3318712691878698</v>
      </c>
    </row>
    <row r="112" spans="1:17" x14ac:dyDescent="0.2">
      <c r="A112" s="10">
        <v>1587</v>
      </c>
      <c r="B112" s="10" t="s">
        <v>2820</v>
      </c>
      <c r="C112" s="9" t="s">
        <v>181</v>
      </c>
      <c r="D112" s="10">
        <v>-0.78383429599999999</v>
      </c>
      <c r="E112" s="10">
        <v>-0.94130096100000005</v>
      </c>
      <c r="F112" s="10">
        <v>-0.62157538000000001</v>
      </c>
      <c r="G112" s="10">
        <v>-0.97939565699999998</v>
      </c>
      <c r="H112" s="9">
        <v>-0.83152657350000003</v>
      </c>
      <c r="I112" s="10">
        <v>0.16357438572032101</v>
      </c>
      <c r="J112" s="10">
        <v>2.6756579663780498E-2</v>
      </c>
      <c r="K112" s="10">
        <v>-0.70458332199999996</v>
      </c>
      <c r="L112" s="10">
        <v>-0.709903752</v>
      </c>
      <c r="M112" s="10">
        <v>-0.48210135399999998</v>
      </c>
      <c r="N112" s="10">
        <v>-0.352148191</v>
      </c>
      <c r="O112" s="9">
        <v>-0.56218415499999996</v>
      </c>
      <c r="P112" s="10">
        <v>0.17571469611233501</v>
      </c>
      <c r="Q112" s="10">
        <v>3.08756544298503E-2</v>
      </c>
    </row>
    <row r="113" spans="1:17" x14ac:dyDescent="0.2">
      <c r="A113" s="10">
        <v>1587</v>
      </c>
      <c r="B113" s="10" t="s">
        <v>2824</v>
      </c>
      <c r="C113" s="9" t="s">
        <v>182</v>
      </c>
      <c r="D113" s="10">
        <v>-0.103748704</v>
      </c>
      <c r="E113" s="10">
        <v>7.6505084000000001E-2</v>
      </c>
      <c r="F113" s="10">
        <v>-0.20696405400000001</v>
      </c>
      <c r="G113" s="10">
        <v>-1.8410254000000001E-2</v>
      </c>
      <c r="H113" s="9">
        <v>-6.3154481750000005E-2</v>
      </c>
      <c r="I113" s="10">
        <v>0.120880001341871</v>
      </c>
      <c r="J113" s="10">
        <v>1.4611974724410901E-2</v>
      </c>
      <c r="K113" s="10">
        <v>-0.175564518</v>
      </c>
      <c r="L113" s="10">
        <v>2.6947473E-2</v>
      </c>
      <c r="M113" s="10">
        <v>-0.149314839</v>
      </c>
      <c r="N113" s="10">
        <v>-0.24742333899999999</v>
      </c>
      <c r="O113" s="9">
        <v>-0.13633880549999999</v>
      </c>
      <c r="P113" s="10">
        <v>0.116489221669958</v>
      </c>
      <c r="Q113" s="10">
        <v>1.35697387652726E-2</v>
      </c>
    </row>
    <row r="114" spans="1:17" x14ac:dyDescent="0.2">
      <c r="A114" s="10">
        <v>1587</v>
      </c>
      <c r="B114" s="10" t="s">
        <v>82</v>
      </c>
      <c r="C114" s="9" t="s">
        <v>183</v>
      </c>
      <c r="D114" s="10">
        <v>-0.63040164499999995</v>
      </c>
      <c r="E114" s="10">
        <v>6.2478777999999999E-2</v>
      </c>
      <c r="F114" s="10">
        <v>-0.95182482700000004</v>
      </c>
      <c r="G114" s="10">
        <v>-0.58713893900000003</v>
      </c>
      <c r="H114" s="9">
        <v>-0.52672165824999995</v>
      </c>
      <c r="I114" s="10">
        <v>0.4251547348218</v>
      </c>
      <c r="J114" s="10">
        <v>0.180756548541395</v>
      </c>
      <c r="K114" s="10">
        <v>-4.0325620999999999E-2</v>
      </c>
      <c r="L114" s="10">
        <v>-0.971058121</v>
      </c>
      <c r="M114" s="10">
        <v>-3.5321057000000003E-2</v>
      </c>
      <c r="N114" s="10">
        <v>-0.119244663</v>
      </c>
      <c r="O114" s="9">
        <v>-0.29148736549999998</v>
      </c>
      <c r="P114" s="10">
        <v>0.45467474081521297</v>
      </c>
      <c r="Q114" s="10">
        <v>0.20672911993538101</v>
      </c>
    </row>
    <row r="115" spans="1:17" x14ac:dyDescent="0.2">
      <c r="A115" s="10">
        <v>1587</v>
      </c>
      <c r="B115" s="10" t="s">
        <v>2825</v>
      </c>
      <c r="C115" s="9" t="s">
        <v>184</v>
      </c>
      <c r="D115" s="10">
        <v>-0.43138560199999998</v>
      </c>
      <c r="E115" s="10">
        <v>-0.23293635700000001</v>
      </c>
      <c r="F115" s="10">
        <v>-0.26633257599999999</v>
      </c>
      <c r="G115" s="10">
        <v>-0.24935138000000001</v>
      </c>
      <c r="H115" s="9">
        <v>-0.29500147874999999</v>
      </c>
      <c r="I115" s="10">
        <v>9.1939374795363904E-2</v>
      </c>
      <c r="J115" s="10">
        <v>8.4528486377624008E-3</v>
      </c>
      <c r="K115" s="10">
        <v>-0.20180219299999999</v>
      </c>
      <c r="L115" s="10">
        <v>-9.2967944999999996E-2</v>
      </c>
      <c r="M115" s="10">
        <v>-0.27541791300000001</v>
      </c>
      <c r="N115" s="10">
        <v>2.048996E-3</v>
      </c>
      <c r="O115" s="9">
        <v>-0.14203476374999999</v>
      </c>
      <c r="P115" s="10">
        <v>0.12183444043583901</v>
      </c>
      <c r="Q115" s="10">
        <v>1.48436308763142E-2</v>
      </c>
    </row>
    <row r="116" spans="1:17" x14ac:dyDescent="0.2">
      <c r="A116" s="10">
        <v>1587</v>
      </c>
      <c r="B116" s="10" t="s">
        <v>2818</v>
      </c>
      <c r="C116" s="9" t="s">
        <v>185</v>
      </c>
      <c r="D116" s="10">
        <v>-0.55588172599999996</v>
      </c>
      <c r="E116" s="10">
        <v>0.16972048100000001</v>
      </c>
      <c r="F116" s="10">
        <v>0.38311706699999998</v>
      </c>
      <c r="G116" s="10">
        <v>-7.5935727999999994E-2</v>
      </c>
      <c r="H116" s="9">
        <v>-1.9744976500000001E-2</v>
      </c>
      <c r="I116" s="10">
        <v>0.403647949083208</v>
      </c>
      <c r="J116" s="10">
        <v>0.16293166679908</v>
      </c>
      <c r="K116" s="10">
        <v>-0.30756158900000002</v>
      </c>
      <c r="L116" s="10">
        <v>-0.30238933800000001</v>
      </c>
      <c r="M116" s="10">
        <v>-0.21309057200000001</v>
      </c>
      <c r="N116" s="10">
        <v>0.148786787</v>
      </c>
      <c r="O116" s="9">
        <v>-0.16856367799999999</v>
      </c>
      <c r="P116" s="10">
        <v>0.21596580629180001</v>
      </c>
      <c r="Q116" s="10">
        <v>4.6641229487267601E-2</v>
      </c>
    </row>
    <row r="117" spans="1:17" x14ac:dyDescent="0.2">
      <c r="A117" s="10">
        <v>1587</v>
      </c>
      <c r="B117" s="10" t="s">
        <v>2830</v>
      </c>
      <c r="C117" s="9" t="s">
        <v>186</v>
      </c>
      <c r="D117" s="10">
        <v>0.107178987</v>
      </c>
      <c r="E117" s="10">
        <v>0.42340018600000001</v>
      </c>
      <c r="F117" s="10">
        <v>-0.10582019400000001</v>
      </c>
      <c r="G117" s="10">
        <v>-6.2865489999999998E-3</v>
      </c>
      <c r="H117" s="9">
        <v>0.1046181075</v>
      </c>
      <c r="I117" s="10">
        <v>0.229646607673748</v>
      </c>
      <c r="J117" s="10">
        <v>5.2737564416060499E-2</v>
      </c>
      <c r="K117" s="10">
        <v>0.57499638500000005</v>
      </c>
      <c r="L117" s="10">
        <v>-0.26044087900000001</v>
      </c>
      <c r="M117" s="10">
        <v>0.17471207899999999</v>
      </c>
      <c r="N117" s="10">
        <v>8.1990919999999998E-3</v>
      </c>
      <c r="O117" s="9">
        <v>0.12436666925000001</v>
      </c>
      <c r="P117" s="10">
        <v>0.34984451603254202</v>
      </c>
      <c r="Q117" s="10">
        <v>0.122391185398044</v>
      </c>
    </row>
    <row r="118" spans="1:17" x14ac:dyDescent="0.2">
      <c r="A118" s="10">
        <v>1587</v>
      </c>
      <c r="B118" s="10" t="s">
        <v>2835</v>
      </c>
      <c r="C118" s="9" t="s">
        <v>187</v>
      </c>
      <c r="D118" s="10">
        <v>0.100308288</v>
      </c>
      <c r="E118" s="10">
        <v>0.14628101199999999</v>
      </c>
      <c r="F118" s="10">
        <v>-2.5877358E-2</v>
      </c>
      <c r="G118" s="10">
        <v>-0.34916265899999999</v>
      </c>
      <c r="H118" s="9">
        <v>-3.2112679249999998E-2</v>
      </c>
      <c r="I118" s="10">
        <v>0.22354655781722599</v>
      </c>
      <c r="J118" s="10">
        <v>4.99730635119306E-2</v>
      </c>
      <c r="K118" s="10">
        <v>0.588539743</v>
      </c>
      <c r="L118" s="10">
        <v>0.37592861799999999</v>
      </c>
      <c r="M118" s="10">
        <v>-0.487645987</v>
      </c>
      <c r="N118" s="10">
        <v>-0.31614009900000001</v>
      </c>
      <c r="O118" s="9">
        <v>4.0170569000000003E-2</v>
      </c>
      <c r="P118" s="10">
        <v>0.52249077420245205</v>
      </c>
      <c r="Q118" s="10">
        <v>0.272996609126678</v>
      </c>
    </row>
    <row r="119" spans="1:17" x14ac:dyDescent="0.2">
      <c r="A119" s="10">
        <v>1588</v>
      </c>
      <c r="B119" s="10" t="s">
        <v>2823</v>
      </c>
      <c r="C119" s="9" t="s">
        <v>2574</v>
      </c>
      <c r="D119" s="10">
        <v>6.24743E-3</v>
      </c>
      <c r="E119" s="10">
        <v>-2.8842383210000002</v>
      </c>
      <c r="F119" s="10">
        <v>0.15800003600000001</v>
      </c>
      <c r="G119" s="10">
        <v>0.24254736800000001</v>
      </c>
      <c r="H119" s="9">
        <v>-0.61936087149999997</v>
      </c>
      <c r="I119" s="10">
        <v>1.51307979542681</v>
      </c>
      <c r="J119" s="10">
        <v>2.28941046732885</v>
      </c>
      <c r="K119" s="10">
        <v>0.291427414</v>
      </c>
      <c r="L119" s="10">
        <v>-6.1905528000000001E-2</v>
      </c>
      <c r="M119" s="10">
        <v>-1.0885069439999999</v>
      </c>
      <c r="N119" s="10">
        <v>-7.4899579999999997E-3</v>
      </c>
      <c r="O119" s="9">
        <v>-0.216618754</v>
      </c>
      <c r="P119" s="10">
        <v>0.60165631393587005</v>
      </c>
      <c r="Q119" s="10">
        <v>0.36199032009889898</v>
      </c>
    </row>
    <row r="120" spans="1:17" x14ac:dyDescent="0.2">
      <c r="A120" s="10">
        <v>1588</v>
      </c>
      <c r="B120" s="10" t="s">
        <v>2826</v>
      </c>
      <c r="C120" s="9" t="s">
        <v>188</v>
      </c>
      <c r="D120" s="10">
        <v>-0.14509581399999999</v>
      </c>
      <c r="E120" s="10">
        <v>-0.13989383699999999</v>
      </c>
      <c r="F120" s="10">
        <v>0.25716072499999998</v>
      </c>
      <c r="G120" s="10">
        <v>0.30268228400000002</v>
      </c>
      <c r="H120" s="9">
        <v>6.8713339250000005E-2</v>
      </c>
      <c r="I120" s="10">
        <v>0.24459844119148799</v>
      </c>
      <c r="J120" s="10">
        <v>5.9828397433306098E-2</v>
      </c>
      <c r="K120" s="10">
        <v>-0.27262933099999997</v>
      </c>
      <c r="L120" s="10">
        <v>-0.30148578100000001</v>
      </c>
      <c r="M120" s="10">
        <v>-0.479909841</v>
      </c>
      <c r="N120" s="10">
        <v>-0.45884700899999997</v>
      </c>
      <c r="O120" s="9">
        <v>-0.37821799049999999</v>
      </c>
      <c r="P120" s="10">
        <v>0.10626863455750001</v>
      </c>
      <c r="Q120" s="10">
        <v>1.12930226907155E-2</v>
      </c>
    </row>
    <row r="121" spans="1:17" x14ac:dyDescent="0.2">
      <c r="A121" s="10">
        <v>1588</v>
      </c>
      <c r="B121" s="10" t="s">
        <v>2834</v>
      </c>
      <c r="C121" s="9" t="s">
        <v>189</v>
      </c>
      <c r="D121" s="10">
        <v>0.96545067699999998</v>
      </c>
      <c r="E121" s="10">
        <v>0.23458731399999999</v>
      </c>
      <c r="F121" s="10">
        <v>0.24344131799999999</v>
      </c>
      <c r="G121" s="10">
        <v>0.15069333900000001</v>
      </c>
      <c r="H121" s="9">
        <v>0.39854316174999999</v>
      </c>
      <c r="I121" s="10">
        <v>0.38024192624792802</v>
      </c>
      <c r="J121" s="10">
        <v>0.14458392247673499</v>
      </c>
      <c r="K121" s="10">
        <v>-0.140014523</v>
      </c>
      <c r="L121" s="10">
        <v>0.62415006200000001</v>
      </c>
      <c r="M121" s="10">
        <v>-0.41550841999999999</v>
      </c>
      <c r="N121" s="10">
        <v>-0.37787007</v>
      </c>
      <c r="O121" s="9">
        <v>-7.7310737749999997E-2</v>
      </c>
      <c r="P121" s="10">
        <v>0.48328480311041699</v>
      </c>
      <c r="Q121" s="10">
        <v>0.23356420091747501</v>
      </c>
    </row>
    <row r="122" spans="1:17" x14ac:dyDescent="0.2">
      <c r="A122" s="10">
        <v>1588</v>
      </c>
      <c r="B122" s="10" t="s">
        <v>2820</v>
      </c>
      <c r="C122" s="9" t="s">
        <v>190</v>
      </c>
      <c r="D122" s="10">
        <v>0.233964281</v>
      </c>
      <c r="E122" s="10">
        <v>0.16404859799999999</v>
      </c>
      <c r="F122" s="10">
        <v>-0.12828505200000001</v>
      </c>
      <c r="G122" s="10">
        <v>-1.0747962E-2</v>
      </c>
      <c r="H122" s="9">
        <v>6.4744966500000001E-2</v>
      </c>
      <c r="I122" s="10">
        <v>0.164778799126338</v>
      </c>
      <c r="J122" s="10">
        <v>2.7152052641518001E-2</v>
      </c>
      <c r="K122" s="10">
        <v>-0.22558411</v>
      </c>
      <c r="L122" s="10">
        <v>-0.56416166199999995</v>
      </c>
      <c r="M122" s="10">
        <v>1.9650908000000002E-2</v>
      </c>
      <c r="N122" s="10">
        <v>8.4714170000000002E-3</v>
      </c>
      <c r="O122" s="9">
        <v>-0.19040586200000001</v>
      </c>
      <c r="P122" s="10">
        <v>0.27362195689872598</v>
      </c>
      <c r="Q122" s="10">
        <v>7.4868975297088705E-2</v>
      </c>
    </row>
    <row r="123" spans="1:17" x14ac:dyDescent="0.2">
      <c r="A123" s="10">
        <v>1588</v>
      </c>
      <c r="B123" s="10" t="s">
        <v>2824</v>
      </c>
      <c r="C123" s="9" t="s">
        <v>191</v>
      </c>
      <c r="D123" s="10">
        <v>-0.120574529</v>
      </c>
      <c r="E123" s="10">
        <v>-8.0643672E-2</v>
      </c>
      <c r="F123" s="10">
        <v>1.5086722E-2</v>
      </c>
      <c r="G123" s="10">
        <v>0.26505242499999998</v>
      </c>
      <c r="H123" s="9">
        <v>1.9730236500000001E-2</v>
      </c>
      <c r="I123" s="10">
        <v>0.17317129008289001</v>
      </c>
      <c r="J123" s="10">
        <v>2.99882957089725E-2</v>
      </c>
      <c r="K123" s="10">
        <v>0.30295324699999998</v>
      </c>
      <c r="L123" s="10">
        <v>-0.12806681</v>
      </c>
      <c r="M123" s="10">
        <v>-0.120639339</v>
      </c>
      <c r="N123" s="10">
        <v>0.38285762299999998</v>
      </c>
      <c r="O123" s="9">
        <v>0.10927618024999999</v>
      </c>
      <c r="P123" s="10">
        <v>0.27175384266823999</v>
      </c>
      <c r="Q123" s="10">
        <v>7.3850151004954706E-2</v>
      </c>
    </row>
    <row r="124" spans="1:17" x14ac:dyDescent="0.2">
      <c r="A124" s="10">
        <v>1588</v>
      </c>
      <c r="B124" s="10" t="s">
        <v>2833</v>
      </c>
      <c r="C124" s="9" t="s">
        <v>192</v>
      </c>
      <c r="D124" s="10">
        <v>7.2935986999999994E-2</v>
      </c>
      <c r="E124" s="10">
        <v>-0.64226101300000005</v>
      </c>
      <c r="F124" s="10">
        <v>0.26839086000000001</v>
      </c>
      <c r="G124" s="10">
        <v>-0.62976454199999998</v>
      </c>
      <c r="H124" s="9">
        <v>-0.23267467724999999</v>
      </c>
      <c r="I124" s="10">
        <v>0.472548367134075</v>
      </c>
      <c r="J124" s="10">
        <v>0.22330195928107999</v>
      </c>
      <c r="K124" s="10">
        <v>-2.0849395839999998</v>
      </c>
      <c r="L124" s="10">
        <v>0.43507871799999998</v>
      </c>
      <c r="M124" s="10">
        <v>0.27862150400000002</v>
      </c>
      <c r="N124" s="10">
        <v>0.30965911600000001</v>
      </c>
      <c r="O124" s="9">
        <v>-0.26539506149999997</v>
      </c>
      <c r="P124" s="10">
        <v>1.21491386741686</v>
      </c>
      <c r="Q124" s="10">
        <v>1.4760157052417899</v>
      </c>
    </row>
    <row r="125" spans="1:17" x14ac:dyDescent="0.2">
      <c r="A125" s="10">
        <v>1588</v>
      </c>
      <c r="B125" s="10" t="s">
        <v>74</v>
      </c>
      <c r="C125" s="9" t="s">
        <v>193</v>
      </c>
      <c r="D125" s="10">
        <v>-0.36379836700000001</v>
      </c>
      <c r="E125" s="10">
        <v>1.1441933E-2</v>
      </c>
      <c r="F125" s="10">
        <v>-0.28235054199999998</v>
      </c>
      <c r="G125" s="10">
        <v>2.8805397E-2</v>
      </c>
      <c r="H125" s="9">
        <v>-0.15147539500000001</v>
      </c>
      <c r="I125" s="10">
        <v>0.20104109718163801</v>
      </c>
      <c r="J125" s="10">
        <v>4.0417522755996999E-2</v>
      </c>
      <c r="K125" s="10">
        <v>6.2583751000000007E-2</v>
      </c>
      <c r="L125" s="10">
        <v>-0.17918378200000001</v>
      </c>
      <c r="M125" s="10">
        <v>-0.1049911</v>
      </c>
      <c r="N125" s="10">
        <v>-0.27409578499999998</v>
      </c>
      <c r="O125" s="9">
        <v>-0.12392172899999999</v>
      </c>
      <c r="P125" s="10">
        <v>0.14230109437577701</v>
      </c>
      <c r="Q125" s="10">
        <v>2.0249601460543901E-2</v>
      </c>
    </row>
    <row r="126" spans="1:17" x14ac:dyDescent="0.2">
      <c r="A126" s="10">
        <v>1588</v>
      </c>
      <c r="B126" s="10" t="s">
        <v>2818</v>
      </c>
      <c r="C126" s="9" t="s">
        <v>194</v>
      </c>
      <c r="D126" s="10">
        <v>-0.59628161199999996</v>
      </c>
      <c r="E126" s="10">
        <v>-0.80243584000000001</v>
      </c>
      <c r="F126" s="10">
        <v>8.3602772000000006E-2</v>
      </c>
      <c r="G126" s="10">
        <v>-0.40297395899999999</v>
      </c>
      <c r="H126" s="9">
        <v>-0.42952215999999999</v>
      </c>
      <c r="I126" s="10">
        <v>0.37897903652613102</v>
      </c>
      <c r="J126" s="10">
        <v>0.14362511012627399</v>
      </c>
      <c r="K126" s="10">
        <v>0.76341748600000003</v>
      </c>
      <c r="L126" s="10">
        <v>-0.16616413699999999</v>
      </c>
      <c r="M126" s="10">
        <v>-0.40583265400000001</v>
      </c>
      <c r="N126" s="10">
        <v>-4.5240280000000003E-3</v>
      </c>
      <c r="O126" s="9">
        <v>4.6724166749999997E-2</v>
      </c>
      <c r="P126" s="10">
        <v>0.50543868642451395</v>
      </c>
      <c r="Q126" s="10">
        <v>0.25546826573453801</v>
      </c>
    </row>
    <row r="127" spans="1:17" x14ac:dyDescent="0.2">
      <c r="A127" s="10">
        <v>1588</v>
      </c>
      <c r="B127" s="10" t="s">
        <v>2830</v>
      </c>
      <c r="C127" s="9" t="s">
        <v>195</v>
      </c>
      <c r="D127" s="10">
        <v>0.198524483</v>
      </c>
      <c r="E127" s="10">
        <v>2.1312940000000002E-3</v>
      </c>
      <c r="F127" s="10">
        <v>-0.112080426</v>
      </c>
      <c r="G127" s="10">
        <v>-0.17931286599999999</v>
      </c>
      <c r="H127" s="9">
        <v>-2.2684378750000001E-2</v>
      </c>
      <c r="I127" s="10">
        <v>0.16540184845088901</v>
      </c>
      <c r="J127" s="10">
        <v>2.7357771470971098E-2</v>
      </c>
      <c r="K127" s="10">
        <v>-0.544856648</v>
      </c>
      <c r="L127" s="10">
        <v>-0.54729704000000001</v>
      </c>
      <c r="M127" s="10">
        <v>0.218365431</v>
      </c>
      <c r="N127" s="10">
        <v>-1.1174169270000001</v>
      </c>
      <c r="O127" s="9">
        <v>-0.49780129625000002</v>
      </c>
      <c r="P127" s="10">
        <v>0.54817343540993102</v>
      </c>
      <c r="Q127" s="10">
        <v>0.30049411528912601</v>
      </c>
    </row>
    <row r="128" spans="1:17" x14ac:dyDescent="0.2">
      <c r="A128" s="10">
        <v>1589</v>
      </c>
      <c r="B128" s="10" t="s">
        <v>2819</v>
      </c>
      <c r="C128" s="9" t="s">
        <v>196</v>
      </c>
      <c r="D128" s="10">
        <v>-1.2073436999999999E-2</v>
      </c>
      <c r="E128" s="10">
        <v>-0.42735540399999999</v>
      </c>
      <c r="F128" s="10">
        <v>-8.4874634000000004E-2</v>
      </c>
      <c r="G128" s="10">
        <v>6.7498350999999998E-2</v>
      </c>
      <c r="H128" s="9">
        <v>-0.11420128074999999</v>
      </c>
      <c r="I128" s="10">
        <v>0.21784582450683199</v>
      </c>
      <c r="J128" s="10">
        <v>4.7456803255061797E-2</v>
      </c>
      <c r="K128" s="10">
        <v>-0.89361978500000006</v>
      </c>
      <c r="L128" s="10">
        <v>0.201672351</v>
      </c>
      <c r="M128" s="10">
        <v>0.27550145100000001</v>
      </c>
      <c r="N128" s="10">
        <v>0.497034007</v>
      </c>
      <c r="O128" s="9">
        <v>2.0147006249999998E-2</v>
      </c>
      <c r="P128" s="10">
        <v>0.62197221361189403</v>
      </c>
      <c r="Q128" s="10">
        <v>0.38684943450527898</v>
      </c>
    </row>
    <row r="129" spans="1:17" x14ac:dyDescent="0.2">
      <c r="A129" s="10">
        <v>1589</v>
      </c>
      <c r="B129" s="10" t="s">
        <v>2826</v>
      </c>
      <c r="C129" s="9" t="s">
        <v>197</v>
      </c>
      <c r="D129" s="10">
        <v>-0.57038895000000001</v>
      </c>
      <c r="E129" s="10">
        <v>-0.38019584499999998</v>
      </c>
      <c r="F129" s="10">
        <v>-8.7945649000000001E-2</v>
      </c>
      <c r="G129" s="10">
        <v>-0.374472413</v>
      </c>
      <c r="H129" s="9">
        <v>-0.35325071424999999</v>
      </c>
      <c r="I129" s="10">
        <v>0.198923931559193</v>
      </c>
      <c r="J129" s="10">
        <v>3.9570730546966498E-2</v>
      </c>
      <c r="K129" s="10">
        <v>-0.98978805199999997</v>
      </c>
      <c r="L129" s="10">
        <v>-9.9084309999999995E-2</v>
      </c>
      <c r="M129" s="10">
        <v>-0.41962916900000002</v>
      </c>
      <c r="N129" s="10">
        <v>-0.31438698300000001</v>
      </c>
      <c r="O129" s="9">
        <v>-0.45572212849999999</v>
      </c>
      <c r="P129" s="10">
        <v>0.38021716132903199</v>
      </c>
      <c r="Q129" s="10">
        <v>0.14456508976910701</v>
      </c>
    </row>
    <row r="130" spans="1:17" x14ac:dyDescent="0.2">
      <c r="A130" s="10">
        <v>1589</v>
      </c>
      <c r="B130" s="10" t="s">
        <v>2821</v>
      </c>
      <c r="C130" s="9" t="s">
        <v>198</v>
      </c>
      <c r="D130" s="10">
        <v>0.27324491200000001</v>
      </c>
      <c r="E130" s="10">
        <v>8.9999366999999997E-2</v>
      </c>
      <c r="F130" s="10">
        <v>0.102599328</v>
      </c>
      <c r="G130" s="10">
        <v>-0.50561924899999999</v>
      </c>
      <c r="H130" s="9">
        <v>-9.9439107499999999E-3</v>
      </c>
      <c r="I130" s="10">
        <v>0.340854118177427</v>
      </c>
      <c r="J130" s="10">
        <v>0.11618152987851101</v>
      </c>
      <c r="K130" s="10">
        <v>0.78112085499999995</v>
      </c>
      <c r="L130" s="10">
        <v>0.62023416899999995</v>
      </c>
      <c r="M130" s="10">
        <v>-0.23340860799999999</v>
      </c>
      <c r="N130" s="10">
        <v>1.1778756800000001</v>
      </c>
      <c r="O130" s="9">
        <v>0.58645552374999999</v>
      </c>
      <c r="P130" s="10">
        <v>0.59469616438832396</v>
      </c>
      <c r="Q130" s="10">
        <v>0.35366352793818401</v>
      </c>
    </row>
    <row r="131" spans="1:17" x14ac:dyDescent="0.2">
      <c r="A131" s="10">
        <v>1589</v>
      </c>
      <c r="B131" s="10" t="s">
        <v>2824</v>
      </c>
      <c r="C131" s="9" t="s">
        <v>199</v>
      </c>
      <c r="D131" s="10">
        <v>-0.139245485</v>
      </c>
      <c r="E131" s="10">
        <v>-6.7006689999999994E-2</v>
      </c>
      <c r="F131" s="10">
        <v>-0.25990085000000002</v>
      </c>
      <c r="G131" s="10">
        <v>0.37760893000000001</v>
      </c>
      <c r="H131" s="9">
        <v>-2.2136023500000001E-2</v>
      </c>
      <c r="I131" s="10">
        <v>0.27812236111363298</v>
      </c>
      <c r="J131" s="10">
        <v>7.7352047751422098E-2</v>
      </c>
      <c r="K131" s="10">
        <v>-0.35680641699999999</v>
      </c>
      <c r="L131" s="10">
        <v>-2.4224604E-2</v>
      </c>
      <c r="M131" s="10">
        <v>-6.3975443000000007E-2</v>
      </c>
      <c r="N131" s="10">
        <v>-0.41741476700000002</v>
      </c>
      <c r="O131" s="9">
        <v>-0.21560530775</v>
      </c>
      <c r="P131" s="10">
        <v>0.20023569507637401</v>
      </c>
      <c r="Q131" s="10">
        <v>4.00943335827188E-2</v>
      </c>
    </row>
    <row r="132" spans="1:17" x14ac:dyDescent="0.2">
      <c r="A132" s="10">
        <v>1589</v>
      </c>
      <c r="B132" s="10" t="s">
        <v>82</v>
      </c>
      <c r="C132" s="9" t="s">
        <v>200</v>
      </c>
      <c r="D132" s="10">
        <v>-9.5929994000000005E-2</v>
      </c>
      <c r="E132" s="10">
        <v>-0.70772299800000005</v>
      </c>
      <c r="F132" s="10">
        <v>-0.67793578700000001</v>
      </c>
      <c r="G132" s="10">
        <v>-5.4322090440000004</v>
      </c>
      <c r="H132" s="9">
        <v>-1.7284494557500001</v>
      </c>
      <c r="I132" s="10">
        <v>2.4851838530463999</v>
      </c>
      <c r="J132" s="10">
        <v>6.1761387834425898</v>
      </c>
      <c r="K132" s="10">
        <v>1.4876445700000001</v>
      </c>
      <c r="L132" s="10">
        <v>-0.43019743599999999</v>
      </c>
      <c r="M132" s="10">
        <v>-0.244021445</v>
      </c>
      <c r="N132" s="10">
        <v>0.44831066800000002</v>
      </c>
      <c r="O132" s="9">
        <v>0.31543408924999999</v>
      </c>
      <c r="P132" s="10">
        <v>0.86808034624490904</v>
      </c>
      <c r="Q132" s="10">
        <v>0.75356348753668101</v>
      </c>
    </row>
    <row r="133" spans="1:17" x14ac:dyDescent="0.2">
      <c r="A133" s="10">
        <v>1589</v>
      </c>
      <c r="B133" s="10" t="s">
        <v>2814</v>
      </c>
      <c r="C133" s="9" t="s">
        <v>201</v>
      </c>
      <c r="D133" s="10">
        <v>-0.35460024800000001</v>
      </c>
      <c r="E133" s="10">
        <v>-0.311989566</v>
      </c>
      <c r="F133" s="10">
        <v>1.1046963999999999E-2</v>
      </c>
      <c r="G133" s="10">
        <v>-0.19063837</v>
      </c>
      <c r="H133" s="9">
        <v>-0.21154530475</v>
      </c>
      <c r="I133" s="10">
        <v>0.163847677670686</v>
      </c>
      <c r="J133" s="10">
        <v>2.6846061478077301E-2</v>
      </c>
      <c r="K133" s="10">
        <v>0.207868371</v>
      </c>
      <c r="L133" s="10">
        <v>-4.7066197999999997E-2</v>
      </c>
      <c r="M133" s="10">
        <v>0.112915724</v>
      </c>
      <c r="N133" s="10">
        <v>0.20637976899999999</v>
      </c>
      <c r="O133" s="9">
        <v>0.12002441649999999</v>
      </c>
      <c r="P133" s="10">
        <v>0.11992166083273401</v>
      </c>
      <c r="Q133" s="10">
        <v>1.43812047368814E-2</v>
      </c>
    </row>
    <row r="134" spans="1:17" x14ac:dyDescent="0.2">
      <c r="A134" s="10">
        <v>1589</v>
      </c>
      <c r="B134" s="10" t="s">
        <v>2818</v>
      </c>
      <c r="C134" s="9" t="s">
        <v>202</v>
      </c>
      <c r="D134" s="10">
        <v>0.23865051400000001</v>
      </c>
      <c r="E134" s="10">
        <v>0.50211513200000002</v>
      </c>
      <c r="F134" s="10">
        <v>0.33520827199999997</v>
      </c>
      <c r="G134" s="10">
        <v>0.48185116</v>
      </c>
      <c r="H134" s="9">
        <v>0.38945626950000001</v>
      </c>
      <c r="I134" s="10">
        <v>0.125052064110629</v>
      </c>
      <c r="J134" s="10">
        <v>1.5638018738328801E-2</v>
      </c>
      <c r="K134" s="10">
        <v>0.241415349</v>
      </c>
      <c r="L134" s="10">
        <v>-1.8148843000000001E-2</v>
      </c>
      <c r="M134" s="10">
        <v>0.17360710400000001</v>
      </c>
      <c r="N134" s="10">
        <v>0.15893766100000001</v>
      </c>
      <c r="O134" s="9">
        <v>0.13895281775000001</v>
      </c>
      <c r="P134" s="10">
        <v>0.110724606774027</v>
      </c>
      <c r="Q134" s="10">
        <v>1.22599385452631E-2</v>
      </c>
    </row>
    <row r="135" spans="1:17" x14ac:dyDescent="0.2">
      <c r="A135" s="10">
        <v>1589</v>
      </c>
      <c r="B135" s="10" t="s">
        <v>2830</v>
      </c>
      <c r="C135" s="9" t="s">
        <v>203</v>
      </c>
      <c r="D135" s="10">
        <v>5.2953306999999998E-2</v>
      </c>
      <c r="E135" s="10">
        <v>0.15048979200000001</v>
      </c>
      <c r="F135" s="10">
        <v>1.029494876</v>
      </c>
      <c r="G135" s="10">
        <v>-0.83426591299999997</v>
      </c>
      <c r="H135" s="9">
        <v>9.9668015750000005E-2</v>
      </c>
      <c r="I135" s="10">
        <v>0.76192206300198095</v>
      </c>
      <c r="J135" s="10">
        <v>0.58052523008919499</v>
      </c>
      <c r="K135" s="10">
        <v>-1.318922532</v>
      </c>
      <c r="L135" s="10">
        <v>-0.34929365200000001</v>
      </c>
      <c r="M135" s="10">
        <v>-0.40810974999999999</v>
      </c>
      <c r="N135" s="10">
        <v>-0.49615640900000002</v>
      </c>
      <c r="O135" s="9">
        <v>-0.64312058599999999</v>
      </c>
      <c r="P135" s="10">
        <v>0.45455879697421298</v>
      </c>
      <c r="Q135" s="10">
        <v>0.206623699906644</v>
      </c>
    </row>
    <row r="136" spans="1:17" x14ac:dyDescent="0.2">
      <c r="A136" s="10">
        <v>1590</v>
      </c>
      <c r="B136" s="10" t="s">
        <v>2831</v>
      </c>
      <c r="C136" s="9" t="s">
        <v>204</v>
      </c>
      <c r="D136" s="10">
        <v>-1.0978492399999999</v>
      </c>
      <c r="E136" s="10">
        <v>-1.8189917819999999</v>
      </c>
      <c r="F136" s="10">
        <v>-0.67886457700000002</v>
      </c>
      <c r="G136" s="10">
        <v>-1.089921548</v>
      </c>
      <c r="H136" s="9">
        <v>-1.1714067865</v>
      </c>
      <c r="I136" s="10">
        <v>0.47399532742998501</v>
      </c>
      <c r="J136" s="10">
        <v>0.22467157042545899</v>
      </c>
      <c r="K136" s="10">
        <v>-3.7939530000000001E-3</v>
      </c>
      <c r="L136" s="10">
        <v>-0.293371188</v>
      </c>
      <c r="M136" s="10">
        <v>-2.0209756999999998E-2</v>
      </c>
      <c r="N136" s="10">
        <v>-2.1607682999999999E-2</v>
      </c>
      <c r="O136" s="9">
        <v>-8.4745644999999994E-2</v>
      </c>
      <c r="P136" s="10">
        <v>0.139318671535404</v>
      </c>
      <c r="Q136" s="10">
        <v>1.9409692238389901E-2</v>
      </c>
    </row>
    <row r="137" spans="1:17" x14ac:dyDescent="0.2">
      <c r="A137" s="10">
        <v>1590</v>
      </c>
      <c r="B137" s="10" t="s">
        <v>2822</v>
      </c>
      <c r="C137" s="9" t="s">
        <v>2573</v>
      </c>
      <c r="D137" s="10">
        <v>0.58906557800000003</v>
      </c>
      <c r="E137" s="10">
        <v>0.22344082800000001</v>
      </c>
      <c r="F137" s="10">
        <v>-0.84229195199999995</v>
      </c>
      <c r="G137" s="10">
        <v>-1.770816814</v>
      </c>
      <c r="H137" s="9">
        <v>-0.45015059000000002</v>
      </c>
      <c r="I137" s="10">
        <v>1.0695216633681699</v>
      </c>
      <c r="J137" s="10">
        <v>1.14387658841382</v>
      </c>
      <c r="K137" s="10">
        <v>0.369855082</v>
      </c>
      <c r="L137" s="10">
        <v>-0.893524863</v>
      </c>
      <c r="M137" s="10">
        <v>-0.304137877</v>
      </c>
      <c r="N137" s="10">
        <v>0.47259810299999999</v>
      </c>
      <c r="O137" s="9">
        <v>-8.8802388999999995E-2</v>
      </c>
      <c r="P137" s="10">
        <v>0.637569557166075</v>
      </c>
      <c r="Q137" s="10">
        <v>0.40649494022494498</v>
      </c>
    </row>
    <row r="138" spans="1:17" x14ac:dyDescent="0.2">
      <c r="A138" s="10">
        <v>1590</v>
      </c>
      <c r="B138" s="10" t="s">
        <v>96</v>
      </c>
      <c r="C138" s="9" t="s">
        <v>205</v>
      </c>
      <c r="D138" s="10">
        <v>0.22764838400000001</v>
      </c>
      <c r="E138" s="10">
        <v>0.615283884</v>
      </c>
      <c r="F138" s="10">
        <v>-0.22149625000000001</v>
      </c>
      <c r="G138" s="10">
        <v>0.25450169700000003</v>
      </c>
      <c r="H138" s="9">
        <v>0.21898442874999999</v>
      </c>
      <c r="I138" s="10">
        <v>0.34274043971496498</v>
      </c>
      <c r="J138" s="10">
        <v>0.117471009016007</v>
      </c>
      <c r="K138" s="10">
        <v>-1.6116029E-2</v>
      </c>
      <c r="L138" s="10">
        <v>-0.68390520300000002</v>
      </c>
      <c r="M138" s="10">
        <v>-0.128548669</v>
      </c>
      <c r="N138" s="10">
        <v>0.16364688899999999</v>
      </c>
      <c r="O138" s="9">
        <v>-0.16623075300000001</v>
      </c>
      <c r="P138" s="10">
        <v>0.36549530990627899</v>
      </c>
      <c r="Q138" s="10">
        <v>0.133586821563487</v>
      </c>
    </row>
    <row r="139" spans="1:17" x14ac:dyDescent="0.2">
      <c r="A139" s="10">
        <v>1590</v>
      </c>
      <c r="B139" s="10" t="s">
        <v>2826</v>
      </c>
      <c r="C139" s="9" t="s">
        <v>206</v>
      </c>
      <c r="D139" s="10">
        <v>-0.47698047300000002</v>
      </c>
      <c r="E139" s="10">
        <v>-5.4998997000000001E-2</v>
      </c>
      <c r="F139" s="10">
        <v>-8.5842999999999998E-4</v>
      </c>
      <c r="G139" s="10">
        <v>-0.33449698100000003</v>
      </c>
      <c r="H139" s="9">
        <v>-0.21683372025</v>
      </c>
      <c r="I139" s="10">
        <v>0.226830905848878</v>
      </c>
      <c r="J139" s="10">
        <v>5.1452259848222603E-2</v>
      </c>
      <c r="K139" s="10">
        <v>-0.42051962599999998</v>
      </c>
      <c r="L139" s="10">
        <v>-0.348211928</v>
      </c>
      <c r="M139" s="10">
        <v>-0.90335854400000004</v>
      </c>
      <c r="N139" s="10">
        <v>-0.60756163600000002</v>
      </c>
      <c r="O139" s="9">
        <v>-0.56991293325000003</v>
      </c>
      <c r="P139" s="10">
        <v>0.247704862102161</v>
      </c>
      <c r="Q139" s="10">
        <v>6.1357698709050598E-2</v>
      </c>
    </row>
    <row r="140" spans="1:17" x14ac:dyDescent="0.2">
      <c r="A140" s="10">
        <v>1590</v>
      </c>
      <c r="B140" s="10" t="s">
        <v>79</v>
      </c>
      <c r="C140" s="9" t="s">
        <v>207</v>
      </c>
      <c r="D140" s="10">
        <v>-0.25844676700000002</v>
      </c>
      <c r="E140" s="10">
        <v>-0.14377963299999999</v>
      </c>
      <c r="F140" s="10">
        <v>-0.27440363200000001</v>
      </c>
      <c r="G140" s="10">
        <v>-0.17112950800000001</v>
      </c>
      <c r="H140" s="9">
        <v>-0.21193988499999999</v>
      </c>
      <c r="I140" s="10">
        <v>6.4228541387318705E-2</v>
      </c>
      <c r="J140" s="10">
        <v>4.1253055287425004E-3</v>
      </c>
      <c r="K140" s="10">
        <v>-7.0420332000000002E-2</v>
      </c>
      <c r="L140" s="10">
        <v>-0.13681906799999999</v>
      </c>
      <c r="M140" s="10">
        <v>-0.17859907799999999</v>
      </c>
      <c r="N140" s="10">
        <v>3.2386080999999997E-2</v>
      </c>
      <c r="O140" s="9">
        <v>-8.83630995E-2</v>
      </c>
      <c r="P140" s="10">
        <v>9.2001485850512293E-2</v>
      </c>
      <c r="Q140" s="10">
        <v>8.4642733987019998E-3</v>
      </c>
    </row>
    <row r="141" spans="1:17" x14ac:dyDescent="0.2">
      <c r="A141" s="10">
        <v>1590</v>
      </c>
      <c r="B141" s="10" t="s">
        <v>2824</v>
      </c>
      <c r="C141" s="9" t="s">
        <v>208</v>
      </c>
      <c r="D141" s="10">
        <v>-0.24590099200000001</v>
      </c>
      <c r="E141" s="10">
        <v>-1.5739197999999999E-2</v>
      </c>
      <c r="F141" s="10">
        <v>-0.32540645600000001</v>
      </c>
      <c r="G141" s="10">
        <v>0.174714693</v>
      </c>
      <c r="H141" s="9">
        <v>-0.10308298824999999</v>
      </c>
      <c r="I141" s="10">
        <v>0.22702804225515999</v>
      </c>
      <c r="J141" s="10">
        <v>5.1541731970210898E-2</v>
      </c>
      <c r="K141" s="10">
        <v>-0.35380731599999998</v>
      </c>
      <c r="L141" s="10">
        <v>-0.26121259400000002</v>
      </c>
      <c r="M141" s="10">
        <v>0.120466164</v>
      </c>
      <c r="N141" s="10">
        <v>-0.27392357899999997</v>
      </c>
      <c r="O141" s="9">
        <v>-0.19211933125</v>
      </c>
      <c r="P141" s="10">
        <v>0.21238213214281701</v>
      </c>
      <c r="Q141" s="10">
        <v>4.51061700535293E-2</v>
      </c>
    </row>
    <row r="142" spans="1:17" x14ac:dyDescent="0.2">
      <c r="A142" s="10">
        <v>1590</v>
      </c>
      <c r="B142" s="10" t="s">
        <v>2817</v>
      </c>
      <c r="C142" s="9" t="s">
        <v>209</v>
      </c>
      <c r="D142" s="10">
        <v>-1.1409024569999999</v>
      </c>
      <c r="E142" s="10">
        <v>-0.45889620599999997</v>
      </c>
      <c r="F142" s="10">
        <v>0.28191484</v>
      </c>
      <c r="G142" s="10">
        <v>-0.29390037099999999</v>
      </c>
      <c r="H142" s="9">
        <v>-0.40294604875000001</v>
      </c>
      <c r="I142" s="10">
        <v>0.58555827417059503</v>
      </c>
      <c r="J142" s="10">
        <v>0.34287849244964502</v>
      </c>
      <c r="K142" s="10">
        <v>-0.27710071800000002</v>
      </c>
      <c r="L142" s="10">
        <v>-0.13259321299999999</v>
      </c>
      <c r="M142" s="10">
        <v>-0.61927202599999998</v>
      </c>
      <c r="N142" s="10">
        <v>-0.35874123699999999</v>
      </c>
      <c r="O142" s="9">
        <v>-0.34692679850000002</v>
      </c>
      <c r="P142" s="10">
        <v>0.204227056067811</v>
      </c>
      <c r="Q142" s="10">
        <v>4.1708690430125102E-2</v>
      </c>
    </row>
    <row r="143" spans="1:17" x14ac:dyDescent="0.2">
      <c r="A143" s="10">
        <v>1590</v>
      </c>
      <c r="B143" s="10" t="s">
        <v>82</v>
      </c>
      <c r="C143" s="9" t="s">
        <v>210</v>
      </c>
      <c r="D143" s="10">
        <v>0.19540318000000001</v>
      </c>
      <c r="E143" s="10">
        <v>-3.5459190000000002E-2</v>
      </c>
      <c r="F143" s="10">
        <v>-0.22908721500000001</v>
      </c>
      <c r="G143" s="10">
        <v>-0.39643399499999998</v>
      </c>
      <c r="H143" s="9">
        <v>-0.11639430525</v>
      </c>
      <c r="I143" s="10">
        <v>0.254879111496641</v>
      </c>
      <c r="J143" s="10">
        <v>6.4963361477317502E-2</v>
      </c>
      <c r="K143" s="10">
        <v>-3.6237015999999997E-2</v>
      </c>
      <c r="L143" s="10">
        <v>8.1375186000000002E-2</v>
      </c>
      <c r="M143" s="10">
        <v>-0.94866131600000003</v>
      </c>
      <c r="N143" s="10">
        <v>-0.29106060700000003</v>
      </c>
      <c r="O143" s="9">
        <v>-0.29864593825000002</v>
      </c>
      <c r="P143" s="10">
        <v>0.46038101101670398</v>
      </c>
      <c r="Q143" s="10">
        <v>0.211950675304762</v>
      </c>
    </row>
    <row r="144" spans="1:17" x14ac:dyDescent="0.2">
      <c r="A144" s="10">
        <v>1590</v>
      </c>
      <c r="B144" s="10" t="s">
        <v>2814</v>
      </c>
      <c r="C144" s="9" t="s">
        <v>211</v>
      </c>
      <c r="D144" s="10">
        <v>-0.31098302300000003</v>
      </c>
      <c r="E144" s="10">
        <v>-4.2080270000000003E-2</v>
      </c>
      <c r="F144" s="10">
        <v>-0.217650706</v>
      </c>
      <c r="G144" s="10">
        <v>-4.9720913999999998E-2</v>
      </c>
      <c r="H144" s="9">
        <v>-0.15510872824999999</v>
      </c>
      <c r="I144" s="10">
        <v>0.13177040450654501</v>
      </c>
      <c r="J144" s="10">
        <v>1.7363439503818599E-2</v>
      </c>
      <c r="K144" s="10">
        <v>-0.37035541</v>
      </c>
      <c r="L144" s="10">
        <v>-0.16144049499999999</v>
      </c>
      <c r="M144" s="10">
        <v>-6.1944399999999997E-2</v>
      </c>
      <c r="N144" s="10">
        <v>0.24234463000000001</v>
      </c>
      <c r="O144" s="9">
        <v>-8.7848918499999998E-2</v>
      </c>
      <c r="P144" s="10">
        <v>0.254901589782628</v>
      </c>
      <c r="Q144" s="10">
        <v>6.4974820473711198E-2</v>
      </c>
    </row>
    <row r="145" spans="1:17" x14ac:dyDescent="0.2">
      <c r="A145" s="10">
        <v>1590</v>
      </c>
      <c r="B145" s="10" t="s">
        <v>2833</v>
      </c>
      <c r="C145" s="9" t="s">
        <v>212</v>
      </c>
      <c r="D145" s="10">
        <v>-0.11216387899999999</v>
      </c>
      <c r="E145" s="10">
        <v>-0.24840166699999999</v>
      </c>
      <c r="F145" s="10">
        <v>-0.14857050599999999</v>
      </c>
      <c r="G145" s="10">
        <v>0.17789598200000001</v>
      </c>
      <c r="H145" s="9">
        <v>-8.2810017499999999E-2</v>
      </c>
      <c r="I145" s="10">
        <v>0.183097700324302</v>
      </c>
      <c r="J145" s="10">
        <v>3.3524767864048198E-2</v>
      </c>
      <c r="K145" s="10">
        <v>3.7881964999999997E-2</v>
      </c>
      <c r="L145" s="10">
        <v>-0.227874365</v>
      </c>
      <c r="M145" s="10">
        <v>-5.9712885E-2</v>
      </c>
      <c r="N145" s="10">
        <v>-0.21746563499999999</v>
      </c>
      <c r="O145" s="9">
        <v>-0.11679273025</v>
      </c>
      <c r="P145" s="10">
        <v>0.12865526730242999</v>
      </c>
      <c r="Q145" s="10">
        <v>1.6552177804659701E-2</v>
      </c>
    </row>
    <row r="146" spans="1:17" x14ac:dyDescent="0.2">
      <c r="A146" s="10">
        <v>1590</v>
      </c>
      <c r="B146" s="10" t="s">
        <v>2825</v>
      </c>
      <c r="C146" s="9" t="s">
        <v>213</v>
      </c>
      <c r="D146" s="10">
        <v>-0.107863424</v>
      </c>
      <c r="E146" s="10">
        <v>0.20843147200000001</v>
      </c>
      <c r="F146" s="10">
        <v>-0.18923440699999999</v>
      </c>
      <c r="G146" s="10">
        <v>0.99792548999999997</v>
      </c>
      <c r="H146" s="9">
        <v>0.22731478299999999</v>
      </c>
      <c r="I146" s="10">
        <v>0.54161951568567401</v>
      </c>
      <c r="J146" s="10">
        <v>0.29335169977158398</v>
      </c>
      <c r="K146" s="10">
        <v>-0.25272568099999998</v>
      </c>
      <c r="L146" s="10">
        <v>0.62214957199999998</v>
      </c>
      <c r="M146" s="10">
        <v>6.8526693999999999E-2</v>
      </c>
      <c r="N146" s="10">
        <v>-0.100017025</v>
      </c>
      <c r="O146" s="9">
        <v>8.4483390249999998E-2</v>
      </c>
      <c r="P146" s="10">
        <v>0.38170228368609799</v>
      </c>
      <c r="Q146" s="10">
        <v>0.14569663337118199</v>
      </c>
    </row>
    <row r="147" spans="1:17" x14ac:dyDescent="0.2">
      <c r="A147" s="10">
        <v>1590</v>
      </c>
      <c r="B147" s="10" t="s">
        <v>74</v>
      </c>
      <c r="C147" s="9" t="s">
        <v>214</v>
      </c>
      <c r="D147" s="10">
        <v>0.114471852</v>
      </c>
      <c r="E147" s="10">
        <v>8.4056766000000005E-2</v>
      </c>
      <c r="F147" s="10">
        <v>-0.42654050100000002</v>
      </c>
      <c r="G147" s="10">
        <v>-0.16307835000000001</v>
      </c>
      <c r="H147" s="9">
        <v>-9.7772558499999995E-2</v>
      </c>
      <c r="I147" s="10">
        <v>0.25196745785632901</v>
      </c>
      <c r="J147" s="10">
        <v>6.3487599818581195E-2</v>
      </c>
      <c r="K147" s="10">
        <v>7.5429168000000005E-2</v>
      </c>
      <c r="L147" s="10">
        <v>-0.169392454</v>
      </c>
      <c r="M147" s="10">
        <v>-0.42377483900000001</v>
      </c>
      <c r="N147" s="10">
        <v>-2.1442943999999999E-2</v>
      </c>
      <c r="O147" s="9">
        <v>-0.13479526724999999</v>
      </c>
      <c r="P147" s="10">
        <v>0.21737005358158301</v>
      </c>
      <c r="Q147" s="10">
        <v>4.7249740194060502E-2</v>
      </c>
    </row>
    <row r="148" spans="1:17" x14ac:dyDescent="0.2">
      <c r="A148" s="10">
        <v>1590</v>
      </c>
      <c r="B148" s="10" t="s">
        <v>2818</v>
      </c>
      <c r="C148" s="9" t="s">
        <v>215</v>
      </c>
      <c r="D148" s="10">
        <v>0.18142724399999999</v>
      </c>
      <c r="E148" s="10">
        <v>-2.6772191000000001E-2</v>
      </c>
      <c r="F148" s="10">
        <v>0.151322914</v>
      </c>
      <c r="G148" s="10">
        <v>-0.12723106300000001</v>
      </c>
      <c r="H148" s="9">
        <v>4.4686726000000003E-2</v>
      </c>
      <c r="I148" s="10">
        <v>0.14689151194849101</v>
      </c>
      <c r="J148" s="10">
        <v>2.15771162825136E-2</v>
      </c>
      <c r="K148" s="10">
        <v>0.27552137500000001</v>
      </c>
      <c r="L148" s="10">
        <v>-6.6413038999999993E-2</v>
      </c>
      <c r="M148" s="10">
        <v>0.126786169</v>
      </c>
      <c r="N148" s="10">
        <v>0.312495407</v>
      </c>
      <c r="O148" s="9">
        <v>0.16209747799999999</v>
      </c>
      <c r="P148" s="10">
        <v>0.17219026528916201</v>
      </c>
      <c r="Q148" s="10">
        <v>2.9649487460352099E-2</v>
      </c>
    </row>
    <row r="149" spans="1:17" x14ac:dyDescent="0.2">
      <c r="A149" s="10">
        <v>1590</v>
      </c>
      <c r="B149" s="10" t="s">
        <v>2835</v>
      </c>
      <c r="C149" s="9" t="s">
        <v>216</v>
      </c>
      <c r="D149" s="10">
        <v>0.25280116600000002</v>
      </c>
      <c r="E149" s="10">
        <v>-0.45367337699999999</v>
      </c>
      <c r="F149" s="10">
        <v>0.68635173400000005</v>
      </c>
      <c r="G149" s="10">
        <v>0.30169129</v>
      </c>
      <c r="H149" s="9">
        <v>0.19679270325000001</v>
      </c>
      <c r="I149" s="10">
        <v>0.47501397437213799</v>
      </c>
      <c r="J149" s="10">
        <v>0.22563827584881399</v>
      </c>
      <c r="K149" s="10">
        <v>0.42123942599999997</v>
      </c>
      <c r="L149" s="10">
        <v>0.15428329399999999</v>
      </c>
      <c r="M149" s="10">
        <v>-0.52275952400000003</v>
      </c>
      <c r="N149" s="10">
        <v>0.209856087</v>
      </c>
      <c r="O149" s="9">
        <v>6.5654820749999995E-2</v>
      </c>
      <c r="P149" s="10">
        <v>0.40878717529504199</v>
      </c>
      <c r="Q149" s="10">
        <v>0.167106954685699</v>
      </c>
    </row>
    <row r="150" spans="1:17" x14ac:dyDescent="0.2">
      <c r="A150" s="10">
        <v>1591</v>
      </c>
      <c r="B150" s="10" t="s">
        <v>2831</v>
      </c>
      <c r="C150" s="9" t="s">
        <v>217</v>
      </c>
      <c r="D150" s="10">
        <v>-1.1881907970000001</v>
      </c>
      <c r="E150" s="10">
        <v>-0.96909855600000006</v>
      </c>
      <c r="F150" s="10">
        <v>-1.0496850470000001</v>
      </c>
      <c r="G150" s="10">
        <v>-0.93147495800000002</v>
      </c>
      <c r="H150" s="9">
        <v>-1.03461233975</v>
      </c>
      <c r="I150" s="10">
        <v>0.113641108188045</v>
      </c>
      <c r="J150" s="10">
        <v>1.2914301470207E-2</v>
      </c>
      <c r="K150" s="10">
        <v>-0.18258713400000001</v>
      </c>
      <c r="L150" s="10">
        <v>-0.212061256</v>
      </c>
      <c r="M150" s="10">
        <v>-0.317021265</v>
      </c>
      <c r="N150" s="10">
        <v>-0.19785983800000001</v>
      </c>
      <c r="O150" s="9">
        <v>-0.227382373</v>
      </c>
      <c r="P150" s="10">
        <v>6.09591696548017E-2</v>
      </c>
      <c r="Q150" s="10">
        <v>3.7160203650028001E-3</v>
      </c>
    </row>
    <row r="151" spans="1:17" x14ac:dyDescent="0.2">
      <c r="A151" s="10">
        <v>1591</v>
      </c>
      <c r="B151" s="10" t="s">
        <v>2822</v>
      </c>
      <c r="C151" s="9" t="s">
        <v>218</v>
      </c>
      <c r="D151" s="10">
        <v>-0.262262791</v>
      </c>
      <c r="E151" s="10">
        <v>-0.342479162</v>
      </c>
      <c r="F151" s="10">
        <v>5.7758510000000002E-3</v>
      </c>
      <c r="G151" s="10">
        <v>-8.9127800000000004E-3</v>
      </c>
      <c r="H151" s="9">
        <v>-0.15196972049999999</v>
      </c>
      <c r="I151" s="10">
        <v>0.176830768678268</v>
      </c>
      <c r="J151" s="10">
        <v>3.1269120751347301E-2</v>
      </c>
      <c r="K151" s="10">
        <v>-0.19331103699999999</v>
      </c>
      <c r="L151" s="10">
        <v>0.145662554</v>
      </c>
      <c r="M151" s="10">
        <v>3.5323801000000002E-2</v>
      </c>
      <c r="N151" s="10">
        <v>7.9592328000000004E-2</v>
      </c>
      <c r="O151" s="9">
        <v>1.681691125E-2</v>
      </c>
      <c r="P151" s="10">
        <v>0.14723927488702401</v>
      </c>
      <c r="Q151" s="10">
        <v>2.16794040692567E-2</v>
      </c>
    </row>
    <row r="152" spans="1:17" x14ac:dyDescent="0.2">
      <c r="A152" s="10">
        <v>1591</v>
      </c>
      <c r="B152" s="10" t="s">
        <v>96</v>
      </c>
      <c r="C152" s="9" t="s">
        <v>219</v>
      </c>
      <c r="D152" s="10">
        <v>0.72505696500000005</v>
      </c>
      <c r="E152" s="10">
        <v>-0.27919664599999999</v>
      </c>
      <c r="F152" s="10">
        <v>8.2119441000000001E-2</v>
      </c>
      <c r="G152" s="10">
        <v>-0.91368263199999999</v>
      </c>
      <c r="H152" s="9">
        <v>-9.642571825E-2</v>
      </c>
      <c r="I152" s="10">
        <v>0.68508545643931595</v>
      </c>
      <c r="J152" s="10">
        <v>0.46934208262466598</v>
      </c>
      <c r="K152" s="10">
        <v>0.39104333400000002</v>
      </c>
      <c r="L152" s="10">
        <v>8.3533555999999995E-2</v>
      </c>
      <c r="M152" s="10">
        <v>-0.191429446</v>
      </c>
      <c r="N152" s="10">
        <v>-1.5891228040000001</v>
      </c>
      <c r="O152" s="9">
        <v>-0.32649383975000001</v>
      </c>
      <c r="P152" s="10">
        <v>0.87472973974836898</v>
      </c>
      <c r="Q152" s="10">
        <v>0.76515211760024904</v>
      </c>
    </row>
    <row r="153" spans="1:17" x14ac:dyDescent="0.2">
      <c r="A153" s="10">
        <v>1591</v>
      </c>
      <c r="B153" s="10" t="s">
        <v>2823</v>
      </c>
      <c r="C153" s="9" t="s">
        <v>220</v>
      </c>
      <c r="D153" s="10">
        <v>-0.461498462</v>
      </c>
      <c r="E153" s="10">
        <v>0.14107029800000001</v>
      </c>
      <c r="F153" s="10">
        <v>-0.67206595400000002</v>
      </c>
      <c r="G153" s="10">
        <v>0.20479877699999999</v>
      </c>
      <c r="H153" s="9">
        <v>-0.19692383525000001</v>
      </c>
      <c r="I153" s="10">
        <v>0.43641755900915302</v>
      </c>
      <c r="J153" s="10">
        <v>0.19046028581150701</v>
      </c>
      <c r="K153" s="10">
        <v>-6.1490204999999999E-2</v>
      </c>
      <c r="L153" s="10">
        <v>-0.27950765100000002</v>
      </c>
      <c r="M153" s="10">
        <v>0.16993972299999999</v>
      </c>
      <c r="N153" s="10">
        <v>-0.93542034900000004</v>
      </c>
      <c r="O153" s="9">
        <v>-0.2766196205</v>
      </c>
      <c r="P153" s="10">
        <v>0.47599812789296497</v>
      </c>
      <c r="Q153" s="10">
        <v>0.226574217757607</v>
      </c>
    </row>
    <row r="154" spans="1:17" x14ac:dyDescent="0.2">
      <c r="A154" s="10">
        <v>1591</v>
      </c>
      <c r="B154" s="10" t="s">
        <v>2819</v>
      </c>
      <c r="C154" s="9" t="s">
        <v>221</v>
      </c>
      <c r="D154" s="10">
        <v>-0.23430383399999999</v>
      </c>
      <c r="E154" s="10">
        <v>-0.40042967699999998</v>
      </c>
      <c r="F154" s="10">
        <v>-0.28331121399999998</v>
      </c>
      <c r="G154" s="10">
        <v>-1.1027640999999999E-2</v>
      </c>
      <c r="H154" s="9">
        <v>-0.23226809174999999</v>
      </c>
      <c r="I154" s="10">
        <v>0.163131031563988</v>
      </c>
      <c r="J154" s="10">
        <v>2.6611733459130999E-2</v>
      </c>
      <c r="K154" s="10">
        <v>-0.24930321999999999</v>
      </c>
      <c r="L154" s="10">
        <v>-0.38292568999999999</v>
      </c>
      <c r="M154" s="10">
        <v>-0.37413539899999998</v>
      </c>
      <c r="N154" s="10">
        <v>-0.54732802899999999</v>
      </c>
      <c r="O154" s="9">
        <v>-0.38842308450000002</v>
      </c>
      <c r="P154" s="10">
        <v>0.12225584837855601</v>
      </c>
      <c r="Q154" s="10">
        <v>1.4946492462760599E-2</v>
      </c>
    </row>
    <row r="155" spans="1:17" x14ac:dyDescent="0.2">
      <c r="A155" s="10">
        <v>1591</v>
      </c>
      <c r="B155" s="10" t="s">
        <v>2826</v>
      </c>
      <c r="C155" s="9" t="s">
        <v>2572</v>
      </c>
      <c r="D155" s="10">
        <v>5.9180285999999999E-2</v>
      </c>
      <c r="E155" s="10">
        <v>-0.13774424099999999</v>
      </c>
      <c r="F155" s="10">
        <v>0.116651004</v>
      </c>
      <c r="G155" s="10">
        <v>0.86761935899999998</v>
      </c>
      <c r="H155" s="9">
        <v>0.22642660225</v>
      </c>
      <c r="I155" s="10">
        <v>0.44112377954961801</v>
      </c>
      <c r="J155" s="10">
        <v>0.19459018888414001</v>
      </c>
      <c r="K155" s="10">
        <v>-1.1459778350000001</v>
      </c>
      <c r="L155" s="10">
        <v>-0.57471121800000002</v>
      </c>
      <c r="M155" s="10">
        <v>-4.0470985000000001E-2</v>
      </c>
      <c r="N155" s="10">
        <v>1.0210151000000001E-2</v>
      </c>
      <c r="O155" s="9">
        <v>-0.43773747149999997</v>
      </c>
      <c r="P155" s="10">
        <v>0.54124669468438502</v>
      </c>
      <c r="Q155" s="10">
        <v>0.29294798450677101</v>
      </c>
    </row>
    <row r="156" spans="1:17" x14ac:dyDescent="0.2">
      <c r="A156" s="10">
        <v>1591</v>
      </c>
      <c r="B156" s="10" t="s">
        <v>79</v>
      </c>
      <c r="C156" s="9" t="s">
        <v>222</v>
      </c>
      <c r="D156" s="10">
        <v>-0.37887770399999998</v>
      </c>
      <c r="E156" s="10">
        <v>-0.47576990600000002</v>
      </c>
      <c r="F156" s="10">
        <v>-0.55811716200000006</v>
      </c>
      <c r="G156" s="10">
        <v>-0.26236417699999998</v>
      </c>
      <c r="H156" s="9">
        <v>-0.418782237</v>
      </c>
      <c r="I156" s="10">
        <v>0.127437300911625</v>
      </c>
      <c r="J156" s="10">
        <v>1.6240265663640299E-2</v>
      </c>
      <c r="K156" s="10">
        <v>1.8884347999999999E-2</v>
      </c>
      <c r="L156" s="10">
        <v>8.6152664000000004E-2</v>
      </c>
      <c r="M156" s="10">
        <v>-0.12550259</v>
      </c>
      <c r="N156" s="10">
        <v>0.28251240100000002</v>
      </c>
      <c r="O156" s="9">
        <v>6.5511705500000003E-2</v>
      </c>
      <c r="P156" s="10">
        <v>0.169485419793834</v>
      </c>
      <c r="Q156" s="10">
        <v>2.87253075226921E-2</v>
      </c>
    </row>
    <row r="157" spans="1:17" x14ac:dyDescent="0.2">
      <c r="A157" s="10">
        <v>1591</v>
      </c>
      <c r="B157" s="10" t="s">
        <v>2824</v>
      </c>
      <c r="C157" s="9" t="s">
        <v>223</v>
      </c>
      <c r="D157" s="10">
        <v>-0.103545677</v>
      </c>
      <c r="E157" s="10">
        <v>0.23975542</v>
      </c>
      <c r="F157" s="10">
        <v>-7.3415097999999998E-2</v>
      </c>
      <c r="G157" s="10">
        <v>0.17008321100000001</v>
      </c>
      <c r="H157" s="9">
        <v>5.8219463749999999E-2</v>
      </c>
      <c r="I157" s="10">
        <v>0.17220571028994699</v>
      </c>
      <c r="J157" s="10">
        <v>2.96548066564652E-2</v>
      </c>
      <c r="K157" s="10">
        <v>-2.3836095000000002E-2</v>
      </c>
      <c r="L157" s="10">
        <v>-0.113670601</v>
      </c>
      <c r="M157" s="10">
        <v>-1.1165328299999999</v>
      </c>
      <c r="N157" s="10">
        <v>-0.37143330600000002</v>
      </c>
      <c r="O157" s="9">
        <v>-0.40636820824999997</v>
      </c>
      <c r="P157" s="10">
        <v>0.49583496728176302</v>
      </c>
      <c r="Q157" s="10">
        <v>0.245852314779307</v>
      </c>
    </row>
    <row r="158" spans="1:17" x14ac:dyDescent="0.2">
      <c r="A158" s="10">
        <v>1591</v>
      </c>
      <c r="B158" s="10" t="s">
        <v>82</v>
      </c>
      <c r="C158" s="9" t="s">
        <v>224</v>
      </c>
      <c r="D158" s="10">
        <v>0.21205618200000001</v>
      </c>
      <c r="E158" s="10">
        <v>-0.123429214</v>
      </c>
      <c r="F158" s="10">
        <v>-9.3808620000000002E-3</v>
      </c>
      <c r="G158" s="10">
        <v>-4.4583040999999997E-2</v>
      </c>
      <c r="H158" s="9">
        <v>8.6657660000000001E-3</v>
      </c>
      <c r="I158" s="10">
        <v>0.14373338894279999</v>
      </c>
      <c r="J158" s="10">
        <v>2.0659287096982299E-2</v>
      </c>
      <c r="K158" s="10">
        <v>0.35394465600000002</v>
      </c>
      <c r="L158" s="10">
        <v>-0.205229825</v>
      </c>
      <c r="M158" s="10">
        <v>-0.13672456599999999</v>
      </c>
      <c r="N158" s="10">
        <v>0.37486499299999998</v>
      </c>
      <c r="O158" s="9">
        <v>9.6713814499999995E-2</v>
      </c>
      <c r="P158" s="10">
        <v>0.31048307675014297</v>
      </c>
      <c r="Q158" s="10">
        <v>9.6399740948235196E-2</v>
      </c>
    </row>
    <row r="159" spans="1:17" x14ac:dyDescent="0.2">
      <c r="A159" s="10">
        <v>1591</v>
      </c>
      <c r="B159" s="10" t="s">
        <v>2814</v>
      </c>
      <c r="C159" s="9" t="s">
        <v>225</v>
      </c>
      <c r="D159" s="10">
        <v>0.10572261600000001</v>
      </c>
      <c r="E159" s="10">
        <v>-0.10865716</v>
      </c>
      <c r="F159" s="10">
        <v>-0.51974814300000005</v>
      </c>
      <c r="G159" s="10">
        <v>-0.75388773499999995</v>
      </c>
      <c r="H159" s="9">
        <v>-0.31914260550000001</v>
      </c>
      <c r="I159" s="10">
        <v>0.38904176661262302</v>
      </c>
      <c r="J159" s="10">
        <v>0.15135349616907101</v>
      </c>
      <c r="K159" s="10">
        <v>-0.17243029300000001</v>
      </c>
      <c r="L159" s="10">
        <v>0.63012386499999995</v>
      </c>
      <c r="M159" s="10">
        <v>-0.46638964500000002</v>
      </c>
      <c r="N159" s="10">
        <v>-1.921503833</v>
      </c>
      <c r="O159" s="9">
        <v>-0.48254997625000001</v>
      </c>
      <c r="P159" s="10">
        <v>1.0653742148658201</v>
      </c>
      <c r="Q159" s="10">
        <v>1.1350222177009699</v>
      </c>
    </row>
    <row r="160" spans="1:17" x14ac:dyDescent="0.2">
      <c r="A160" s="10">
        <v>1591</v>
      </c>
      <c r="B160" s="10" t="s">
        <v>2825</v>
      </c>
      <c r="C160" s="9" t="s">
        <v>226</v>
      </c>
      <c r="D160" s="10">
        <v>-0.30069920999999999</v>
      </c>
      <c r="E160" s="10">
        <v>0.13340807700000001</v>
      </c>
      <c r="F160" s="10">
        <v>7.493909E-2</v>
      </c>
      <c r="G160" s="10">
        <v>-0.27171425199999999</v>
      </c>
      <c r="H160" s="9">
        <v>-9.1016573749999996E-2</v>
      </c>
      <c r="I160" s="10">
        <v>0.22695532971978699</v>
      </c>
      <c r="J160" s="10">
        <v>5.1508721688217601E-2</v>
      </c>
      <c r="K160" s="10">
        <v>8.2440199999999995E-3</v>
      </c>
      <c r="L160" s="10">
        <v>-0.40632107899999997</v>
      </c>
      <c r="M160" s="10">
        <v>-0.14187598800000001</v>
      </c>
      <c r="N160" s="10">
        <v>-0.15268477799999999</v>
      </c>
      <c r="O160" s="9">
        <v>-0.17315945599999999</v>
      </c>
      <c r="P160" s="10">
        <v>0.17191997300506501</v>
      </c>
      <c r="Q160" s="10">
        <v>2.9556477118062401E-2</v>
      </c>
    </row>
    <row r="161" spans="1:17" x14ac:dyDescent="0.2">
      <c r="A161" s="10">
        <v>1591</v>
      </c>
      <c r="B161" s="10" t="s">
        <v>74</v>
      </c>
      <c r="C161" s="9" t="s">
        <v>227</v>
      </c>
      <c r="D161" s="10">
        <v>7.6728550000000001E-3</v>
      </c>
      <c r="E161" s="10">
        <v>-0.13856759299999999</v>
      </c>
      <c r="F161" s="10">
        <v>-5.2160050000000001E-3</v>
      </c>
      <c r="G161" s="10">
        <v>-0.29668720799999998</v>
      </c>
      <c r="H161" s="9">
        <v>-0.1081994875</v>
      </c>
      <c r="I161" s="10">
        <v>0.141988074657944</v>
      </c>
      <c r="J161" s="10">
        <v>2.0160613345070098E-2</v>
      </c>
      <c r="K161" s="10">
        <v>8.9514193000000006E-2</v>
      </c>
      <c r="L161" s="10">
        <v>0.31432815600000003</v>
      </c>
      <c r="M161" s="10">
        <v>-7.3474612999999994E-2</v>
      </c>
      <c r="N161" s="10">
        <v>-0.18685068299999999</v>
      </c>
      <c r="O161" s="9">
        <v>3.5879263250000001E-2</v>
      </c>
      <c r="P161" s="10">
        <v>0.217544930815388</v>
      </c>
      <c r="Q161" s="10">
        <v>4.7325796923472198E-2</v>
      </c>
    </row>
    <row r="162" spans="1:17" x14ac:dyDescent="0.2">
      <c r="A162" s="10">
        <v>1591</v>
      </c>
      <c r="B162" s="10" t="s">
        <v>2818</v>
      </c>
      <c r="C162" s="9" t="s">
        <v>228</v>
      </c>
      <c r="D162" s="10">
        <v>-0.39692651200000001</v>
      </c>
      <c r="E162" s="10">
        <v>0.61325452999999996</v>
      </c>
      <c r="F162" s="10">
        <v>0.17112070200000001</v>
      </c>
      <c r="G162" s="10">
        <v>6.7253974999999994E-2</v>
      </c>
      <c r="H162" s="9">
        <v>0.11367567375</v>
      </c>
      <c r="I162" s="10">
        <v>0.41462775718717998</v>
      </c>
      <c r="J162" s="10">
        <v>0.171916177030071</v>
      </c>
      <c r="K162" s="10">
        <v>0.34762554000000001</v>
      </c>
      <c r="L162" s="10">
        <v>0.39614070400000001</v>
      </c>
      <c r="M162" s="10">
        <v>-0.76400295200000001</v>
      </c>
      <c r="N162" s="10">
        <v>-0.24616441</v>
      </c>
      <c r="O162" s="9">
        <v>-6.6600279750000005E-2</v>
      </c>
      <c r="P162" s="10">
        <v>0.54903734296899298</v>
      </c>
      <c r="Q162" s="10">
        <v>0.30144200397445198</v>
      </c>
    </row>
    <row r="163" spans="1:17" x14ac:dyDescent="0.2">
      <c r="A163" s="10">
        <v>1591</v>
      </c>
      <c r="B163" s="10" t="s">
        <v>2830</v>
      </c>
      <c r="C163" s="9" t="s">
        <v>229</v>
      </c>
      <c r="D163" s="10">
        <v>-0.23245887600000001</v>
      </c>
      <c r="E163" s="10">
        <v>4.6583461E-2</v>
      </c>
      <c r="F163" s="10">
        <v>-5.7081860999999998E-2</v>
      </c>
      <c r="G163" s="10">
        <v>-0.12807571000000001</v>
      </c>
      <c r="H163" s="9">
        <v>-9.2758246500000002E-2</v>
      </c>
      <c r="I163" s="10">
        <v>0.11754786974126701</v>
      </c>
      <c r="J163" s="10">
        <v>1.381750168071E-2</v>
      </c>
      <c r="K163" s="10">
        <v>0.113686208</v>
      </c>
      <c r="L163" s="10">
        <v>-0.17603660600000001</v>
      </c>
      <c r="M163" s="10">
        <v>-7.6374836000000002E-2</v>
      </c>
      <c r="N163" s="10">
        <v>0.379601525</v>
      </c>
      <c r="O163" s="9">
        <v>6.0219072749999998E-2</v>
      </c>
      <c r="P163" s="10">
        <v>0.244498484662169</v>
      </c>
      <c r="Q163" s="10">
        <v>5.9779509002097199E-2</v>
      </c>
    </row>
    <row r="164" spans="1:17" x14ac:dyDescent="0.2">
      <c r="A164" s="10">
        <v>1591</v>
      </c>
      <c r="B164" s="10" t="s">
        <v>2835</v>
      </c>
      <c r="C164" s="9" t="s">
        <v>230</v>
      </c>
      <c r="D164" s="10">
        <v>-0.15679760100000001</v>
      </c>
      <c r="E164" s="10">
        <v>-0.56157263599999996</v>
      </c>
      <c r="F164" s="10">
        <v>-0.76487254000000005</v>
      </c>
      <c r="G164" s="10">
        <v>0.167053598</v>
      </c>
      <c r="H164" s="9">
        <v>-0.32904729475</v>
      </c>
      <c r="I164" s="10">
        <v>0.416252219815889</v>
      </c>
      <c r="J164" s="10">
        <v>0.17326591050165499</v>
      </c>
      <c r="K164" s="10">
        <v>6.3855469999999998E-2</v>
      </c>
      <c r="L164" s="10">
        <v>0.55848476400000002</v>
      </c>
      <c r="M164" s="10">
        <v>0.43624002000000001</v>
      </c>
      <c r="N164" s="10">
        <v>0.28978707999999997</v>
      </c>
      <c r="O164" s="9">
        <v>0.33709183349999999</v>
      </c>
      <c r="P164" s="10">
        <v>0.212713455618912</v>
      </c>
      <c r="Q164" s="10">
        <v>4.5247014201338802E-2</v>
      </c>
    </row>
    <row r="165" spans="1:17" x14ac:dyDescent="0.2">
      <c r="A165" s="10">
        <v>1592</v>
      </c>
      <c r="B165" s="10" t="s">
        <v>2831</v>
      </c>
      <c r="C165" s="9" t="s">
        <v>231</v>
      </c>
      <c r="D165" s="10">
        <v>-1.319461905</v>
      </c>
      <c r="E165" s="10">
        <v>-0.628661319</v>
      </c>
      <c r="F165" s="10">
        <v>-1.4025354290000001</v>
      </c>
      <c r="G165" s="10">
        <v>-1.6218691089999999</v>
      </c>
      <c r="H165" s="9">
        <v>-1.2431319405000001</v>
      </c>
      <c r="I165" s="10">
        <v>0.42905000606632199</v>
      </c>
      <c r="J165" s="10">
        <v>0.184083907705511</v>
      </c>
      <c r="K165" s="10">
        <v>-0.38000946200000002</v>
      </c>
      <c r="L165" s="10">
        <v>-0.17404625600000001</v>
      </c>
      <c r="M165" s="10">
        <v>-0.29519896000000001</v>
      </c>
      <c r="N165" s="10">
        <v>-0.219728865</v>
      </c>
      <c r="O165" s="9">
        <v>-0.26724588575000002</v>
      </c>
      <c r="P165" s="10">
        <v>9.0260801265386104E-2</v>
      </c>
      <c r="Q165" s="10">
        <v>8.1470122450694998E-3</v>
      </c>
    </row>
    <row r="166" spans="1:17" x14ac:dyDescent="0.2">
      <c r="A166" s="10">
        <v>1592</v>
      </c>
      <c r="B166" s="10" t="s">
        <v>2822</v>
      </c>
      <c r="C166" s="9" t="s">
        <v>232</v>
      </c>
      <c r="D166" s="10">
        <v>-0.43744719500000001</v>
      </c>
      <c r="E166" s="10">
        <v>0.32908351600000002</v>
      </c>
      <c r="F166" s="10">
        <v>-0.20766746</v>
      </c>
      <c r="G166" s="10">
        <v>-0.36439479400000002</v>
      </c>
      <c r="H166" s="9">
        <v>-0.17010648325</v>
      </c>
      <c r="I166" s="10">
        <v>0.346323782116636</v>
      </c>
      <c r="J166" s="10">
        <v>0.119940162059571</v>
      </c>
      <c r="K166" s="10">
        <v>0.57069844999999997</v>
      </c>
      <c r="L166" s="10">
        <v>-0.85032987699999996</v>
      </c>
      <c r="M166" s="10">
        <v>-0.55546989400000002</v>
      </c>
      <c r="N166" s="10">
        <v>-0.47749846800000001</v>
      </c>
      <c r="O166" s="9">
        <v>-0.32814994749999998</v>
      </c>
      <c r="P166" s="10">
        <v>0.62037076524533397</v>
      </c>
      <c r="Q166" s="10">
        <v>0.38485988637108098</v>
      </c>
    </row>
    <row r="167" spans="1:17" x14ac:dyDescent="0.2">
      <c r="A167" s="10">
        <v>1592</v>
      </c>
      <c r="B167" s="10" t="s">
        <v>96</v>
      </c>
      <c r="C167" s="9" t="s">
        <v>233</v>
      </c>
      <c r="D167" s="10">
        <v>-0.41954469799999999</v>
      </c>
      <c r="E167" s="10">
        <v>1.4072083000000001E-2</v>
      </c>
      <c r="F167" s="10">
        <v>-3.0726289E-2</v>
      </c>
      <c r="G167" s="10">
        <v>-0.120662002</v>
      </c>
      <c r="H167" s="9">
        <v>-0.13921522675</v>
      </c>
      <c r="I167" s="10">
        <v>0.195103121062037</v>
      </c>
      <c r="J167" s="10">
        <v>3.80652278481481E-2</v>
      </c>
      <c r="K167" s="10">
        <v>0.29674335499999999</v>
      </c>
      <c r="L167" s="10">
        <v>-5.3175917000000003E-2</v>
      </c>
      <c r="M167" s="10">
        <v>-0.17138961899999999</v>
      </c>
      <c r="N167" s="10">
        <v>-0.123617425</v>
      </c>
      <c r="O167" s="9">
        <v>-1.285990175E-2</v>
      </c>
      <c r="P167" s="10">
        <v>0.212036520347858</v>
      </c>
      <c r="Q167" s="10">
        <v>4.4959485961227903E-2</v>
      </c>
    </row>
    <row r="168" spans="1:17" x14ac:dyDescent="0.2">
      <c r="A168" s="10">
        <v>1592</v>
      </c>
      <c r="B168" s="10" t="s">
        <v>2823</v>
      </c>
      <c r="C168" s="9" t="s">
        <v>234</v>
      </c>
      <c r="D168" s="10">
        <v>0.318018256</v>
      </c>
      <c r="E168" s="10">
        <v>-0.161366066</v>
      </c>
      <c r="F168" s="10">
        <v>-0.48572146300000002</v>
      </c>
      <c r="G168" s="10">
        <v>-0.36739190700000002</v>
      </c>
      <c r="H168" s="9">
        <v>-0.17411529525</v>
      </c>
      <c r="I168" s="10">
        <v>0.354406653220941</v>
      </c>
      <c r="J168" s="10">
        <v>0.12560407584726799</v>
      </c>
      <c r="K168" s="10">
        <v>-0.18968154000000001</v>
      </c>
      <c r="L168" s="10">
        <v>1.3708764E-2</v>
      </c>
      <c r="M168" s="10">
        <v>-0.52743572999999999</v>
      </c>
      <c r="N168" s="10">
        <v>-0.101034173</v>
      </c>
      <c r="O168" s="9">
        <v>-0.20111066975</v>
      </c>
      <c r="P168" s="10">
        <v>0.23293873606053001</v>
      </c>
      <c r="Q168" s="10">
        <v>5.4260454757477199E-2</v>
      </c>
    </row>
    <row r="169" spans="1:17" x14ac:dyDescent="0.2">
      <c r="A169" s="10">
        <v>1592</v>
      </c>
      <c r="B169" s="10" t="s">
        <v>2819</v>
      </c>
      <c r="C169" s="9" t="s">
        <v>2571</v>
      </c>
      <c r="D169" s="10">
        <v>-0.58104122700000005</v>
      </c>
      <c r="E169" s="10">
        <v>0.87874960899999999</v>
      </c>
      <c r="F169" s="10">
        <v>-0.93150861900000004</v>
      </c>
      <c r="G169" s="10">
        <v>-1.7678289999999999E-2</v>
      </c>
      <c r="H169" s="9">
        <v>-0.16286963174999999</v>
      </c>
      <c r="I169" s="10">
        <v>0.78987858649592602</v>
      </c>
      <c r="J169" s="10">
        <v>0.62390818140480198</v>
      </c>
      <c r="K169" s="10">
        <v>0.28377192899999998</v>
      </c>
      <c r="L169" s="10">
        <v>5.7033741459999998</v>
      </c>
      <c r="M169" s="10">
        <v>0.79604178800000003</v>
      </c>
      <c r="N169" s="10">
        <v>0.402380348</v>
      </c>
      <c r="O169" s="9">
        <v>1.7963920527499999</v>
      </c>
      <c r="P169" s="10">
        <v>2.61384123471663</v>
      </c>
      <c r="Q169" s="10">
        <v>6.8321660003050004</v>
      </c>
    </row>
    <row r="170" spans="1:17" x14ac:dyDescent="0.2">
      <c r="A170" s="10">
        <v>1592</v>
      </c>
      <c r="B170" s="10" t="s">
        <v>2826</v>
      </c>
      <c r="C170" s="9" t="s">
        <v>235</v>
      </c>
      <c r="D170" s="10">
        <v>-2.113482785</v>
      </c>
      <c r="E170" s="10">
        <v>-0.54730058000000004</v>
      </c>
      <c r="F170" s="10">
        <v>-1.1501373260000001</v>
      </c>
      <c r="G170" s="10">
        <v>-0.358390563</v>
      </c>
      <c r="H170" s="9">
        <v>-1.0423278135</v>
      </c>
      <c r="I170" s="10">
        <v>0.78989830326078803</v>
      </c>
      <c r="J170" s="10">
        <v>0.623939329494272</v>
      </c>
      <c r="K170" s="10">
        <v>-0.27575480000000002</v>
      </c>
      <c r="L170" s="10">
        <v>-0.62879981200000001</v>
      </c>
      <c r="M170" s="10">
        <v>-1.8309019520000001</v>
      </c>
      <c r="N170" s="10">
        <v>-0.28939927199999999</v>
      </c>
      <c r="O170" s="9">
        <v>-0.75621395899999999</v>
      </c>
      <c r="P170" s="10">
        <v>0.73483458515505395</v>
      </c>
      <c r="Q170" s="10">
        <v>0.53998186753999999</v>
      </c>
    </row>
    <row r="171" spans="1:17" x14ac:dyDescent="0.2">
      <c r="A171" s="10">
        <v>1592</v>
      </c>
      <c r="B171" s="10" t="s">
        <v>2821</v>
      </c>
      <c r="C171" s="9" t="s">
        <v>236</v>
      </c>
      <c r="D171" s="10">
        <v>0.163712998</v>
      </c>
      <c r="E171" s="10">
        <v>0.20209400899999999</v>
      </c>
      <c r="F171" s="10">
        <v>-0.11873518800000001</v>
      </c>
      <c r="G171" s="10">
        <v>-0.20480706600000001</v>
      </c>
      <c r="H171" s="9">
        <v>1.0566188000000001E-2</v>
      </c>
      <c r="I171" s="10">
        <v>0.20268311556402999</v>
      </c>
      <c r="J171" s="10">
        <v>4.1080445334741998E-2</v>
      </c>
      <c r="K171" s="10">
        <v>0.102060478</v>
      </c>
      <c r="L171" s="10">
        <v>0.37801492599999997</v>
      </c>
      <c r="M171" s="10">
        <v>-0.52357173000000001</v>
      </c>
      <c r="N171" s="10">
        <v>-0.22956148000000001</v>
      </c>
      <c r="O171" s="9">
        <v>-6.8264451500000004E-2</v>
      </c>
      <c r="P171" s="10">
        <v>0.39221478539569499</v>
      </c>
      <c r="Q171" s="10">
        <v>0.153832437882991</v>
      </c>
    </row>
    <row r="172" spans="1:17" x14ac:dyDescent="0.2">
      <c r="A172" s="10">
        <v>1592</v>
      </c>
      <c r="B172" s="10" t="s">
        <v>79</v>
      </c>
      <c r="C172" s="9" t="s">
        <v>237</v>
      </c>
      <c r="D172" s="10">
        <v>1.472499936</v>
      </c>
      <c r="E172" s="10">
        <v>-0.18371284500000001</v>
      </c>
      <c r="F172" s="10">
        <v>0.36800365499999999</v>
      </c>
      <c r="G172" s="10">
        <v>0.20242919200000001</v>
      </c>
      <c r="H172" s="9">
        <v>0.46480498450000002</v>
      </c>
      <c r="I172" s="10">
        <v>0.71045432514247497</v>
      </c>
      <c r="J172" s="10">
        <v>0.50474534811364902</v>
      </c>
      <c r="K172" s="10">
        <v>0.233802336</v>
      </c>
      <c r="L172" s="10">
        <v>0.43457213900000002</v>
      </c>
      <c r="M172" s="10">
        <v>0.16688881699999999</v>
      </c>
      <c r="N172" s="10">
        <v>0.401677591</v>
      </c>
      <c r="O172" s="9">
        <v>0.30923522074999998</v>
      </c>
      <c r="P172" s="10">
        <v>0.12936711799643399</v>
      </c>
      <c r="Q172" s="10">
        <v>1.6735851218703302E-2</v>
      </c>
    </row>
    <row r="173" spans="1:17" x14ac:dyDescent="0.2">
      <c r="A173" s="10">
        <v>1592</v>
      </c>
      <c r="B173" s="10" t="s">
        <v>2820</v>
      </c>
      <c r="C173" s="9" t="s">
        <v>238</v>
      </c>
      <c r="D173" s="10">
        <v>0.18382069300000001</v>
      </c>
      <c r="E173" s="10">
        <v>-9.4990772000000001E-2</v>
      </c>
      <c r="F173" s="10">
        <v>-0.120438978</v>
      </c>
      <c r="G173" s="10">
        <v>8.1640302999999997E-2</v>
      </c>
      <c r="H173" s="9">
        <v>1.25078115E-2</v>
      </c>
      <c r="I173" s="10">
        <v>0.14532515157592199</v>
      </c>
      <c r="J173" s="10">
        <v>2.1119399680564699E-2</v>
      </c>
      <c r="K173" s="10">
        <v>-0.21842028499999999</v>
      </c>
      <c r="L173" s="10">
        <v>-0.18839220100000001</v>
      </c>
      <c r="M173" s="10">
        <v>-0.44476047899999999</v>
      </c>
      <c r="N173" s="10">
        <v>-0.115784295</v>
      </c>
      <c r="O173" s="9">
        <v>-0.24183931475000001</v>
      </c>
      <c r="P173" s="10">
        <v>0.14197642037486899</v>
      </c>
      <c r="Q173" s="10">
        <v>2.01573039424617E-2</v>
      </c>
    </row>
    <row r="174" spans="1:17" x14ac:dyDescent="0.2">
      <c r="A174" s="10">
        <v>1592</v>
      </c>
      <c r="B174" s="10" t="s">
        <v>2824</v>
      </c>
      <c r="C174" s="9" t="s">
        <v>239</v>
      </c>
      <c r="D174" s="10">
        <v>-7.4568087000000005E-2</v>
      </c>
      <c r="E174" s="10">
        <v>0.296673399</v>
      </c>
      <c r="F174" s="10">
        <v>-2.7717107000000001E-2</v>
      </c>
      <c r="G174" s="10">
        <v>6.2920820000000001E-3</v>
      </c>
      <c r="H174" s="9">
        <v>5.0170071750000003E-2</v>
      </c>
      <c r="I174" s="10">
        <v>0.16764564731579501</v>
      </c>
      <c r="J174" s="10">
        <v>2.8105063063932099E-2</v>
      </c>
      <c r="K174" s="10">
        <v>-8.0335613E-2</v>
      </c>
      <c r="L174" s="10">
        <v>-2.9715153000000001E-2</v>
      </c>
      <c r="M174" s="10">
        <v>-0.29396334400000002</v>
      </c>
      <c r="N174" s="10">
        <v>-3.2367343E-2</v>
      </c>
      <c r="O174" s="9">
        <v>-0.109095363</v>
      </c>
      <c r="P174" s="10">
        <v>0.12542155637667601</v>
      </c>
      <c r="Q174" s="10">
        <v>1.5730566803947701E-2</v>
      </c>
    </row>
    <row r="175" spans="1:17" x14ac:dyDescent="0.2">
      <c r="A175" s="10">
        <v>1592</v>
      </c>
      <c r="B175" s="10" t="s">
        <v>2825</v>
      </c>
      <c r="C175" s="9" t="s">
        <v>240</v>
      </c>
      <c r="D175" s="10">
        <v>-0.58570586099999999</v>
      </c>
      <c r="E175" s="10">
        <v>-0.56058356899999995</v>
      </c>
      <c r="F175" s="10">
        <v>-0.16901777500000001</v>
      </c>
      <c r="G175" s="10">
        <v>5.2113924999999998E-2</v>
      </c>
      <c r="H175" s="9">
        <v>-0.31579831975</v>
      </c>
      <c r="I175" s="10">
        <v>0.31073774967974499</v>
      </c>
      <c r="J175" s="10">
        <v>9.6557949076031893E-2</v>
      </c>
      <c r="K175" s="10">
        <v>-6.9510515999999994E-2</v>
      </c>
      <c r="L175" s="10">
        <v>-0.330191656</v>
      </c>
      <c r="M175" s="10">
        <v>2.4872538E-2</v>
      </c>
      <c r="N175" s="10">
        <v>0.54424138600000005</v>
      </c>
      <c r="O175" s="9">
        <v>4.2352938E-2</v>
      </c>
      <c r="P175" s="10">
        <v>0.36674263704467303</v>
      </c>
      <c r="Q175" s="10">
        <v>0.134500161826481</v>
      </c>
    </row>
    <row r="176" spans="1:17" x14ac:dyDescent="0.2">
      <c r="A176" s="10">
        <v>1592</v>
      </c>
      <c r="B176" s="10" t="s">
        <v>74</v>
      </c>
      <c r="C176" s="9" t="s">
        <v>241</v>
      </c>
      <c r="D176" s="10">
        <v>-0.409327053</v>
      </c>
      <c r="E176" s="10">
        <v>-0.162211939</v>
      </c>
      <c r="F176" s="10">
        <v>0.26389427100000001</v>
      </c>
      <c r="G176" s="10">
        <v>-0.169185522</v>
      </c>
      <c r="H176" s="9">
        <v>-0.1192075605</v>
      </c>
      <c r="I176" s="10">
        <v>0.28004970179891198</v>
      </c>
      <c r="J176" s="10">
        <v>7.8427835477659497E-2</v>
      </c>
      <c r="K176" s="10">
        <v>-1.109727428</v>
      </c>
      <c r="L176" s="10">
        <v>0.64828288499999998</v>
      </c>
      <c r="M176" s="10">
        <v>0.64630247900000004</v>
      </c>
      <c r="N176" s="10">
        <v>-0.484066522</v>
      </c>
      <c r="O176" s="9">
        <v>-7.4802146250000007E-2</v>
      </c>
      <c r="P176" s="10">
        <v>0.87204959932297998</v>
      </c>
      <c r="Q176" s="10">
        <v>0.76047050367936997</v>
      </c>
    </row>
    <row r="177" spans="1:17" x14ac:dyDescent="0.2">
      <c r="A177" s="10">
        <v>1592</v>
      </c>
      <c r="B177" s="10" t="s">
        <v>2830</v>
      </c>
      <c r="C177" s="9" t="s">
        <v>242</v>
      </c>
      <c r="D177" s="10">
        <v>-0.43087399799999998</v>
      </c>
      <c r="E177" s="10">
        <v>-0.16083081599999999</v>
      </c>
      <c r="F177" s="10">
        <v>-0.260830801</v>
      </c>
      <c r="G177" s="10">
        <v>0.24352221900000001</v>
      </c>
      <c r="H177" s="9">
        <v>-0.15225334874999999</v>
      </c>
      <c r="I177" s="10">
        <v>0.286432308639611</v>
      </c>
      <c r="J177" s="10">
        <v>8.2043467432617395E-2</v>
      </c>
      <c r="K177" s="10">
        <v>-5.7342903000000001E-2</v>
      </c>
      <c r="L177" s="10">
        <v>0.154395062</v>
      </c>
      <c r="M177" s="10">
        <v>-0.21849986299999999</v>
      </c>
      <c r="N177" s="10">
        <v>9.4628338000000006E-2</v>
      </c>
      <c r="O177" s="9">
        <v>-6.7048412500000003E-3</v>
      </c>
      <c r="P177" s="10">
        <v>0.16697598288371801</v>
      </c>
      <c r="Q177" s="10">
        <v>2.7880978859983901E-2</v>
      </c>
    </row>
    <row r="178" spans="1:17" x14ac:dyDescent="0.2">
      <c r="A178" s="10">
        <v>1592</v>
      </c>
      <c r="B178" s="10" t="s">
        <v>2832</v>
      </c>
      <c r="C178" s="9" t="s">
        <v>243</v>
      </c>
      <c r="D178" s="10">
        <v>-3.7941193999999998E-2</v>
      </c>
      <c r="E178" s="10">
        <v>-8.3283228000000001E-2</v>
      </c>
      <c r="F178" s="10">
        <v>-2.3977349999999998E-3</v>
      </c>
      <c r="G178" s="10">
        <v>5.7092749999999998E-2</v>
      </c>
      <c r="H178" s="9">
        <v>-1.6632352E-2</v>
      </c>
      <c r="I178" s="10">
        <v>5.9257688685366398E-2</v>
      </c>
      <c r="J178" s="10">
        <v>3.5114736683317998E-3</v>
      </c>
      <c r="K178" s="10">
        <v>-0.25549579700000002</v>
      </c>
      <c r="L178" s="10">
        <v>8.2235959999999997E-3</v>
      </c>
      <c r="M178" s="10">
        <v>-0.34017394400000001</v>
      </c>
      <c r="N178" s="10">
        <v>-7.9259552999999996E-2</v>
      </c>
      <c r="O178" s="9">
        <v>-0.16667642425000001</v>
      </c>
      <c r="P178" s="10">
        <v>0.15939677620923801</v>
      </c>
      <c r="Q178" s="10">
        <v>2.54073322658981E-2</v>
      </c>
    </row>
    <row r="179" spans="1:17" x14ac:dyDescent="0.2">
      <c r="A179" s="10">
        <v>1593</v>
      </c>
      <c r="B179" s="10" t="s">
        <v>2822</v>
      </c>
      <c r="C179" s="9" t="s">
        <v>244</v>
      </c>
      <c r="D179" s="10">
        <v>-0.25876212300000001</v>
      </c>
      <c r="E179" s="10">
        <v>-0.478505819</v>
      </c>
      <c r="F179" s="10">
        <v>0.23839680499999999</v>
      </c>
      <c r="G179" s="10">
        <v>0.17773641500000001</v>
      </c>
      <c r="H179" s="9">
        <v>-8.0283680499999996E-2</v>
      </c>
      <c r="I179" s="10">
        <v>0.34572004452016902</v>
      </c>
      <c r="J179" s="10">
        <v>0.119522349183027</v>
      </c>
      <c r="K179" s="10">
        <v>0.25927013100000001</v>
      </c>
      <c r="L179" s="10">
        <v>-0.45526961300000002</v>
      </c>
      <c r="M179" s="10">
        <v>-0.86402899300000002</v>
      </c>
      <c r="N179" s="10">
        <v>0.23775586900000001</v>
      </c>
      <c r="O179" s="9">
        <v>-0.20556815149999999</v>
      </c>
      <c r="P179" s="10">
        <v>0.55031273402613401</v>
      </c>
      <c r="Q179" s="10">
        <v>0.30284410523131899</v>
      </c>
    </row>
    <row r="180" spans="1:17" x14ac:dyDescent="0.2">
      <c r="A180" s="10">
        <v>1593</v>
      </c>
      <c r="B180" s="10" t="s">
        <v>2823</v>
      </c>
      <c r="C180" s="9" t="s">
        <v>245</v>
      </c>
      <c r="D180" s="10">
        <v>-0.22358550699999999</v>
      </c>
      <c r="E180" s="10">
        <v>0.50223125400000002</v>
      </c>
      <c r="F180" s="10">
        <v>0.53698001900000003</v>
      </c>
      <c r="G180" s="10">
        <v>-7.2908047000000004E-2</v>
      </c>
      <c r="H180" s="9">
        <v>0.18567942949999999</v>
      </c>
      <c r="I180" s="10">
        <v>0.39071832694338399</v>
      </c>
      <c r="J180" s="10">
        <v>0.15266081100943699</v>
      </c>
      <c r="K180" s="10">
        <v>-3.1095078000000002E-2</v>
      </c>
      <c r="L180" s="10">
        <v>-0.41126496699999998</v>
      </c>
      <c r="M180" s="10">
        <v>0.59462943400000001</v>
      </c>
      <c r="N180" s="10">
        <v>-0.336051188</v>
      </c>
      <c r="O180" s="9">
        <v>-4.5945449749999999E-2</v>
      </c>
      <c r="P180" s="10">
        <v>0.45759385349958098</v>
      </c>
      <c r="Q180" s="10">
        <v>0.20939213476059601</v>
      </c>
    </row>
    <row r="181" spans="1:17" x14ac:dyDescent="0.2">
      <c r="A181" s="10">
        <v>1593</v>
      </c>
      <c r="B181" s="10" t="s">
        <v>2819</v>
      </c>
      <c r="C181" s="9" t="s">
        <v>2570</v>
      </c>
      <c r="D181" s="10">
        <v>-0.92771256999999996</v>
      </c>
      <c r="E181" s="10">
        <v>-1.9783540550000001</v>
      </c>
      <c r="F181" s="10">
        <v>4.5461938980000003</v>
      </c>
      <c r="G181" s="10">
        <v>-0.719252267</v>
      </c>
      <c r="H181" s="9">
        <v>0.23021875150000001</v>
      </c>
      <c r="I181" s="10">
        <v>2.9296038109329801</v>
      </c>
      <c r="J181" s="10">
        <v>8.5825784890330503</v>
      </c>
      <c r="K181" s="10">
        <v>0.114671393</v>
      </c>
      <c r="L181" s="10">
        <v>0.211595283</v>
      </c>
      <c r="M181" s="10">
        <v>-1.0619261149999999</v>
      </c>
      <c r="N181" s="10">
        <v>1.785576118</v>
      </c>
      <c r="O181" s="9">
        <v>0.2624791695</v>
      </c>
      <c r="P181" s="10">
        <v>1.1688042295213099</v>
      </c>
      <c r="Q181" s="10">
        <v>1.3661033269469101</v>
      </c>
    </row>
    <row r="182" spans="1:17" x14ac:dyDescent="0.2">
      <c r="A182" s="10">
        <v>1593</v>
      </c>
      <c r="B182" s="10" t="s">
        <v>2824</v>
      </c>
      <c r="C182" s="9" t="s">
        <v>246</v>
      </c>
      <c r="D182" s="10">
        <v>-0.55418566800000002</v>
      </c>
      <c r="E182" s="10">
        <v>-8.1297288999999995E-2</v>
      </c>
      <c r="F182" s="10">
        <v>-1.2321438000000001E-2</v>
      </c>
      <c r="G182" s="10">
        <v>-3.4465744999999999E-2</v>
      </c>
      <c r="H182" s="9">
        <v>-0.17056753499999999</v>
      </c>
      <c r="I182" s="10">
        <v>0.25735680370790198</v>
      </c>
      <c r="J182" s="10">
        <v>6.6232524414747904E-2</v>
      </c>
      <c r="K182" s="10">
        <v>-1.8224728999999999E-2</v>
      </c>
      <c r="L182" s="10">
        <v>-0.34573377799999999</v>
      </c>
      <c r="M182" s="10">
        <v>-0.87786156000000004</v>
      </c>
      <c r="N182" s="10">
        <v>-0.719209494</v>
      </c>
      <c r="O182" s="9">
        <v>-0.49025739024999998</v>
      </c>
      <c r="P182" s="10">
        <v>0.38572786866895398</v>
      </c>
      <c r="Q182" s="10">
        <v>0.148785988667894</v>
      </c>
    </row>
    <row r="183" spans="1:17" x14ac:dyDescent="0.2">
      <c r="A183" s="10">
        <v>1593</v>
      </c>
      <c r="B183" s="10" t="s">
        <v>2814</v>
      </c>
      <c r="C183" s="9" t="s">
        <v>247</v>
      </c>
      <c r="D183" s="10">
        <v>0.22769197899999999</v>
      </c>
      <c r="E183" s="10">
        <v>-0.49349716500000002</v>
      </c>
      <c r="F183" s="10">
        <v>2.5266414000000001E-2</v>
      </c>
      <c r="G183" s="10">
        <v>0.51060971799999999</v>
      </c>
      <c r="H183" s="9">
        <v>6.7517736750000001E-2</v>
      </c>
      <c r="I183" s="10">
        <v>0.423678016890224</v>
      </c>
      <c r="J183" s="10">
        <v>0.179503061996032</v>
      </c>
      <c r="K183" s="10">
        <v>0.230751648</v>
      </c>
      <c r="L183" s="10">
        <v>-0.171885867</v>
      </c>
      <c r="M183" s="10">
        <v>-0.229539558</v>
      </c>
      <c r="N183" s="10">
        <v>-0.66187181100000003</v>
      </c>
      <c r="O183" s="9">
        <v>-0.20813639675000001</v>
      </c>
      <c r="P183" s="10">
        <v>0.36527192527747698</v>
      </c>
      <c r="Q183" s="10">
        <v>0.13342357939591501</v>
      </c>
    </row>
    <row r="184" spans="1:17" x14ac:dyDescent="0.2">
      <c r="A184" s="10">
        <v>1593</v>
      </c>
      <c r="B184" s="10" t="s">
        <v>2833</v>
      </c>
      <c r="C184" s="9" t="s">
        <v>248</v>
      </c>
      <c r="D184" s="10">
        <v>-0.72811573500000004</v>
      </c>
      <c r="E184" s="10">
        <v>-0.11191736200000001</v>
      </c>
      <c r="F184" s="10">
        <v>-0.225140953</v>
      </c>
      <c r="G184" s="10">
        <v>7.219311E-3</v>
      </c>
      <c r="H184" s="9">
        <v>-0.26448868474999998</v>
      </c>
      <c r="I184" s="10">
        <v>0.32331693903328101</v>
      </c>
      <c r="J184" s="10">
        <v>0.10453384306584999</v>
      </c>
      <c r="K184" s="10">
        <v>-0.28616907000000003</v>
      </c>
      <c r="L184" s="10">
        <v>0.39132904699999999</v>
      </c>
      <c r="M184" s="10">
        <v>-0.186805104</v>
      </c>
      <c r="N184" s="10">
        <v>-0.74940199100000005</v>
      </c>
      <c r="O184" s="9">
        <v>-0.20776177974999999</v>
      </c>
      <c r="P184" s="10">
        <v>0.468640168488141</v>
      </c>
      <c r="Q184" s="10">
        <v>0.21962360752059301</v>
      </c>
    </row>
    <row r="185" spans="1:17" x14ac:dyDescent="0.2">
      <c r="A185" s="10">
        <v>1593</v>
      </c>
      <c r="B185" s="10" t="s">
        <v>2830</v>
      </c>
      <c r="C185" s="9" t="s">
        <v>2569</v>
      </c>
      <c r="D185" s="10">
        <v>1.382845066</v>
      </c>
      <c r="E185" s="10">
        <v>-0.53418811300000002</v>
      </c>
      <c r="F185" s="10">
        <v>0.27509181100000002</v>
      </c>
      <c r="G185" s="10">
        <v>-0.574088928</v>
      </c>
      <c r="H185" s="9">
        <v>0.137414959</v>
      </c>
      <c r="I185" s="10">
        <v>0.91784885003552497</v>
      </c>
      <c r="J185" s="10">
        <v>0.84244651151153505</v>
      </c>
      <c r="K185" s="10">
        <v>-0.188947054</v>
      </c>
      <c r="L185" s="10">
        <v>-0.32095575900000001</v>
      </c>
      <c r="M185" s="10">
        <v>-0.81987882000000001</v>
      </c>
      <c r="N185" s="10">
        <v>2.5788528000000002E-2</v>
      </c>
      <c r="O185" s="9">
        <v>-0.32599827625</v>
      </c>
      <c r="P185" s="10">
        <v>0.35892451000159598</v>
      </c>
      <c r="Q185" s="10">
        <v>0.12882680387988599</v>
      </c>
    </row>
    <row r="186" spans="1:17" x14ac:dyDescent="0.2">
      <c r="A186" s="10">
        <v>1593</v>
      </c>
      <c r="B186" s="10" t="s">
        <v>2835</v>
      </c>
      <c r="C186" s="9" t="s">
        <v>2568</v>
      </c>
      <c r="D186" s="10">
        <v>-5.5122408999999997E-2</v>
      </c>
      <c r="E186" s="10">
        <v>-0.126229376</v>
      </c>
      <c r="F186" s="10">
        <v>0.103791841</v>
      </c>
      <c r="G186" s="10">
        <v>-1.6408911559999999</v>
      </c>
      <c r="H186" s="9">
        <v>-0.429612775</v>
      </c>
      <c r="I186" s="10">
        <v>0.81322410229564901</v>
      </c>
      <c r="J186" s="10">
        <v>0.661333440554565</v>
      </c>
      <c r="K186" s="10">
        <v>1.444585164</v>
      </c>
      <c r="L186" s="10">
        <v>0.334374436</v>
      </c>
      <c r="M186" s="10">
        <v>1.1835817179999999</v>
      </c>
      <c r="N186" s="10">
        <v>1.0212933580000001</v>
      </c>
      <c r="O186" s="9">
        <v>0.99595866875000005</v>
      </c>
      <c r="P186" s="10">
        <v>0.474272665721933</v>
      </c>
      <c r="Q186" s="10">
        <v>0.224934561450988</v>
      </c>
    </row>
    <row r="187" spans="1:17" x14ac:dyDescent="0.2">
      <c r="A187" s="10">
        <v>1593</v>
      </c>
      <c r="B187" s="10" t="s">
        <v>2832</v>
      </c>
      <c r="C187" s="9" t="s">
        <v>249</v>
      </c>
      <c r="D187" s="10">
        <v>-0.127272158</v>
      </c>
      <c r="E187" s="10">
        <v>-1.0562577E-2</v>
      </c>
      <c r="F187" s="10">
        <v>7.1540640000000003E-2</v>
      </c>
      <c r="G187" s="10">
        <v>-1.6163851999999999E-2</v>
      </c>
      <c r="H187" s="9">
        <v>-2.0614487000000001E-2</v>
      </c>
      <c r="I187" s="10">
        <v>8.1627763377586302E-2</v>
      </c>
      <c r="J187" s="10">
        <v>6.6630917540272004E-3</v>
      </c>
      <c r="K187" s="10">
        <v>-0.13762901699999999</v>
      </c>
      <c r="L187" s="10">
        <v>-0.43013975500000001</v>
      </c>
      <c r="M187" s="10">
        <v>-0.158710613</v>
      </c>
      <c r="N187" s="10">
        <v>0.13230726100000001</v>
      </c>
      <c r="O187" s="9">
        <v>-0.14854303075</v>
      </c>
      <c r="P187" s="10">
        <v>0.22977967484044001</v>
      </c>
      <c r="Q187" s="10">
        <v>5.27986989697787E-2</v>
      </c>
    </row>
    <row r="188" spans="1:17" x14ac:dyDescent="0.2">
      <c r="A188" s="10">
        <v>1594</v>
      </c>
      <c r="B188" s="10" t="s">
        <v>96</v>
      </c>
      <c r="C188" s="9" t="s">
        <v>250</v>
      </c>
      <c r="D188" s="10">
        <v>-0.164097522</v>
      </c>
      <c r="E188" s="10">
        <v>0.26786862099999997</v>
      </c>
      <c r="F188" s="10">
        <v>0.212769081</v>
      </c>
      <c r="G188" s="10">
        <v>0.230932054</v>
      </c>
      <c r="H188" s="9">
        <v>0.1368680585</v>
      </c>
      <c r="I188" s="10">
        <v>0.20194919203188</v>
      </c>
      <c r="J188" s="10">
        <v>4.0783476162329302E-2</v>
      </c>
      <c r="K188" s="10">
        <v>-0.115446227</v>
      </c>
      <c r="L188" s="10">
        <v>-3.8302542000000002E-2</v>
      </c>
      <c r="M188" s="10">
        <v>-0.11629713</v>
      </c>
      <c r="N188" s="10">
        <v>1.898634E-3</v>
      </c>
      <c r="O188" s="9">
        <v>-6.7036815999999999E-2</v>
      </c>
      <c r="P188" s="10">
        <v>5.8730470165990999E-2</v>
      </c>
      <c r="Q188" s="10">
        <v>3.4492681259182998E-3</v>
      </c>
    </row>
    <row r="189" spans="1:17" x14ac:dyDescent="0.2">
      <c r="A189" s="10">
        <v>1594</v>
      </c>
      <c r="B189" s="10" t="s">
        <v>2824</v>
      </c>
      <c r="C189" s="9" t="s">
        <v>251</v>
      </c>
      <c r="D189" s="10">
        <v>-3.8756892000000001E-2</v>
      </c>
      <c r="E189" s="10">
        <v>-8.3944279999999996E-2</v>
      </c>
      <c r="F189" s="10">
        <v>-0.57351655700000004</v>
      </c>
      <c r="G189" s="10">
        <v>-0.60402287300000002</v>
      </c>
      <c r="H189" s="9">
        <v>-0.32506015075</v>
      </c>
      <c r="I189" s="10">
        <v>0.30531797922286102</v>
      </c>
      <c r="J189" s="10">
        <v>9.3219068436731903E-2</v>
      </c>
      <c r="K189" s="10">
        <v>-0.122219067</v>
      </c>
      <c r="L189" s="10">
        <v>-0.24979516700000001</v>
      </c>
      <c r="M189" s="10">
        <v>0.22408040000000001</v>
      </c>
      <c r="N189" s="10">
        <v>-0.45334327499999999</v>
      </c>
      <c r="O189" s="9">
        <v>-0.15031927724999999</v>
      </c>
      <c r="P189" s="10">
        <v>0.28441972270744698</v>
      </c>
      <c r="Q189" s="10">
        <v>8.0894578664981495E-2</v>
      </c>
    </row>
    <row r="190" spans="1:17" x14ac:dyDescent="0.2">
      <c r="A190" s="10">
        <v>1594</v>
      </c>
      <c r="B190" s="10" t="s">
        <v>2833</v>
      </c>
      <c r="C190" s="9" t="s">
        <v>252</v>
      </c>
      <c r="D190" s="10">
        <v>4.3215750000000002E-3</v>
      </c>
      <c r="E190" s="10">
        <v>-0.45374393899999999</v>
      </c>
      <c r="F190" s="10">
        <v>-1.300251689</v>
      </c>
      <c r="G190" s="10">
        <v>0.35496966499999999</v>
      </c>
      <c r="H190" s="9">
        <v>-0.34867609700000002</v>
      </c>
      <c r="I190" s="10">
        <v>0.71560232753736097</v>
      </c>
      <c r="J190" s="10">
        <v>0.51208669117688899</v>
      </c>
      <c r="K190" s="10">
        <v>-0.15907277</v>
      </c>
      <c r="L190" s="10">
        <v>-0.25757319400000001</v>
      </c>
      <c r="M190" s="10">
        <v>-0.63748209899999997</v>
      </c>
      <c r="N190" s="10">
        <v>-0.59455219699999995</v>
      </c>
      <c r="O190" s="9">
        <v>-0.41217006499999997</v>
      </c>
      <c r="P190" s="10">
        <v>0.239434881890247</v>
      </c>
      <c r="Q190" s="10">
        <v>5.7329062665796703E-2</v>
      </c>
    </row>
    <row r="191" spans="1:17" x14ac:dyDescent="0.2">
      <c r="A191" s="10">
        <v>1594</v>
      </c>
      <c r="B191" s="10" t="s">
        <v>74</v>
      </c>
      <c r="C191" s="9" t="s">
        <v>253</v>
      </c>
      <c r="D191" s="10">
        <v>-0.198709038</v>
      </c>
      <c r="E191" s="10">
        <v>-0.11372855799999999</v>
      </c>
      <c r="F191" s="10">
        <v>-0.13959153999999999</v>
      </c>
      <c r="G191" s="10">
        <v>-6.2346652000000002E-2</v>
      </c>
      <c r="H191" s="9">
        <v>-0.12859394674999999</v>
      </c>
      <c r="I191" s="10">
        <v>5.6706134067577602E-2</v>
      </c>
      <c r="J191" s="10">
        <v>3.2155856408899999E-3</v>
      </c>
      <c r="K191" s="10">
        <v>0.428706321</v>
      </c>
      <c r="L191" s="10">
        <v>-5.0842717000000003E-2</v>
      </c>
      <c r="M191" s="10">
        <v>-0.47432274299999999</v>
      </c>
      <c r="N191" s="10">
        <v>-0.37250839299999999</v>
      </c>
      <c r="O191" s="9">
        <v>-0.11724188275</v>
      </c>
      <c r="P191" s="10">
        <v>0.40625772706589403</v>
      </c>
      <c r="Q191" s="10">
        <v>0.16504534080074601</v>
      </c>
    </row>
    <row r="192" spans="1:17" x14ac:dyDescent="0.2">
      <c r="A192" s="10">
        <v>1594</v>
      </c>
      <c r="B192" s="10" t="s">
        <v>2818</v>
      </c>
      <c r="C192" s="9" t="s">
        <v>254</v>
      </c>
      <c r="D192" s="10">
        <v>-0.42427607299999998</v>
      </c>
      <c r="E192" s="10">
        <v>0.25650384399999998</v>
      </c>
      <c r="F192" s="10">
        <v>-0.77443184700000001</v>
      </c>
      <c r="G192" s="10">
        <v>0.47275694699999998</v>
      </c>
      <c r="H192" s="9">
        <v>-0.11736178225</v>
      </c>
      <c r="I192" s="10">
        <v>0.58136422116721398</v>
      </c>
      <c r="J192" s="10">
        <v>0.33798435765336099</v>
      </c>
      <c r="K192" s="10">
        <v>0.351326678</v>
      </c>
      <c r="L192" s="10">
        <v>0.19732567000000001</v>
      </c>
      <c r="M192" s="10">
        <v>-0.16625342700000001</v>
      </c>
      <c r="N192" s="10">
        <v>-0.53440641200000005</v>
      </c>
      <c r="O192" s="9">
        <v>-3.8001872749999999E-2</v>
      </c>
      <c r="P192" s="10">
        <v>0.39573631817216898</v>
      </c>
      <c r="Q192" s="10">
        <v>0.15660723352046399</v>
      </c>
    </row>
    <row r="193" spans="1:17" x14ac:dyDescent="0.2">
      <c r="A193" s="10">
        <v>1594</v>
      </c>
      <c r="B193" s="10" t="s">
        <v>2830</v>
      </c>
      <c r="C193" s="9" t="s">
        <v>255</v>
      </c>
      <c r="D193" s="10">
        <v>-0.67510637799999995</v>
      </c>
      <c r="E193" s="10">
        <v>-0.44093082500000003</v>
      </c>
      <c r="F193" s="10">
        <v>-0.188848353</v>
      </c>
      <c r="G193" s="10">
        <v>-0.44323205900000001</v>
      </c>
      <c r="H193" s="9">
        <v>-0.43702940374999999</v>
      </c>
      <c r="I193" s="10">
        <v>0.19860192483066</v>
      </c>
      <c r="J193" s="10">
        <v>3.9442724546443098E-2</v>
      </c>
      <c r="K193" s="10">
        <v>-0.38524542099999998</v>
      </c>
      <c r="L193" s="10">
        <v>-0.221670585</v>
      </c>
      <c r="M193" s="10">
        <v>-0.56084548199999995</v>
      </c>
      <c r="N193" s="10">
        <v>2.5230336999999999E-2</v>
      </c>
      <c r="O193" s="9">
        <v>-0.28563278775000001</v>
      </c>
      <c r="P193" s="10">
        <v>0.24926007133735401</v>
      </c>
      <c r="Q193" s="10">
        <v>6.2130583163102999E-2</v>
      </c>
    </row>
    <row r="194" spans="1:17" x14ac:dyDescent="0.2">
      <c r="A194" s="10">
        <v>1594</v>
      </c>
      <c r="B194" s="10" t="s">
        <v>2832</v>
      </c>
      <c r="C194" s="9" t="s">
        <v>256</v>
      </c>
      <c r="D194" s="10">
        <v>-0.424432963</v>
      </c>
      <c r="E194" s="10">
        <v>1.0878568E-2</v>
      </c>
      <c r="F194" s="10">
        <v>-2.1484297999999999E-2</v>
      </c>
      <c r="G194" s="10">
        <v>-0.35012217299999998</v>
      </c>
      <c r="H194" s="9">
        <v>-0.19629021625000001</v>
      </c>
      <c r="I194" s="10">
        <v>0.223001792246173</v>
      </c>
      <c r="J194" s="10">
        <v>4.9729799345005703E-2</v>
      </c>
      <c r="K194" s="10">
        <v>-0.100980494</v>
      </c>
      <c r="L194" s="10">
        <v>0.105768335</v>
      </c>
      <c r="M194" s="10">
        <v>-0.37604883900000002</v>
      </c>
      <c r="N194" s="10">
        <v>-6.1207260999999999E-2</v>
      </c>
      <c r="O194" s="9">
        <v>-0.10811706475000001</v>
      </c>
      <c r="P194" s="10">
        <v>0.19982147049212301</v>
      </c>
      <c r="Q194" s="10">
        <v>3.9928620069634498E-2</v>
      </c>
    </row>
    <row r="195" spans="1:17" x14ac:dyDescent="0.2">
      <c r="A195" s="10">
        <v>1595</v>
      </c>
      <c r="B195" s="10" t="s">
        <v>96</v>
      </c>
      <c r="C195" s="9" t="s">
        <v>257</v>
      </c>
      <c r="D195" s="10">
        <v>4.0920671999999998E-2</v>
      </c>
      <c r="E195" s="10">
        <v>-3.6002538000000001E-2</v>
      </c>
      <c r="F195" s="10">
        <v>-0.39652985099999999</v>
      </c>
      <c r="G195" s="10">
        <v>-0.22925193499999999</v>
      </c>
      <c r="H195" s="9">
        <v>-0.15521591325</v>
      </c>
      <c r="I195" s="10">
        <v>0.196973042132677</v>
      </c>
      <c r="J195" s="10">
        <v>3.8798379327001697E-2</v>
      </c>
      <c r="K195" s="10">
        <v>1.0735585000000001E-2</v>
      </c>
      <c r="L195" s="10">
        <v>-8.0905912999999996E-2</v>
      </c>
      <c r="M195" s="10">
        <v>-0.47672772299999999</v>
      </c>
      <c r="N195" s="10">
        <v>-0.24467355900000001</v>
      </c>
      <c r="O195" s="9">
        <v>-0.1978929025</v>
      </c>
      <c r="P195" s="10">
        <v>0.21381385085680499</v>
      </c>
      <c r="Q195" s="10">
        <v>4.5716362818216297E-2</v>
      </c>
    </row>
    <row r="196" spans="1:17" x14ac:dyDescent="0.2">
      <c r="A196" s="10">
        <v>1595</v>
      </c>
      <c r="B196" s="10" t="s">
        <v>2819</v>
      </c>
      <c r="C196" s="9" t="s">
        <v>258</v>
      </c>
      <c r="D196" s="10">
        <v>-0.45704852600000001</v>
      </c>
      <c r="E196" s="10">
        <v>3.7093457000000003E-2</v>
      </c>
      <c r="F196" s="10">
        <v>-2.4288138000000001E-2</v>
      </c>
      <c r="G196" s="10">
        <v>-0.14487630600000001</v>
      </c>
      <c r="H196" s="9">
        <v>-0.147279878</v>
      </c>
      <c r="I196" s="10">
        <v>0.21991126029177899</v>
      </c>
      <c r="J196" s="10">
        <v>4.83609624031189E-2</v>
      </c>
      <c r="K196" s="10">
        <v>9.6612655000000006E-2</v>
      </c>
      <c r="L196" s="10">
        <v>0.187945795</v>
      </c>
      <c r="M196" s="10">
        <v>0.73225523199999998</v>
      </c>
      <c r="N196" s="10">
        <v>-0.475002849</v>
      </c>
      <c r="O196" s="9">
        <v>0.135452708</v>
      </c>
      <c r="P196" s="10">
        <v>0.49433231522421001</v>
      </c>
      <c r="Q196" s="10">
        <v>0.24436443787492701</v>
      </c>
    </row>
    <row r="197" spans="1:17" x14ac:dyDescent="0.2">
      <c r="A197" s="10">
        <v>1595</v>
      </c>
      <c r="B197" s="10" t="s">
        <v>2834</v>
      </c>
      <c r="C197" s="9" t="s">
        <v>259</v>
      </c>
      <c r="D197" s="10">
        <v>0.44849884400000001</v>
      </c>
      <c r="E197" s="10">
        <v>-0.580827168</v>
      </c>
      <c r="F197" s="10">
        <v>-2.7752131999999999E-2</v>
      </c>
      <c r="G197" s="10">
        <v>-0.144513054</v>
      </c>
      <c r="H197" s="9">
        <v>-7.6148377749999996E-2</v>
      </c>
      <c r="I197" s="10">
        <v>0.42307261558730802</v>
      </c>
      <c r="J197" s="10">
        <v>0.17899043805988599</v>
      </c>
      <c r="K197" s="10">
        <v>-1.4622909879999999</v>
      </c>
      <c r="L197" s="10">
        <v>0.52370505999999994</v>
      </c>
      <c r="M197" s="10">
        <v>-0.494130175</v>
      </c>
      <c r="N197" s="10">
        <v>0.294670879</v>
      </c>
      <c r="O197" s="9">
        <v>-0.28451130624999998</v>
      </c>
      <c r="P197" s="10">
        <v>0.89810369617776298</v>
      </c>
      <c r="Q197" s="10">
        <v>0.80659024908816002</v>
      </c>
    </row>
    <row r="198" spans="1:17" x14ac:dyDescent="0.2">
      <c r="A198" s="10">
        <v>1595</v>
      </c>
      <c r="B198" s="10" t="s">
        <v>2817</v>
      </c>
      <c r="C198" s="9" t="s">
        <v>2567</v>
      </c>
      <c r="D198" s="10">
        <v>0.27943026100000001</v>
      </c>
      <c r="E198" s="10">
        <v>-0.180491864</v>
      </c>
      <c r="F198" s="10">
        <v>-0.82443212499999996</v>
      </c>
      <c r="G198" s="10">
        <v>-0.81110927799999999</v>
      </c>
      <c r="H198" s="9">
        <v>-0.38415075175000002</v>
      </c>
      <c r="I198" s="10">
        <v>0.53477658070461498</v>
      </c>
      <c r="J198" s="10">
        <v>0.28598599127011998</v>
      </c>
      <c r="K198" s="10">
        <v>0.42582824899999999</v>
      </c>
      <c r="L198" s="10">
        <v>-3.6110982E-2</v>
      </c>
      <c r="M198" s="10">
        <v>-0.77992245400000004</v>
      </c>
      <c r="N198" s="10">
        <v>-0.45375054799999998</v>
      </c>
      <c r="O198" s="9">
        <v>-0.21098893399999999</v>
      </c>
      <c r="P198" s="10">
        <v>0.52241011158898398</v>
      </c>
      <c r="Q198" s="10">
        <v>0.27291232469041499</v>
      </c>
    </row>
    <row r="199" spans="1:17" x14ac:dyDescent="0.2">
      <c r="A199" s="10">
        <v>1595</v>
      </c>
      <c r="B199" s="10" t="s">
        <v>2818</v>
      </c>
      <c r="C199" s="9" t="s">
        <v>260</v>
      </c>
      <c r="D199" s="10">
        <v>2.7527461E-2</v>
      </c>
      <c r="E199" s="10">
        <v>-1.181701071</v>
      </c>
      <c r="F199" s="10">
        <v>0.18229150099999999</v>
      </c>
      <c r="G199" s="10">
        <v>0.35034846400000003</v>
      </c>
      <c r="H199" s="9">
        <v>-0.15538341150000001</v>
      </c>
      <c r="I199" s="10">
        <v>0.69679585769647501</v>
      </c>
      <c r="J199" s="10">
        <v>0.485524467302966</v>
      </c>
      <c r="K199" s="10">
        <v>0.131855483</v>
      </c>
      <c r="L199" s="10">
        <v>-0.26346532299999997</v>
      </c>
      <c r="M199" s="10">
        <v>0.272287844</v>
      </c>
      <c r="N199" s="10">
        <v>0.120344516</v>
      </c>
      <c r="O199" s="9">
        <v>6.5255629999999995E-2</v>
      </c>
      <c r="P199" s="10">
        <v>0.22977534561342899</v>
      </c>
      <c r="Q199" s="10">
        <v>5.2796709451770799E-2</v>
      </c>
    </row>
    <row r="200" spans="1:17" x14ac:dyDescent="0.2">
      <c r="A200" s="10">
        <v>1595</v>
      </c>
      <c r="B200" s="10" t="s">
        <v>2830</v>
      </c>
      <c r="C200" s="9" t="s">
        <v>2566</v>
      </c>
      <c r="D200" s="10">
        <v>1.5548372260000001</v>
      </c>
      <c r="E200" s="10">
        <v>-0.167780657</v>
      </c>
      <c r="F200" s="10">
        <v>-0.81581408700000002</v>
      </c>
      <c r="G200" s="10">
        <v>0.186438943</v>
      </c>
      <c r="H200" s="9">
        <v>0.1894203565</v>
      </c>
      <c r="I200" s="10">
        <v>1.00041007704937</v>
      </c>
      <c r="J200" s="10">
        <v>1.0008203222619401</v>
      </c>
      <c r="K200" s="10">
        <v>0.21114470499999999</v>
      </c>
      <c r="L200" s="10">
        <v>-0.43658575900000002</v>
      </c>
      <c r="M200" s="10">
        <v>0.94548988899999997</v>
      </c>
      <c r="N200" s="10">
        <v>9.5358275000000006E-2</v>
      </c>
      <c r="O200" s="9">
        <v>0.20385177725</v>
      </c>
      <c r="P200" s="10">
        <v>0.56921330315436602</v>
      </c>
      <c r="Q200" s="10">
        <v>0.32400378448790401</v>
      </c>
    </row>
    <row r="201" spans="1:17" x14ac:dyDescent="0.2">
      <c r="A201" s="10">
        <v>1596</v>
      </c>
      <c r="B201" s="10" t="s">
        <v>2822</v>
      </c>
      <c r="C201" s="9" t="s">
        <v>261</v>
      </c>
      <c r="D201" s="10">
        <v>-0.44964225400000002</v>
      </c>
      <c r="E201" s="10">
        <v>-0.44791495999999997</v>
      </c>
      <c r="F201" s="10">
        <v>-0.42239474999999999</v>
      </c>
      <c r="G201" s="10">
        <v>-0.17829924</v>
      </c>
      <c r="H201" s="9">
        <v>-0.37456280125000002</v>
      </c>
      <c r="I201" s="10">
        <v>0.131434069928969</v>
      </c>
      <c r="J201" s="10">
        <v>1.72749147380932E-2</v>
      </c>
      <c r="K201" s="10">
        <v>0.51259332899999999</v>
      </c>
      <c r="L201" s="10">
        <v>4.1477976999999999E-2</v>
      </c>
      <c r="M201" s="10">
        <v>-0.44701506800000002</v>
      </c>
      <c r="N201" s="10">
        <v>-0.36659713399999999</v>
      </c>
      <c r="O201" s="9">
        <v>-6.4885224000000005E-2</v>
      </c>
      <c r="P201" s="10">
        <v>0.44039675445869297</v>
      </c>
      <c r="Q201" s="10">
        <v>0.19394930133775001</v>
      </c>
    </row>
    <row r="202" spans="1:17" x14ac:dyDescent="0.2">
      <c r="A202" s="10">
        <v>1596</v>
      </c>
      <c r="B202" s="10" t="s">
        <v>79</v>
      </c>
      <c r="C202" s="9" t="s">
        <v>2565</v>
      </c>
      <c r="D202" s="10">
        <v>0.59772043100000005</v>
      </c>
      <c r="E202" s="10">
        <v>1.7763511999999999E-2</v>
      </c>
      <c r="F202" s="10">
        <v>-1.7394279050000001</v>
      </c>
      <c r="G202" s="10">
        <v>0.32544674499999998</v>
      </c>
      <c r="H202" s="9">
        <v>-0.19962430425</v>
      </c>
      <c r="I202" s="10">
        <v>1.0535196288517801</v>
      </c>
      <c r="J202" s="10">
        <v>1.1099036083759899</v>
      </c>
      <c r="K202" s="10">
        <v>-0.79715725800000004</v>
      </c>
      <c r="L202" s="10">
        <v>0.35974778299999999</v>
      </c>
      <c r="M202" s="10">
        <v>-0.868537483</v>
      </c>
      <c r="N202" s="10">
        <v>4.7288892020000004</v>
      </c>
      <c r="O202" s="9">
        <v>0.85573556075000001</v>
      </c>
      <c r="P202" s="10">
        <v>2.6427570959185598</v>
      </c>
      <c r="Q202" s="10">
        <v>6.9841650680278997</v>
      </c>
    </row>
    <row r="203" spans="1:17" x14ac:dyDescent="0.2">
      <c r="A203" s="10">
        <v>1596</v>
      </c>
      <c r="B203" s="10" t="s">
        <v>2824</v>
      </c>
      <c r="C203" s="9" t="s">
        <v>262</v>
      </c>
      <c r="D203" s="10">
        <v>-0.20083520699999999</v>
      </c>
      <c r="E203" s="10">
        <v>-0.127622071</v>
      </c>
      <c r="F203" s="10">
        <v>-0.388551749</v>
      </c>
      <c r="G203" s="10">
        <v>-8.2115188000000006E-2</v>
      </c>
      <c r="H203" s="9">
        <v>-0.19978105374999999</v>
      </c>
      <c r="I203" s="10">
        <v>0.135015630426572</v>
      </c>
      <c r="J203" s="10">
        <v>1.8229220459484798E-2</v>
      </c>
      <c r="K203" s="10">
        <v>-8.2304203000000006E-2</v>
      </c>
      <c r="L203" s="10">
        <v>-0.38311526499999998</v>
      </c>
      <c r="M203" s="10">
        <v>-0.105856248</v>
      </c>
      <c r="N203" s="10">
        <v>-0.14459777200000001</v>
      </c>
      <c r="O203" s="9">
        <v>-0.17896837199999999</v>
      </c>
      <c r="P203" s="10">
        <v>0.13849986318905999</v>
      </c>
      <c r="Q203" s="10">
        <v>1.9182212103388399E-2</v>
      </c>
    </row>
    <row r="204" spans="1:17" x14ac:dyDescent="0.2">
      <c r="A204" s="10">
        <v>1596</v>
      </c>
      <c r="B204" s="10" t="s">
        <v>2814</v>
      </c>
      <c r="C204" s="9" t="s">
        <v>263</v>
      </c>
      <c r="D204" s="10">
        <v>0.55615039700000002</v>
      </c>
      <c r="E204" s="10">
        <v>-1.3089028000000001E-2</v>
      </c>
      <c r="F204" s="10">
        <v>-1.2631619670000001</v>
      </c>
      <c r="G204" s="10">
        <v>-0.34857938799999999</v>
      </c>
      <c r="H204" s="9">
        <v>-0.26716999650000001</v>
      </c>
      <c r="I204" s="10">
        <v>0.76180511576819199</v>
      </c>
      <c r="J204" s="10">
        <v>0.58034703441058799</v>
      </c>
      <c r="K204" s="10">
        <v>-1.456485874</v>
      </c>
      <c r="L204" s="10">
        <v>-0.51290433000000002</v>
      </c>
      <c r="M204" s="10">
        <v>-0.60421464300000005</v>
      </c>
      <c r="N204" s="10">
        <v>1.0920915999999999E-2</v>
      </c>
      <c r="O204" s="9">
        <v>-0.64067098300000003</v>
      </c>
      <c r="P204" s="10">
        <v>0.60766748625784495</v>
      </c>
      <c r="Q204" s="10">
        <v>0.36925977385492798</v>
      </c>
    </row>
    <row r="205" spans="1:17" x14ac:dyDescent="0.2">
      <c r="A205" s="10">
        <v>1596</v>
      </c>
      <c r="B205" s="10" t="s">
        <v>2825</v>
      </c>
      <c r="C205" s="9" t="s">
        <v>264</v>
      </c>
      <c r="D205" s="10">
        <v>-0.25340899</v>
      </c>
      <c r="E205" s="10">
        <v>8.3931288000000007E-2</v>
      </c>
      <c r="F205" s="10">
        <v>-0.15432062899999999</v>
      </c>
      <c r="G205" s="10">
        <v>-9.7445878E-2</v>
      </c>
      <c r="H205" s="9">
        <v>-0.10531105225</v>
      </c>
      <c r="I205" s="10">
        <v>0.14166799460745799</v>
      </c>
      <c r="J205" s="10">
        <v>2.0069820696098799E-2</v>
      </c>
      <c r="K205" s="10">
        <v>-0.25890439199999998</v>
      </c>
      <c r="L205" s="10">
        <v>6.7596604000000005E-2</v>
      </c>
      <c r="M205" s="10">
        <v>-0.26112990000000003</v>
      </c>
      <c r="N205" s="10">
        <v>-1.6943234000000001E-2</v>
      </c>
      <c r="O205" s="9">
        <v>-0.11734523049999999</v>
      </c>
      <c r="P205" s="10">
        <v>0.16832218158164999</v>
      </c>
      <c r="Q205" s="10">
        <v>2.8332356812406201E-2</v>
      </c>
    </row>
    <row r="206" spans="1:17" x14ac:dyDescent="0.2">
      <c r="A206" s="10">
        <v>1596</v>
      </c>
      <c r="B206" s="10" t="s">
        <v>2818</v>
      </c>
      <c r="C206" s="9" t="s">
        <v>265</v>
      </c>
      <c r="D206" s="10">
        <v>-0.17616177199999999</v>
      </c>
      <c r="E206" s="10">
        <v>0.18116966400000001</v>
      </c>
      <c r="F206" s="10">
        <v>4.3632032000000001E-2</v>
      </c>
      <c r="G206" s="10">
        <v>0.14195371200000001</v>
      </c>
      <c r="H206" s="9">
        <v>4.7648409000000003E-2</v>
      </c>
      <c r="I206" s="10">
        <v>0.160029730690014</v>
      </c>
      <c r="J206" s="10">
        <v>2.5609514704718499E-2</v>
      </c>
      <c r="K206" s="10">
        <v>-1.0216927000000001E-2</v>
      </c>
      <c r="L206" s="10">
        <v>8.7326214999999999E-2</v>
      </c>
      <c r="M206" s="10">
        <v>-0.182866588</v>
      </c>
      <c r="N206" s="10">
        <v>-7.3997603999999995E-2</v>
      </c>
      <c r="O206" s="9">
        <v>-4.4938726249999998E-2</v>
      </c>
      <c r="P206" s="10">
        <v>0.113384495486287</v>
      </c>
      <c r="Q206" s="10">
        <v>1.28560438166799E-2</v>
      </c>
    </row>
    <row r="207" spans="1:17" x14ac:dyDescent="0.2">
      <c r="A207" s="10">
        <v>1597</v>
      </c>
      <c r="B207" s="10" t="s">
        <v>2824</v>
      </c>
      <c r="C207" s="9" t="s">
        <v>266</v>
      </c>
      <c r="D207" s="10">
        <v>-0.525935021</v>
      </c>
      <c r="E207" s="10">
        <v>7.9203889999999999E-2</v>
      </c>
      <c r="F207" s="10">
        <v>-0.46081229200000001</v>
      </c>
      <c r="G207" s="10">
        <v>0.30302299100000002</v>
      </c>
      <c r="H207" s="9">
        <v>-0.15113010800000001</v>
      </c>
      <c r="I207" s="10">
        <v>0.40648516408429702</v>
      </c>
      <c r="J207" s="10">
        <v>0.16523018862063801</v>
      </c>
      <c r="K207" s="10">
        <v>-1.019241933</v>
      </c>
      <c r="L207" s="10">
        <v>0.18279965000000001</v>
      </c>
      <c r="M207" s="10">
        <v>0.101801503</v>
      </c>
      <c r="N207" s="10">
        <v>7.9959728999999993E-2</v>
      </c>
      <c r="O207" s="9">
        <v>-0.16367026274999999</v>
      </c>
      <c r="P207" s="10">
        <v>0.57209413988314095</v>
      </c>
      <c r="Q207" s="10">
        <v>0.32729170488863102</v>
      </c>
    </row>
    <row r="208" spans="1:17" x14ac:dyDescent="0.2">
      <c r="A208" s="10">
        <v>1597</v>
      </c>
      <c r="B208" s="10" t="s">
        <v>2817</v>
      </c>
      <c r="C208" s="9" t="s">
        <v>267</v>
      </c>
      <c r="D208" s="10">
        <v>-0.36328213399999998</v>
      </c>
      <c r="E208" s="10">
        <v>-1.247744535</v>
      </c>
      <c r="F208" s="10">
        <v>-1.801511348</v>
      </c>
      <c r="G208" s="10">
        <v>-0.38044265900000002</v>
      </c>
      <c r="H208" s="9">
        <v>-0.948245169</v>
      </c>
      <c r="I208" s="10">
        <v>0.70293301841601996</v>
      </c>
      <c r="J208" s="10">
        <v>0.49411482837945703</v>
      </c>
      <c r="K208" s="10">
        <v>-0.85285027400000002</v>
      </c>
      <c r="L208" s="10">
        <v>-1.2974523999999999E-2</v>
      </c>
      <c r="M208" s="10">
        <v>0.72211330399999996</v>
      </c>
      <c r="N208" s="10">
        <v>1.3231563820000001</v>
      </c>
      <c r="O208" s="9">
        <v>0.29486122199999998</v>
      </c>
      <c r="P208" s="10">
        <v>0.94020207087247898</v>
      </c>
      <c r="Q208" s="10">
        <v>0.88397993407289799</v>
      </c>
    </row>
    <row r="209" spans="1:17" x14ac:dyDescent="0.2">
      <c r="A209" s="10">
        <v>1597</v>
      </c>
      <c r="B209" s="10" t="s">
        <v>2814</v>
      </c>
      <c r="C209" s="9" t="s">
        <v>268</v>
      </c>
      <c r="D209" s="10">
        <v>0.876059272</v>
      </c>
      <c r="E209" s="10">
        <v>0.21398455599999999</v>
      </c>
      <c r="F209" s="10">
        <v>0.951701515</v>
      </c>
      <c r="G209" s="10">
        <v>0.52566554300000001</v>
      </c>
      <c r="H209" s="9">
        <v>0.64185272125000004</v>
      </c>
      <c r="I209" s="10">
        <v>0.34030849270754299</v>
      </c>
      <c r="J209" s="10">
        <v>0.11580987020888001</v>
      </c>
      <c r="K209" s="10">
        <v>-0.393398362</v>
      </c>
      <c r="L209" s="10">
        <v>-0.108686859</v>
      </c>
      <c r="M209" s="10">
        <v>-0.101367084</v>
      </c>
      <c r="N209" s="10">
        <v>-0.32263320400000001</v>
      </c>
      <c r="O209" s="9">
        <v>-0.23152137749999999</v>
      </c>
      <c r="P209" s="10">
        <v>0.14892277874857399</v>
      </c>
      <c r="Q209" s="10">
        <v>2.2177994030196699E-2</v>
      </c>
    </row>
    <row r="210" spans="1:17" x14ac:dyDescent="0.2">
      <c r="A210" s="10">
        <v>1597</v>
      </c>
      <c r="B210" s="10" t="s">
        <v>2833</v>
      </c>
      <c r="C210" s="9" t="s">
        <v>269</v>
      </c>
      <c r="D210" s="10">
        <v>0.123380376</v>
      </c>
      <c r="E210" s="10">
        <v>-0.33465693800000001</v>
      </c>
      <c r="F210" s="10">
        <v>0.21563970299999999</v>
      </c>
      <c r="G210" s="10">
        <v>-0.26990227900000002</v>
      </c>
      <c r="H210" s="9">
        <v>-6.6384784500000002E-2</v>
      </c>
      <c r="I210" s="10">
        <v>0.27624744137597201</v>
      </c>
      <c r="J210" s="10">
        <v>7.6312648866771096E-2</v>
      </c>
      <c r="K210" s="10">
        <v>0.31856233</v>
      </c>
      <c r="L210" s="10">
        <v>6.9645849999999997E-3</v>
      </c>
      <c r="M210" s="10">
        <v>-0.675630548</v>
      </c>
      <c r="N210" s="10">
        <v>-0.20740857300000001</v>
      </c>
      <c r="O210" s="9">
        <v>-0.13937805149999999</v>
      </c>
      <c r="P210" s="10">
        <v>0.41766032934438502</v>
      </c>
      <c r="Q210" s="10">
        <v>0.17444015070805999</v>
      </c>
    </row>
    <row r="211" spans="1:17" x14ac:dyDescent="0.2">
      <c r="A211" s="10">
        <v>1597</v>
      </c>
      <c r="B211" s="10" t="s">
        <v>2825</v>
      </c>
      <c r="C211" s="9" t="s">
        <v>270</v>
      </c>
      <c r="D211" s="10">
        <v>-4.1963595999999999E-2</v>
      </c>
      <c r="E211" s="10">
        <v>0.27812414499999999</v>
      </c>
      <c r="F211" s="10">
        <v>-1.6643437000000001E-2</v>
      </c>
      <c r="G211" s="10">
        <v>0.202972968</v>
      </c>
      <c r="H211" s="9">
        <v>0.10562252</v>
      </c>
      <c r="I211" s="10">
        <v>0.159127355945411</v>
      </c>
      <c r="J211" s="10">
        <v>2.5321515410177499E-2</v>
      </c>
      <c r="K211" s="10">
        <v>-1.8029158999999999E-2</v>
      </c>
      <c r="L211" s="10">
        <v>-6.3786093000000002E-2</v>
      </c>
      <c r="M211" s="10">
        <v>-6.4802887000000003E-2</v>
      </c>
      <c r="N211" s="10">
        <v>-0.39345167399999997</v>
      </c>
      <c r="O211" s="9">
        <v>-0.13501745325</v>
      </c>
      <c r="P211" s="10">
        <v>0.17366490668614701</v>
      </c>
      <c r="Q211" s="10">
        <v>3.0159499814308401E-2</v>
      </c>
    </row>
    <row r="212" spans="1:17" x14ac:dyDescent="0.2">
      <c r="A212" s="10">
        <v>1597</v>
      </c>
      <c r="B212" s="10" t="s">
        <v>2830</v>
      </c>
      <c r="C212" s="9" t="s">
        <v>271</v>
      </c>
      <c r="D212" s="10">
        <v>-8.0995233E-2</v>
      </c>
      <c r="E212" s="10">
        <v>-0.42095890400000002</v>
      </c>
      <c r="F212" s="10">
        <v>1.0222179060000001</v>
      </c>
      <c r="G212" s="10">
        <v>-0.99733423899999996</v>
      </c>
      <c r="H212" s="9">
        <v>-0.11926761725</v>
      </c>
      <c r="I212" s="10">
        <v>0.84979852512577603</v>
      </c>
      <c r="J212" s="10">
        <v>0.72215753330594401</v>
      </c>
      <c r="K212" s="10">
        <v>-0.41421409100000001</v>
      </c>
      <c r="L212" s="10">
        <v>-0.27166828300000001</v>
      </c>
      <c r="M212" s="10">
        <v>-0.20749791200000001</v>
      </c>
      <c r="N212" s="10">
        <v>-1.2879830249999999</v>
      </c>
      <c r="O212" s="9">
        <v>-0.54534082775000003</v>
      </c>
      <c r="P212" s="10">
        <v>0.50257541778967996</v>
      </c>
      <c r="Q212" s="10">
        <v>0.25258205056647098</v>
      </c>
    </row>
    <row r="213" spans="1:17" x14ac:dyDescent="0.2">
      <c r="A213" s="10">
        <v>1597</v>
      </c>
      <c r="B213" s="10" t="s">
        <v>2835</v>
      </c>
      <c r="C213" s="9" t="s">
        <v>272</v>
      </c>
      <c r="D213" s="10">
        <v>-0.73918789299999998</v>
      </c>
      <c r="E213" s="10">
        <v>-0.27265683099999999</v>
      </c>
      <c r="F213" s="10">
        <v>-0.49101514899999998</v>
      </c>
      <c r="G213" s="10">
        <v>-8.6997079000000005E-2</v>
      </c>
      <c r="H213" s="9">
        <v>-0.39746423800000003</v>
      </c>
      <c r="I213" s="10">
        <v>0.281361911065377</v>
      </c>
      <c r="J213" s="10">
        <v>7.9164524998361296E-2</v>
      </c>
      <c r="K213" s="10">
        <v>0.79747982500000003</v>
      </c>
      <c r="L213" s="10">
        <v>0.30820137199999997</v>
      </c>
      <c r="M213" s="10">
        <v>-0.69520928699999995</v>
      </c>
      <c r="N213" s="10">
        <v>-0.64800101300000001</v>
      </c>
      <c r="O213" s="9">
        <v>-5.9382275999999998E-2</v>
      </c>
      <c r="P213" s="10">
        <v>0.734864704979039</v>
      </c>
      <c r="Q213" s="10">
        <v>0.54002613462393001</v>
      </c>
    </row>
    <row r="214" spans="1:17" x14ac:dyDescent="0.2">
      <c r="A214" s="10">
        <v>1597</v>
      </c>
      <c r="B214" s="10" t="s">
        <v>2832</v>
      </c>
      <c r="C214" s="9" t="s">
        <v>273</v>
      </c>
      <c r="D214" s="10">
        <v>9.1834569000000005E-2</v>
      </c>
      <c r="E214" s="10">
        <v>-0.342696414</v>
      </c>
      <c r="F214" s="10">
        <v>-0.75225825899999998</v>
      </c>
      <c r="G214" s="10">
        <v>6.6713886999999999E-2</v>
      </c>
      <c r="H214" s="9">
        <v>-0.23410155399999999</v>
      </c>
      <c r="I214" s="10">
        <v>0.398749503813765</v>
      </c>
      <c r="J214" s="10">
        <v>0.15900116679172399</v>
      </c>
      <c r="K214" s="10">
        <v>-3.1509968999999999E-2</v>
      </c>
      <c r="L214" s="10">
        <v>-4.6634909000000002E-2</v>
      </c>
      <c r="M214" s="10">
        <v>-0.23385067500000001</v>
      </c>
      <c r="N214" s="10">
        <v>-8.4643376000000006E-2</v>
      </c>
      <c r="O214" s="9">
        <v>-9.9159732E-2</v>
      </c>
      <c r="P214" s="10">
        <v>9.2534177799134407E-2</v>
      </c>
      <c r="Q214" s="10">
        <v>8.5625740609617997E-3</v>
      </c>
    </row>
    <row r="215" spans="1:17" x14ac:dyDescent="0.2">
      <c r="A215" s="10">
        <v>1598</v>
      </c>
      <c r="B215" s="10" t="s">
        <v>2831</v>
      </c>
      <c r="C215" s="9" t="s">
        <v>70</v>
      </c>
      <c r="D215" s="10">
        <v>-0.35031968000000002</v>
      </c>
      <c r="E215" s="10">
        <v>-0.97342992500000003</v>
      </c>
      <c r="F215" s="10">
        <v>6.2724576000000004E-2</v>
      </c>
      <c r="G215" s="10">
        <v>-1.0912572330000001</v>
      </c>
      <c r="H215" s="9">
        <v>-0.58807056550000003</v>
      </c>
      <c r="I215" s="10">
        <v>0.54214341831291701</v>
      </c>
      <c r="J215" s="10">
        <v>0.293919486020015</v>
      </c>
      <c r="K215" s="10">
        <v>-0.595757761</v>
      </c>
      <c r="L215" s="10">
        <v>2.2203036999999998E-2</v>
      </c>
      <c r="M215" s="10">
        <v>0.72745690299999999</v>
      </c>
      <c r="N215" s="10">
        <v>-0.20587244599999999</v>
      </c>
      <c r="O215" s="9">
        <v>-1.299256675E-2</v>
      </c>
      <c r="P215" s="10">
        <v>0.55567438523686896</v>
      </c>
      <c r="Q215" s="10">
        <v>0.30877402240837198</v>
      </c>
    </row>
    <row r="216" spans="1:17" x14ac:dyDescent="0.2">
      <c r="A216" s="10">
        <v>1598</v>
      </c>
      <c r="B216" s="10" t="s">
        <v>96</v>
      </c>
      <c r="C216" s="9" t="s">
        <v>274</v>
      </c>
      <c r="D216" s="10">
        <v>-9.3278415000000003E-2</v>
      </c>
      <c r="E216" s="10">
        <v>-0.147440975</v>
      </c>
      <c r="F216" s="10">
        <v>-4.4543731000000003E-2</v>
      </c>
      <c r="G216" s="10">
        <v>-0.131364706</v>
      </c>
      <c r="H216" s="9">
        <v>-0.10415695675</v>
      </c>
      <c r="I216" s="10">
        <v>4.5774254809314498E-2</v>
      </c>
      <c r="J216" s="10">
        <v>2.0952824033479999E-3</v>
      </c>
      <c r="K216" s="10">
        <v>0.12808758100000001</v>
      </c>
      <c r="L216" s="10">
        <v>-0.48293666600000001</v>
      </c>
      <c r="M216" s="10">
        <v>-0.18823315099999999</v>
      </c>
      <c r="N216" s="10">
        <v>0.14939098200000001</v>
      </c>
      <c r="O216" s="9">
        <v>-9.8422813750000004E-2</v>
      </c>
      <c r="P216" s="10">
        <v>0.29924094836932302</v>
      </c>
      <c r="Q216" s="10">
        <v>8.9545145180972299E-2</v>
      </c>
    </row>
    <row r="217" spans="1:17" x14ac:dyDescent="0.2">
      <c r="A217" s="10">
        <v>1598</v>
      </c>
      <c r="B217" s="10" t="s">
        <v>2826</v>
      </c>
      <c r="C217" s="9" t="s">
        <v>2564</v>
      </c>
      <c r="D217" s="10">
        <v>-0.28516348600000002</v>
      </c>
      <c r="E217" s="10">
        <v>0.480506025</v>
      </c>
      <c r="F217" s="10">
        <v>-0.39856627100000003</v>
      </c>
      <c r="G217" s="10">
        <v>-0.21735587200000001</v>
      </c>
      <c r="H217" s="9">
        <v>-0.105144901</v>
      </c>
      <c r="I217" s="10">
        <v>0.39752614188901603</v>
      </c>
      <c r="J217" s="10">
        <v>0.158027033485166</v>
      </c>
      <c r="K217" s="10">
        <v>-4.4509563000000002E-2</v>
      </c>
      <c r="L217" s="10">
        <v>0.39713857800000002</v>
      </c>
      <c r="M217" s="10">
        <v>-0.68474208700000005</v>
      </c>
      <c r="N217" s="10">
        <v>1.570516558</v>
      </c>
      <c r="O217" s="9">
        <v>0.30960087175000001</v>
      </c>
      <c r="P217" s="10">
        <v>0.95073363557857404</v>
      </c>
      <c r="Q217" s="10">
        <v>0.90389444582045197</v>
      </c>
    </row>
    <row r="218" spans="1:17" x14ac:dyDescent="0.2">
      <c r="A218" s="10">
        <v>1598</v>
      </c>
      <c r="B218" s="10" t="s">
        <v>2821</v>
      </c>
      <c r="C218" s="9" t="s">
        <v>275</v>
      </c>
      <c r="D218" s="10">
        <v>-0.140896982</v>
      </c>
      <c r="E218" s="10">
        <v>-0.14741516199999999</v>
      </c>
      <c r="F218" s="10">
        <v>8.5843739000000002E-2</v>
      </c>
      <c r="G218" s="10">
        <v>0.36884081699999999</v>
      </c>
      <c r="H218" s="9">
        <v>4.1593102749999999E-2</v>
      </c>
      <c r="I218" s="10">
        <v>0.24363630029632799</v>
      </c>
      <c r="J218" s="10">
        <v>5.93586468220825E-2</v>
      </c>
      <c r="K218" s="10">
        <v>1.4878054999999999E-2</v>
      </c>
      <c r="L218" s="10">
        <v>0.35806632399999999</v>
      </c>
      <c r="M218" s="10">
        <v>-0.26858677600000003</v>
      </c>
      <c r="N218" s="10">
        <v>0.12731299300000001</v>
      </c>
      <c r="O218" s="9">
        <v>5.7917648750000002E-2</v>
      </c>
      <c r="P218" s="10">
        <v>0.26036031896162598</v>
      </c>
      <c r="Q218" s="10">
        <v>6.7787495689799804E-2</v>
      </c>
    </row>
    <row r="219" spans="1:17" x14ac:dyDescent="0.2">
      <c r="A219" s="10">
        <v>1598</v>
      </c>
      <c r="B219" s="10" t="s">
        <v>2824</v>
      </c>
      <c r="C219" s="9" t="s">
        <v>276</v>
      </c>
      <c r="D219" s="10">
        <v>0.134354317</v>
      </c>
      <c r="E219" s="3">
        <v>-5.7599999999999997E-5</v>
      </c>
      <c r="F219" s="10">
        <v>-0.27892308700000001</v>
      </c>
      <c r="G219" s="10">
        <v>-0.15225968500000001</v>
      </c>
      <c r="H219" s="9">
        <v>-7.4221523250000004E-2</v>
      </c>
      <c r="I219" s="10">
        <v>0.17981180304125299</v>
      </c>
      <c r="J219" s="10">
        <v>3.2332284512946501E-2</v>
      </c>
      <c r="K219" s="10">
        <v>-0.13539976000000001</v>
      </c>
      <c r="L219" s="10">
        <v>-7.7619776000000001E-2</v>
      </c>
      <c r="M219" s="10">
        <v>-0.397282627</v>
      </c>
      <c r="N219" s="10">
        <v>-0.32264951400000003</v>
      </c>
      <c r="O219" s="9">
        <v>-0.23323791925000001</v>
      </c>
      <c r="P219" s="10">
        <v>0.15132130421779899</v>
      </c>
      <c r="Q219" s="10">
        <v>2.28981371101756E-2</v>
      </c>
    </row>
    <row r="220" spans="1:17" x14ac:dyDescent="0.2">
      <c r="A220" s="10">
        <v>1598</v>
      </c>
      <c r="B220" s="10" t="s">
        <v>82</v>
      </c>
      <c r="C220" s="9" t="s">
        <v>277</v>
      </c>
      <c r="D220" s="10">
        <v>-0.10435821000000001</v>
      </c>
      <c r="E220" s="10">
        <v>-0.16371711899999999</v>
      </c>
      <c r="F220" s="10">
        <v>-0.109130751</v>
      </c>
      <c r="G220" s="10">
        <v>7.7505642E-2</v>
      </c>
      <c r="H220" s="9">
        <v>-7.4925109749999996E-2</v>
      </c>
      <c r="I220" s="10">
        <v>0.10512768152643701</v>
      </c>
      <c r="J220" s="10">
        <v>1.1051829423124101E-2</v>
      </c>
      <c r="K220" s="10">
        <v>-1.0420532730000001</v>
      </c>
      <c r="L220" s="10">
        <v>-0.59007927299999996</v>
      </c>
      <c r="M220" s="10">
        <v>5.5798122999999998E-2</v>
      </c>
      <c r="N220" s="10">
        <v>-0.30618230899999999</v>
      </c>
      <c r="O220" s="9">
        <v>-0.47062918274999999</v>
      </c>
      <c r="P220" s="10">
        <v>0.46366737269445102</v>
      </c>
      <c r="Q220" s="10">
        <v>0.214987432501375</v>
      </c>
    </row>
    <row r="221" spans="1:17" x14ac:dyDescent="0.2">
      <c r="A221" s="10">
        <v>1598</v>
      </c>
      <c r="B221" s="10" t="s">
        <v>2814</v>
      </c>
      <c r="C221" s="9" t="s">
        <v>278</v>
      </c>
      <c r="D221" s="10">
        <v>-0.24177538800000001</v>
      </c>
      <c r="E221" s="10">
        <v>-8.6177798999999999E-2</v>
      </c>
      <c r="F221" s="10">
        <v>-0.23108983699999999</v>
      </c>
      <c r="G221" s="10">
        <v>-0.42618445599999999</v>
      </c>
      <c r="H221" s="9">
        <v>-0.24630687000000001</v>
      </c>
      <c r="I221" s="10">
        <v>0.13934293158361699</v>
      </c>
      <c r="J221" s="10">
        <v>1.9416452582316598E-2</v>
      </c>
      <c r="K221" s="10">
        <v>-9.1373513000000003E-2</v>
      </c>
      <c r="L221" s="10">
        <v>1.1590846E-2</v>
      </c>
      <c r="M221" s="10">
        <v>4.9439621000000003E-2</v>
      </c>
      <c r="N221" s="10">
        <v>-6.1179627E-2</v>
      </c>
      <c r="O221" s="9">
        <v>-2.288066825E-2</v>
      </c>
      <c r="P221" s="10">
        <v>6.4747173825512497E-2</v>
      </c>
      <c r="Q221" s="10">
        <v>4.1921965183910996E-3</v>
      </c>
    </row>
    <row r="222" spans="1:17" x14ac:dyDescent="0.2">
      <c r="A222" s="10">
        <v>1598</v>
      </c>
      <c r="B222" s="10" t="s">
        <v>2825</v>
      </c>
      <c r="C222" s="9" t="s">
        <v>279</v>
      </c>
      <c r="D222" s="10">
        <v>-0.59596835500000001</v>
      </c>
      <c r="E222" s="10">
        <v>-1.2115493939999999</v>
      </c>
      <c r="F222" s="10">
        <v>-0.26620202799999998</v>
      </c>
      <c r="G222" s="10">
        <v>-0.74259659600000005</v>
      </c>
      <c r="H222" s="9">
        <v>-0.70407909324999995</v>
      </c>
      <c r="I222" s="10">
        <v>0.392612599627293</v>
      </c>
      <c r="J222" s="10">
        <v>0.154144653386101</v>
      </c>
      <c r="K222" s="10">
        <v>-5.8025800000000005E-4</v>
      </c>
      <c r="L222" s="10">
        <v>-0.38053587300000002</v>
      </c>
      <c r="M222" s="10">
        <v>-0.81817392799999999</v>
      </c>
      <c r="N222" s="10">
        <v>0.258348417</v>
      </c>
      <c r="O222" s="9">
        <v>-0.23523541025</v>
      </c>
      <c r="P222" s="10">
        <v>0.46890566746847101</v>
      </c>
      <c r="Q222" s="10">
        <v>0.21987252498405299</v>
      </c>
    </row>
    <row r="223" spans="1:17" x14ac:dyDescent="0.2">
      <c r="A223" s="10">
        <v>1598</v>
      </c>
      <c r="B223" s="10" t="s">
        <v>2818</v>
      </c>
      <c r="C223" s="9" t="s">
        <v>280</v>
      </c>
      <c r="D223" s="10">
        <v>-1.166214723</v>
      </c>
      <c r="E223" s="10">
        <v>0.17806862400000001</v>
      </c>
      <c r="F223" s="10">
        <v>-0.36259578100000001</v>
      </c>
      <c r="G223" s="10">
        <v>-1.479259871</v>
      </c>
      <c r="H223" s="9">
        <v>-0.70750043799999995</v>
      </c>
      <c r="I223" s="10">
        <v>0.75481194207108904</v>
      </c>
      <c r="J223" s="10">
        <v>0.56974106789312995</v>
      </c>
      <c r="K223" s="10">
        <v>-0.51108048299999997</v>
      </c>
      <c r="L223" s="10">
        <v>-0.18512677199999999</v>
      </c>
      <c r="M223" s="10">
        <v>0.35249464699999999</v>
      </c>
      <c r="N223" s="10">
        <v>6.9457442999999994E-2</v>
      </c>
      <c r="O223" s="9">
        <v>-6.8563791250000006E-2</v>
      </c>
      <c r="P223" s="10">
        <v>0.36776261387119002</v>
      </c>
      <c r="Q223" s="10">
        <v>0.13524934016137</v>
      </c>
    </row>
    <row r="224" spans="1:17" x14ac:dyDescent="0.2">
      <c r="A224" s="10">
        <v>1598</v>
      </c>
      <c r="B224" s="10" t="s">
        <v>2830</v>
      </c>
      <c r="C224" s="9" t="s">
        <v>281</v>
      </c>
      <c r="D224" s="10">
        <v>-0.123868847</v>
      </c>
      <c r="E224" s="10">
        <v>-0.64530395699999998</v>
      </c>
      <c r="F224" s="10">
        <v>-0.213207806</v>
      </c>
      <c r="G224" s="10">
        <v>0.28604744599999998</v>
      </c>
      <c r="H224" s="9">
        <v>-0.17408329124999999</v>
      </c>
      <c r="I224" s="10">
        <v>0.38202156538510601</v>
      </c>
      <c r="J224" s="10">
        <v>0.14594047641928701</v>
      </c>
      <c r="K224" s="10">
        <v>-0.79579745899999998</v>
      </c>
      <c r="L224" s="10">
        <v>0.160209465</v>
      </c>
      <c r="M224" s="10">
        <v>-0.244054095</v>
      </c>
      <c r="N224" s="10">
        <v>-0.51554480800000002</v>
      </c>
      <c r="O224" s="9">
        <v>-0.34879672425000002</v>
      </c>
      <c r="P224" s="10">
        <v>0.40729714762007402</v>
      </c>
      <c r="Q224" s="10">
        <v>0.16589096645944801</v>
      </c>
    </row>
    <row r="225" spans="1:17" x14ac:dyDescent="0.2">
      <c r="A225" s="10">
        <v>1598</v>
      </c>
      <c r="B225" s="10" t="s">
        <v>2835</v>
      </c>
      <c r="C225" s="9" t="s">
        <v>282</v>
      </c>
      <c r="D225" s="10">
        <v>-0.25042481999999999</v>
      </c>
      <c r="E225" s="10">
        <v>-0.21562508699999999</v>
      </c>
      <c r="F225" s="10">
        <v>-0.503330783</v>
      </c>
      <c r="G225" s="10">
        <v>5.8227943999999997E-2</v>
      </c>
      <c r="H225" s="9">
        <v>-0.22778818625</v>
      </c>
      <c r="I225" s="10">
        <v>0.229774750250337</v>
      </c>
      <c r="J225" s="10">
        <v>5.2796435852605003E-2</v>
      </c>
      <c r="K225" s="10">
        <v>0.13481934500000001</v>
      </c>
      <c r="L225" s="10">
        <v>3.4638012000000003E-2</v>
      </c>
      <c r="M225" s="10">
        <v>0.25353285199999998</v>
      </c>
      <c r="N225" s="10">
        <v>-0.82452862800000004</v>
      </c>
      <c r="O225" s="9">
        <v>-0.10038460474999999</v>
      </c>
      <c r="P225" s="10">
        <v>0.49098341370936399</v>
      </c>
      <c r="Q225" s="10">
        <v>0.24106471253770001</v>
      </c>
    </row>
    <row r="226" spans="1:17" x14ac:dyDescent="0.2">
      <c r="A226" s="10">
        <v>1599</v>
      </c>
      <c r="B226" s="10" t="s">
        <v>2819</v>
      </c>
      <c r="C226" s="9" t="s">
        <v>283</v>
      </c>
      <c r="D226" s="10">
        <v>-9.2997974999999997E-2</v>
      </c>
      <c r="E226" s="10">
        <v>0.132767156</v>
      </c>
      <c r="F226" s="10">
        <v>0.67767659300000005</v>
      </c>
      <c r="G226" s="10">
        <v>0.40116786700000001</v>
      </c>
      <c r="H226" s="9">
        <v>0.27965341025000001</v>
      </c>
      <c r="I226" s="10">
        <v>0.33348305495283498</v>
      </c>
      <c r="J226" s="10">
        <v>0.111210947940675</v>
      </c>
      <c r="K226" s="10">
        <v>0.27699492100000001</v>
      </c>
      <c r="L226" s="10">
        <v>-0.60897245899999997</v>
      </c>
      <c r="M226" s="10">
        <v>-0.52429862500000002</v>
      </c>
      <c r="N226" s="10">
        <v>-1.2907767750000001</v>
      </c>
      <c r="O226" s="9">
        <v>-0.53676323449999996</v>
      </c>
      <c r="P226" s="10">
        <v>0.64190037998975702</v>
      </c>
      <c r="Q226" s="10">
        <v>0.41203609783099499</v>
      </c>
    </row>
    <row r="227" spans="1:17" x14ac:dyDescent="0.2">
      <c r="A227" s="10">
        <v>1599</v>
      </c>
      <c r="B227" s="10" t="s">
        <v>2826</v>
      </c>
      <c r="C227" s="9" t="s">
        <v>2563</v>
      </c>
      <c r="D227" s="10">
        <v>-0.74251803599999999</v>
      </c>
      <c r="E227" s="10">
        <v>-0.62622549900000002</v>
      </c>
      <c r="F227" s="10">
        <v>-2.8086515999999999E-2</v>
      </c>
      <c r="G227" s="10">
        <v>-0.89380512300000003</v>
      </c>
      <c r="H227" s="9">
        <v>-0.57265879350000004</v>
      </c>
      <c r="I227" s="10">
        <v>0.37921651008962198</v>
      </c>
      <c r="J227" s="10">
        <v>0.143805161524552</v>
      </c>
      <c r="K227" s="10">
        <v>-0.39006063600000002</v>
      </c>
      <c r="L227" s="10">
        <v>0.53053492999999996</v>
      </c>
      <c r="M227" s="10">
        <v>-6.205388514</v>
      </c>
      <c r="N227" s="10">
        <v>1.455874938</v>
      </c>
      <c r="O227" s="9">
        <v>-1.1522598207500001</v>
      </c>
      <c r="P227" s="10">
        <v>3.4520149806903402</v>
      </c>
      <c r="Q227" s="10">
        <v>11.916407426910499</v>
      </c>
    </row>
    <row r="228" spans="1:17" x14ac:dyDescent="0.2">
      <c r="A228" s="10">
        <v>1599</v>
      </c>
      <c r="B228" s="10" t="s">
        <v>2821</v>
      </c>
      <c r="C228" s="9" t="s">
        <v>2562</v>
      </c>
      <c r="D228" s="10">
        <v>-1.005898293</v>
      </c>
      <c r="E228" s="10">
        <v>-0.21297576900000001</v>
      </c>
      <c r="F228" s="10">
        <v>-0.91937871000000004</v>
      </c>
      <c r="G228" s="10">
        <v>-1.4048508390000001</v>
      </c>
      <c r="H228" s="9">
        <v>-0.88577590274999995</v>
      </c>
      <c r="I228" s="10">
        <v>0.49586871471906502</v>
      </c>
      <c r="J228" s="10">
        <v>0.245885782237137</v>
      </c>
      <c r="K228" s="10">
        <v>-1.115935192</v>
      </c>
      <c r="L228" s="10">
        <v>-1.7459976749999999</v>
      </c>
      <c r="M228" s="10">
        <v>-6.0733287919999999</v>
      </c>
      <c r="N228" s="10">
        <v>-1.249814086</v>
      </c>
      <c r="O228" s="9">
        <v>-2.5462689350000001</v>
      </c>
      <c r="P228" s="10">
        <v>2.3669414241662698</v>
      </c>
      <c r="Q228" s="10">
        <v>5.6024117054342799</v>
      </c>
    </row>
    <row r="229" spans="1:17" x14ac:dyDescent="0.2">
      <c r="A229" s="10">
        <v>1599</v>
      </c>
      <c r="B229" s="10" t="s">
        <v>2834</v>
      </c>
      <c r="C229" s="9" t="s">
        <v>284</v>
      </c>
      <c r="D229" s="10">
        <v>-0.37948046699999999</v>
      </c>
      <c r="E229" s="10">
        <v>4.8801352999999999E-2</v>
      </c>
      <c r="F229" s="10">
        <v>-0.49881066000000002</v>
      </c>
      <c r="G229" s="10">
        <v>-0.26657952899999998</v>
      </c>
      <c r="H229" s="9">
        <v>-0.27401732574999998</v>
      </c>
      <c r="I229" s="10">
        <v>0.23517492599902401</v>
      </c>
      <c r="J229" s="10">
        <v>5.5307245818646503E-2</v>
      </c>
      <c r="K229" s="10">
        <v>-0.189153403</v>
      </c>
      <c r="L229" s="10">
        <v>-0.56179577800000002</v>
      </c>
      <c r="M229" s="10">
        <v>-0.44953468800000002</v>
      </c>
      <c r="N229" s="10">
        <v>0.22519120200000001</v>
      </c>
      <c r="O229" s="9">
        <v>-0.24382316700000001</v>
      </c>
      <c r="P229" s="10">
        <v>0.34946963274967302</v>
      </c>
      <c r="Q229" s="10">
        <v>0.122129024214191</v>
      </c>
    </row>
    <row r="230" spans="1:17" x14ac:dyDescent="0.2">
      <c r="A230" s="10">
        <v>1599</v>
      </c>
      <c r="B230" s="10" t="s">
        <v>2824</v>
      </c>
      <c r="C230" s="9" t="s">
        <v>285</v>
      </c>
      <c r="D230" s="10">
        <v>0.66229529600000003</v>
      </c>
      <c r="E230" s="10">
        <v>0.112536553</v>
      </c>
      <c r="F230" s="10">
        <v>-0.42532316999999997</v>
      </c>
      <c r="G230" s="10">
        <v>0.56891020599999997</v>
      </c>
      <c r="H230" s="9">
        <v>0.22960472125</v>
      </c>
      <c r="I230" s="10">
        <v>0.49832547737848998</v>
      </c>
      <c r="J230" s="10">
        <v>0.2483282814045</v>
      </c>
      <c r="K230" s="10">
        <v>0.57040301900000001</v>
      </c>
      <c r="L230" s="10">
        <v>0.70876400699999997</v>
      </c>
      <c r="M230" s="10">
        <v>4.2491900999999999E-2</v>
      </c>
      <c r="N230" s="10">
        <v>-0.29936689599999999</v>
      </c>
      <c r="O230" s="9">
        <v>0.25557300775000003</v>
      </c>
      <c r="P230" s="10">
        <v>0.46828120917982302</v>
      </c>
      <c r="Q230" s="10">
        <v>0.219287290870917</v>
      </c>
    </row>
    <row r="231" spans="1:17" x14ac:dyDescent="0.2">
      <c r="A231" s="10">
        <v>1599</v>
      </c>
      <c r="B231" s="10" t="s">
        <v>2814</v>
      </c>
      <c r="C231" s="9" t="s">
        <v>286</v>
      </c>
      <c r="D231" s="10">
        <v>-9.2244116000000001E-2</v>
      </c>
      <c r="E231" s="10">
        <v>9.5080268999999995E-2</v>
      </c>
      <c r="F231" s="10">
        <v>0.11695778699999999</v>
      </c>
      <c r="G231" s="10">
        <v>0.93739204700000001</v>
      </c>
      <c r="H231" s="9">
        <v>0.26429649700000002</v>
      </c>
      <c r="I231" s="10">
        <v>0.45844725448381002</v>
      </c>
      <c r="J231" s="10">
        <v>0.21017388514374299</v>
      </c>
      <c r="K231" s="10">
        <v>0.16309095800000001</v>
      </c>
      <c r="L231" s="10">
        <v>6.1608714000000002E-2</v>
      </c>
      <c r="M231" s="10">
        <v>-0.989034635</v>
      </c>
      <c r="N231" s="10">
        <v>-0.29617196299999998</v>
      </c>
      <c r="O231" s="9">
        <v>-0.26512673149999999</v>
      </c>
      <c r="P231" s="10">
        <v>0.52125902073583796</v>
      </c>
      <c r="Q231" s="10">
        <v>0.27171096669848499</v>
      </c>
    </row>
    <row r="232" spans="1:17" x14ac:dyDescent="0.2">
      <c r="A232" s="10">
        <v>1599</v>
      </c>
      <c r="B232" s="10" t="s">
        <v>74</v>
      </c>
      <c r="C232" s="9" t="s">
        <v>287</v>
      </c>
      <c r="D232" s="10">
        <v>-0.28657706100000002</v>
      </c>
      <c r="E232" s="10">
        <v>0.23601314600000001</v>
      </c>
      <c r="F232" s="10">
        <v>0.347100299</v>
      </c>
      <c r="G232" s="10">
        <v>1.6926734999999998E-2</v>
      </c>
      <c r="H232" s="9">
        <v>7.8365779750000003E-2</v>
      </c>
      <c r="I232" s="10">
        <v>0.279302086850159</v>
      </c>
      <c r="J232" s="10">
        <v>7.8009655718854196E-2</v>
      </c>
      <c r="K232" s="10">
        <v>-1.8003455000000002E-2</v>
      </c>
      <c r="L232" s="10">
        <v>0.35722236699999999</v>
      </c>
      <c r="M232" s="10">
        <v>0.73070347400000002</v>
      </c>
      <c r="N232" s="10">
        <v>0.36615064200000003</v>
      </c>
      <c r="O232" s="9">
        <v>0.35901825700000001</v>
      </c>
      <c r="P232" s="10">
        <v>0.30569558277935399</v>
      </c>
      <c r="Q232" s="10">
        <v>9.3449789330809399E-2</v>
      </c>
    </row>
    <row r="233" spans="1:17" x14ac:dyDescent="0.2">
      <c r="A233" s="10">
        <v>1600</v>
      </c>
      <c r="B233" s="10" t="s">
        <v>96</v>
      </c>
      <c r="C233" s="9" t="s">
        <v>2561</v>
      </c>
      <c r="D233" s="10">
        <v>4.4922944999999999E-2</v>
      </c>
      <c r="E233" s="10">
        <v>0.26074624200000002</v>
      </c>
      <c r="F233" s="10">
        <v>-0.623917638</v>
      </c>
      <c r="G233" s="10">
        <v>-0.26365963399999998</v>
      </c>
      <c r="H233" s="9">
        <v>-0.14547702125</v>
      </c>
      <c r="I233" s="10">
        <v>0.38476921241440998</v>
      </c>
      <c r="J233" s="10">
        <v>0.14804734682200499</v>
      </c>
      <c r="K233" s="10">
        <v>-6.8511663E-2</v>
      </c>
      <c r="L233" s="10">
        <v>-3.8872327999999998E-2</v>
      </c>
      <c r="M233" s="10">
        <v>-0.85615022799999996</v>
      </c>
      <c r="N233" s="10">
        <v>1.087605264</v>
      </c>
      <c r="O233" s="9">
        <v>3.1017761250000001E-2</v>
      </c>
      <c r="P233" s="10">
        <v>0.79963219106959305</v>
      </c>
      <c r="Q233" s="10">
        <v>0.639411640994759</v>
      </c>
    </row>
    <row r="234" spans="1:17" x14ac:dyDescent="0.2">
      <c r="A234" s="10">
        <v>1600</v>
      </c>
      <c r="B234" s="10" t="s">
        <v>79</v>
      </c>
      <c r="C234" s="9" t="s">
        <v>288</v>
      </c>
      <c r="D234" s="10">
        <v>0.53558208799999996</v>
      </c>
      <c r="E234" s="10">
        <v>0.446632054</v>
      </c>
      <c r="F234" s="10">
        <v>0.140805026</v>
      </c>
      <c r="G234" s="10">
        <v>-0.56152098399999995</v>
      </c>
      <c r="H234" s="9">
        <v>0.14037454575</v>
      </c>
      <c r="I234" s="10">
        <v>0.49754067934426599</v>
      </c>
      <c r="J234" s="10">
        <v>0.24754672760235399</v>
      </c>
      <c r="K234" s="10">
        <v>-0.105162826</v>
      </c>
      <c r="L234" s="10">
        <v>0.48593905700000001</v>
      </c>
      <c r="M234" s="10">
        <v>-0.16928721899999999</v>
      </c>
      <c r="N234" s="10">
        <v>0.306453643</v>
      </c>
      <c r="O234" s="9">
        <v>0.12948566349999999</v>
      </c>
      <c r="P234" s="10">
        <v>0.31764856705063599</v>
      </c>
      <c r="Q234" s="10">
        <v>0.100900612149322</v>
      </c>
    </row>
    <row r="235" spans="1:17" x14ac:dyDescent="0.2">
      <c r="A235" s="10">
        <v>1600</v>
      </c>
      <c r="B235" s="10" t="s">
        <v>2825</v>
      </c>
      <c r="C235" s="9" t="s">
        <v>289</v>
      </c>
      <c r="D235" s="10">
        <v>-0.47879172599999997</v>
      </c>
      <c r="E235" s="10">
        <v>4.8976150000000001E-3</v>
      </c>
      <c r="F235" s="10">
        <v>0.61873012199999999</v>
      </c>
      <c r="G235" s="10">
        <v>-0.207285996</v>
      </c>
      <c r="H235" s="9">
        <v>-1.561249625E-2</v>
      </c>
      <c r="I235" s="10">
        <v>0.466935024519818</v>
      </c>
      <c r="J235" s="10">
        <v>0.21802831712332299</v>
      </c>
      <c r="K235" s="10">
        <v>0.54824116300000003</v>
      </c>
      <c r="L235" s="10">
        <v>-0.11927170300000001</v>
      </c>
      <c r="M235" s="10">
        <v>0.26713790300000001</v>
      </c>
      <c r="N235" s="10">
        <v>2.3852446999999999E-2</v>
      </c>
      <c r="O235" s="9">
        <v>0.17998995249999999</v>
      </c>
      <c r="P235" s="10">
        <v>0.29276849693197798</v>
      </c>
      <c r="Q235" s="10">
        <v>8.5713392795809598E-2</v>
      </c>
    </row>
    <row r="236" spans="1:17" x14ac:dyDescent="0.2">
      <c r="A236" s="10">
        <v>1600</v>
      </c>
      <c r="B236" s="10" t="s">
        <v>74</v>
      </c>
      <c r="C236" s="9" t="s">
        <v>290</v>
      </c>
      <c r="D236" s="10">
        <v>0.18937452799999999</v>
      </c>
      <c r="E236" s="10">
        <v>-0.232537934</v>
      </c>
      <c r="F236" s="10">
        <v>-0.186451534</v>
      </c>
      <c r="G236" s="10">
        <v>0.22230462200000001</v>
      </c>
      <c r="H236" s="9">
        <v>-1.82757975E-3</v>
      </c>
      <c r="I236" s="10">
        <v>0.24090576436330999</v>
      </c>
      <c r="J236" s="10">
        <v>5.8035587303470602E-2</v>
      </c>
      <c r="K236" s="10">
        <v>-9.6180404999999997E-2</v>
      </c>
      <c r="L236" s="10">
        <v>0.201830382</v>
      </c>
      <c r="M236" s="10">
        <v>-0.14213736299999999</v>
      </c>
      <c r="N236" s="10">
        <v>-0.43052319999999999</v>
      </c>
      <c r="O236" s="9">
        <v>-0.1167526465</v>
      </c>
      <c r="P236" s="10">
        <v>0.25885305177780399</v>
      </c>
      <c r="Q236" s="10">
        <v>6.7004902414682599E-2</v>
      </c>
    </row>
    <row r="237" spans="1:17" x14ac:dyDescent="0.2">
      <c r="A237" s="10">
        <v>1600</v>
      </c>
      <c r="B237" s="10" t="s">
        <v>2818</v>
      </c>
      <c r="C237" s="9" t="s">
        <v>291</v>
      </c>
      <c r="D237" s="10">
        <v>0.102730263</v>
      </c>
      <c r="E237" s="10">
        <v>-9.7022380000000005E-2</v>
      </c>
      <c r="F237" s="10">
        <v>0.17077945899999999</v>
      </c>
      <c r="G237" s="10">
        <v>-6.5418116999999998E-2</v>
      </c>
      <c r="H237" s="9">
        <v>2.7767306249999998E-2</v>
      </c>
      <c r="I237" s="10">
        <v>0.129522082569661</v>
      </c>
      <c r="J237" s="10">
        <v>1.6775969873182198E-2</v>
      </c>
      <c r="K237" s="10">
        <v>0.19993102900000001</v>
      </c>
      <c r="L237" s="10">
        <v>-3.5426858999999998E-2</v>
      </c>
      <c r="M237" s="10">
        <v>-1.4139541E-2</v>
      </c>
      <c r="N237" s="10">
        <v>2.4596144E-2</v>
      </c>
      <c r="O237" s="9">
        <v>4.3740193250000003E-2</v>
      </c>
      <c r="P237" s="10">
        <v>0.10705070074934001</v>
      </c>
      <c r="Q237" s="10">
        <v>1.1459852530924901E-2</v>
      </c>
    </row>
    <row r="238" spans="1:17" x14ac:dyDescent="0.2">
      <c r="A238" s="10">
        <v>1600</v>
      </c>
      <c r="B238" s="10" t="s">
        <v>2830</v>
      </c>
      <c r="C238" s="9" t="s">
        <v>292</v>
      </c>
      <c r="D238" s="10">
        <v>-2.2274908999999999E-2</v>
      </c>
      <c r="E238" s="10">
        <v>0.43802951800000001</v>
      </c>
      <c r="F238" s="10">
        <v>0.26307835899999998</v>
      </c>
      <c r="G238" s="10">
        <v>-0.10056177400000001</v>
      </c>
      <c r="H238" s="9">
        <v>0.14456779824999999</v>
      </c>
      <c r="I238" s="10">
        <v>0.25039271163639698</v>
      </c>
      <c r="J238" s="10">
        <v>6.2696510040627998E-2</v>
      </c>
      <c r="K238" s="10">
        <v>-0.106253793</v>
      </c>
      <c r="L238" s="10">
        <v>2.9316798000000002E-2</v>
      </c>
      <c r="M238" s="10">
        <v>-0.26519860299999998</v>
      </c>
      <c r="N238" s="10">
        <v>-0.19512227500000001</v>
      </c>
      <c r="O238" s="9">
        <v>-0.13431446825000001</v>
      </c>
      <c r="P238" s="10">
        <v>0.12700503780174199</v>
      </c>
      <c r="Q238" s="10">
        <v>1.6130279627021901E-2</v>
      </c>
    </row>
    <row r="239" spans="1:17" x14ac:dyDescent="0.2">
      <c r="A239" s="10">
        <v>1601</v>
      </c>
      <c r="B239" s="10" t="s">
        <v>2831</v>
      </c>
      <c r="C239" s="9" t="s">
        <v>2560</v>
      </c>
      <c r="D239" s="10">
        <v>-0.67939256999999997</v>
      </c>
      <c r="E239" s="10">
        <v>-0.69775554299999998</v>
      </c>
      <c r="F239" s="10">
        <v>-0.83949766299999995</v>
      </c>
      <c r="G239" s="10">
        <v>-0.41446878999999998</v>
      </c>
      <c r="H239" s="9">
        <v>-0.65777864149999998</v>
      </c>
      <c r="I239" s="10">
        <v>0.17728207389225101</v>
      </c>
      <c r="J239" s="10">
        <v>3.1428933723537701E-2</v>
      </c>
      <c r="K239" s="10">
        <v>9.5529503000000002E-2</v>
      </c>
      <c r="L239" s="10">
        <v>-0.79577095099999995</v>
      </c>
      <c r="M239" s="10">
        <v>-0.43438829099999998</v>
      </c>
      <c r="N239" s="10">
        <v>-0.27531650000000002</v>
      </c>
      <c r="O239" s="9">
        <v>-0.35248655974999998</v>
      </c>
      <c r="P239" s="10">
        <v>0.369631598447003</v>
      </c>
      <c r="Q239" s="10">
        <v>0.136627518570486</v>
      </c>
    </row>
    <row r="240" spans="1:17" x14ac:dyDescent="0.2">
      <c r="A240" s="10">
        <v>1601</v>
      </c>
      <c r="B240" s="10" t="s">
        <v>2822</v>
      </c>
      <c r="C240" s="9" t="s">
        <v>293</v>
      </c>
      <c r="D240" s="10">
        <v>0.30816077200000003</v>
      </c>
      <c r="E240" s="10">
        <v>-1.2728081E-2</v>
      </c>
      <c r="F240" s="10">
        <v>-0.29610829799999999</v>
      </c>
      <c r="G240" s="10">
        <v>-0.145136398</v>
      </c>
      <c r="H240" s="9">
        <v>-3.6453001249999999E-2</v>
      </c>
      <c r="I240" s="10">
        <v>0.25726411747069</v>
      </c>
      <c r="J240" s="10">
        <v>6.6184826137973204E-2</v>
      </c>
      <c r="K240" s="10">
        <v>5.3299991999999997E-2</v>
      </c>
      <c r="L240" s="10">
        <v>0.20633089800000001</v>
      </c>
      <c r="M240" s="10">
        <v>4.7408387000000003E-2</v>
      </c>
      <c r="N240" s="10">
        <v>-0.339929337</v>
      </c>
      <c r="O240" s="9">
        <v>-8.2225144999999999E-3</v>
      </c>
      <c r="P240" s="10">
        <v>0.23305392717579801</v>
      </c>
      <c r="Q240" s="10">
        <v>5.43141329720623E-2</v>
      </c>
    </row>
    <row r="241" spans="1:17" x14ac:dyDescent="0.2">
      <c r="A241" s="10">
        <v>1601</v>
      </c>
      <c r="B241" s="10" t="s">
        <v>2823</v>
      </c>
      <c r="C241" s="9" t="s">
        <v>2559</v>
      </c>
      <c r="D241" s="10">
        <v>5.5715274990000001</v>
      </c>
      <c r="E241" s="10">
        <v>-0.31764124199999999</v>
      </c>
      <c r="F241" s="10">
        <v>9.7496936000000006E-2</v>
      </c>
      <c r="G241" s="10">
        <v>1.0346632999999999E-2</v>
      </c>
      <c r="H241" s="9">
        <v>1.3404324565000001</v>
      </c>
      <c r="I241" s="10">
        <v>2.8263870137404399</v>
      </c>
      <c r="J241" s="10">
        <v>7.9884635514406002</v>
      </c>
      <c r="K241" s="10">
        <v>-0.95995481199999999</v>
      </c>
      <c r="L241" s="10">
        <v>-1.5325578630000001</v>
      </c>
      <c r="M241" s="10">
        <v>1.271801266</v>
      </c>
      <c r="N241" s="10">
        <v>-0.25088219499999997</v>
      </c>
      <c r="O241" s="9">
        <v>-0.36789840125000001</v>
      </c>
      <c r="P241" s="10">
        <v>1.2123352460793499</v>
      </c>
      <c r="Q241" s="10">
        <v>1.4697567488862899</v>
      </c>
    </row>
    <row r="242" spans="1:17" x14ac:dyDescent="0.2">
      <c r="A242" s="10">
        <v>1601</v>
      </c>
      <c r="B242" s="10" t="s">
        <v>2821</v>
      </c>
      <c r="C242" s="9" t="s">
        <v>2558</v>
      </c>
      <c r="D242" s="10">
        <v>-1.178714075</v>
      </c>
      <c r="E242" s="10">
        <v>-1.2225081840000001</v>
      </c>
      <c r="F242" s="10">
        <v>2.6074707899999998</v>
      </c>
      <c r="G242" s="10">
        <v>-0.88346283999999997</v>
      </c>
      <c r="H242" s="9">
        <v>-0.16930357725</v>
      </c>
      <c r="I242" s="10">
        <v>1.8572963177546999</v>
      </c>
      <c r="J242" s="10">
        <v>3.4495496119451898</v>
      </c>
      <c r="K242" s="10">
        <v>-0.14486067899999999</v>
      </c>
      <c r="L242" s="10">
        <v>1.965127235</v>
      </c>
      <c r="M242" s="10">
        <v>-3.9893093130000001</v>
      </c>
      <c r="N242" s="10">
        <v>-3.5817717039999999</v>
      </c>
      <c r="O242" s="9">
        <v>-1.4377036155</v>
      </c>
      <c r="P242" s="10">
        <v>2.84946897153434</v>
      </c>
      <c r="Q242" s="10">
        <v>8.119473419737</v>
      </c>
    </row>
    <row r="243" spans="1:17" x14ac:dyDescent="0.2">
      <c r="A243" s="10">
        <v>1601</v>
      </c>
      <c r="B243" s="10" t="s">
        <v>2834</v>
      </c>
      <c r="C243" s="9" t="s">
        <v>294</v>
      </c>
      <c r="D243" s="10">
        <v>-0.60013348099999997</v>
      </c>
      <c r="E243" s="10">
        <v>-0.19001594499999999</v>
      </c>
      <c r="F243" s="10">
        <v>-3.2180931000000003E-2</v>
      </c>
      <c r="G243" s="10">
        <v>-0.56778069499999995</v>
      </c>
      <c r="H243" s="9">
        <v>-0.34752776299999999</v>
      </c>
      <c r="I243" s="10">
        <v>0.28081702232532901</v>
      </c>
      <c r="J243" s="10">
        <v>7.8858200027664402E-2</v>
      </c>
      <c r="K243" s="10">
        <v>0.49413707800000001</v>
      </c>
      <c r="L243" s="10">
        <v>-0.17569482</v>
      </c>
      <c r="M243" s="10">
        <v>0.381253909</v>
      </c>
      <c r="N243" s="10">
        <v>-0.11077627900000001</v>
      </c>
      <c r="O243" s="9">
        <v>0.14722997199999999</v>
      </c>
      <c r="P243" s="10">
        <v>0.33958768633230901</v>
      </c>
      <c r="Q243" s="10">
        <v>0.115319796708531</v>
      </c>
    </row>
    <row r="244" spans="1:17" x14ac:dyDescent="0.2">
      <c r="A244" s="10">
        <v>1601</v>
      </c>
      <c r="B244" s="10" t="s">
        <v>79</v>
      </c>
      <c r="C244" s="9" t="s">
        <v>295</v>
      </c>
      <c r="D244" s="10">
        <v>-0.128766713</v>
      </c>
      <c r="E244" s="10">
        <v>-0.22774050500000001</v>
      </c>
      <c r="F244" s="10">
        <v>4.1195998999999997E-2</v>
      </c>
      <c r="G244" s="10">
        <v>-7.0929245000000002E-2</v>
      </c>
      <c r="H244" s="9">
        <v>-9.6560116249999994E-2</v>
      </c>
      <c r="I244" s="10">
        <v>0.11236732638482801</v>
      </c>
      <c r="J244" s="10">
        <v>1.2626416038874501E-2</v>
      </c>
      <c r="K244" s="10">
        <v>-0.13232338599999999</v>
      </c>
      <c r="L244" s="10">
        <v>-0.16987048599999999</v>
      </c>
      <c r="M244" s="10">
        <v>-0.23865610600000001</v>
      </c>
      <c r="N244" s="10">
        <v>9.8867047999999999E-2</v>
      </c>
      <c r="O244" s="9">
        <v>-0.1104957325</v>
      </c>
      <c r="P244" s="10">
        <v>0.14635534724868801</v>
      </c>
      <c r="Q244" s="10">
        <v>2.14198876682841E-2</v>
      </c>
    </row>
    <row r="245" spans="1:17" x14ac:dyDescent="0.2">
      <c r="A245" s="10">
        <v>1601</v>
      </c>
      <c r="B245" s="10" t="s">
        <v>2825</v>
      </c>
      <c r="C245" s="9" t="s">
        <v>2557</v>
      </c>
      <c r="D245" s="10">
        <v>0.35281549699999998</v>
      </c>
      <c r="E245" s="10">
        <v>-0.45552542499999998</v>
      </c>
      <c r="F245" s="10">
        <v>9.5834004E-2</v>
      </c>
      <c r="G245" s="10">
        <v>1.276621711</v>
      </c>
      <c r="H245" s="9">
        <v>0.31743644674999999</v>
      </c>
      <c r="I245" s="10">
        <v>0.72292594045839498</v>
      </c>
      <c r="J245" s="10">
        <v>0.52262191538765501</v>
      </c>
      <c r="K245" s="10">
        <v>-0.38947670600000001</v>
      </c>
      <c r="L245" s="10">
        <v>0.45876052</v>
      </c>
      <c r="M245" s="10">
        <v>-8.5637685000000005E-2</v>
      </c>
      <c r="N245" s="10">
        <v>-0.10476379800000001</v>
      </c>
      <c r="O245" s="9">
        <v>-3.0279417249999999E-2</v>
      </c>
      <c r="P245" s="10">
        <v>0.35439865182908797</v>
      </c>
      <c r="Q245" s="10">
        <v>0.12559840441827499</v>
      </c>
    </row>
    <row r="246" spans="1:17" x14ac:dyDescent="0.2">
      <c r="A246" s="10">
        <v>1601</v>
      </c>
      <c r="B246" s="10" t="s">
        <v>74</v>
      </c>
      <c r="C246" s="9" t="s">
        <v>296</v>
      </c>
      <c r="D246" s="10">
        <v>5.7419409999999997E-2</v>
      </c>
      <c r="E246" s="10">
        <v>-0.389741175</v>
      </c>
      <c r="F246" s="10">
        <v>-0.29442855600000001</v>
      </c>
      <c r="G246" s="10">
        <v>-0.171720492</v>
      </c>
      <c r="H246" s="9">
        <v>-0.19961770300000001</v>
      </c>
      <c r="I246" s="10">
        <v>0.193203143774349</v>
      </c>
      <c r="J246" s="10">
        <v>3.7327454764291897E-2</v>
      </c>
      <c r="K246" s="10">
        <v>-0.49521136999999998</v>
      </c>
      <c r="L246" s="10">
        <v>-0.22087171899999999</v>
      </c>
      <c r="M246" s="10">
        <v>-0.30333500400000002</v>
      </c>
      <c r="N246" s="10">
        <v>8.8182056999999994E-2</v>
      </c>
      <c r="O246" s="9">
        <v>-0.23280900925</v>
      </c>
      <c r="P246" s="10">
        <v>0.24290373839134599</v>
      </c>
      <c r="Q246" s="10">
        <v>5.9002226124491498E-2</v>
      </c>
    </row>
    <row r="247" spans="1:17" x14ac:dyDescent="0.2">
      <c r="A247" s="10">
        <v>1601</v>
      </c>
      <c r="B247" s="10" t="s">
        <v>2830</v>
      </c>
      <c r="C247" s="9" t="s">
        <v>297</v>
      </c>
      <c r="D247" s="10">
        <v>-9.6743772000000006E-2</v>
      </c>
      <c r="E247" s="10">
        <v>3.7098639000000003E-2</v>
      </c>
      <c r="F247" s="10">
        <v>0.735724406</v>
      </c>
      <c r="G247" s="10">
        <v>-0.31640132999999998</v>
      </c>
      <c r="H247" s="9">
        <v>8.9919485499999993E-2</v>
      </c>
      <c r="I247" s="10">
        <v>0.45453045881659898</v>
      </c>
      <c r="J247" s="10">
        <v>0.206597937992028</v>
      </c>
      <c r="K247" s="10">
        <v>5.8778724999999997E-2</v>
      </c>
      <c r="L247" s="10">
        <v>-4.8583488000000001E-2</v>
      </c>
      <c r="M247" s="10">
        <v>-0.71043370800000005</v>
      </c>
      <c r="N247" s="10">
        <v>-0.23628770700000001</v>
      </c>
      <c r="O247" s="9">
        <v>-0.23413154475</v>
      </c>
      <c r="P247" s="10">
        <v>0.34014355167634502</v>
      </c>
      <c r="Q247" s="10">
        <v>0.115697635746999</v>
      </c>
    </row>
    <row r="248" spans="1:17" x14ac:dyDescent="0.2">
      <c r="A248" s="10">
        <v>1601</v>
      </c>
      <c r="B248" s="10" t="s">
        <v>2832</v>
      </c>
      <c r="C248" s="9" t="s">
        <v>298</v>
      </c>
      <c r="D248" s="10">
        <v>-0.1745921</v>
      </c>
      <c r="E248" s="10">
        <v>4.0402195000000002E-2</v>
      </c>
      <c r="F248" s="10">
        <v>0.189152915</v>
      </c>
      <c r="G248" s="10">
        <v>0.14040865</v>
      </c>
      <c r="H248" s="9">
        <v>4.8842915000000001E-2</v>
      </c>
      <c r="I248" s="10">
        <v>0.16131297902758099</v>
      </c>
      <c r="J248" s="10">
        <v>2.60218772027529E-2</v>
      </c>
      <c r="K248" s="10">
        <v>-0.13641398900000001</v>
      </c>
      <c r="L248" s="10">
        <v>-0.20850185900000001</v>
      </c>
      <c r="M248" s="10">
        <v>-0.21751511700000001</v>
      </c>
      <c r="N248" s="10">
        <v>-0.36067153099999999</v>
      </c>
      <c r="O248" s="9">
        <v>-0.23077562425000001</v>
      </c>
      <c r="P248" s="10">
        <v>9.3895378779430397E-2</v>
      </c>
      <c r="Q248" s="10">
        <v>8.8163421561327001E-3</v>
      </c>
    </row>
    <row r="249" spans="1:17" x14ac:dyDescent="0.2">
      <c r="A249" s="10">
        <v>1602</v>
      </c>
      <c r="B249" s="10" t="s">
        <v>2822</v>
      </c>
      <c r="C249" s="9" t="s">
        <v>299</v>
      </c>
      <c r="D249" s="10">
        <v>-0.57818821300000001</v>
      </c>
      <c r="E249" s="10">
        <v>-0.41485452499999997</v>
      </c>
      <c r="F249" s="10">
        <v>-0.94762221899999999</v>
      </c>
      <c r="G249" s="10">
        <v>-0.229422134</v>
      </c>
      <c r="H249" s="9">
        <v>-0.5425217725</v>
      </c>
      <c r="I249" s="10">
        <v>0.30534612952380003</v>
      </c>
      <c r="J249" s="10">
        <v>9.3236258815165396E-2</v>
      </c>
      <c r="K249" s="10">
        <v>0.52997646700000001</v>
      </c>
      <c r="L249" s="10">
        <v>0.34548880799999998</v>
      </c>
      <c r="M249" s="10">
        <v>-0.93400221999999999</v>
      </c>
      <c r="N249" s="10">
        <v>-0.75576290800000001</v>
      </c>
      <c r="O249" s="9">
        <v>-0.20357496324999999</v>
      </c>
      <c r="P249" s="10">
        <v>0.74788685183692705</v>
      </c>
      <c r="Q249" s="10">
        <v>0.55933474315054998</v>
      </c>
    </row>
    <row r="250" spans="1:17" x14ac:dyDescent="0.2">
      <c r="A250" s="10">
        <v>1602</v>
      </c>
      <c r="B250" s="10" t="s">
        <v>96</v>
      </c>
      <c r="C250" s="9" t="s">
        <v>300</v>
      </c>
      <c r="D250" s="10">
        <v>-0.67855067999999996</v>
      </c>
      <c r="E250" s="10">
        <v>-0.36346740300000002</v>
      </c>
      <c r="F250" s="10">
        <v>-1.253178184</v>
      </c>
      <c r="G250" s="10">
        <v>0.259688382</v>
      </c>
      <c r="H250" s="9">
        <v>-0.5088769715</v>
      </c>
      <c r="I250" s="10">
        <v>0.63103357213834699</v>
      </c>
      <c r="J250" s="10">
        <v>0.398203369165683</v>
      </c>
      <c r="K250" s="10">
        <v>1.201619628</v>
      </c>
      <c r="L250" s="10">
        <v>0.67012402000000004</v>
      </c>
      <c r="M250" s="10">
        <v>0.71288086500000003</v>
      </c>
      <c r="N250" s="10">
        <v>0.62549253400000004</v>
      </c>
      <c r="O250" s="9">
        <v>0.80252926174999994</v>
      </c>
      <c r="P250" s="10">
        <v>0.26844186613908799</v>
      </c>
      <c r="Q250" s="10">
        <v>7.2061035496236006E-2</v>
      </c>
    </row>
    <row r="251" spans="1:17" x14ac:dyDescent="0.2">
      <c r="A251" s="10">
        <v>1602</v>
      </c>
      <c r="B251" s="10" t="s">
        <v>2834</v>
      </c>
      <c r="C251" s="9" t="s">
        <v>301</v>
      </c>
      <c r="D251" s="10">
        <v>-0.29221825800000001</v>
      </c>
      <c r="E251" s="10">
        <v>-3.2878101E-2</v>
      </c>
      <c r="F251" s="10">
        <v>-0.63999197799999996</v>
      </c>
      <c r="G251" s="10">
        <v>-8.8084449999999998E-3</v>
      </c>
      <c r="H251" s="9">
        <v>-0.24347419549999999</v>
      </c>
      <c r="I251" s="10">
        <v>0.29383729338082198</v>
      </c>
      <c r="J251" s="10">
        <v>8.6340354981367398E-2</v>
      </c>
      <c r="K251" s="10">
        <v>-3.3210658999999997E-2</v>
      </c>
      <c r="L251" s="10">
        <v>-3.3765124000000001E-2</v>
      </c>
      <c r="M251" s="10">
        <v>1.1387589E-2</v>
      </c>
      <c r="N251" s="10">
        <v>0.23572899899999999</v>
      </c>
      <c r="O251" s="9">
        <v>4.5035201249999997E-2</v>
      </c>
      <c r="P251" s="10">
        <v>0.12887745111307899</v>
      </c>
      <c r="Q251" s="10">
        <v>1.6609397405404101E-2</v>
      </c>
    </row>
    <row r="252" spans="1:17" x14ac:dyDescent="0.2">
      <c r="A252" s="10">
        <v>1602</v>
      </c>
      <c r="B252" s="10" t="s">
        <v>79</v>
      </c>
      <c r="C252" s="9" t="s">
        <v>302</v>
      </c>
      <c r="D252" s="10">
        <v>-0.62130046500000002</v>
      </c>
      <c r="E252" s="10">
        <v>-0.31336273999999997</v>
      </c>
      <c r="F252" s="10">
        <v>-0.19492706100000001</v>
      </c>
      <c r="G252" s="10">
        <v>-0.16479903800000001</v>
      </c>
      <c r="H252" s="9">
        <v>-0.32359732624999998</v>
      </c>
      <c r="I252" s="10">
        <v>0.20857040305209901</v>
      </c>
      <c r="J252" s="10">
        <v>4.3501613029315302E-2</v>
      </c>
      <c r="K252" s="10">
        <v>9.9288692999999997E-2</v>
      </c>
      <c r="L252" s="10">
        <v>-0.53051486299999995</v>
      </c>
      <c r="M252" s="10">
        <v>-8.3379093000000001E-2</v>
      </c>
      <c r="N252" s="10">
        <v>-0.233496388</v>
      </c>
      <c r="O252" s="9">
        <v>-0.18702541275000001</v>
      </c>
      <c r="P252" s="10">
        <v>0.26637247150239002</v>
      </c>
      <c r="Q252" s="10">
        <v>7.0954293574291505E-2</v>
      </c>
    </row>
    <row r="253" spans="1:17" x14ac:dyDescent="0.2">
      <c r="A253" s="10">
        <v>1602</v>
      </c>
      <c r="B253" s="10" t="s">
        <v>2820</v>
      </c>
      <c r="C253" s="9" t="s">
        <v>303</v>
      </c>
      <c r="D253" s="10">
        <v>0.40141282299999997</v>
      </c>
      <c r="E253" s="10">
        <v>0.19020604099999999</v>
      </c>
      <c r="F253" s="10">
        <v>-8.4620705000000004E-2</v>
      </c>
      <c r="G253" s="10">
        <v>-0.37757754599999999</v>
      </c>
      <c r="H253" s="9">
        <v>3.2355153249999997E-2</v>
      </c>
      <c r="I253" s="10">
        <v>0.338057507776649</v>
      </c>
      <c r="J253" s="10">
        <v>0.114282878564159</v>
      </c>
      <c r="K253" s="10">
        <v>-0.38278218200000003</v>
      </c>
      <c r="L253" s="10">
        <v>0.12983557600000001</v>
      </c>
      <c r="M253" s="10">
        <v>-0.21923262199999999</v>
      </c>
      <c r="N253" s="10">
        <v>0.48164928099999998</v>
      </c>
      <c r="O253" s="9">
        <v>2.3675129999999999E-3</v>
      </c>
      <c r="P253" s="10">
        <v>0.38445026883104499</v>
      </c>
      <c r="Q253" s="10">
        <v>0.14780200920426301</v>
      </c>
    </row>
    <row r="254" spans="1:17" x14ac:dyDescent="0.2">
      <c r="A254" s="10">
        <v>1602</v>
      </c>
      <c r="B254" s="10" t="s">
        <v>2824</v>
      </c>
      <c r="C254" s="9" t="s">
        <v>304</v>
      </c>
      <c r="D254" s="10">
        <v>1.3556066E-2</v>
      </c>
      <c r="E254" s="10">
        <v>0.26850269900000001</v>
      </c>
      <c r="F254" s="10">
        <v>-9.9927222999999996E-2</v>
      </c>
      <c r="G254" s="10">
        <v>0.375749842</v>
      </c>
      <c r="H254" s="9">
        <v>0.13947034575</v>
      </c>
      <c r="I254" s="10">
        <v>0.22033531287695601</v>
      </c>
      <c r="J254" s="10">
        <v>4.8547650100586197E-2</v>
      </c>
      <c r="K254" s="10">
        <v>-0.13034454300000001</v>
      </c>
      <c r="L254" s="10">
        <v>-0.238502095</v>
      </c>
      <c r="M254" s="10">
        <v>-0.16688478900000001</v>
      </c>
      <c r="N254" s="10">
        <v>-1.2517322000000001E-2</v>
      </c>
      <c r="O254" s="9">
        <v>-0.13706218724999999</v>
      </c>
      <c r="P254" s="10">
        <v>9.4403376817918605E-2</v>
      </c>
      <c r="Q254" s="10">
        <v>8.9119975546259004E-3</v>
      </c>
    </row>
    <row r="255" spans="1:17" x14ac:dyDescent="0.2">
      <c r="A255" s="10">
        <v>1602</v>
      </c>
      <c r="B255" s="10" t="s">
        <v>2817</v>
      </c>
      <c r="C255" s="9" t="s">
        <v>305</v>
      </c>
      <c r="D255" s="10">
        <v>-0.27278171800000001</v>
      </c>
      <c r="E255" s="10">
        <v>-3.3752193999999999E-2</v>
      </c>
      <c r="F255" s="10">
        <v>-4.0432274999999997E-2</v>
      </c>
      <c r="G255" s="10">
        <v>0.139353797</v>
      </c>
      <c r="H255" s="9">
        <v>-5.1903097500000002E-2</v>
      </c>
      <c r="I255" s="10">
        <v>0.169142543194056</v>
      </c>
      <c r="J255" s="10">
        <v>2.8609199918153298E-2</v>
      </c>
      <c r="K255" s="10">
        <v>0.43008596799999999</v>
      </c>
      <c r="L255" s="10">
        <v>0.33827214</v>
      </c>
      <c r="M255" s="10">
        <v>0.19421287800000001</v>
      </c>
      <c r="N255" s="10">
        <v>-0.19050159799999999</v>
      </c>
      <c r="O255" s="9">
        <v>0.19301734700000001</v>
      </c>
      <c r="P255" s="10">
        <v>0.273488998206874</v>
      </c>
      <c r="Q255" s="10">
        <v>7.47962321401998E-2</v>
      </c>
    </row>
    <row r="256" spans="1:17" x14ac:dyDescent="0.2">
      <c r="A256" s="10">
        <v>1602</v>
      </c>
      <c r="B256" s="10" t="s">
        <v>82</v>
      </c>
      <c r="C256" s="9" t="s">
        <v>306</v>
      </c>
      <c r="D256" s="10">
        <v>-0.44776824100000001</v>
      </c>
      <c r="E256" s="10">
        <v>3.0469275000000001E-2</v>
      </c>
      <c r="F256" s="10">
        <v>-0.37166788699999997</v>
      </c>
      <c r="G256" s="10">
        <v>6.0334020000000002E-3</v>
      </c>
      <c r="H256" s="9">
        <v>-0.19573336275</v>
      </c>
      <c r="I256" s="10">
        <v>0.24923348983119201</v>
      </c>
      <c r="J256" s="10">
        <v>6.2117332453435203E-2</v>
      </c>
      <c r="K256" s="10">
        <v>-0.114411837</v>
      </c>
      <c r="L256" s="10">
        <v>0.161661482</v>
      </c>
      <c r="M256" s="10">
        <v>-0.44948196600000001</v>
      </c>
      <c r="N256" s="10">
        <v>0.10235785999999999</v>
      </c>
      <c r="O256" s="9">
        <v>-7.4968615500000002E-2</v>
      </c>
      <c r="P256" s="10">
        <v>0.27643835924194998</v>
      </c>
      <c r="Q256" s="10">
        <v>7.6418166460381798E-2</v>
      </c>
    </row>
    <row r="257" spans="1:17" x14ac:dyDescent="0.2">
      <c r="A257" s="10">
        <v>1602</v>
      </c>
      <c r="B257" s="10" t="s">
        <v>2814</v>
      </c>
      <c r="C257" s="9" t="s">
        <v>307</v>
      </c>
      <c r="D257" s="10">
        <v>0.28239915999999998</v>
      </c>
      <c r="E257" s="10">
        <v>-9.7608670999999994E-2</v>
      </c>
      <c r="F257" s="10">
        <v>-0.19272940999999999</v>
      </c>
      <c r="G257" s="10">
        <v>6.3329359999999999E-3</v>
      </c>
      <c r="H257" s="9">
        <v>-4.014965E-4</v>
      </c>
      <c r="I257" s="10">
        <v>0.20531343922846701</v>
      </c>
      <c r="J257" s="10">
        <v>4.2153608327821598E-2</v>
      </c>
      <c r="K257" s="10">
        <v>-1.4583300000000001E-3</v>
      </c>
      <c r="L257" s="10">
        <v>0.46447943000000003</v>
      </c>
      <c r="M257" s="10">
        <v>-0.66341095800000005</v>
      </c>
      <c r="N257" s="10">
        <v>0.14465837100000001</v>
      </c>
      <c r="O257" s="9">
        <v>-1.3932871499999999E-2</v>
      </c>
      <c r="P257" s="10">
        <v>0.47469530980533797</v>
      </c>
      <c r="Q257" s="10">
        <v>0.22533563715118499</v>
      </c>
    </row>
    <row r="258" spans="1:17" x14ac:dyDescent="0.2">
      <c r="A258" s="10">
        <v>1602</v>
      </c>
      <c r="B258" s="10" t="s">
        <v>2825</v>
      </c>
      <c r="C258" s="9" t="s">
        <v>308</v>
      </c>
      <c r="D258" s="10">
        <v>-0.16591900800000001</v>
      </c>
      <c r="E258" s="10">
        <v>0.388578969</v>
      </c>
      <c r="F258" s="10">
        <v>-0.400056615</v>
      </c>
      <c r="G258" s="10">
        <v>-0.10611237900000001</v>
      </c>
      <c r="H258" s="9">
        <v>-7.0877257999999999E-2</v>
      </c>
      <c r="I258" s="10">
        <v>0.331528541556106</v>
      </c>
      <c r="J258" s="10">
        <v>0.109911173866318</v>
      </c>
      <c r="K258" s="10">
        <v>-0.18349331599999999</v>
      </c>
      <c r="L258" s="10">
        <v>2.4967136000000001E-2</v>
      </c>
      <c r="M258" s="10">
        <v>-0.28457213799999997</v>
      </c>
      <c r="N258" s="10">
        <v>-3.6425658999999999E-2</v>
      </c>
      <c r="O258" s="9">
        <v>-0.11988099425</v>
      </c>
      <c r="P258" s="10">
        <v>0.14037506203823999</v>
      </c>
      <c r="Q258" s="10">
        <v>1.9705158042239799E-2</v>
      </c>
    </row>
    <row r="259" spans="1:17" x14ac:dyDescent="0.2">
      <c r="A259" s="10">
        <v>1602</v>
      </c>
      <c r="B259" s="10" t="s">
        <v>74</v>
      </c>
      <c r="C259" s="9" t="s">
        <v>309</v>
      </c>
      <c r="D259" s="10">
        <v>-0.91589018099999997</v>
      </c>
      <c r="E259" s="10">
        <v>-1.1159039079999999</v>
      </c>
      <c r="F259" s="10">
        <v>0.78565050800000003</v>
      </c>
      <c r="G259" s="10">
        <v>-0.79379346799999995</v>
      </c>
      <c r="H259" s="9">
        <v>-0.50998426225000004</v>
      </c>
      <c r="I259" s="10">
        <v>0.87390223616666696</v>
      </c>
      <c r="J259" s="10">
        <v>0.76370511837710098</v>
      </c>
      <c r="K259" s="10">
        <v>-2.4857467000000001E-2</v>
      </c>
      <c r="L259" s="10">
        <v>0.21743954099999999</v>
      </c>
      <c r="M259" s="10">
        <v>-0.89840582099999999</v>
      </c>
      <c r="N259" s="10">
        <v>-0.34957079000000002</v>
      </c>
      <c r="O259" s="9">
        <v>-0.26384863424999999</v>
      </c>
      <c r="P259" s="10">
        <v>0.48262000127826299</v>
      </c>
      <c r="Q259" s="10">
        <v>0.232922065633831</v>
      </c>
    </row>
    <row r="260" spans="1:17" x14ac:dyDescent="0.2">
      <c r="A260" s="10">
        <v>1602</v>
      </c>
      <c r="B260" s="10" t="s">
        <v>2832</v>
      </c>
      <c r="C260" s="9" t="s">
        <v>310</v>
      </c>
      <c r="D260" s="10">
        <v>-0.53483768899999995</v>
      </c>
      <c r="E260" s="10">
        <v>-0.147785641</v>
      </c>
      <c r="F260" s="10">
        <v>1.6619183999999999E-2</v>
      </c>
      <c r="G260" s="10">
        <v>-0.69462403100000003</v>
      </c>
      <c r="H260" s="9">
        <v>-0.34015704400000002</v>
      </c>
      <c r="I260" s="10">
        <v>0.33057698647897898</v>
      </c>
      <c r="J260" s="10">
        <v>0.109281143989523</v>
      </c>
      <c r="K260" s="10">
        <v>-1.567002E-2</v>
      </c>
      <c r="L260" s="10">
        <v>0.172585244</v>
      </c>
      <c r="M260" s="10">
        <v>0.83767951900000004</v>
      </c>
      <c r="N260" s="10">
        <v>-1.2192854710000001</v>
      </c>
      <c r="O260" s="9">
        <v>-5.6172681750000002E-2</v>
      </c>
      <c r="P260" s="10">
        <v>0.85747182101509101</v>
      </c>
      <c r="Q260" s="10">
        <v>0.73525792383493704</v>
      </c>
    </row>
    <row r="261" spans="1:17" x14ac:dyDescent="0.2">
      <c r="A261" s="10">
        <v>1603</v>
      </c>
      <c r="B261" s="10" t="s">
        <v>2831</v>
      </c>
      <c r="C261" s="9" t="s">
        <v>311</v>
      </c>
      <c r="D261" s="10">
        <v>-1.455882224</v>
      </c>
      <c r="E261" s="10">
        <v>-0.30304454800000002</v>
      </c>
      <c r="F261" s="10">
        <v>-1.1161611259999999</v>
      </c>
      <c r="G261" s="10">
        <v>-1.971640136</v>
      </c>
      <c r="H261" s="9">
        <v>-1.2116820085</v>
      </c>
      <c r="I261" s="10">
        <v>0.70045613101297999</v>
      </c>
      <c r="J261" s="10">
        <v>0.49063879147367301</v>
      </c>
      <c r="K261" s="10">
        <v>-0.56085260299999995</v>
      </c>
      <c r="L261" s="10">
        <v>-0.78371152300000002</v>
      </c>
      <c r="M261" s="10">
        <v>-0.35420090199999998</v>
      </c>
      <c r="N261" s="10">
        <v>-0.59712431200000005</v>
      </c>
      <c r="O261" s="9">
        <v>-0.573972335</v>
      </c>
      <c r="P261" s="10">
        <v>0.17606641848322699</v>
      </c>
      <c r="Q261" s="10">
        <v>3.0999383717511E-2</v>
      </c>
    </row>
    <row r="262" spans="1:17" x14ac:dyDescent="0.2">
      <c r="A262" s="10">
        <v>1603</v>
      </c>
      <c r="B262" s="10" t="s">
        <v>2822</v>
      </c>
      <c r="C262" s="9" t="s">
        <v>312</v>
      </c>
      <c r="D262" s="10">
        <v>0.28041375899999998</v>
      </c>
      <c r="E262" s="10">
        <v>0.315406142</v>
      </c>
      <c r="F262" s="10">
        <v>9.1352329999999995E-3</v>
      </c>
      <c r="G262" s="10">
        <v>1.3453011000000001E-2</v>
      </c>
      <c r="H262" s="9">
        <v>0.15460203675</v>
      </c>
      <c r="I262" s="10">
        <v>0.16610256689184399</v>
      </c>
      <c r="J262" s="10">
        <v>2.7590062728059798E-2</v>
      </c>
      <c r="K262" s="10">
        <v>7.6885854000000003E-2</v>
      </c>
      <c r="L262" s="10">
        <v>-0.36079904400000001</v>
      </c>
      <c r="M262" s="10">
        <v>0.132209462</v>
      </c>
      <c r="N262" s="10">
        <v>-0.25644294400000001</v>
      </c>
      <c r="O262" s="9">
        <v>-0.102036668</v>
      </c>
      <c r="P262" s="10">
        <v>0.24336788585744701</v>
      </c>
      <c r="Q262" s="10">
        <v>5.9227927866723602E-2</v>
      </c>
    </row>
    <row r="263" spans="1:17" x14ac:dyDescent="0.2">
      <c r="A263" s="10">
        <v>1603</v>
      </c>
      <c r="B263" s="10" t="s">
        <v>96</v>
      </c>
      <c r="C263" s="9" t="s">
        <v>2556</v>
      </c>
      <c r="D263" s="10">
        <v>-0.13859260500000001</v>
      </c>
      <c r="E263" s="10">
        <v>0.20536375500000001</v>
      </c>
      <c r="F263" s="10">
        <v>-0.48545739799999998</v>
      </c>
      <c r="G263" s="10">
        <v>0.168498439</v>
      </c>
      <c r="H263" s="9">
        <v>-6.2546952249999996E-2</v>
      </c>
      <c r="I263" s="10">
        <v>0.32134836045621701</v>
      </c>
      <c r="J263" s="10">
        <v>0.103264768767899</v>
      </c>
      <c r="K263" s="10">
        <v>0.25777223700000002</v>
      </c>
      <c r="L263" s="10">
        <v>-4.8455154E-2</v>
      </c>
      <c r="M263" s="10">
        <v>-0.68273760100000003</v>
      </c>
      <c r="N263" s="10">
        <v>0.147244863</v>
      </c>
      <c r="O263" s="9">
        <v>-8.1543913750000002E-2</v>
      </c>
      <c r="P263" s="10">
        <v>0.42032069904522501</v>
      </c>
      <c r="Q263" s="10">
        <v>0.17666949004586699</v>
      </c>
    </row>
    <row r="264" spans="1:17" x14ac:dyDescent="0.2">
      <c r="A264" s="10">
        <v>1603</v>
      </c>
      <c r="B264" s="10" t="s">
        <v>2834</v>
      </c>
      <c r="C264" s="9" t="s">
        <v>313</v>
      </c>
      <c r="D264" s="10">
        <v>-0.23906519900000001</v>
      </c>
      <c r="E264" s="10">
        <v>-0.26053559999999998</v>
      </c>
      <c r="F264" s="10">
        <v>0.57191488800000001</v>
      </c>
      <c r="G264" s="10">
        <v>-0.48905715300000002</v>
      </c>
      <c r="H264" s="9">
        <v>-0.104185766</v>
      </c>
      <c r="I264" s="10">
        <v>0.46471346401438901</v>
      </c>
      <c r="J264" s="10">
        <v>0.21595860363625299</v>
      </c>
      <c r="K264" s="10">
        <v>-0.137167652</v>
      </c>
      <c r="L264" s="10">
        <v>-6.8744572000000004E-2</v>
      </c>
      <c r="M264" s="10">
        <v>-0.56944376200000002</v>
      </c>
      <c r="N264" s="10">
        <v>-0.186361218</v>
      </c>
      <c r="O264" s="9">
        <v>-0.24042930074999999</v>
      </c>
      <c r="P264" s="10">
        <v>0.22458293751783401</v>
      </c>
      <c r="Q264" s="10">
        <v>5.0437495824139297E-2</v>
      </c>
    </row>
    <row r="265" spans="1:17" x14ac:dyDescent="0.2">
      <c r="A265" s="10">
        <v>1603</v>
      </c>
      <c r="B265" s="10" t="s">
        <v>79</v>
      </c>
      <c r="C265" s="9" t="s">
        <v>314</v>
      </c>
      <c r="D265" s="10">
        <v>-6.7015218000000001E-2</v>
      </c>
      <c r="E265" s="10">
        <v>0.50884030800000002</v>
      </c>
      <c r="F265" s="10">
        <v>-1.8716857760000001</v>
      </c>
      <c r="G265" s="10">
        <v>-0.90686469999999997</v>
      </c>
      <c r="H265" s="9">
        <v>-0.58418134649999998</v>
      </c>
      <c r="I265" s="10">
        <v>1.0366531635157601</v>
      </c>
      <c r="J265" s="10">
        <v>1.07464978142724</v>
      </c>
      <c r="K265" s="10">
        <v>0.92453057000000005</v>
      </c>
      <c r="L265" s="10">
        <v>0.263491007</v>
      </c>
      <c r="M265" s="10">
        <v>-0.28292946800000002</v>
      </c>
      <c r="N265" s="10">
        <v>-0.174311944</v>
      </c>
      <c r="O265" s="9">
        <v>0.18269504125</v>
      </c>
      <c r="P265" s="10">
        <v>0.54805964119758099</v>
      </c>
      <c r="Q265" s="10">
        <v>0.30036937030962102</v>
      </c>
    </row>
    <row r="266" spans="1:17" x14ac:dyDescent="0.2">
      <c r="A266" s="10">
        <v>1603</v>
      </c>
      <c r="B266" s="10" t="s">
        <v>2824</v>
      </c>
      <c r="C266" s="9" t="s">
        <v>315</v>
      </c>
      <c r="D266" s="10">
        <v>-0.52586153300000005</v>
      </c>
      <c r="E266" s="10">
        <v>-3.9228309999999999E-3</v>
      </c>
      <c r="F266" s="10">
        <v>-5.4662271999999998E-2</v>
      </c>
      <c r="G266" s="10">
        <v>-0.32973872300000001</v>
      </c>
      <c r="H266" s="9">
        <v>-0.22854633974999999</v>
      </c>
      <c r="I266" s="10">
        <v>0.24449104432510901</v>
      </c>
      <c r="J266" s="10">
        <v>5.9775870755182502E-2</v>
      </c>
      <c r="K266" s="10">
        <v>-0.163066672</v>
      </c>
      <c r="L266" s="10">
        <v>0.203690605</v>
      </c>
      <c r="M266" s="10">
        <v>-0.60373297699999995</v>
      </c>
      <c r="N266" s="10">
        <v>-0.23896704699999999</v>
      </c>
      <c r="O266" s="9">
        <v>-0.20051902299999999</v>
      </c>
      <c r="P266" s="10">
        <v>0.33108299322734902</v>
      </c>
      <c r="Q266" s="10">
        <v>0.10961594840438101</v>
      </c>
    </row>
    <row r="267" spans="1:17" x14ac:dyDescent="0.2">
      <c r="A267" s="10">
        <v>1603</v>
      </c>
      <c r="B267" s="10" t="s">
        <v>82</v>
      </c>
      <c r="C267" s="9" t="s">
        <v>316</v>
      </c>
      <c r="D267" s="10">
        <v>-0.129477024</v>
      </c>
      <c r="E267" s="10">
        <v>0.12505005</v>
      </c>
      <c r="F267" s="10">
        <v>-0.35425557800000002</v>
      </c>
      <c r="G267" s="10">
        <v>0.25135597900000001</v>
      </c>
      <c r="H267" s="9">
        <v>-2.6831642999999999E-2</v>
      </c>
      <c r="I267" s="10">
        <v>0.269690507282008</v>
      </c>
      <c r="J267" s="10">
        <v>7.2732969718026799E-2</v>
      </c>
      <c r="K267" s="10">
        <v>0.24208217300000001</v>
      </c>
      <c r="L267" s="10">
        <v>0.24889350099999999</v>
      </c>
      <c r="M267" s="10">
        <v>-0.30864736100000001</v>
      </c>
      <c r="N267" s="10">
        <v>-0.106398013</v>
      </c>
      <c r="O267" s="9">
        <v>1.8982575250000001E-2</v>
      </c>
      <c r="P267" s="10">
        <v>0.274283388324635</v>
      </c>
      <c r="Q267" s="10">
        <v>7.5231377110842906E-2</v>
      </c>
    </row>
    <row r="268" spans="1:17" x14ac:dyDescent="0.2">
      <c r="A268" s="10">
        <v>1603</v>
      </c>
      <c r="B268" s="10" t="s">
        <v>2833</v>
      </c>
      <c r="C268" s="9" t="s">
        <v>317</v>
      </c>
      <c r="D268" s="10">
        <v>-0.28074014000000003</v>
      </c>
      <c r="E268" s="10">
        <v>-0.15096163200000001</v>
      </c>
      <c r="F268" s="10">
        <v>-4.443018E-3</v>
      </c>
      <c r="G268" s="10">
        <v>5.2563554999999998E-2</v>
      </c>
      <c r="H268" s="9">
        <v>-9.5895308750000005E-2</v>
      </c>
      <c r="I268" s="10">
        <v>0.15011491965099899</v>
      </c>
      <c r="J268" s="10">
        <v>2.2534489101826E-2</v>
      </c>
      <c r="K268" s="10">
        <v>-0.25590938899999999</v>
      </c>
      <c r="L268" s="10">
        <v>-0.104115401</v>
      </c>
      <c r="M268" s="10">
        <v>-9.3115712000000003E-2</v>
      </c>
      <c r="N268" s="10">
        <v>0.139141442</v>
      </c>
      <c r="O268" s="9">
        <v>-7.8499764499999999E-2</v>
      </c>
      <c r="P268" s="10">
        <v>0.16300476106198999</v>
      </c>
      <c r="Q268" s="10">
        <v>2.6570552128876501E-2</v>
      </c>
    </row>
    <row r="269" spans="1:17" x14ac:dyDescent="0.2">
      <c r="A269" s="10">
        <v>1603</v>
      </c>
      <c r="B269" s="10" t="s">
        <v>2825</v>
      </c>
      <c r="C269" s="9" t="s">
        <v>318</v>
      </c>
      <c r="D269" s="10">
        <v>4.1059399999999998E-3</v>
      </c>
      <c r="E269" s="10">
        <v>-0.70155315600000001</v>
      </c>
      <c r="F269" s="10">
        <v>-2.9537474000000001E-2</v>
      </c>
      <c r="G269" s="10">
        <v>-0.37511197400000001</v>
      </c>
      <c r="H269" s="9">
        <v>-0.27552416624999998</v>
      </c>
      <c r="I269" s="10">
        <v>0.331723218283626</v>
      </c>
      <c r="J269" s="10">
        <v>0.11004029354844599</v>
      </c>
      <c r="K269" s="10">
        <v>-0.144088192</v>
      </c>
      <c r="L269" s="10">
        <v>0.210762164</v>
      </c>
      <c r="M269" s="10">
        <v>-0.519402488</v>
      </c>
      <c r="N269" s="10">
        <v>9.4591750000000002E-3</v>
      </c>
      <c r="O269" s="9">
        <v>-0.11081733525</v>
      </c>
      <c r="P269" s="10">
        <v>0.308722415886515</v>
      </c>
      <c r="Q269" s="10">
        <v>9.5309530070806295E-2</v>
      </c>
    </row>
    <row r="270" spans="1:17" x14ac:dyDescent="0.2">
      <c r="A270" s="10">
        <v>1603</v>
      </c>
      <c r="B270" s="10" t="s">
        <v>2818</v>
      </c>
      <c r="C270" s="9" t="s">
        <v>319</v>
      </c>
      <c r="D270" s="10">
        <v>0.12880866999999999</v>
      </c>
      <c r="E270" s="10">
        <v>0.13281822099999999</v>
      </c>
      <c r="F270" s="10">
        <v>0.32973097800000001</v>
      </c>
      <c r="G270" s="10">
        <v>-0.18966059599999999</v>
      </c>
      <c r="H270" s="9">
        <v>0.1004243185</v>
      </c>
      <c r="I270" s="10">
        <v>0.214930871088648</v>
      </c>
      <c r="J270" s="10">
        <v>4.6195279346925397E-2</v>
      </c>
      <c r="K270" s="10">
        <v>0.20938483899999999</v>
      </c>
      <c r="L270" s="10">
        <v>-0.235501405</v>
      </c>
      <c r="M270" s="10">
        <v>-0.25488333299999999</v>
      </c>
      <c r="N270" s="10">
        <v>-0.19377366500000001</v>
      </c>
      <c r="O270" s="9">
        <v>-0.11869339075</v>
      </c>
      <c r="P270" s="10">
        <v>0.22020004918288499</v>
      </c>
      <c r="Q270" s="10">
        <v>4.8488061660145097E-2</v>
      </c>
    </row>
    <row r="271" spans="1:17" x14ac:dyDescent="0.2">
      <c r="A271" s="10">
        <v>1603</v>
      </c>
      <c r="B271" s="10" t="s">
        <v>2830</v>
      </c>
      <c r="C271" s="9" t="s">
        <v>2555</v>
      </c>
      <c r="D271" s="10">
        <v>0.37528767499999999</v>
      </c>
      <c r="E271" s="10">
        <v>0.23613118299999999</v>
      </c>
      <c r="F271" s="10">
        <v>1.8200809</v>
      </c>
      <c r="G271" s="10">
        <v>-0.27018215800000001</v>
      </c>
      <c r="H271" s="9">
        <v>0.54032940024999998</v>
      </c>
      <c r="I271" s="10">
        <v>0.89711913248664799</v>
      </c>
      <c r="J271" s="10">
        <v>0.80482273787359704</v>
      </c>
      <c r="K271" s="10">
        <v>-0.41332386999999998</v>
      </c>
      <c r="L271" s="10">
        <v>-5.6480259999999997E-2</v>
      </c>
      <c r="M271" s="10">
        <v>-0.10221121800000001</v>
      </c>
      <c r="N271" s="10">
        <v>0.70415865600000005</v>
      </c>
      <c r="O271" s="9">
        <v>3.3035826749999997E-2</v>
      </c>
      <c r="P271" s="10">
        <v>0.47467452839600799</v>
      </c>
      <c r="Q271" s="10">
        <v>0.22531590790797201</v>
      </c>
    </row>
    <row r="272" spans="1:17" x14ac:dyDescent="0.2">
      <c r="A272" s="10">
        <v>1604</v>
      </c>
      <c r="B272" s="10" t="s">
        <v>2831</v>
      </c>
      <c r="C272" s="9" t="s">
        <v>320</v>
      </c>
      <c r="D272" s="10">
        <v>-1.0748031769999999</v>
      </c>
      <c r="E272" s="10">
        <v>-1.034000501</v>
      </c>
      <c r="F272" s="10">
        <v>-0.76085098799999995</v>
      </c>
      <c r="G272" s="10">
        <v>-1.1976692309999999</v>
      </c>
      <c r="H272" s="9">
        <v>-1.0168309742499999</v>
      </c>
      <c r="I272" s="10">
        <v>0.18428582637254401</v>
      </c>
      <c r="J272" s="10">
        <v>3.3961265801811698E-2</v>
      </c>
      <c r="K272" s="10">
        <v>-0.396774776</v>
      </c>
      <c r="L272" s="10">
        <v>-0.33951418300000002</v>
      </c>
      <c r="M272" s="10">
        <v>-0.47041558700000002</v>
      </c>
      <c r="N272" s="10">
        <v>-0.45428007500000001</v>
      </c>
      <c r="O272" s="9">
        <v>-0.41524615549999999</v>
      </c>
      <c r="P272" s="10">
        <v>5.9564633138967697E-2</v>
      </c>
      <c r="Q272" s="10">
        <v>3.5479455209797999E-3</v>
      </c>
    </row>
    <row r="273" spans="1:17" x14ac:dyDescent="0.2">
      <c r="A273" s="10">
        <v>1604</v>
      </c>
      <c r="B273" s="10" t="s">
        <v>2822</v>
      </c>
      <c r="C273" s="9" t="s">
        <v>321</v>
      </c>
      <c r="D273" s="10">
        <v>-0.43756882600000002</v>
      </c>
      <c r="E273" s="10">
        <v>-2.204744732</v>
      </c>
      <c r="F273" s="10">
        <v>-0.29162092000000001</v>
      </c>
      <c r="G273" s="10">
        <v>-0.47821421200000003</v>
      </c>
      <c r="H273" s="9">
        <v>-0.8530371725</v>
      </c>
      <c r="I273" s="10">
        <v>0.90469290068361796</v>
      </c>
      <c r="J273" s="10">
        <v>0.81846924454733905</v>
      </c>
      <c r="K273" s="10">
        <v>-0.103775587</v>
      </c>
      <c r="L273" s="10">
        <v>-0.71399465399999995</v>
      </c>
      <c r="M273" s="10">
        <v>-0.93771603800000003</v>
      </c>
      <c r="N273" s="10">
        <v>-0.43670476699999999</v>
      </c>
      <c r="O273" s="9">
        <v>-0.54804776150000001</v>
      </c>
      <c r="P273" s="10">
        <v>0.36016420528238302</v>
      </c>
      <c r="Q273" s="10">
        <v>0.12971825476668999</v>
      </c>
    </row>
    <row r="274" spans="1:17" x14ac:dyDescent="0.2">
      <c r="A274" s="10">
        <v>1604</v>
      </c>
      <c r="B274" s="10" t="s">
        <v>96</v>
      </c>
      <c r="C274" s="9" t="s">
        <v>322</v>
      </c>
      <c r="D274" s="10">
        <v>-0.29645553600000002</v>
      </c>
      <c r="E274" s="10">
        <v>-0.36350433500000001</v>
      </c>
      <c r="F274" s="10">
        <v>4.0583555E-2</v>
      </c>
      <c r="G274" s="10">
        <v>0.78005941599999995</v>
      </c>
      <c r="H274" s="9">
        <v>4.0170774999999999E-2</v>
      </c>
      <c r="I274" s="10">
        <v>0.52399307856724398</v>
      </c>
      <c r="J274" s="10">
        <v>0.27456874638637802</v>
      </c>
      <c r="K274" s="10">
        <v>0.43535404100000002</v>
      </c>
      <c r="L274" s="10">
        <v>1.6521505999999998E-2</v>
      </c>
      <c r="M274" s="10">
        <v>-1.039118089</v>
      </c>
      <c r="N274" s="10">
        <v>0.13553057499999999</v>
      </c>
      <c r="O274" s="9">
        <v>-0.112927992</v>
      </c>
      <c r="P274" s="10">
        <v>0.64211372708672798</v>
      </c>
      <c r="Q274" s="10">
        <v>0.41231003851320902</v>
      </c>
    </row>
    <row r="275" spans="1:17" x14ac:dyDescent="0.2">
      <c r="A275" s="10">
        <v>1604</v>
      </c>
      <c r="B275" s="10" t="s">
        <v>2826</v>
      </c>
      <c r="C275" s="9" t="s">
        <v>323</v>
      </c>
      <c r="D275" s="10">
        <v>7.6162029000000006E-2</v>
      </c>
      <c r="E275" s="10">
        <v>-0.20456337399999999</v>
      </c>
      <c r="F275" s="10">
        <v>-0.196744944</v>
      </c>
      <c r="G275" s="10">
        <v>-2.4839441E-2</v>
      </c>
      <c r="H275" s="9">
        <v>-8.7496432750000006E-2</v>
      </c>
      <c r="I275" s="10">
        <v>0.13705217578414899</v>
      </c>
      <c r="J275" s="10">
        <v>1.87832988871693E-2</v>
      </c>
      <c r="K275" s="10">
        <v>0.16047418799999999</v>
      </c>
      <c r="L275" s="10">
        <v>-0.146710915</v>
      </c>
      <c r="M275" s="10">
        <v>-0.517325751</v>
      </c>
      <c r="N275" s="10">
        <v>-0.347556327</v>
      </c>
      <c r="O275" s="9">
        <v>-0.21277970125000001</v>
      </c>
      <c r="P275" s="10">
        <v>0.29131688681095702</v>
      </c>
      <c r="Q275" s="10">
        <v>8.48655285412281E-2</v>
      </c>
    </row>
    <row r="276" spans="1:17" x14ac:dyDescent="0.2">
      <c r="A276" s="10">
        <v>1604</v>
      </c>
      <c r="B276" s="10" t="s">
        <v>2821</v>
      </c>
      <c r="C276" s="9" t="s">
        <v>324</v>
      </c>
      <c r="D276" s="10">
        <v>-0.44469166900000001</v>
      </c>
      <c r="E276" s="10">
        <v>-0.404848559</v>
      </c>
      <c r="F276" s="10">
        <v>0.123068873</v>
      </c>
      <c r="G276" s="10">
        <v>0.18346326700000001</v>
      </c>
      <c r="H276" s="9">
        <v>-0.135752022</v>
      </c>
      <c r="I276" s="10">
        <v>0.33503398242259502</v>
      </c>
      <c r="J276" s="10">
        <v>0.11224776937794299</v>
      </c>
      <c r="K276" s="10">
        <v>-0.40138021899999998</v>
      </c>
      <c r="L276" s="10">
        <v>-7.0469335999999994E-2</v>
      </c>
      <c r="M276" s="10">
        <v>-0.29829359700000002</v>
      </c>
      <c r="N276" s="10">
        <v>0.195459574</v>
      </c>
      <c r="O276" s="9">
        <v>-0.14367089450000001</v>
      </c>
      <c r="P276" s="10">
        <v>0.26500957145891102</v>
      </c>
      <c r="Q276" s="10">
        <v>7.0230072964835993E-2</v>
      </c>
    </row>
    <row r="277" spans="1:17" x14ac:dyDescent="0.2">
      <c r="A277" s="10">
        <v>1604</v>
      </c>
      <c r="B277" s="10" t="s">
        <v>2824</v>
      </c>
      <c r="C277" s="9" t="s">
        <v>325</v>
      </c>
      <c r="D277" s="10">
        <v>8.1399858000000005E-2</v>
      </c>
      <c r="E277" s="10">
        <v>0.69549812200000005</v>
      </c>
      <c r="F277" s="10">
        <v>6.8008543000000005E-2</v>
      </c>
      <c r="G277" s="10">
        <v>-0.11941326300000001</v>
      </c>
      <c r="H277" s="9">
        <v>0.18137331525</v>
      </c>
      <c r="I277" s="10">
        <v>0.35479719386004099</v>
      </c>
      <c r="J277" s="10">
        <v>0.12588104877096001</v>
      </c>
      <c r="K277" s="10">
        <v>0.20400153600000001</v>
      </c>
      <c r="L277" s="10">
        <v>6.3586550000000004E-3</v>
      </c>
      <c r="M277" s="10">
        <v>-0.305933014</v>
      </c>
      <c r="N277" s="10">
        <v>-9.6153905999999997E-2</v>
      </c>
      <c r="O277" s="9">
        <v>-4.7931682250000003E-2</v>
      </c>
      <c r="P277" s="10">
        <v>0.21237377209744199</v>
      </c>
      <c r="Q277" s="10">
        <v>4.5102619074896502E-2</v>
      </c>
    </row>
    <row r="278" spans="1:17" x14ac:dyDescent="0.2">
      <c r="A278" s="10">
        <v>1604</v>
      </c>
      <c r="B278" s="10" t="s">
        <v>2817</v>
      </c>
      <c r="C278" s="9" t="s">
        <v>326</v>
      </c>
      <c r="D278" s="10">
        <v>-0.15371848799999999</v>
      </c>
      <c r="E278" s="10">
        <v>-0.79081361900000002</v>
      </c>
      <c r="F278" s="10">
        <v>-0.58248412400000005</v>
      </c>
      <c r="G278" s="10">
        <v>-0.2230818</v>
      </c>
      <c r="H278" s="9">
        <v>-0.43752450775000001</v>
      </c>
      <c r="I278" s="10">
        <v>0.30130716233585197</v>
      </c>
      <c r="J278" s="10">
        <v>9.0786006074883796E-2</v>
      </c>
      <c r="K278" s="10">
        <v>-4.5120049000000002E-2</v>
      </c>
      <c r="L278" s="10">
        <v>-0.90405285800000001</v>
      </c>
      <c r="M278" s="10">
        <v>0.206735049</v>
      </c>
      <c r="N278" s="10">
        <v>0.23837245500000001</v>
      </c>
      <c r="O278" s="9">
        <v>-0.12601635050000001</v>
      </c>
      <c r="P278" s="10">
        <v>0.53397494137275203</v>
      </c>
      <c r="Q278" s="10">
        <v>0.285129238014034</v>
      </c>
    </row>
    <row r="279" spans="1:17" x14ac:dyDescent="0.2">
      <c r="A279" s="10">
        <v>1604</v>
      </c>
      <c r="B279" s="10" t="s">
        <v>82</v>
      </c>
      <c r="C279" s="9" t="s">
        <v>327</v>
      </c>
      <c r="D279" s="10">
        <v>-0.33774312200000001</v>
      </c>
      <c r="E279" s="10">
        <v>-0.24993237200000001</v>
      </c>
      <c r="F279" s="10">
        <v>-0.51577387399999997</v>
      </c>
      <c r="G279" s="10">
        <v>0.107568657</v>
      </c>
      <c r="H279" s="9">
        <v>-0.24897017774999999</v>
      </c>
      <c r="I279" s="10">
        <v>0.26216134629024301</v>
      </c>
      <c r="J279" s="10">
        <v>6.8728571488712795E-2</v>
      </c>
      <c r="K279" s="10">
        <v>1.4091499089999999</v>
      </c>
      <c r="L279" s="10">
        <v>0.41366715300000001</v>
      </c>
      <c r="M279" s="10">
        <v>-1.7753021000000001E-2</v>
      </c>
      <c r="N279" s="10">
        <v>-0.12847001799999999</v>
      </c>
      <c r="O279" s="9">
        <v>0.41914850575000001</v>
      </c>
      <c r="P279" s="10">
        <v>0.70021468500633099</v>
      </c>
      <c r="Q279" s="10">
        <v>0.49030060509851597</v>
      </c>
    </row>
    <row r="280" spans="1:17" x14ac:dyDescent="0.2">
      <c r="A280" s="10">
        <v>1604</v>
      </c>
      <c r="B280" s="10" t="s">
        <v>2814</v>
      </c>
      <c r="C280" s="9" t="s">
        <v>328</v>
      </c>
      <c r="D280" s="10">
        <v>-0.65761493800000004</v>
      </c>
      <c r="E280" s="10">
        <v>-0.15006056300000001</v>
      </c>
      <c r="F280" s="10">
        <v>3.6905322999999997E-2</v>
      </c>
      <c r="G280" s="10">
        <v>0.11876078399999999</v>
      </c>
      <c r="H280" s="9">
        <v>-0.1630023485</v>
      </c>
      <c r="I280" s="10">
        <v>0.34840715810891298</v>
      </c>
      <c r="J280" s="10">
        <v>0.121387547821529</v>
      </c>
      <c r="K280" s="10">
        <v>0.126161088</v>
      </c>
      <c r="L280" s="10">
        <v>0.187208177</v>
      </c>
      <c r="M280" s="10">
        <v>0.145743226</v>
      </c>
      <c r="N280" s="10">
        <v>7.3382639E-2</v>
      </c>
      <c r="O280" s="9">
        <v>0.13312378250000001</v>
      </c>
      <c r="P280" s="10">
        <v>4.7264699385726298E-2</v>
      </c>
      <c r="Q280" s="10">
        <v>2.2339518080230002E-3</v>
      </c>
    </row>
    <row r="281" spans="1:17" x14ac:dyDescent="0.2">
      <c r="A281" s="10">
        <v>1604</v>
      </c>
      <c r="B281" s="10" t="s">
        <v>2825</v>
      </c>
      <c r="C281" s="9" t="s">
        <v>329</v>
      </c>
      <c r="D281" s="10">
        <v>-0.200819149</v>
      </c>
      <c r="E281" s="10">
        <v>0.40271669700000001</v>
      </c>
      <c r="F281" s="10">
        <v>-0.19764949400000001</v>
      </c>
      <c r="G281" s="10">
        <v>-6.6403126000000007E-2</v>
      </c>
      <c r="H281" s="9">
        <v>-1.553876825E-2</v>
      </c>
      <c r="I281" s="10">
        <v>0.28578427354962999</v>
      </c>
      <c r="J281" s="10">
        <v>8.1672651008290201E-2</v>
      </c>
      <c r="K281" s="10">
        <v>7.2487737999999996E-2</v>
      </c>
      <c r="L281" s="10">
        <v>-8.9112011000000005E-2</v>
      </c>
      <c r="M281" s="10">
        <v>-0.28003708199999999</v>
      </c>
      <c r="N281" s="10">
        <v>-2.18198E-2</v>
      </c>
      <c r="O281" s="9">
        <v>-7.9620288750000004E-2</v>
      </c>
      <c r="P281" s="10">
        <v>0.14914727856429</v>
      </c>
      <c r="Q281" s="10">
        <v>2.2244910703133901E-2</v>
      </c>
    </row>
    <row r="282" spans="1:17" x14ac:dyDescent="0.2">
      <c r="A282" s="10">
        <v>1604</v>
      </c>
      <c r="B282" s="10" t="s">
        <v>2830</v>
      </c>
      <c r="C282" s="9" t="s">
        <v>330</v>
      </c>
      <c r="D282" s="10">
        <v>-6.871215E-2</v>
      </c>
      <c r="E282" s="10">
        <v>8.8408774999999995E-2</v>
      </c>
      <c r="F282" s="10">
        <v>-0.39129916300000001</v>
      </c>
      <c r="G282" s="10">
        <v>-0.20829963700000001</v>
      </c>
      <c r="H282" s="9">
        <v>-0.14497554400000001</v>
      </c>
      <c r="I282" s="10">
        <v>0.20409933174071701</v>
      </c>
      <c r="J282" s="10">
        <v>4.16565372170076E-2</v>
      </c>
      <c r="K282" s="10">
        <v>0.110714325</v>
      </c>
      <c r="L282" s="10">
        <v>0.32872227999999998</v>
      </c>
      <c r="M282" s="10">
        <v>-1.0125858560000001</v>
      </c>
      <c r="N282" s="10">
        <v>0.156456809</v>
      </c>
      <c r="O282" s="9">
        <v>-0.10417311025000001</v>
      </c>
      <c r="P282" s="10">
        <v>0.61283948419830603</v>
      </c>
      <c r="Q282" s="10">
        <v>0.375572233392446</v>
      </c>
    </row>
    <row r="283" spans="1:17" x14ac:dyDescent="0.2">
      <c r="A283" s="10">
        <v>1605</v>
      </c>
      <c r="B283" s="10" t="s">
        <v>2831</v>
      </c>
      <c r="C283" s="9" t="s">
        <v>331</v>
      </c>
      <c r="D283" s="10">
        <v>-2.3334417599999999</v>
      </c>
      <c r="E283" s="10">
        <v>-1.6330160039999999</v>
      </c>
      <c r="F283" s="10">
        <v>-1.511014976</v>
      </c>
      <c r="G283" s="10">
        <v>-1.1953547149999999</v>
      </c>
      <c r="H283" s="9">
        <v>-1.66820686375</v>
      </c>
      <c r="I283" s="10">
        <v>0.48030348320986699</v>
      </c>
      <c r="J283" s="10">
        <v>0.23069143598353101</v>
      </c>
      <c r="K283" s="10">
        <v>-0.599410322</v>
      </c>
      <c r="L283" s="10">
        <v>0.31247868600000001</v>
      </c>
      <c r="M283" s="10">
        <v>-0.48837655200000002</v>
      </c>
      <c r="N283" s="10">
        <v>-2.8452185000000001E-2</v>
      </c>
      <c r="O283" s="9">
        <v>-0.20094009325000001</v>
      </c>
      <c r="P283" s="10">
        <v>0.42219630599909203</v>
      </c>
      <c r="Q283" s="10">
        <v>0.178249720799279</v>
      </c>
    </row>
    <row r="284" spans="1:17" x14ac:dyDescent="0.2">
      <c r="A284" s="10">
        <v>1605</v>
      </c>
      <c r="B284" s="10" t="s">
        <v>96</v>
      </c>
      <c r="C284" s="9" t="s">
        <v>332</v>
      </c>
      <c r="D284" s="10">
        <v>0.31671672499999998</v>
      </c>
      <c r="E284" s="10">
        <v>0.27592178099999998</v>
      </c>
      <c r="F284" s="10">
        <v>-0.42565968999999998</v>
      </c>
      <c r="G284" s="10">
        <v>-0.221361428</v>
      </c>
      <c r="H284" s="9">
        <v>-1.3595652999999999E-2</v>
      </c>
      <c r="I284" s="10">
        <v>0.36782695184014902</v>
      </c>
      <c r="J284" s="10">
        <v>0.13529666650001501</v>
      </c>
      <c r="K284" s="10">
        <v>-0.18827323700000001</v>
      </c>
      <c r="L284" s="10">
        <v>-3.1599049999999997E-2</v>
      </c>
      <c r="M284" s="10">
        <v>-0.30853281700000001</v>
      </c>
      <c r="N284" s="10">
        <v>2.3349582000000001E-2</v>
      </c>
      <c r="O284" s="9">
        <v>-0.12626388024999999</v>
      </c>
      <c r="P284" s="10">
        <v>0.151010754364512</v>
      </c>
      <c r="Q284" s="10">
        <v>2.28042479337392E-2</v>
      </c>
    </row>
    <row r="285" spans="1:17" x14ac:dyDescent="0.2">
      <c r="A285" s="10">
        <v>1605</v>
      </c>
      <c r="B285" s="10" t="s">
        <v>2826</v>
      </c>
      <c r="C285" s="9" t="s">
        <v>333</v>
      </c>
      <c r="D285" s="10">
        <v>3.6787067999999999E-2</v>
      </c>
      <c r="E285" s="10">
        <v>0.185642264</v>
      </c>
      <c r="F285" s="10">
        <v>0.19344700200000001</v>
      </c>
      <c r="G285" s="10">
        <v>0.200938758</v>
      </c>
      <c r="H285" s="9">
        <v>0.15420377299999999</v>
      </c>
      <c r="I285" s="10">
        <v>7.8526537286683601E-2</v>
      </c>
      <c r="J285" s="10">
        <v>6.1664170582369001E-3</v>
      </c>
      <c r="K285" s="10">
        <v>0.26446186700000002</v>
      </c>
      <c r="L285" s="10">
        <v>-0.12975223</v>
      </c>
      <c r="M285" s="10">
        <v>-0.23016345199999999</v>
      </c>
      <c r="N285" s="10">
        <v>0.231230241</v>
      </c>
      <c r="O285" s="9">
        <v>3.3944106500000001E-2</v>
      </c>
      <c r="P285" s="10">
        <v>0.25073860878894</v>
      </c>
      <c r="Q285" s="10">
        <v>6.2869849937413194E-2</v>
      </c>
    </row>
    <row r="286" spans="1:17" x14ac:dyDescent="0.2">
      <c r="A286" s="10">
        <v>1605</v>
      </c>
      <c r="B286" s="10" t="s">
        <v>2834</v>
      </c>
      <c r="C286" s="9" t="s">
        <v>334</v>
      </c>
      <c r="D286" s="10">
        <v>-0.106414206</v>
      </c>
      <c r="E286" s="10">
        <v>0.42749264599999998</v>
      </c>
      <c r="F286" s="10">
        <v>-0.50159960000000003</v>
      </c>
      <c r="G286" s="10">
        <v>-3.4894248000000003E-2</v>
      </c>
      <c r="H286" s="9">
        <v>-5.3853852000000001E-2</v>
      </c>
      <c r="I286" s="10">
        <v>0.38091677279312403</v>
      </c>
      <c r="J286" s="10">
        <v>0.14509758779512799</v>
      </c>
      <c r="K286" s="10">
        <v>1.3700235E-2</v>
      </c>
      <c r="L286" s="10">
        <v>0.46560911500000002</v>
      </c>
      <c r="M286" s="10">
        <v>-0.12600239099999999</v>
      </c>
      <c r="N286" s="10">
        <v>0.216200221</v>
      </c>
      <c r="O286" s="9">
        <v>0.142376795</v>
      </c>
      <c r="P286" s="10">
        <v>0.25723794140212902</v>
      </c>
      <c r="Q286" s="10">
        <v>6.6171358496805305E-2</v>
      </c>
    </row>
    <row r="287" spans="1:17" x14ac:dyDescent="0.2">
      <c r="A287" s="10">
        <v>1605</v>
      </c>
      <c r="B287" s="10" t="s">
        <v>2814</v>
      </c>
      <c r="C287" s="9" t="s">
        <v>335</v>
      </c>
      <c r="D287" s="10">
        <v>0.41916062100000001</v>
      </c>
      <c r="E287" s="10">
        <v>0.46918047400000001</v>
      </c>
      <c r="F287" s="10">
        <v>-0.36329498599999999</v>
      </c>
      <c r="G287" s="10">
        <v>-0.15204341299999999</v>
      </c>
      <c r="H287" s="9">
        <v>9.3250673749999999E-2</v>
      </c>
      <c r="I287" s="10">
        <v>0.41478654625545303</v>
      </c>
      <c r="J287" s="10">
        <v>0.172047878954527</v>
      </c>
      <c r="K287" s="10">
        <v>-0.507417338</v>
      </c>
      <c r="L287" s="10">
        <v>-0.60959230600000003</v>
      </c>
      <c r="M287" s="10">
        <v>0.376344978</v>
      </c>
      <c r="N287" s="10">
        <v>-0.99148596899999997</v>
      </c>
      <c r="O287" s="9">
        <v>-0.43303765900000002</v>
      </c>
      <c r="P287" s="10">
        <v>0.57840834711714595</v>
      </c>
      <c r="Q287" s="10">
        <v>0.33455621601478902</v>
      </c>
    </row>
    <row r="288" spans="1:17" x14ac:dyDescent="0.2">
      <c r="A288" s="10">
        <v>1605</v>
      </c>
      <c r="B288" s="10" t="s">
        <v>2825</v>
      </c>
      <c r="C288" s="9" t="s">
        <v>2554</v>
      </c>
      <c r="D288" s="10">
        <v>-1.198639805</v>
      </c>
      <c r="E288" s="10">
        <v>1.3979007E-2</v>
      </c>
      <c r="F288" s="10">
        <v>-0.217680664</v>
      </c>
      <c r="G288" s="10">
        <v>1.3076668010000001</v>
      </c>
      <c r="H288" s="9">
        <v>-2.3668664999999998E-2</v>
      </c>
      <c r="I288" s="10">
        <v>1.03151495478338</v>
      </c>
      <c r="J288" s="10">
        <v>1.0640231019417701</v>
      </c>
      <c r="K288" s="10">
        <v>-0.42534502899999999</v>
      </c>
      <c r="L288" s="10">
        <v>0.59172946199999998</v>
      </c>
      <c r="M288" s="10">
        <v>0.23583021700000001</v>
      </c>
      <c r="N288" s="10">
        <v>-8.1033400000000005E-2</v>
      </c>
      <c r="O288" s="9">
        <v>8.0295312499999993E-2</v>
      </c>
      <c r="P288" s="10">
        <v>0.434915740583451</v>
      </c>
      <c r="Q288" s="10">
        <v>0.18915170140725199</v>
      </c>
    </row>
    <row r="289" spans="1:17" x14ac:dyDescent="0.2">
      <c r="A289" s="10">
        <v>1605</v>
      </c>
      <c r="B289" s="10" t="s">
        <v>74</v>
      </c>
      <c r="C289" s="9" t="s">
        <v>336</v>
      </c>
      <c r="D289" s="10">
        <v>0.43783537700000003</v>
      </c>
      <c r="E289" s="10">
        <v>0.28346522499999999</v>
      </c>
      <c r="F289" s="10">
        <v>0.42628804100000001</v>
      </c>
      <c r="G289" s="10">
        <v>0.60767462000000005</v>
      </c>
      <c r="H289" s="9">
        <v>0.43881581575</v>
      </c>
      <c r="I289" s="10">
        <v>0.13267128327743299</v>
      </c>
      <c r="J289" s="10">
        <v>1.7601669406480999E-2</v>
      </c>
      <c r="K289" s="10">
        <v>0.51110869999999997</v>
      </c>
      <c r="L289" s="10">
        <v>0.17513499199999999</v>
      </c>
      <c r="M289" s="10">
        <v>0.16728652699999999</v>
      </c>
      <c r="N289" s="10">
        <v>0.28436260899999999</v>
      </c>
      <c r="O289" s="9">
        <v>0.28447320700000001</v>
      </c>
      <c r="P289" s="10">
        <v>0.16026147608214</v>
      </c>
      <c r="Q289" s="10">
        <v>2.5683740716026401E-2</v>
      </c>
    </row>
    <row r="290" spans="1:17" x14ac:dyDescent="0.2">
      <c r="A290" s="10">
        <v>1605</v>
      </c>
      <c r="B290" s="10" t="s">
        <v>2830</v>
      </c>
      <c r="C290" s="9" t="s">
        <v>337</v>
      </c>
      <c r="D290" s="10">
        <v>-4.2913830000000002E-3</v>
      </c>
      <c r="E290" s="10">
        <v>-0.16095057099999999</v>
      </c>
      <c r="F290" s="10">
        <v>-0.38562405399999999</v>
      </c>
      <c r="G290" s="10">
        <v>0.91865500099999997</v>
      </c>
      <c r="H290" s="9">
        <v>9.1947247999999995E-2</v>
      </c>
      <c r="I290" s="10">
        <v>0.57292792982363705</v>
      </c>
      <c r="J290" s="10">
        <v>0.32824641277199801</v>
      </c>
      <c r="K290" s="10">
        <v>0.117878553</v>
      </c>
      <c r="L290" s="10">
        <v>-0.385333539</v>
      </c>
      <c r="M290" s="10">
        <v>-0.28608683299999998</v>
      </c>
      <c r="N290" s="10">
        <v>1.1525687999999999E-2</v>
      </c>
      <c r="O290" s="9">
        <v>-0.13550403275</v>
      </c>
      <c r="P290" s="10">
        <v>0.23868419544761699</v>
      </c>
      <c r="Q290" s="10">
        <v>5.6970145156476401E-2</v>
      </c>
    </row>
    <row r="291" spans="1:17" x14ac:dyDescent="0.2">
      <c r="A291" s="10">
        <v>1606</v>
      </c>
      <c r="B291" s="10" t="s">
        <v>2822</v>
      </c>
      <c r="C291" s="9" t="s">
        <v>338</v>
      </c>
      <c r="D291" s="10">
        <v>-3.9450092999999999E-2</v>
      </c>
      <c r="E291" s="10">
        <v>0.38963734</v>
      </c>
      <c r="F291" s="10">
        <v>-0.81146884799999996</v>
      </c>
      <c r="G291" s="10">
        <v>0.28551299200000002</v>
      </c>
      <c r="H291" s="9">
        <v>-4.3942152499999998E-2</v>
      </c>
      <c r="I291" s="10">
        <v>0.54333822353354699</v>
      </c>
      <c r="J291" s="10">
        <v>0.295216425152591</v>
      </c>
      <c r="K291" s="10">
        <v>-1.04276171</v>
      </c>
      <c r="L291" s="10">
        <v>0.40322200200000002</v>
      </c>
      <c r="M291" s="10">
        <v>-0.33711851599999998</v>
      </c>
      <c r="N291" s="10">
        <v>-0.26334002099999998</v>
      </c>
      <c r="O291" s="9">
        <v>-0.30999956125</v>
      </c>
      <c r="P291" s="10">
        <v>0.59119593912919799</v>
      </c>
      <c r="Q291" s="10">
        <v>0.34951263844285502</v>
      </c>
    </row>
    <row r="292" spans="1:17" x14ac:dyDescent="0.2">
      <c r="A292" s="10">
        <v>1606</v>
      </c>
      <c r="B292" s="10" t="s">
        <v>2819</v>
      </c>
      <c r="C292" s="9" t="s">
        <v>2553</v>
      </c>
      <c r="D292" s="10">
        <v>-1.495297087</v>
      </c>
      <c r="E292" s="10">
        <v>-0.143238327</v>
      </c>
      <c r="F292" s="10">
        <v>-1.1021370180000001</v>
      </c>
      <c r="G292" s="10">
        <v>0.32930050399999999</v>
      </c>
      <c r="H292" s="9">
        <v>-0.60284298224999999</v>
      </c>
      <c r="I292" s="10">
        <v>0.84180298195924297</v>
      </c>
      <c r="J292" s="10">
        <v>0.708632260435473</v>
      </c>
      <c r="K292" s="10">
        <v>0.36505130800000002</v>
      </c>
      <c r="L292" s="10">
        <v>0.25932092600000001</v>
      </c>
      <c r="M292" s="10">
        <v>0.111749559</v>
      </c>
      <c r="N292" s="10">
        <v>-0.29577956100000002</v>
      </c>
      <c r="O292" s="9">
        <v>0.11008555774999999</v>
      </c>
      <c r="P292" s="10">
        <v>0.28983213098583399</v>
      </c>
      <c r="Q292" s="10">
        <v>8.4002664151790002E-2</v>
      </c>
    </row>
    <row r="293" spans="1:17" x14ac:dyDescent="0.2">
      <c r="A293" s="10">
        <v>1606</v>
      </c>
      <c r="B293" s="10" t="s">
        <v>2821</v>
      </c>
      <c r="C293" s="9" t="s">
        <v>339</v>
      </c>
      <c r="D293" s="10">
        <v>0.60496669999999997</v>
      </c>
      <c r="E293" s="10">
        <v>0.26055063000000001</v>
      </c>
      <c r="F293" s="10">
        <v>-0.45068654699999999</v>
      </c>
      <c r="G293" s="10">
        <v>0.26009119800000002</v>
      </c>
      <c r="H293" s="9">
        <v>0.16873049549999999</v>
      </c>
      <c r="I293" s="10">
        <v>0.44375564361365299</v>
      </c>
      <c r="J293" s="10">
        <v>0.19691907123896801</v>
      </c>
      <c r="K293" s="10">
        <v>0.50322868099999996</v>
      </c>
      <c r="L293" s="10">
        <v>3.7469094000000001E-2</v>
      </c>
      <c r="M293" s="10">
        <v>0.104832464</v>
      </c>
      <c r="N293" s="10">
        <v>0.115497003</v>
      </c>
      <c r="O293" s="9">
        <v>0.19025681075</v>
      </c>
      <c r="P293" s="10">
        <v>0.21148823909770301</v>
      </c>
      <c r="Q293" s="10">
        <v>4.4727275276647403E-2</v>
      </c>
    </row>
    <row r="294" spans="1:17" x14ac:dyDescent="0.2">
      <c r="A294" s="10">
        <v>1606</v>
      </c>
      <c r="B294" s="10" t="s">
        <v>2834</v>
      </c>
      <c r="C294" s="9" t="s">
        <v>340</v>
      </c>
      <c r="D294" s="10">
        <v>3.6406650999999998E-2</v>
      </c>
      <c r="E294" s="10">
        <v>0.30762608499999999</v>
      </c>
      <c r="F294" s="10">
        <v>0.16003147000000001</v>
      </c>
      <c r="G294" s="10">
        <v>-0.60210566799999998</v>
      </c>
      <c r="H294" s="9">
        <v>-2.4510365499999999E-2</v>
      </c>
      <c r="I294" s="10">
        <v>0.40070667874384702</v>
      </c>
      <c r="J294" s="10">
        <v>0.160565842389925</v>
      </c>
      <c r="K294" s="10">
        <v>-0.673255257</v>
      </c>
      <c r="L294" s="10">
        <v>0.51005674000000001</v>
      </c>
      <c r="M294" s="10">
        <v>-6.9811919999999998E-3</v>
      </c>
      <c r="N294" s="10">
        <v>7.2998008000000003E-2</v>
      </c>
      <c r="O294" s="9">
        <v>-2.4295425249999999E-2</v>
      </c>
      <c r="P294" s="10">
        <v>0.48868766254086299</v>
      </c>
      <c r="Q294" s="10">
        <v>0.23881563151965299</v>
      </c>
    </row>
    <row r="295" spans="1:17" x14ac:dyDescent="0.2">
      <c r="A295" s="10">
        <v>1606</v>
      </c>
      <c r="B295" s="10" t="s">
        <v>2814</v>
      </c>
      <c r="C295" s="9" t="s">
        <v>341</v>
      </c>
      <c r="D295" s="10">
        <v>-0.59644403300000004</v>
      </c>
      <c r="E295" s="10">
        <v>-0.51236330699999999</v>
      </c>
      <c r="F295" s="10">
        <v>-0.22713402699999999</v>
      </c>
      <c r="G295" s="10">
        <v>-0.72847218899999999</v>
      </c>
      <c r="H295" s="9">
        <v>-0.51610338899999997</v>
      </c>
      <c r="I295" s="10">
        <v>0.212188914790435</v>
      </c>
      <c r="J295" s="10">
        <v>4.50241355599428E-2</v>
      </c>
      <c r="K295" s="10">
        <v>-0.16271909600000001</v>
      </c>
      <c r="L295" s="10">
        <v>0.18997731800000001</v>
      </c>
      <c r="M295" s="10">
        <v>-0.15339449199999999</v>
      </c>
      <c r="N295" s="10">
        <v>0.29111642199999999</v>
      </c>
      <c r="O295" s="9">
        <v>4.1245037999999998E-2</v>
      </c>
      <c r="P295" s="10">
        <v>0.23383962756061699</v>
      </c>
      <c r="Q295" s="10">
        <v>5.4680971417688198E-2</v>
      </c>
    </row>
    <row r="296" spans="1:17" x14ac:dyDescent="0.2">
      <c r="A296" s="10">
        <v>1606</v>
      </c>
      <c r="B296" s="10" t="s">
        <v>2818</v>
      </c>
      <c r="C296" s="9" t="s">
        <v>342</v>
      </c>
      <c r="D296" s="10">
        <v>0.322407308</v>
      </c>
      <c r="E296" s="10">
        <v>0.20575717700000001</v>
      </c>
      <c r="F296" s="10">
        <v>-0.25991247099999998</v>
      </c>
      <c r="G296" s="10">
        <v>8.6613027999999995E-2</v>
      </c>
      <c r="H296" s="9">
        <v>8.8716260249999998E-2</v>
      </c>
      <c r="I296" s="10">
        <v>0.25156609325785201</v>
      </c>
      <c r="J296" s="10">
        <v>6.3285499277018403E-2</v>
      </c>
      <c r="K296" s="10">
        <v>7.5074340000000003E-2</v>
      </c>
      <c r="L296" s="10">
        <v>4.460687E-2</v>
      </c>
      <c r="M296" s="10">
        <v>0.137477088</v>
      </c>
      <c r="N296" s="10">
        <v>0.147195875</v>
      </c>
      <c r="O296" s="9">
        <v>0.10108854325</v>
      </c>
      <c r="P296" s="10">
        <v>4.9385998062809203E-2</v>
      </c>
      <c r="Q296" s="10">
        <v>2.4389768046596998E-3</v>
      </c>
    </row>
    <row r="297" spans="1:17" x14ac:dyDescent="0.2">
      <c r="A297" s="10">
        <v>1606</v>
      </c>
      <c r="B297" s="10" t="s">
        <v>2830</v>
      </c>
      <c r="C297" s="9" t="s">
        <v>343</v>
      </c>
      <c r="D297" s="10">
        <v>0.195561123</v>
      </c>
      <c r="E297" s="10">
        <v>0.15689830299999999</v>
      </c>
      <c r="F297" s="10">
        <v>0.19718892599999999</v>
      </c>
      <c r="G297" s="10">
        <v>0.20522389799999999</v>
      </c>
      <c r="H297" s="9">
        <v>0.18871806250000001</v>
      </c>
      <c r="I297" s="10">
        <v>2.1629630183563699E-2</v>
      </c>
      <c r="J297" s="10">
        <v>4.6784090187769998E-4</v>
      </c>
      <c r="K297" s="10">
        <v>5.5094088999999999E-2</v>
      </c>
      <c r="L297" s="10">
        <v>-0.218525258</v>
      </c>
      <c r="M297" s="10">
        <v>-0.17671266899999999</v>
      </c>
      <c r="N297" s="10">
        <v>0.38593513299999999</v>
      </c>
      <c r="O297" s="9">
        <v>1.1447824000000001E-2</v>
      </c>
      <c r="P297" s="10">
        <v>0.277150819724022</v>
      </c>
      <c r="Q297" s="10">
        <v>7.6812576873697802E-2</v>
      </c>
    </row>
    <row r="298" spans="1:17" x14ac:dyDescent="0.2">
      <c r="A298" s="10">
        <v>1607</v>
      </c>
      <c r="B298" s="10" t="s">
        <v>2831</v>
      </c>
      <c r="C298" s="9" t="s">
        <v>344</v>
      </c>
      <c r="D298" s="10">
        <v>-0.82752300099999998</v>
      </c>
      <c r="E298" s="10">
        <v>-1.235242532</v>
      </c>
      <c r="F298" s="10">
        <v>-0.34586267999999998</v>
      </c>
      <c r="G298" s="10">
        <v>-1.047472169</v>
      </c>
      <c r="H298" s="9">
        <v>-0.86402509549999995</v>
      </c>
      <c r="I298" s="10">
        <v>0.38352744607438699</v>
      </c>
      <c r="J298" s="10">
        <v>0.14709330189234199</v>
      </c>
      <c r="K298" s="10">
        <v>-9.9340080999999997E-2</v>
      </c>
      <c r="L298" s="10">
        <v>-0.37721931199999997</v>
      </c>
      <c r="M298" s="10">
        <v>-0.107986472</v>
      </c>
      <c r="N298" s="10">
        <v>-0.36905921800000002</v>
      </c>
      <c r="O298" s="9">
        <v>-0.238401271</v>
      </c>
      <c r="P298" s="10">
        <v>0.15565772492208499</v>
      </c>
      <c r="Q298" s="10">
        <v>2.42293273279196E-2</v>
      </c>
    </row>
    <row r="299" spans="1:17" x14ac:dyDescent="0.2">
      <c r="A299" s="10">
        <v>1607</v>
      </c>
      <c r="B299" s="10" t="s">
        <v>2819</v>
      </c>
      <c r="C299" s="9" t="s">
        <v>345</v>
      </c>
      <c r="D299" s="10">
        <v>-0.39056512199999999</v>
      </c>
      <c r="E299" s="10">
        <v>0.21904966300000001</v>
      </c>
      <c r="F299" s="10">
        <v>0.74512114900000004</v>
      </c>
      <c r="G299" s="10">
        <v>0.52180991099999996</v>
      </c>
      <c r="H299" s="9">
        <v>0.27385390025</v>
      </c>
      <c r="I299" s="10">
        <v>0.49262262248758898</v>
      </c>
      <c r="J299" s="10">
        <v>0.242677048186549</v>
      </c>
      <c r="K299" s="10">
        <v>0.13615732699999999</v>
      </c>
      <c r="L299" s="10">
        <v>-0.11584445</v>
      </c>
      <c r="M299" s="10">
        <v>5.2106560000000001E-3</v>
      </c>
      <c r="N299" s="10">
        <v>-0.46116212400000001</v>
      </c>
      <c r="O299" s="9">
        <v>-0.10890964775</v>
      </c>
      <c r="P299" s="10">
        <v>0.25639238440822998</v>
      </c>
      <c r="Q299" s="10">
        <v>6.5737054782537593E-2</v>
      </c>
    </row>
    <row r="300" spans="1:17" x14ac:dyDescent="0.2">
      <c r="A300" s="10">
        <v>1607</v>
      </c>
      <c r="B300" s="10" t="s">
        <v>2821</v>
      </c>
      <c r="C300" s="9" t="s">
        <v>346</v>
      </c>
      <c r="D300" s="10">
        <v>0.20941665400000001</v>
      </c>
      <c r="E300" s="10">
        <v>0.122178228</v>
      </c>
      <c r="F300" s="10">
        <v>-9.4497655999999999E-2</v>
      </c>
      <c r="G300" s="10">
        <v>0.169525181</v>
      </c>
      <c r="H300" s="9">
        <v>0.10165560175</v>
      </c>
      <c r="I300" s="10">
        <v>0.135543354544753</v>
      </c>
      <c r="J300" s="10">
        <v>1.8372000961244701E-2</v>
      </c>
      <c r="K300" s="10">
        <v>-0.68165887700000005</v>
      </c>
      <c r="L300" s="10">
        <v>-0.72163246700000006</v>
      </c>
      <c r="M300" s="10">
        <v>0.21022369599999999</v>
      </c>
      <c r="N300" s="10">
        <v>-1.429770717</v>
      </c>
      <c r="O300" s="9">
        <v>-0.65570959124999995</v>
      </c>
      <c r="P300" s="10">
        <v>0.67182097698296395</v>
      </c>
      <c r="Q300" s="10">
        <v>0.451343425114344</v>
      </c>
    </row>
    <row r="301" spans="1:17" x14ac:dyDescent="0.2">
      <c r="A301" s="10">
        <v>1607</v>
      </c>
      <c r="B301" s="10" t="s">
        <v>79</v>
      </c>
      <c r="C301" s="9" t="s">
        <v>2552</v>
      </c>
      <c r="D301" s="10">
        <v>-1.1232215780000001</v>
      </c>
      <c r="E301" s="10">
        <v>0.12679141699999999</v>
      </c>
      <c r="F301" s="10">
        <v>-0.46726227199999998</v>
      </c>
      <c r="G301" s="10">
        <v>-0.52564208999999995</v>
      </c>
      <c r="H301" s="9">
        <v>-0.49733363074999998</v>
      </c>
      <c r="I301" s="10">
        <v>0.51087293045790305</v>
      </c>
      <c r="J301" s="10">
        <v>0.26099115107464599</v>
      </c>
      <c r="K301" s="10">
        <v>0.446005186</v>
      </c>
      <c r="L301" s="10">
        <v>0.62408132199999999</v>
      </c>
      <c r="M301" s="10">
        <v>-0.96934672300000002</v>
      </c>
      <c r="N301" s="10">
        <v>0.72824820700000004</v>
      </c>
      <c r="O301" s="9">
        <v>0.20724699799999999</v>
      </c>
      <c r="P301" s="10">
        <v>0.79300512189974004</v>
      </c>
      <c r="Q301" s="10">
        <v>0.62885712335922195</v>
      </c>
    </row>
    <row r="302" spans="1:17" x14ac:dyDescent="0.2">
      <c r="A302" s="10">
        <v>1607</v>
      </c>
      <c r="B302" s="10" t="s">
        <v>2820</v>
      </c>
      <c r="C302" s="9" t="s">
        <v>347</v>
      </c>
      <c r="D302" s="10">
        <v>-0.426017443</v>
      </c>
      <c r="E302" s="10">
        <v>0.22439432100000001</v>
      </c>
      <c r="F302" s="10">
        <v>0.31188875999999999</v>
      </c>
      <c r="G302" s="10">
        <v>0.33413695799999998</v>
      </c>
      <c r="H302" s="9">
        <v>0.111100649</v>
      </c>
      <c r="I302" s="10">
        <v>0.36119817345434002</v>
      </c>
      <c r="J302" s="10">
        <v>0.13046412050675099</v>
      </c>
      <c r="K302" s="10">
        <v>9.9903828E-2</v>
      </c>
      <c r="L302" s="10">
        <v>-5.6654903999999999E-2</v>
      </c>
      <c r="M302" s="10">
        <v>-3.0092298E-2</v>
      </c>
      <c r="N302" s="10">
        <v>0.40480623100000002</v>
      </c>
      <c r="O302" s="9">
        <v>0.10449071375000001</v>
      </c>
      <c r="P302" s="10">
        <v>0.21157421597298301</v>
      </c>
      <c r="Q302" s="10">
        <v>4.47636488645827E-2</v>
      </c>
    </row>
    <row r="303" spans="1:17" x14ac:dyDescent="0.2">
      <c r="A303" s="10">
        <v>1607</v>
      </c>
      <c r="B303" s="10" t="s">
        <v>2824</v>
      </c>
      <c r="C303" s="9" t="s">
        <v>348</v>
      </c>
      <c r="D303" s="10">
        <v>-0.628533495</v>
      </c>
      <c r="E303" s="10">
        <v>0.27431601500000002</v>
      </c>
      <c r="F303" s="10">
        <v>-0.61507084599999995</v>
      </c>
      <c r="G303" s="10">
        <v>0.68311995700000006</v>
      </c>
      <c r="H303" s="9">
        <v>-7.1542092249999995E-2</v>
      </c>
      <c r="I303" s="10">
        <v>0.65696158381323999</v>
      </c>
      <c r="J303" s="10">
        <v>0.43159852260640003</v>
      </c>
      <c r="K303" s="10">
        <v>-6.8043588000000002E-2</v>
      </c>
      <c r="L303" s="10">
        <v>-0.26691974299999999</v>
      </c>
      <c r="M303" s="10">
        <v>-0.65102881000000001</v>
      </c>
      <c r="N303" s="10">
        <v>0.26916256900000002</v>
      </c>
      <c r="O303" s="9">
        <v>-0.17920739325000001</v>
      </c>
      <c r="P303" s="10">
        <v>0.38457852264887299</v>
      </c>
      <c r="Q303" s="10">
        <v>0.147900640082789</v>
      </c>
    </row>
    <row r="304" spans="1:17" x14ac:dyDescent="0.2">
      <c r="A304" s="10">
        <v>1607</v>
      </c>
      <c r="B304" s="10" t="s">
        <v>2817</v>
      </c>
      <c r="C304" s="9" t="s">
        <v>349</v>
      </c>
      <c r="D304" s="10">
        <v>0.43965394400000002</v>
      </c>
      <c r="E304" s="10">
        <v>0.23637573000000001</v>
      </c>
      <c r="F304" s="10">
        <v>4.2296288000000001E-2</v>
      </c>
      <c r="G304" s="10">
        <v>-0.28209651200000002</v>
      </c>
      <c r="H304" s="9">
        <v>0.1090573625</v>
      </c>
      <c r="I304" s="10">
        <v>0.307116948955446</v>
      </c>
      <c r="J304" s="10">
        <v>9.4320820335702493E-2</v>
      </c>
      <c r="K304" s="10">
        <v>-4.7814260000000001E-3</v>
      </c>
      <c r="L304" s="10">
        <v>0.33128884199999997</v>
      </c>
      <c r="M304" s="10">
        <v>0.34675577200000002</v>
      </c>
      <c r="N304" s="10">
        <v>-0.13843383300000001</v>
      </c>
      <c r="O304" s="9">
        <v>0.13370733900000001</v>
      </c>
      <c r="P304" s="10">
        <v>0.243357104313978</v>
      </c>
      <c r="Q304" s="10">
        <v>5.9222680220084402E-2</v>
      </c>
    </row>
    <row r="305" spans="1:17" x14ac:dyDescent="0.2">
      <c r="A305" s="10">
        <v>1607</v>
      </c>
      <c r="B305" s="10" t="s">
        <v>2814</v>
      </c>
      <c r="C305" s="9" t="s">
        <v>350</v>
      </c>
      <c r="D305" s="10">
        <v>-0.25437380399999998</v>
      </c>
      <c r="E305" s="10">
        <v>3.6136751000000002E-2</v>
      </c>
      <c r="F305" s="10">
        <v>5.9819165000000001E-2</v>
      </c>
      <c r="G305" s="10">
        <v>5.6297556999999998E-2</v>
      </c>
      <c r="H305" s="9">
        <v>-2.5530082499999999E-2</v>
      </c>
      <c r="I305" s="10">
        <v>0.15291882798709899</v>
      </c>
      <c r="J305" s="10">
        <v>2.33841679529481E-2</v>
      </c>
      <c r="K305" s="10">
        <v>2.1645265E-2</v>
      </c>
      <c r="L305" s="10">
        <v>-0.122686104</v>
      </c>
      <c r="M305" s="10">
        <v>-0.442810649</v>
      </c>
      <c r="N305" s="10">
        <v>4.4119307000000003E-2</v>
      </c>
      <c r="O305" s="9">
        <v>-0.12493304525</v>
      </c>
      <c r="P305" s="10">
        <v>0.22443641902019501</v>
      </c>
      <c r="Q305" s="10">
        <v>5.0371706182608701E-2</v>
      </c>
    </row>
    <row r="306" spans="1:17" x14ac:dyDescent="0.2">
      <c r="A306" s="10">
        <v>1607</v>
      </c>
      <c r="B306" s="10" t="s">
        <v>2833</v>
      </c>
      <c r="C306" s="9" t="s">
        <v>351</v>
      </c>
      <c r="D306" s="10">
        <v>0.47632132799999999</v>
      </c>
      <c r="E306" s="10">
        <v>-0.76875275099999996</v>
      </c>
      <c r="F306" s="10">
        <v>0.25377925000000001</v>
      </c>
      <c r="G306" s="10">
        <v>0.56934115100000005</v>
      </c>
      <c r="H306" s="9">
        <v>0.13267224450000001</v>
      </c>
      <c r="I306" s="10">
        <v>0.61536123694072198</v>
      </c>
      <c r="J306" s="10">
        <v>0.37866945192921497</v>
      </c>
      <c r="K306" s="10">
        <v>-0.100969107</v>
      </c>
      <c r="L306" s="10">
        <v>-6.2226765000000003E-2</v>
      </c>
      <c r="M306" s="10">
        <v>-0.37300760100000002</v>
      </c>
      <c r="N306" s="10">
        <v>-0.259295532</v>
      </c>
      <c r="O306" s="9">
        <v>-0.19887475125000001</v>
      </c>
      <c r="P306" s="10">
        <v>0.14402674222829001</v>
      </c>
      <c r="Q306" s="10">
        <v>2.0743702476894402E-2</v>
      </c>
    </row>
    <row r="307" spans="1:17" x14ac:dyDescent="0.2">
      <c r="A307" s="10">
        <v>1607</v>
      </c>
      <c r="B307" s="10" t="s">
        <v>2818</v>
      </c>
      <c r="C307" s="9" t="s">
        <v>352</v>
      </c>
      <c r="D307" s="10">
        <v>-0.21068814999999999</v>
      </c>
      <c r="E307" s="10">
        <v>-0.495660288</v>
      </c>
      <c r="F307" s="10">
        <v>9.4647240000000007E-3</v>
      </c>
      <c r="G307" s="10">
        <v>-0.46656197799999999</v>
      </c>
      <c r="H307" s="9">
        <v>-0.29086142274999999</v>
      </c>
      <c r="I307" s="10">
        <v>0.23765297417873399</v>
      </c>
      <c r="J307" s="10">
        <v>5.6478936135998102E-2</v>
      </c>
      <c r="K307" s="10">
        <v>0.24210601200000001</v>
      </c>
      <c r="L307" s="10">
        <v>-0.40767013899999999</v>
      </c>
      <c r="M307" s="10">
        <v>-0.60527779299999995</v>
      </c>
      <c r="N307" s="10">
        <v>0.114636301</v>
      </c>
      <c r="O307" s="9">
        <v>-0.16405140474999999</v>
      </c>
      <c r="P307" s="10">
        <v>0.40688306996930601</v>
      </c>
      <c r="Q307" s="10">
        <v>0.165553832627647</v>
      </c>
    </row>
    <row r="308" spans="1:17" x14ac:dyDescent="0.2">
      <c r="A308" s="10">
        <v>1608</v>
      </c>
      <c r="B308" s="10" t="s">
        <v>79</v>
      </c>
      <c r="C308" s="9" t="s">
        <v>353</v>
      </c>
      <c r="D308" s="10">
        <v>-0.45458162899999999</v>
      </c>
      <c r="E308" s="10">
        <v>6.5494061000000006E-2</v>
      </c>
      <c r="F308" s="10">
        <v>0.82460637699999995</v>
      </c>
      <c r="G308" s="10">
        <v>0.37195879199999998</v>
      </c>
      <c r="H308" s="9">
        <v>0.20186940025</v>
      </c>
      <c r="I308" s="10">
        <v>0.53735709119000497</v>
      </c>
      <c r="J308" s="10">
        <v>0.28875264345218299</v>
      </c>
      <c r="K308" s="10">
        <v>0.12827428900000001</v>
      </c>
      <c r="L308" s="10">
        <v>-0.38436505999999998</v>
      </c>
      <c r="M308" s="10">
        <v>-0.56760024600000003</v>
      </c>
      <c r="N308" s="10">
        <v>0.146472449</v>
      </c>
      <c r="O308" s="9">
        <v>-0.16930464200000001</v>
      </c>
      <c r="P308" s="10">
        <v>0.36201232158200702</v>
      </c>
      <c r="Q308" s="10">
        <v>0.13105292097719401</v>
      </c>
    </row>
    <row r="309" spans="1:17" x14ac:dyDescent="0.2">
      <c r="A309" s="10">
        <v>1608</v>
      </c>
      <c r="B309" s="10" t="s">
        <v>2824</v>
      </c>
      <c r="C309" s="9" t="s">
        <v>354</v>
      </c>
      <c r="D309" s="10">
        <v>-0.183764284</v>
      </c>
      <c r="E309" s="10">
        <v>0.29967316599999999</v>
      </c>
      <c r="F309" s="10">
        <v>-5.5180881000000001E-2</v>
      </c>
      <c r="G309" s="10">
        <v>0.51381125900000002</v>
      </c>
      <c r="H309" s="9">
        <v>0.14363481524999999</v>
      </c>
      <c r="I309" s="10">
        <v>0.32046654410783598</v>
      </c>
      <c r="J309" s="10">
        <v>0.10269880589242</v>
      </c>
      <c r="K309" s="10">
        <v>0.25563628599999999</v>
      </c>
      <c r="L309" s="10">
        <v>-0.21299441099999999</v>
      </c>
      <c r="M309" s="10">
        <v>-0.46462895399999998</v>
      </c>
      <c r="N309" s="10">
        <v>-0.19869115800000001</v>
      </c>
      <c r="O309" s="9">
        <v>-0.1551695595</v>
      </c>
      <c r="P309" s="10">
        <v>0.29986908395068401</v>
      </c>
      <c r="Q309" s="10">
        <v>8.9921467509422801E-2</v>
      </c>
    </row>
    <row r="310" spans="1:17" x14ac:dyDescent="0.2">
      <c r="A310" s="10">
        <v>1608</v>
      </c>
      <c r="B310" s="10" t="s">
        <v>2833</v>
      </c>
      <c r="C310" s="9" t="s">
        <v>355</v>
      </c>
      <c r="D310" s="10">
        <v>-0.50462879500000002</v>
      </c>
      <c r="E310" s="10">
        <v>8.6552935999999997E-2</v>
      </c>
      <c r="F310" s="10">
        <v>-0.11429850900000001</v>
      </c>
      <c r="G310" s="10">
        <v>0.116452658</v>
      </c>
      <c r="H310" s="9">
        <v>-0.1039804275</v>
      </c>
      <c r="I310" s="10">
        <v>0.28607649616604802</v>
      </c>
      <c r="J310" s="10">
        <v>8.1839761658642998E-2</v>
      </c>
      <c r="K310" s="10">
        <v>-0.51515973599999998</v>
      </c>
      <c r="L310" s="10">
        <v>-0.12773194299999999</v>
      </c>
      <c r="M310" s="10">
        <v>0.35041733200000003</v>
      </c>
      <c r="N310" s="10">
        <v>-0.30143133</v>
      </c>
      <c r="O310" s="9">
        <v>-0.14847641924999999</v>
      </c>
      <c r="P310" s="10">
        <v>0.368409721115184</v>
      </c>
      <c r="Q310" s="10">
        <v>0.135725722612168</v>
      </c>
    </row>
    <row r="311" spans="1:17" x14ac:dyDescent="0.2">
      <c r="A311" s="10">
        <v>1608</v>
      </c>
      <c r="B311" s="10" t="s">
        <v>2825</v>
      </c>
      <c r="C311" s="9" t="s">
        <v>356</v>
      </c>
      <c r="D311" s="10">
        <v>-0.359597365</v>
      </c>
      <c r="E311" s="10">
        <v>0.13478638200000001</v>
      </c>
      <c r="F311" s="10">
        <v>4.196689E-3</v>
      </c>
      <c r="G311" s="10">
        <v>-0.71705502899999995</v>
      </c>
      <c r="H311" s="9">
        <v>-0.23441733075000001</v>
      </c>
      <c r="I311" s="10">
        <v>0.38377824355415002</v>
      </c>
      <c r="J311" s="10">
        <v>0.147285740225509</v>
      </c>
      <c r="K311" s="10">
        <v>-0.22059293199999999</v>
      </c>
      <c r="L311" s="10">
        <v>-0.273040538</v>
      </c>
      <c r="M311" s="10">
        <v>-0.473326729</v>
      </c>
      <c r="N311" s="10">
        <v>0.57261090800000003</v>
      </c>
      <c r="O311" s="9">
        <v>-9.8587322500000005E-2</v>
      </c>
      <c r="P311" s="10">
        <v>0.46052722704818</v>
      </c>
      <c r="Q311" s="10">
        <v>0.212085326852686</v>
      </c>
    </row>
    <row r="312" spans="1:17" x14ac:dyDescent="0.2">
      <c r="A312" s="10">
        <v>1608</v>
      </c>
      <c r="B312" s="10" t="s">
        <v>74</v>
      </c>
      <c r="C312" s="9" t="s">
        <v>357</v>
      </c>
      <c r="D312" s="10">
        <v>-0.27593194500000001</v>
      </c>
      <c r="E312" s="10">
        <v>0.24139337299999999</v>
      </c>
      <c r="F312" s="10">
        <v>-0.34794973800000001</v>
      </c>
      <c r="G312" s="10">
        <v>-0.33717834099999999</v>
      </c>
      <c r="H312" s="9">
        <v>-0.179916663</v>
      </c>
      <c r="I312" s="10">
        <v>0.28265846910667702</v>
      </c>
      <c r="J312" s="10">
        <v>7.9895810157730701E-2</v>
      </c>
      <c r="K312" s="10">
        <v>0.15259430800000001</v>
      </c>
      <c r="L312" s="10">
        <v>0.25956162900000002</v>
      </c>
      <c r="M312" s="10">
        <v>1.1223072190000001</v>
      </c>
      <c r="N312" s="10">
        <v>-0.45685589999999998</v>
      </c>
      <c r="O312" s="9">
        <v>0.26940181375</v>
      </c>
      <c r="P312" s="10">
        <v>0.65029191386676299</v>
      </c>
      <c r="Q312" s="10">
        <v>0.42287957324049802</v>
      </c>
    </row>
    <row r="313" spans="1:17" x14ac:dyDescent="0.2">
      <c r="A313" s="10">
        <v>1608</v>
      </c>
      <c r="B313" s="10" t="s">
        <v>2830</v>
      </c>
      <c r="C313" s="9" t="s">
        <v>358</v>
      </c>
      <c r="D313" s="10">
        <v>-0.13922710799999999</v>
      </c>
      <c r="E313" s="10">
        <v>0.26249855599999999</v>
      </c>
      <c r="F313" s="10">
        <v>6.3782905000000001E-2</v>
      </c>
      <c r="G313" s="10">
        <v>0.13708166699999999</v>
      </c>
      <c r="H313" s="9">
        <v>8.1034005000000006E-2</v>
      </c>
      <c r="I313" s="10">
        <v>0.16820947460087399</v>
      </c>
      <c r="J313" s="10">
        <v>2.82944273455022E-2</v>
      </c>
      <c r="K313" s="10">
        <v>-6.7545640000000002E-3</v>
      </c>
      <c r="L313" s="10">
        <v>3.3601053999999998E-2</v>
      </c>
      <c r="M313" s="10">
        <v>-0.33596810900000001</v>
      </c>
      <c r="N313" s="10">
        <v>4.6427745999999999E-2</v>
      </c>
      <c r="O313" s="9">
        <v>-6.5673467999999999E-2</v>
      </c>
      <c r="P313" s="10">
        <v>0.18161565929225501</v>
      </c>
      <c r="Q313" s="10">
        <v>3.2984247700160702E-2</v>
      </c>
    </row>
    <row r="314" spans="1:17" x14ac:dyDescent="0.2">
      <c r="A314" s="10">
        <v>1608</v>
      </c>
      <c r="B314" s="10" t="s">
        <v>2832</v>
      </c>
      <c r="C314" s="9" t="s">
        <v>359</v>
      </c>
      <c r="D314" s="10">
        <v>-4.6641282999999999E-2</v>
      </c>
      <c r="E314" s="10">
        <v>-0.50722814400000005</v>
      </c>
      <c r="F314" s="10">
        <v>-0.29404871999999999</v>
      </c>
      <c r="G314" s="10">
        <v>-0.64792119999999997</v>
      </c>
      <c r="H314" s="9">
        <v>-0.37395983675</v>
      </c>
      <c r="I314" s="10">
        <v>0.26225845552323801</v>
      </c>
      <c r="J314" s="10">
        <v>6.8779497493434205E-2</v>
      </c>
      <c r="K314" s="10">
        <v>-0.61706632699999997</v>
      </c>
      <c r="L314" s="10">
        <v>-3.1427215000000001E-2</v>
      </c>
      <c r="M314" s="10">
        <v>-0.19616857800000001</v>
      </c>
      <c r="N314" s="10">
        <v>0.46306964900000003</v>
      </c>
      <c r="O314" s="9">
        <v>-9.5398117749999997E-2</v>
      </c>
      <c r="P314" s="10">
        <v>0.44656874390493001</v>
      </c>
      <c r="Q314" s="10">
        <v>0.199423643032826</v>
      </c>
    </row>
    <row r="315" spans="1:17" x14ac:dyDescent="0.2">
      <c r="A315" s="10">
        <v>1609</v>
      </c>
      <c r="B315" s="10" t="s">
        <v>2822</v>
      </c>
      <c r="C315" s="9" t="s">
        <v>360</v>
      </c>
      <c r="D315" s="10">
        <v>-0.79182472699999995</v>
      </c>
      <c r="E315" s="10">
        <v>0.24520198300000001</v>
      </c>
      <c r="F315" s="10">
        <v>-7.6672069999999995E-2</v>
      </c>
      <c r="G315" s="10">
        <v>0.21757879099999999</v>
      </c>
      <c r="H315" s="9">
        <v>-0.10142900575</v>
      </c>
      <c r="I315" s="10">
        <v>0.48276225154042002</v>
      </c>
      <c r="J315" s="10">
        <v>0.23305939151237601</v>
      </c>
      <c r="K315" s="10">
        <v>-2.2740300000000001E-2</v>
      </c>
      <c r="L315" s="10">
        <v>-0.39099381300000002</v>
      </c>
      <c r="M315" s="10">
        <v>0.217254474</v>
      </c>
      <c r="N315" s="10">
        <v>-0.45079144700000001</v>
      </c>
      <c r="O315" s="9">
        <v>-0.16181777124999999</v>
      </c>
      <c r="P315" s="10">
        <v>0.31573499094273899</v>
      </c>
      <c r="Q315" s="10">
        <v>9.9688584505611494E-2</v>
      </c>
    </row>
    <row r="316" spans="1:17" x14ac:dyDescent="0.2">
      <c r="A316" s="10">
        <v>1609</v>
      </c>
      <c r="B316" s="10" t="s">
        <v>2826</v>
      </c>
      <c r="C316" s="9" t="s">
        <v>361</v>
      </c>
      <c r="D316" s="10">
        <v>0.84612480599999995</v>
      </c>
      <c r="E316" s="10">
        <v>0.92678285100000002</v>
      </c>
      <c r="F316" s="10">
        <v>0.19103874500000001</v>
      </c>
      <c r="G316" s="10">
        <v>0.343306685</v>
      </c>
      <c r="H316" s="9">
        <v>0.57681327199999999</v>
      </c>
      <c r="I316" s="10">
        <v>0.36439663391480998</v>
      </c>
      <c r="J316" s="10">
        <v>0.13278490680844399</v>
      </c>
      <c r="K316" s="10">
        <v>0.16704366200000001</v>
      </c>
      <c r="L316" s="10">
        <v>0.36396266599999999</v>
      </c>
      <c r="M316" s="10">
        <v>-1.511733488</v>
      </c>
      <c r="N316" s="10">
        <v>-0.48542143799999998</v>
      </c>
      <c r="O316" s="9">
        <v>-0.36653714975000001</v>
      </c>
      <c r="P316" s="10">
        <v>0.84536906942322898</v>
      </c>
      <c r="Q316" s="10">
        <v>0.71464886353749602</v>
      </c>
    </row>
    <row r="317" spans="1:17" x14ac:dyDescent="0.2">
      <c r="A317" s="10">
        <v>1609</v>
      </c>
      <c r="B317" s="10" t="s">
        <v>2821</v>
      </c>
      <c r="C317" s="9" t="s">
        <v>362</v>
      </c>
      <c r="D317" s="10">
        <v>-5.1996204999999997E-2</v>
      </c>
      <c r="E317" s="10">
        <v>2.1821935000000001E-2</v>
      </c>
      <c r="F317" s="10">
        <v>-9.4865619999999998E-2</v>
      </c>
      <c r="G317" s="10">
        <v>-7.185253E-3</v>
      </c>
      <c r="H317" s="9">
        <v>-3.3056285999999997E-2</v>
      </c>
      <c r="I317" s="10">
        <v>5.1186078152371403E-2</v>
      </c>
      <c r="J317" s="10">
        <v>2.6200145966206001E-3</v>
      </c>
      <c r="K317" s="10">
        <v>-0.283580577</v>
      </c>
      <c r="L317" s="10">
        <v>-5.2994550000000001E-2</v>
      </c>
      <c r="M317" s="10">
        <v>-0.18520874000000001</v>
      </c>
      <c r="N317" s="10">
        <v>-0.31130888400000001</v>
      </c>
      <c r="O317" s="9">
        <v>-0.20827318775000001</v>
      </c>
      <c r="P317" s="10">
        <v>0.116806080990219</v>
      </c>
      <c r="Q317" s="10">
        <v>1.3643660556293799E-2</v>
      </c>
    </row>
    <row r="318" spans="1:17" x14ac:dyDescent="0.2">
      <c r="A318" s="10">
        <v>1609</v>
      </c>
      <c r="B318" s="10" t="s">
        <v>79</v>
      </c>
      <c r="C318" s="9" t="s">
        <v>2551</v>
      </c>
      <c r="D318" s="10">
        <v>-0.817529587</v>
      </c>
      <c r="E318" s="10">
        <v>-0.50276876800000003</v>
      </c>
      <c r="F318" s="10">
        <v>8.3086582000000006E-2</v>
      </c>
      <c r="G318" s="10">
        <v>0.29217495599999999</v>
      </c>
      <c r="H318" s="9">
        <v>-0.23625920424999999</v>
      </c>
      <c r="I318" s="10">
        <v>0.51320138943281002</v>
      </c>
      <c r="J318" s="10">
        <v>0.26337566611576602</v>
      </c>
      <c r="K318" s="10">
        <v>0.37887147399999999</v>
      </c>
      <c r="L318" s="10">
        <v>-0.70290781400000002</v>
      </c>
      <c r="M318" s="10">
        <v>0.26671865500000003</v>
      </c>
      <c r="N318" s="10">
        <v>-5.3059238400000002</v>
      </c>
      <c r="O318" s="9">
        <v>-1.3408103815000001</v>
      </c>
      <c r="P318" s="10">
        <v>2.6876569542836202</v>
      </c>
      <c r="Q318" s="10">
        <v>7.2234999039091496</v>
      </c>
    </row>
    <row r="319" spans="1:17" x14ac:dyDescent="0.2">
      <c r="A319" s="10">
        <v>1609</v>
      </c>
      <c r="B319" s="10" t="s">
        <v>2820</v>
      </c>
      <c r="C319" s="9" t="s">
        <v>363</v>
      </c>
      <c r="D319" s="10">
        <v>-0.120572605</v>
      </c>
      <c r="E319" s="10">
        <v>-0.15337848800000001</v>
      </c>
      <c r="F319" s="10">
        <v>-5.7814279999999999E-3</v>
      </c>
      <c r="G319" s="10">
        <v>0.15268959700000001</v>
      </c>
      <c r="H319" s="9">
        <v>-3.1760730750000001E-2</v>
      </c>
      <c r="I319" s="10">
        <v>0.138293498840661</v>
      </c>
      <c r="J319" s="10">
        <v>1.91250918215921E-2</v>
      </c>
      <c r="K319" s="10">
        <v>-8.5252539999999995E-3</v>
      </c>
      <c r="L319" s="10">
        <v>-0.116097913</v>
      </c>
      <c r="M319" s="10">
        <v>-0.27384457400000001</v>
      </c>
      <c r="N319" s="10">
        <v>-0.11124687900000001</v>
      </c>
      <c r="O319" s="9">
        <v>-0.127428655</v>
      </c>
      <c r="P319" s="10">
        <v>0.109492580714807</v>
      </c>
      <c r="Q319" s="10">
        <v>1.1988625231588701E-2</v>
      </c>
    </row>
    <row r="320" spans="1:17" x14ac:dyDescent="0.2">
      <c r="A320" s="10">
        <v>1609</v>
      </c>
      <c r="B320" s="10" t="s">
        <v>2824</v>
      </c>
      <c r="C320" s="9" t="s">
        <v>364</v>
      </c>
      <c r="D320" s="10">
        <v>-0.44144036599999997</v>
      </c>
      <c r="E320" s="10">
        <v>3.806764E-2</v>
      </c>
      <c r="F320" s="10">
        <v>-0.36582577799999999</v>
      </c>
      <c r="G320" s="10">
        <v>0.115276147</v>
      </c>
      <c r="H320" s="9">
        <v>-0.16348058925</v>
      </c>
      <c r="I320" s="10">
        <v>0.28079186812758899</v>
      </c>
      <c r="J320" s="10">
        <v>7.8844073206581794E-2</v>
      </c>
      <c r="K320" s="10">
        <v>0.16270066799999999</v>
      </c>
      <c r="L320" s="10">
        <v>-0.122220458</v>
      </c>
      <c r="M320" s="10">
        <v>-0.21450713599999999</v>
      </c>
      <c r="N320" s="10">
        <v>-3.4135639000000002E-2</v>
      </c>
      <c r="O320" s="9">
        <v>-5.2040641499999998E-2</v>
      </c>
      <c r="P320" s="10">
        <v>0.16099170537576499</v>
      </c>
      <c r="Q320" s="10">
        <v>2.5918329199797301E-2</v>
      </c>
    </row>
    <row r="321" spans="1:17" x14ac:dyDescent="0.2">
      <c r="A321" s="10">
        <v>1609</v>
      </c>
      <c r="B321" s="10" t="s">
        <v>2814</v>
      </c>
      <c r="C321" s="9" t="s">
        <v>365</v>
      </c>
      <c r="D321" s="10">
        <v>9.5810440000000004E-3</v>
      </c>
      <c r="E321" s="10">
        <v>-0.103863836</v>
      </c>
      <c r="F321" s="10">
        <v>-0.11605449700000001</v>
      </c>
      <c r="G321" s="10">
        <v>-6.6917978000000003E-2</v>
      </c>
      <c r="H321" s="9">
        <v>-6.9313816750000007E-2</v>
      </c>
      <c r="I321" s="10">
        <v>5.6593680791192001E-2</v>
      </c>
      <c r="J321" s="10">
        <v>3.2028447054953E-3</v>
      </c>
      <c r="K321" s="10">
        <v>0.21114470499999999</v>
      </c>
      <c r="L321" s="10">
        <v>-0.23046334099999999</v>
      </c>
      <c r="M321" s="10">
        <v>-2.1970050000000001E-2</v>
      </c>
      <c r="N321" s="10">
        <v>6.4365815000000007E-2</v>
      </c>
      <c r="O321" s="9">
        <v>5.7692822499999996E-3</v>
      </c>
      <c r="P321" s="10">
        <v>0.184560686280796</v>
      </c>
      <c r="Q321" s="10">
        <v>3.4062646920438401E-2</v>
      </c>
    </row>
    <row r="322" spans="1:17" x14ac:dyDescent="0.2">
      <c r="A322" s="10">
        <v>1609</v>
      </c>
      <c r="B322" s="10" t="s">
        <v>2833</v>
      </c>
      <c r="C322" s="9" t="s">
        <v>366</v>
      </c>
      <c r="D322" s="10">
        <v>-0.18799650800000001</v>
      </c>
      <c r="E322" s="10">
        <v>2.0010488999999999E-2</v>
      </c>
      <c r="F322" s="10">
        <v>-0.87875919800000002</v>
      </c>
      <c r="G322" s="10">
        <v>-5.4483583000000002E-2</v>
      </c>
      <c r="H322" s="9">
        <v>-0.27530719999999997</v>
      </c>
      <c r="I322" s="10">
        <v>0.41140129561008598</v>
      </c>
      <c r="J322" s="10">
        <v>0.169251026029658</v>
      </c>
      <c r="K322" s="10">
        <v>0.542035304</v>
      </c>
      <c r="L322" s="10">
        <v>-0.63086352599999995</v>
      </c>
      <c r="M322" s="10">
        <v>-2.600952801</v>
      </c>
      <c r="N322" s="10">
        <v>-0.38323375999999998</v>
      </c>
      <c r="O322" s="9">
        <v>-0.7682536955</v>
      </c>
      <c r="P322" s="10">
        <v>1.3219631466016499</v>
      </c>
      <c r="Q322" s="10">
        <v>1.74758656097295</v>
      </c>
    </row>
    <row r="323" spans="1:17" x14ac:dyDescent="0.2">
      <c r="A323" s="10">
        <v>1609</v>
      </c>
      <c r="B323" s="10" t="s">
        <v>74</v>
      </c>
      <c r="C323" s="9" t="s">
        <v>367</v>
      </c>
      <c r="D323" s="10">
        <v>-0.17436647799999999</v>
      </c>
      <c r="E323" s="10">
        <v>-0.114919063</v>
      </c>
      <c r="F323" s="10">
        <v>-0.97877539599999996</v>
      </c>
      <c r="G323" s="10">
        <v>-0.55189715900000003</v>
      </c>
      <c r="H323" s="9">
        <v>-0.45498952399999998</v>
      </c>
      <c r="I323" s="10">
        <v>0.39922422347145697</v>
      </c>
      <c r="J323" s="10">
        <v>0.159379980606388</v>
      </c>
      <c r="K323" s="10">
        <v>-0.41804858700000003</v>
      </c>
      <c r="L323" s="10">
        <v>0.26933765599999998</v>
      </c>
      <c r="M323" s="10">
        <v>-0.41435799800000001</v>
      </c>
      <c r="N323" s="10">
        <v>-0.174761797</v>
      </c>
      <c r="O323" s="9">
        <v>-0.1844576815</v>
      </c>
      <c r="P323" s="10">
        <v>0.32323525239474599</v>
      </c>
      <c r="Q323" s="10">
        <v>0.10448102839069499</v>
      </c>
    </row>
    <row r="324" spans="1:17" x14ac:dyDescent="0.2">
      <c r="A324" s="10">
        <v>1609</v>
      </c>
      <c r="B324" s="10" t="s">
        <v>2818</v>
      </c>
      <c r="C324" s="9" t="s">
        <v>368</v>
      </c>
      <c r="D324" s="10">
        <v>-0.40677390699999999</v>
      </c>
      <c r="E324" s="10">
        <v>0.11721081</v>
      </c>
      <c r="F324" s="10">
        <v>-0.29309551700000003</v>
      </c>
      <c r="G324" s="10">
        <v>0.267298019</v>
      </c>
      <c r="H324" s="9">
        <v>-7.8840148750000005E-2</v>
      </c>
      <c r="I324" s="10">
        <v>0.32233187980921801</v>
      </c>
      <c r="J324" s="10">
        <v>0.10389784074134401</v>
      </c>
      <c r="K324" s="10">
        <v>0.32210457399999998</v>
      </c>
      <c r="L324" s="10">
        <v>-0.17737149699999999</v>
      </c>
      <c r="M324" s="10">
        <v>-2.4229021999999999E-2</v>
      </c>
      <c r="N324" s="10">
        <v>-0.41759245699999997</v>
      </c>
      <c r="O324" s="9">
        <v>-7.4272100499999993E-2</v>
      </c>
      <c r="P324" s="10">
        <v>0.30990166749007497</v>
      </c>
      <c r="Q324" s="10">
        <v>9.6039043513129099E-2</v>
      </c>
    </row>
    <row r="325" spans="1:17" x14ac:dyDescent="0.2">
      <c r="A325" s="10">
        <v>1609</v>
      </c>
      <c r="B325" s="10" t="s">
        <v>2830</v>
      </c>
      <c r="C325" s="9" t="s">
        <v>369</v>
      </c>
      <c r="D325" s="10">
        <v>0.439353989</v>
      </c>
      <c r="E325" s="10">
        <v>0.83299416400000004</v>
      </c>
      <c r="F325" s="10">
        <v>-0.71280548799999999</v>
      </c>
      <c r="G325" s="10">
        <v>-0.46789707400000002</v>
      </c>
      <c r="H325" s="9">
        <v>2.2911397999999999E-2</v>
      </c>
      <c r="I325" s="10">
        <v>0.73299177164583795</v>
      </c>
      <c r="J325" s="10">
        <v>0.53727693730050496</v>
      </c>
      <c r="K325" s="10">
        <v>0.821518941</v>
      </c>
      <c r="L325" s="10">
        <v>-0.42201641400000001</v>
      </c>
      <c r="M325" s="10">
        <v>-0.25664914300000002</v>
      </c>
      <c r="N325" s="10">
        <v>0.87421349999999998</v>
      </c>
      <c r="O325" s="9">
        <v>0.25426672075000001</v>
      </c>
      <c r="P325" s="10">
        <v>0.68908223714824601</v>
      </c>
      <c r="Q325" s="10">
        <v>0.47483432955323202</v>
      </c>
    </row>
    <row r="326" spans="1:17" x14ac:dyDescent="0.2">
      <c r="A326" s="10">
        <v>1609</v>
      </c>
      <c r="B326" s="10" t="s">
        <v>2832</v>
      </c>
      <c r="C326" s="9" t="s">
        <v>370</v>
      </c>
      <c r="D326" s="10">
        <v>-0.159586799</v>
      </c>
      <c r="E326" s="10">
        <v>0.14406375099999999</v>
      </c>
      <c r="F326" s="10">
        <v>-0.160239462</v>
      </c>
      <c r="G326" s="10">
        <v>0.132836809</v>
      </c>
      <c r="H326" s="9">
        <v>-1.0731425249999999E-2</v>
      </c>
      <c r="I326" s="10">
        <v>0.17232136627342801</v>
      </c>
      <c r="J326" s="10">
        <v>2.9694653274340899E-2</v>
      </c>
      <c r="K326" s="10">
        <v>-0.13202407999999999</v>
      </c>
      <c r="L326" s="10">
        <v>0.17395253299999999</v>
      </c>
      <c r="M326" s="10">
        <v>-0.48984715499999998</v>
      </c>
      <c r="N326" s="10">
        <v>3.7422364999999999E-2</v>
      </c>
      <c r="O326" s="9">
        <v>-0.10262408425</v>
      </c>
      <c r="P326" s="10">
        <v>0.28688772451265399</v>
      </c>
      <c r="Q326" s="10">
        <v>8.2304566476048405E-2</v>
      </c>
    </row>
    <row r="327" spans="1:17" x14ac:dyDescent="0.2">
      <c r="A327" s="10">
        <v>1610</v>
      </c>
      <c r="B327" s="10" t="s">
        <v>2822</v>
      </c>
      <c r="C327" s="9" t="s">
        <v>371</v>
      </c>
      <c r="D327" s="10">
        <v>-0.33409733699999999</v>
      </c>
      <c r="E327" s="10">
        <v>-0.40041538199999999</v>
      </c>
      <c r="F327" s="10">
        <v>-0.209840316</v>
      </c>
      <c r="G327" s="10">
        <v>-0.47998626700000002</v>
      </c>
      <c r="H327" s="9">
        <v>-0.35608482549999998</v>
      </c>
      <c r="I327" s="10">
        <v>0.11429154482406</v>
      </c>
      <c r="J327" s="10">
        <v>1.3062557218270199E-2</v>
      </c>
      <c r="K327" s="10">
        <v>-3.3958959999999998E-3</v>
      </c>
      <c r="L327" s="10">
        <v>-8.7690694999999999E-2</v>
      </c>
      <c r="M327" s="10">
        <v>-9.4089496999999994E-2</v>
      </c>
      <c r="N327" s="10">
        <v>-0.237847578</v>
      </c>
      <c r="O327" s="9">
        <v>-0.10575591650000001</v>
      </c>
      <c r="P327" s="10">
        <v>9.7276647431239496E-2</v>
      </c>
      <c r="Q327" s="10">
        <v>9.4627461354615996E-3</v>
      </c>
    </row>
    <row r="328" spans="1:17" x14ac:dyDescent="0.2">
      <c r="A328" s="10">
        <v>1610</v>
      </c>
      <c r="B328" s="10" t="s">
        <v>2819</v>
      </c>
      <c r="C328" s="9" t="s">
        <v>372</v>
      </c>
      <c r="D328" s="10">
        <v>0.48933941399999997</v>
      </c>
      <c r="E328" s="10">
        <v>7.7747651000000001E-2</v>
      </c>
      <c r="F328" s="10">
        <v>0.78088307599999995</v>
      </c>
      <c r="G328" s="10">
        <v>-0.25170355799999999</v>
      </c>
      <c r="H328" s="9">
        <v>0.27406664575</v>
      </c>
      <c r="I328" s="10">
        <v>0.45393858379459801</v>
      </c>
      <c r="J328" s="10">
        <v>0.20606023785744601</v>
      </c>
      <c r="K328" s="10">
        <v>0.36737860999999999</v>
      </c>
      <c r="L328" s="10">
        <v>7.8874125000000003E-2</v>
      </c>
      <c r="M328" s="10">
        <v>0.78853284199999996</v>
      </c>
      <c r="N328" s="10">
        <v>-2.8257801999999999E-2</v>
      </c>
      <c r="O328" s="9">
        <v>0.30163194375000002</v>
      </c>
      <c r="P328" s="10">
        <v>0.36507688642481101</v>
      </c>
      <c r="Q328" s="10">
        <v>0.13328113300163399</v>
      </c>
    </row>
    <row r="329" spans="1:17" x14ac:dyDescent="0.2">
      <c r="A329" s="10">
        <v>1610</v>
      </c>
      <c r="B329" s="10" t="s">
        <v>2821</v>
      </c>
      <c r="C329" s="9" t="s">
        <v>373</v>
      </c>
      <c r="D329" s="10">
        <v>-0.381886222</v>
      </c>
      <c r="E329" s="10">
        <v>0.28959062499999999</v>
      </c>
      <c r="F329" s="10">
        <v>0.214329781</v>
      </c>
      <c r="G329" s="10">
        <v>-0.97468059500000004</v>
      </c>
      <c r="H329" s="9">
        <v>-0.21316160275000001</v>
      </c>
      <c r="I329" s="10">
        <v>0.58988356432621203</v>
      </c>
      <c r="J329" s="10">
        <v>0.34796261946219698</v>
      </c>
      <c r="K329" s="10">
        <v>1.111129306</v>
      </c>
      <c r="L329" s="10">
        <v>-1.22712062</v>
      </c>
      <c r="M329" s="10">
        <v>-0.62095455799999999</v>
      </c>
      <c r="N329" s="10">
        <v>0.36907103499999999</v>
      </c>
      <c r="O329" s="9">
        <v>-9.1968709250000003E-2</v>
      </c>
      <c r="P329" s="10">
        <v>1.0373682034735301</v>
      </c>
      <c r="Q329" s="10">
        <v>1.0761327895779</v>
      </c>
    </row>
    <row r="330" spans="1:17" x14ac:dyDescent="0.2">
      <c r="A330" s="10">
        <v>1610</v>
      </c>
      <c r="B330" s="10" t="s">
        <v>79</v>
      </c>
      <c r="C330" s="9" t="s">
        <v>374</v>
      </c>
      <c r="D330" s="10">
        <v>0.55771516099999996</v>
      </c>
      <c r="E330" s="10">
        <v>-0.58313464400000004</v>
      </c>
      <c r="F330" s="10">
        <v>0.194944962</v>
      </c>
      <c r="G330" s="10">
        <v>4.2677104E-2</v>
      </c>
      <c r="H330" s="9">
        <v>5.3050646E-2</v>
      </c>
      <c r="I330" s="10">
        <v>0.47597605093789502</v>
      </c>
      <c r="J330" s="10">
        <v>0.22655320106643401</v>
      </c>
      <c r="K330" s="10">
        <v>0.69121387899999998</v>
      </c>
      <c r="L330" s="10">
        <v>-0.53113233500000001</v>
      </c>
      <c r="M330" s="10">
        <v>-0.236286197</v>
      </c>
      <c r="N330" s="10">
        <v>0.32150290500000001</v>
      </c>
      <c r="O330" s="9">
        <v>6.1324562999999999E-2</v>
      </c>
      <c r="P330" s="10">
        <v>0.548947678293774</v>
      </c>
      <c r="Q330" s="10">
        <v>0.30134355350412501</v>
      </c>
    </row>
    <row r="331" spans="1:17" x14ac:dyDescent="0.2">
      <c r="A331" s="10">
        <v>1610</v>
      </c>
      <c r="B331" s="10" t="s">
        <v>2824</v>
      </c>
      <c r="C331" s="9" t="s">
        <v>375</v>
      </c>
      <c r="D331" s="10">
        <v>-0.27517794699999998</v>
      </c>
      <c r="E331" s="10">
        <v>-0.38366949299999997</v>
      </c>
      <c r="F331" s="10">
        <v>-0.53526798799999997</v>
      </c>
      <c r="G331" s="10">
        <v>-0.23636180000000001</v>
      </c>
      <c r="H331" s="9">
        <v>-0.357619307</v>
      </c>
      <c r="I331" s="10">
        <v>0.133837746163254</v>
      </c>
      <c r="J331" s="10">
        <v>1.7912542298059601E-2</v>
      </c>
      <c r="K331" s="10">
        <v>7.5116343000000002E-2</v>
      </c>
      <c r="L331" s="10">
        <v>-0.40322481999999998</v>
      </c>
      <c r="M331" s="10">
        <v>0.231157695</v>
      </c>
      <c r="N331" s="10">
        <v>-0.13411284400000001</v>
      </c>
      <c r="O331" s="9">
        <v>-5.7765906499999999E-2</v>
      </c>
      <c r="P331" s="10">
        <v>0.27465448325616898</v>
      </c>
      <c r="Q331" s="10">
        <v>7.5435085172713398E-2</v>
      </c>
    </row>
    <row r="332" spans="1:17" x14ac:dyDescent="0.2">
      <c r="A332" s="10">
        <v>1610</v>
      </c>
      <c r="B332" s="10" t="s">
        <v>82</v>
      </c>
      <c r="C332" s="9" t="s">
        <v>376</v>
      </c>
      <c r="D332" s="10">
        <v>-0.62664359999999997</v>
      </c>
      <c r="E332" s="10">
        <v>0.134491417</v>
      </c>
      <c r="F332" s="10">
        <v>-6.2529439000000006E-2</v>
      </c>
      <c r="G332" s="10">
        <v>-0.29337190600000002</v>
      </c>
      <c r="H332" s="9">
        <v>-0.21201338175000001</v>
      </c>
      <c r="I332" s="10">
        <v>0.327082279175053</v>
      </c>
      <c r="J332" s="10">
        <v>0.106982817350347</v>
      </c>
      <c r="K332" s="10">
        <v>-0.53335280600000001</v>
      </c>
      <c r="L332" s="10">
        <v>0.18091120899999999</v>
      </c>
      <c r="M332" s="10">
        <v>-0.176692406</v>
      </c>
      <c r="N332" s="10">
        <v>-0.163552063</v>
      </c>
      <c r="O332" s="9">
        <v>-0.17317151675</v>
      </c>
      <c r="P332" s="10">
        <v>0.29166765810416301</v>
      </c>
      <c r="Q332" s="10">
        <v>8.5070022783966998E-2</v>
      </c>
    </row>
    <row r="333" spans="1:17" x14ac:dyDescent="0.2">
      <c r="A333" s="10">
        <v>1610</v>
      </c>
      <c r="B333" s="10" t="s">
        <v>2825</v>
      </c>
      <c r="C333" s="9" t="s">
        <v>377</v>
      </c>
      <c r="D333" s="10">
        <v>-0.26954634500000002</v>
      </c>
      <c r="E333" s="10">
        <v>-0.161156313</v>
      </c>
      <c r="F333" s="10">
        <v>-7.6968185999999994E-2</v>
      </c>
      <c r="G333" s="10">
        <v>3.2409682000000002E-2</v>
      </c>
      <c r="H333" s="9">
        <v>-0.11881529025</v>
      </c>
      <c r="I333" s="10">
        <v>0.12797497859567</v>
      </c>
      <c r="J333" s="10">
        <v>1.6377595146562299E-2</v>
      </c>
      <c r="K333" s="10">
        <v>0.40530032100000002</v>
      </c>
      <c r="L333" s="10">
        <v>-0.35209220400000002</v>
      </c>
      <c r="M333" s="10">
        <v>0.123531688</v>
      </c>
      <c r="N333" s="10">
        <v>-0.19852139599999999</v>
      </c>
      <c r="O333" s="9">
        <v>-5.4453977499999999E-3</v>
      </c>
      <c r="P333" s="10">
        <v>0.33802834373445401</v>
      </c>
      <c r="Q333" s="10">
        <v>0.11426316116785799</v>
      </c>
    </row>
    <row r="334" spans="1:17" x14ac:dyDescent="0.2">
      <c r="A334" s="10">
        <v>1610</v>
      </c>
      <c r="B334" s="10" t="s">
        <v>2818</v>
      </c>
      <c r="C334" s="9" t="s">
        <v>378</v>
      </c>
      <c r="D334" s="10">
        <v>-0.13288070799999999</v>
      </c>
      <c r="E334" s="10">
        <v>-8.6863571000000001E-2</v>
      </c>
      <c r="F334" s="10">
        <v>8.5979460000000004E-3</v>
      </c>
      <c r="G334" s="10">
        <v>0.29376313399999998</v>
      </c>
      <c r="H334" s="9">
        <v>2.0654200500000001E-2</v>
      </c>
      <c r="I334" s="10">
        <v>0.19136952225690201</v>
      </c>
      <c r="J334" s="10">
        <v>3.6622294048835199E-2</v>
      </c>
      <c r="K334" s="10">
        <v>0.55133534699999998</v>
      </c>
      <c r="L334" s="10">
        <v>-0.13966820499999999</v>
      </c>
      <c r="M334" s="10">
        <v>-0.77557175300000003</v>
      </c>
      <c r="N334" s="10">
        <v>0.39860026999999998</v>
      </c>
      <c r="O334" s="9">
        <v>8.6739147499999992E-3</v>
      </c>
      <c r="P334" s="10">
        <v>0.60099102723383402</v>
      </c>
      <c r="Q334" s="10">
        <v>0.361190214815579</v>
      </c>
    </row>
    <row r="335" spans="1:17" x14ac:dyDescent="0.2">
      <c r="A335" s="10">
        <v>1610</v>
      </c>
      <c r="B335" s="10" t="s">
        <v>2832</v>
      </c>
      <c r="C335" s="9" t="s">
        <v>379</v>
      </c>
      <c r="D335" s="10">
        <v>-0.376442463</v>
      </c>
      <c r="E335" s="10">
        <v>-0.41595202100000001</v>
      </c>
      <c r="F335" s="10">
        <v>-0.21023692899999999</v>
      </c>
      <c r="G335" s="10">
        <v>-0.30751569000000001</v>
      </c>
      <c r="H335" s="9">
        <v>-0.32753677549999999</v>
      </c>
      <c r="I335" s="10">
        <v>9.0127908663548403E-2</v>
      </c>
      <c r="J335" s="10">
        <v>8.1230399200648996E-3</v>
      </c>
      <c r="K335" s="10">
        <v>0.309999095</v>
      </c>
      <c r="L335" s="10">
        <v>0.525656927</v>
      </c>
      <c r="M335" s="10">
        <v>7.5291960000000005E-2</v>
      </c>
      <c r="N335" s="10">
        <v>5.4735012999999999E-2</v>
      </c>
      <c r="O335" s="9">
        <v>0.24142074875</v>
      </c>
      <c r="P335" s="10">
        <v>0.22206870782456101</v>
      </c>
      <c r="Q335" s="10">
        <v>4.9314510994870497E-2</v>
      </c>
    </row>
    <row r="336" spans="1:17" x14ac:dyDescent="0.2">
      <c r="A336" s="10">
        <v>1611</v>
      </c>
      <c r="B336" s="10" t="s">
        <v>2821</v>
      </c>
      <c r="C336" s="9" t="s">
        <v>380</v>
      </c>
      <c r="D336" s="10">
        <v>-0.60184649499999998</v>
      </c>
      <c r="E336" s="10">
        <v>-0.26663734500000003</v>
      </c>
      <c r="F336" s="10">
        <v>-0.232373629</v>
      </c>
      <c r="G336" s="10">
        <v>-7.7276838E-2</v>
      </c>
      <c r="H336" s="9">
        <v>-0.29453357675000003</v>
      </c>
      <c r="I336" s="10">
        <v>0.22081951838982899</v>
      </c>
      <c r="J336" s="10">
        <v>4.8761259701916401E-2</v>
      </c>
      <c r="K336" s="10">
        <v>1.7609517000000002E-2</v>
      </c>
      <c r="L336" s="10">
        <v>-0.14023840700000001</v>
      </c>
      <c r="M336" s="10">
        <v>-0.86742224099999998</v>
      </c>
      <c r="N336" s="10">
        <v>-0.29033971800000002</v>
      </c>
      <c r="O336" s="9">
        <v>-0.32009771274999999</v>
      </c>
      <c r="P336" s="10">
        <v>0.38593834583860498</v>
      </c>
      <c r="Q336" s="10">
        <v>0.14894840678863899</v>
      </c>
    </row>
    <row r="337" spans="1:17" x14ac:dyDescent="0.2">
      <c r="A337" s="10">
        <v>1611</v>
      </c>
      <c r="B337" s="10" t="s">
        <v>2834</v>
      </c>
      <c r="C337" s="9" t="s">
        <v>381</v>
      </c>
      <c r="D337" s="10">
        <v>-0.50469711799999994</v>
      </c>
      <c r="E337" s="10">
        <v>-0.33593859300000001</v>
      </c>
      <c r="F337" s="10">
        <v>-0.45943633499999997</v>
      </c>
      <c r="G337" s="10">
        <v>-0.48143417399999999</v>
      </c>
      <c r="H337" s="9">
        <v>-0.44537655524999997</v>
      </c>
      <c r="I337" s="10">
        <v>7.5262708833675696E-2</v>
      </c>
      <c r="J337" s="10">
        <v>5.6644753409826002E-3</v>
      </c>
      <c r="K337" s="10">
        <v>-0.42223103899999997</v>
      </c>
      <c r="L337" s="10">
        <v>-0.39519832300000002</v>
      </c>
      <c r="M337" s="10">
        <v>-0.51342343499999998</v>
      </c>
      <c r="N337" s="10">
        <v>-0.389715857</v>
      </c>
      <c r="O337" s="9">
        <v>-0.43014216350000001</v>
      </c>
      <c r="P337" s="10">
        <v>5.7311180758011997E-2</v>
      </c>
      <c r="Q337" s="10">
        <v>3.2845714398774999E-3</v>
      </c>
    </row>
    <row r="338" spans="1:17" x14ac:dyDescent="0.2">
      <c r="A338" s="10">
        <v>1611</v>
      </c>
      <c r="B338" s="10" t="s">
        <v>79</v>
      </c>
      <c r="C338" s="9" t="s">
        <v>382</v>
      </c>
      <c r="D338" s="10">
        <v>-0.52086854500000002</v>
      </c>
      <c r="E338" s="10">
        <v>0.12514584000000001</v>
      </c>
      <c r="F338" s="10">
        <v>-0.63477122799999997</v>
      </c>
      <c r="G338" s="10">
        <v>0.11974815900000001</v>
      </c>
      <c r="H338" s="9">
        <v>-0.2276864435</v>
      </c>
      <c r="I338" s="10">
        <v>0.40697059259260299</v>
      </c>
      <c r="J338" s="10">
        <v>0.16562506323517501</v>
      </c>
      <c r="K338" s="10">
        <v>-1.0567979999999999E-2</v>
      </c>
      <c r="L338" s="10">
        <v>-0.13353941799999999</v>
      </c>
      <c r="M338" s="10">
        <v>-1.135369053</v>
      </c>
      <c r="N338" s="10">
        <v>8.0494439999999993E-3</v>
      </c>
      <c r="O338" s="9">
        <v>-0.31785675175</v>
      </c>
      <c r="P338" s="10">
        <v>0.54861658739282204</v>
      </c>
      <c r="Q338" s="10">
        <v>0.30098015996254601</v>
      </c>
    </row>
    <row r="339" spans="1:17" x14ac:dyDescent="0.2">
      <c r="A339" s="10">
        <v>1611</v>
      </c>
      <c r="B339" s="10" t="s">
        <v>2824</v>
      </c>
      <c r="C339" s="9" t="s">
        <v>383</v>
      </c>
      <c r="D339" s="10">
        <v>-0.26614718999999998</v>
      </c>
      <c r="E339" s="10">
        <v>1.566139E-3</v>
      </c>
      <c r="F339" s="10">
        <v>2.96989E-4</v>
      </c>
      <c r="G339" s="10">
        <v>0.121110511</v>
      </c>
      <c r="H339" s="9">
        <v>-3.5793388000000002E-2</v>
      </c>
      <c r="I339" s="10">
        <v>0.16368664900445501</v>
      </c>
      <c r="J339" s="10">
        <v>2.67933190623077E-2</v>
      </c>
      <c r="K339" s="10">
        <v>-6.4201506000000005E-2</v>
      </c>
      <c r="L339" s="10">
        <v>3.2800344000000002E-2</v>
      </c>
      <c r="M339" s="10">
        <v>-5.8467114000000001E-2</v>
      </c>
      <c r="N339" s="10">
        <v>-0.209719925</v>
      </c>
      <c r="O339" s="9">
        <v>-7.489705025E-2</v>
      </c>
      <c r="P339" s="10">
        <v>0.100266767103357</v>
      </c>
      <c r="Q339" s="10">
        <v>1.00534245853589E-2</v>
      </c>
    </row>
    <row r="340" spans="1:17" x14ac:dyDescent="0.2">
      <c r="A340" s="10">
        <v>1611</v>
      </c>
      <c r="B340" s="10" t="s">
        <v>2814</v>
      </c>
      <c r="C340" s="9" t="s">
        <v>384</v>
      </c>
      <c r="D340" s="10">
        <v>-2.3594057000000002E-2</v>
      </c>
      <c r="E340" s="10">
        <v>0.187758808</v>
      </c>
      <c r="F340" s="10">
        <v>-0.27982346299999999</v>
      </c>
      <c r="G340" s="10">
        <v>-0.148365306</v>
      </c>
      <c r="H340" s="9">
        <v>-6.6006004500000007E-2</v>
      </c>
      <c r="I340" s="10">
        <v>0.19891062771746601</v>
      </c>
      <c r="J340" s="10">
        <v>3.9565437818956599E-2</v>
      </c>
      <c r="K340" s="10">
        <v>-5.5163103999999998E-2</v>
      </c>
      <c r="L340" s="10">
        <v>-4.4555939000000003E-2</v>
      </c>
      <c r="M340" s="10">
        <v>-0.21879079900000001</v>
      </c>
      <c r="N340" s="10">
        <v>-6.9283368999999997E-2</v>
      </c>
      <c r="O340" s="9">
        <v>-9.6948302750000007E-2</v>
      </c>
      <c r="P340" s="10">
        <v>8.1857406640475402E-2</v>
      </c>
      <c r="Q340" s="10">
        <v>6.7006350219041E-3</v>
      </c>
    </row>
    <row r="341" spans="1:17" x14ac:dyDescent="0.2">
      <c r="A341" s="10">
        <v>1611</v>
      </c>
      <c r="B341" s="10" t="s">
        <v>2833</v>
      </c>
      <c r="C341" s="9" t="s">
        <v>385</v>
      </c>
      <c r="D341" s="10">
        <v>-0.30379536800000001</v>
      </c>
      <c r="E341" s="10">
        <v>-0.124768504</v>
      </c>
      <c r="F341" s="10">
        <v>-0.322852841</v>
      </c>
      <c r="G341" s="10">
        <v>-0.100210402</v>
      </c>
      <c r="H341" s="9">
        <v>-0.21290677875</v>
      </c>
      <c r="I341" s="10">
        <v>0.116644332722198</v>
      </c>
      <c r="J341" s="10">
        <v>1.3605900356206801E-2</v>
      </c>
      <c r="K341" s="10">
        <v>0.31858551400000001</v>
      </c>
      <c r="L341" s="10">
        <v>7.1376899999999995E-4</v>
      </c>
      <c r="M341" s="10">
        <v>-8.2543218000000002E-2</v>
      </c>
      <c r="N341" s="10">
        <v>4.2967246000000001E-2</v>
      </c>
      <c r="O341" s="9">
        <v>6.9930827749999994E-2</v>
      </c>
      <c r="P341" s="10">
        <v>0.17377717877044799</v>
      </c>
      <c r="Q341" s="10">
        <v>3.0198507861416299E-2</v>
      </c>
    </row>
    <row r="342" spans="1:17" x14ac:dyDescent="0.2">
      <c r="A342" s="10">
        <v>1611</v>
      </c>
      <c r="B342" s="10" t="s">
        <v>2825</v>
      </c>
      <c r="C342" s="9" t="s">
        <v>386</v>
      </c>
      <c r="D342" s="10">
        <v>-0.180305666</v>
      </c>
      <c r="E342" s="10">
        <v>0.16298681000000001</v>
      </c>
      <c r="F342" s="10">
        <v>-0.18771179099999999</v>
      </c>
      <c r="G342" s="10">
        <v>-8.1035697000000004E-2</v>
      </c>
      <c r="H342" s="9">
        <v>-7.1516585999999993E-2</v>
      </c>
      <c r="I342" s="10">
        <v>0.16372624082290599</v>
      </c>
      <c r="J342" s="10">
        <v>2.68062819340005E-2</v>
      </c>
      <c r="K342" s="10">
        <v>-0.75679430000000003</v>
      </c>
      <c r="L342" s="10">
        <v>-6.9156853000000004E-2</v>
      </c>
      <c r="M342" s="10">
        <v>-0.98482998300000002</v>
      </c>
      <c r="N342" s="10">
        <v>-0.61510236900000004</v>
      </c>
      <c r="O342" s="9">
        <v>-0.60647087624999996</v>
      </c>
      <c r="P342" s="10">
        <v>0.38924439950446499</v>
      </c>
      <c r="Q342" s="10">
        <v>0.151511202545591</v>
      </c>
    </row>
    <row r="343" spans="1:17" x14ac:dyDescent="0.2">
      <c r="A343" s="10">
        <v>1611</v>
      </c>
      <c r="B343" s="10" t="s">
        <v>74</v>
      </c>
      <c r="C343" s="9" t="s">
        <v>387</v>
      </c>
      <c r="D343" s="10">
        <v>0.40318182699999999</v>
      </c>
      <c r="E343" s="10">
        <v>-1.09994831</v>
      </c>
      <c r="F343" s="10">
        <v>-0.31643249800000001</v>
      </c>
      <c r="G343" s="10">
        <v>0.39516146200000002</v>
      </c>
      <c r="H343" s="9">
        <v>-0.15450937975000001</v>
      </c>
      <c r="I343" s="10">
        <v>0.71489658539131595</v>
      </c>
      <c r="J343" s="10">
        <v>0.51107712780416403</v>
      </c>
      <c r="K343" s="10">
        <v>-0.71047118300000001</v>
      </c>
      <c r="L343" s="10">
        <v>-0.166000922</v>
      </c>
      <c r="M343" s="10">
        <v>0.53189916500000001</v>
      </c>
      <c r="N343" s="10">
        <v>-0.49023939300000002</v>
      </c>
      <c r="O343" s="9">
        <v>-0.20870308300000001</v>
      </c>
      <c r="P343" s="10">
        <v>0.54201755332053803</v>
      </c>
      <c r="Q343" s="10">
        <v>0.293783028107583</v>
      </c>
    </row>
    <row r="344" spans="1:17" x14ac:dyDescent="0.2">
      <c r="A344" s="10">
        <v>1611</v>
      </c>
      <c r="B344" s="10" t="s">
        <v>2818</v>
      </c>
      <c r="C344" s="9" t="s">
        <v>388</v>
      </c>
      <c r="D344" s="10">
        <v>1.178785126</v>
      </c>
      <c r="E344" s="10">
        <v>7.7012407000000005E-2</v>
      </c>
      <c r="F344" s="10">
        <v>-0.31399003399999997</v>
      </c>
      <c r="G344" s="10">
        <v>-0.52201390000000003</v>
      </c>
      <c r="H344" s="9">
        <v>0.1049483995</v>
      </c>
      <c r="I344" s="10">
        <v>0.75773717319286804</v>
      </c>
      <c r="J344" s="10">
        <v>0.57416562363831902</v>
      </c>
      <c r="K344" s="10">
        <v>-0.35708657900000002</v>
      </c>
      <c r="L344" s="10">
        <v>-0.29015153599999999</v>
      </c>
      <c r="M344" s="10">
        <v>-0.56698579500000001</v>
      </c>
      <c r="N344" s="10">
        <v>-0.52685832300000002</v>
      </c>
      <c r="O344" s="9">
        <v>-0.43527055850000002</v>
      </c>
      <c r="P344" s="10">
        <v>0.13280246919663499</v>
      </c>
      <c r="Q344" s="10">
        <v>1.7636495824723399E-2</v>
      </c>
    </row>
    <row r="345" spans="1:17" x14ac:dyDescent="0.2">
      <c r="A345" s="10">
        <v>1611</v>
      </c>
      <c r="B345" s="10" t="s">
        <v>2830</v>
      </c>
      <c r="C345" s="9" t="s">
        <v>389</v>
      </c>
      <c r="D345" s="10">
        <v>-2.3187111999999999E-2</v>
      </c>
      <c r="E345" s="10">
        <v>-0.13726864599999999</v>
      </c>
      <c r="F345" s="10">
        <v>-0.50744912099999995</v>
      </c>
      <c r="G345" s="10">
        <v>-1.38600473</v>
      </c>
      <c r="H345" s="9">
        <v>-0.51347740225000005</v>
      </c>
      <c r="I345" s="10">
        <v>0.61732160036672001</v>
      </c>
      <c r="J345" s="10">
        <v>0.38108595827932801</v>
      </c>
      <c r="K345" s="10">
        <v>-0.68266118399999998</v>
      </c>
      <c r="L345" s="10">
        <v>-0.25952479699999997</v>
      </c>
      <c r="M345" s="10">
        <v>-1.328737611</v>
      </c>
      <c r="N345" s="10">
        <v>-0.107221793</v>
      </c>
      <c r="O345" s="9">
        <v>-0.59453634600000005</v>
      </c>
      <c r="P345" s="10">
        <v>0.54666433824578098</v>
      </c>
      <c r="Q345" s="10">
        <v>0.29884189870969802</v>
      </c>
    </row>
    <row r="346" spans="1:17" x14ac:dyDescent="0.2">
      <c r="A346" s="10">
        <v>1611</v>
      </c>
      <c r="B346" s="10" t="s">
        <v>2832</v>
      </c>
      <c r="C346" s="9" t="s">
        <v>390</v>
      </c>
      <c r="D346" s="10">
        <v>-0.74273913300000005</v>
      </c>
      <c r="E346" s="10">
        <v>-2.9986793000000001E-2</v>
      </c>
      <c r="F346" s="10">
        <v>-0.51065009299999997</v>
      </c>
      <c r="G346" s="10">
        <v>-9.7544311999999994E-2</v>
      </c>
      <c r="H346" s="9">
        <v>-0.34523008249999998</v>
      </c>
      <c r="I346" s="10">
        <v>0.33965855285673302</v>
      </c>
      <c r="J346" s="10">
        <v>0.11536793252873</v>
      </c>
      <c r="K346" s="10">
        <v>-0.24724057199999999</v>
      </c>
      <c r="L346" s="10">
        <v>-0.41841610600000001</v>
      </c>
      <c r="M346" s="10">
        <v>5.6980329999999999E-3</v>
      </c>
      <c r="N346" s="10">
        <v>-0.262063608</v>
      </c>
      <c r="O346" s="9">
        <v>-0.23050556324999999</v>
      </c>
      <c r="P346" s="10">
        <v>0.17547885120847401</v>
      </c>
      <c r="Q346" s="10">
        <v>3.0792827221445999E-2</v>
      </c>
    </row>
    <row r="347" spans="1:17" x14ac:dyDescent="0.2">
      <c r="A347" s="10">
        <v>1612</v>
      </c>
      <c r="B347" s="10" t="s">
        <v>2822</v>
      </c>
      <c r="C347" s="9" t="s">
        <v>391</v>
      </c>
      <c r="D347" s="10">
        <v>-0.15906172199999999</v>
      </c>
      <c r="E347" s="10">
        <v>0.44786322000000001</v>
      </c>
      <c r="F347" s="3">
        <v>-1.49E-5</v>
      </c>
      <c r="G347" s="10">
        <v>0.39368899600000001</v>
      </c>
      <c r="H347" s="9">
        <v>0.17061889575</v>
      </c>
      <c r="I347" s="10">
        <v>0.29688936599708698</v>
      </c>
      <c r="J347" s="10">
        <v>8.81432956421528E-2</v>
      </c>
      <c r="K347" s="10">
        <v>0.157456913</v>
      </c>
      <c r="L347" s="10">
        <v>-6.6883585999999995E-2</v>
      </c>
      <c r="M347" s="10">
        <v>-0.143127581</v>
      </c>
      <c r="N347" s="10">
        <v>9.5940577999999999E-2</v>
      </c>
      <c r="O347" s="9">
        <v>1.0846580999999999E-2</v>
      </c>
      <c r="P347" s="10">
        <v>0.13962521166804101</v>
      </c>
      <c r="Q347" s="10">
        <v>1.94951997333454E-2</v>
      </c>
    </row>
    <row r="348" spans="1:17" x14ac:dyDescent="0.2">
      <c r="A348" s="10">
        <v>1612</v>
      </c>
      <c r="B348" s="10" t="s">
        <v>96</v>
      </c>
      <c r="C348" s="9" t="s">
        <v>392</v>
      </c>
      <c r="D348" s="10">
        <v>-0.14547041999999999</v>
      </c>
      <c r="E348" s="10">
        <v>0.124224271</v>
      </c>
      <c r="F348" s="10">
        <v>4.2023115E-2</v>
      </c>
      <c r="G348" s="10">
        <v>-0.149545338</v>
      </c>
      <c r="H348" s="9">
        <v>-3.2192092999999998E-2</v>
      </c>
      <c r="I348" s="10">
        <v>0.13732897182242401</v>
      </c>
      <c r="J348" s="10">
        <v>1.8859246501804199E-2</v>
      </c>
      <c r="K348" s="10">
        <v>-4.6111649999999997E-2</v>
      </c>
      <c r="L348" s="10">
        <v>-0.14565135200000001</v>
      </c>
      <c r="M348" s="10">
        <v>-4.8045928000000002E-2</v>
      </c>
      <c r="N348" s="10">
        <v>-0.14487903099999999</v>
      </c>
      <c r="O348" s="9">
        <v>-9.6171990250000006E-2</v>
      </c>
      <c r="P348" s="10">
        <v>5.6694322441922899E-2</v>
      </c>
      <c r="Q348" s="10">
        <v>3.2142461971487002E-3</v>
      </c>
    </row>
    <row r="349" spans="1:17" x14ac:dyDescent="0.2">
      <c r="A349" s="10">
        <v>1612</v>
      </c>
      <c r="B349" s="10" t="s">
        <v>2826</v>
      </c>
      <c r="C349" s="9" t="s">
        <v>393</v>
      </c>
      <c r="D349" s="10">
        <v>-0.17131648999999999</v>
      </c>
      <c r="E349" s="10">
        <v>-0.23578575299999999</v>
      </c>
      <c r="F349" s="10">
        <v>-0.12478671700000001</v>
      </c>
      <c r="G349" s="10">
        <v>-8.6165805999999998E-2</v>
      </c>
      <c r="H349" s="9">
        <v>-0.15451369149999999</v>
      </c>
      <c r="I349" s="10">
        <v>6.4401367695456402E-2</v>
      </c>
      <c r="J349" s="10">
        <v>4.1475361610452998E-3</v>
      </c>
      <c r="K349" s="10">
        <v>-0.34165689799999999</v>
      </c>
      <c r="L349" s="10">
        <v>-0.264242223</v>
      </c>
      <c r="M349" s="10">
        <v>-0.33754588699999999</v>
      </c>
      <c r="N349" s="10">
        <v>0.67211449000000001</v>
      </c>
      <c r="O349" s="9">
        <v>-6.7832629500000005E-2</v>
      </c>
      <c r="P349" s="10">
        <v>0.49457841958783499</v>
      </c>
      <c r="Q349" s="10">
        <v>0.244607813122001</v>
      </c>
    </row>
    <row r="350" spans="1:17" x14ac:dyDescent="0.2">
      <c r="A350" s="10">
        <v>1612</v>
      </c>
      <c r="B350" s="10" t="s">
        <v>2834</v>
      </c>
      <c r="C350" s="9" t="s">
        <v>394</v>
      </c>
      <c r="D350" s="10">
        <v>-0.17737513899999999</v>
      </c>
      <c r="E350" s="10">
        <v>0.22366804800000001</v>
      </c>
      <c r="F350" s="10">
        <v>-5.5105037000000003E-2</v>
      </c>
      <c r="G350" s="10">
        <v>-0.10605110700000001</v>
      </c>
      <c r="H350" s="9">
        <v>-2.8715808749999999E-2</v>
      </c>
      <c r="I350" s="10">
        <v>0.17556987909987101</v>
      </c>
      <c r="J350" s="10">
        <v>3.08247824471433E-2</v>
      </c>
      <c r="K350" s="10">
        <v>0.310695528</v>
      </c>
      <c r="L350" s="10">
        <v>-3.8283606999999997E-2</v>
      </c>
      <c r="M350" s="10">
        <v>-0.31506107999999999</v>
      </c>
      <c r="N350" s="10">
        <v>-0.16070412000000001</v>
      </c>
      <c r="O350" s="9">
        <v>-5.0838319749999999E-2</v>
      </c>
      <c r="P350" s="10">
        <v>0.26630089809578</v>
      </c>
      <c r="Q350" s="10">
        <v>7.0916168326618997E-2</v>
      </c>
    </row>
    <row r="351" spans="1:17" x14ac:dyDescent="0.2">
      <c r="A351" s="10">
        <v>1612</v>
      </c>
      <c r="B351" s="10" t="s">
        <v>2824</v>
      </c>
      <c r="C351" s="9" t="s">
        <v>395</v>
      </c>
      <c r="D351" s="10">
        <v>-0.24201235500000001</v>
      </c>
      <c r="E351" s="10">
        <v>-0.867478898</v>
      </c>
      <c r="F351" s="10">
        <v>-0.29258922100000001</v>
      </c>
      <c r="G351" s="10">
        <v>-0.586244337</v>
      </c>
      <c r="H351" s="9">
        <v>-0.49708120275000001</v>
      </c>
      <c r="I351" s="10">
        <v>0.28983995862564699</v>
      </c>
      <c r="J351" s="10">
        <v>8.40072016161168E-2</v>
      </c>
      <c r="K351" s="10">
        <v>-0.53619351000000004</v>
      </c>
      <c r="L351" s="10">
        <v>-0.62597466400000001</v>
      </c>
      <c r="M351" s="10">
        <v>-0.74751579199999996</v>
      </c>
      <c r="N351" s="10">
        <v>-0.395190455</v>
      </c>
      <c r="O351" s="9">
        <v>-0.57621860550000004</v>
      </c>
      <c r="P351" s="10">
        <v>0.148539098111693</v>
      </c>
      <c r="Q351" s="10">
        <v>2.20638636678353E-2</v>
      </c>
    </row>
    <row r="352" spans="1:17" x14ac:dyDescent="0.2">
      <c r="A352" s="10">
        <v>1612</v>
      </c>
      <c r="B352" s="10" t="s">
        <v>82</v>
      </c>
      <c r="C352" s="9" t="s">
        <v>396</v>
      </c>
      <c r="D352" s="10">
        <v>0.36723033999999999</v>
      </c>
      <c r="E352" s="10">
        <v>0.25759152299999999</v>
      </c>
      <c r="F352" s="10">
        <v>-0.42722742499999999</v>
      </c>
      <c r="G352" s="10">
        <v>2.9645728999999999E-2</v>
      </c>
      <c r="H352" s="9">
        <v>5.6810041499999998E-2</v>
      </c>
      <c r="I352" s="10">
        <v>0.35199627549331602</v>
      </c>
      <c r="J352" s="10">
        <v>0.123901377961166</v>
      </c>
      <c r="K352" s="10">
        <v>0.13929540100000001</v>
      </c>
      <c r="L352" s="10">
        <v>0.194156103</v>
      </c>
      <c r="M352" s="10">
        <v>-0.28988700899999997</v>
      </c>
      <c r="N352" s="10">
        <v>-0.56844511499999995</v>
      </c>
      <c r="O352" s="9">
        <v>-0.131220155</v>
      </c>
      <c r="P352" s="10">
        <v>0.36303774437071501</v>
      </c>
      <c r="Q352" s="10">
        <v>0.13179640383777599</v>
      </c>
    </row>
    <row r="353" spans="1:17" x14ac:dyDescent="0.2">
      <c r="A353" s="10">
        <v>1612</v>
      </c>
      <c r="B353" s="10" t="s">
        <v>2814</v>
      </c>
      <c r="C353" s="9" t="s">
        <v>397</v>
      </c>
      <c r="D353" s="10">
        <v>9.9146346999999996E-2</v>
      </c>
      <c r="E353" s="10">
        <v>0.16439854500000001</v>
      </c>
      <c r="F353" s="10">
        <v>0.108007564</v>
      </c>
      <c r="G353" s="10">
        <v>0.46121211699999998</v>
      </c>
      <c r="H353" s="9">
        <v>0.20819114324999999</v>
      </c>
      <c r="I353" s="10">
        <v>0.17113826959452899</v>
      </c>
      <c r="J353" s="10">
        <v>2.9288307319809699E-2</v>
      </c>
      <c r="K353" s="10">
        <v>0.202409281</v>
      </c>
      <c r="L353" s="10">
        <v>-8.2524315000000001E-2</v>
      </c>
      <c r="M353" s="10">
        <v>-0.39666426199999999</v>
      </c>
      <c r="N353" s="10">
        <v>0.16217493299999999</v>
      </c>
      <c r="O353" s="9">
        <v>-2.865109075E-2</v>
      </c>
      <c r="P353" s="10">
        <v>0.27576528983784698</v>
      </c>
      <c r="Q353" s="10">
        <v>7.60464950793521E-2</v>
      </c>
    </row>
    <row r="354" spans="1:17" x14ac:dyDescent="0.2">
      <c r="A354" s="10">
        <v>1612</v>
      </c>
      <c r="B354" s="10" t="s">
        <v>2825</v>
      </c>
      <c r="C354" s="9" t="s">
        <v>398</v>
      </c>
      <c r="D354" s="10">
        <v>-0.63385929200000002</v>
      </c>
      <c r="E354" s="10">
        <v>0.10807462499999999</v>
      </c>
      <c r="F354" s="10">
        <v>-0.31765348900000001</v>
      </c>
      <c r="G354" s="10">
        <v>0.484658898</v>
      </c>
      <c r="H354" s="9">
        <v>-8.9694814750000004E-2</v>
      </c>
      <c r="I354" s="10">
        <v>0.48890185590270202</v>
      </c>
      <c r="J354" s="10">
        <v>0.239025024705107</v>
      </c>
      <c r="K354" s="10">
        <v>0.29190678399999997</v>
      </c>
      <c r="L354" s="10">
        <v>-0.71100615</v>
      </c>
      <c r="M354" s="10">
        <v>-7.2987524999999998E-2</v>
      </c>
      <c r="N354" s="10">
        <v>0.58123543600000005</v>
      </c>
      <c r="O354" s="9">
        <v>2.2287136499999999E-2</v>
      </c>
      <c r="P354" s="10">
        <v>0.55734916075469099</v>
      </c>
      <c r="Q354" s="10">
        <v>0.31063808699395801</v>
      </c>
    </row>
    <row r="355" spans="1:17" x14ac:dyDescent="0.2">
      <c r="A355" s="10">
        <v>1612</v>
      </c>
      <c r="B355" s="10" t="s">
        <v>74</v>
      </c>
      <c r="C355" s="9" t="s">
        <v>399</v>
      </c>
      <c r="D355" s="10">
        <v>-0.343866701</v>
      </c>
      <c r="E355" s="10">
        <v>-7.4926329E-2</v>
      </c>
      <c r="F355" s="10">
        <v>0.112308853</v>
      </c>
      <c r="G355" s="10">
        <v>-0.475116131</v>
      </c>
      <c r="H355" s="9">
        <v>-0.19540007700000001</v>
      </c>
      <c r="I355" s="10">
        <v>0.26424869527662798</v>
      </c>
      <c r="J355" s="10">
        <v>6.9827372955400202E-2</v>
      </c>
      <c r="K355" s="10">
        <v>0.402922479</v>
      </c>
      <c r="L355" s="10">
        <v>-0.23019411200000001</v>
      </c>
      <c r="M355" s="10">
        <v>-0.36163691100000001</v>
      </c>
      <c r="N355" s="10">
        <v>-5.3160365000000001E-2</v>
      </c>
      <c r="O355" s="9">
        <v>-6.051722725E-2</v>
      </c>
      <c r="P355" s="10">
        <v>0.33381321818816401</v>
      </c>
      <c r="Q355" s="10">
        <v>0.111431264637138</v>
      </c>
    </row>
    <row r="356" spans="1:17" x14ac:dyDescent="0.2">
      <c r="A356" s="10">
        <v>1612</v>
      </c>
      <c r="B356" s="10" t="s">
        <v>2830</v>
      </c>
      <c r="C356" s="9" t="s">
        <v>400</v>
      </c>
      <c r="D356" s="10">
        <v>0.18526896300000001</v>
      </c>
      <c r="E356" s="10">
        <v>0.28597216800000003</v>
      </c>
      <c r="F356" s="10">
        <v>-0.27779008399999999</v>
      </c>
      <c r="G356" s="10">
        <v>0.126612367</v>
      </c>
      <c r="H356" s="9">
        <v>8.0015853499999998E-2</v>
      </c>
      <c r="I356" s="10">
        <v>0.24744867785896599</v>
      </c>
      <c r="J356" s="10">
        <v>6.1230848174150497E-2</v>
      </c>
      <c r="K356" s="10">
        <v>0.22710586099999999</v>
      </c>
      <c r="L356" s="10">
        <v>-0.18869576499999999</v>
      </c>
      <c r="M356" s="10">
        <v>0.18219063199999999</v>
      </c>
      <c r="N356" s="10">
        <v>1.6529953999999999E-2</v>
      </c>
      <c r="O356" s="9">
        <v>5.9282670250000002E-2</v>
      </c>
      <c r="P356" s="10">
        <v>0.18849587927489</v>
      </c>
      <c r="Q356" s="10">
        <v>3.5530696503613901E-2</v>
      </c>
    </row>
    <row r="357" spans="1:17" x14ac:dyDescent="0.2">
      <c r="A357" s="10">
        <v>1612</v>
      </c>
      <c r="B357" s="10" t="s">
        <v>2835</v>
      </c>
      <c r="C357" s="9" t="s">
        <v>401</v>
      </c>
      <c r="D357" s="10">
        <v>0.53294196800000004</v>
      </c>
      <c r="E357" s="10">
        <v>0.33450544100000001</v>
      </c>
      <c r="F357" s="10">
        <v>0.17142352399999999</v>
      </c>
      <c r="G357" s="10">
        <v>0.55075241200000002</v>
      </c>
      <c r="H357" s="9">
        <v>0.39740583600000001</v>
      </c>
      <c r="I357" s="10">
        <v>0.179730984600565</v>
      </c>
      <c r="J357" s="10">
        <v>3.23032268254888E-2</v>
      </c>
      <c r="K357" s="10">
        <v>-0.276705539</v>
      </c>
      <c r="L357" s="10">
        <v>-0.24613786500000001</v>
      </c>
      <c r="M357" s="10">
        <v>0.35141078199999998</v>
      </c>
      <c r="N357" s="10">
        <v>-0.40762346199999999</v>
      </c>
      <c r="O357" s="9">
        <v>-0.14476402099999999</v>
      </c>
      <c r="P357" s="10">
        <v>0.33811720910280102</v>
      </c>
      <c r="Q357" s="10">
        <v>0.114323247091467</v>
      </c>
    </row>
    <row r="358" spans="1:17" x14ac:dyDescent="0.2">
      <c r="A358" s="10">
        <v>1612</v>
      </c>
      <c r="B358" s="10" t="s">
        <v>2832</v>
      </c>
      <c r="C358" s="9" t="s">
        <v>402</v>
      </c>
      <c r="D358" s="10">
        <v>0.29356221700000001</v>
      </c>
      <c r="E358" s="10">
        <v>1.0307714349999999</v>
      </c>
      <c r="F358" s="10">
        <v>0.88224525799999998</v>
      </c>
      <c r="G358" s="10">
        <v>-9.6021441999999999E-2</v>
      </c>
      <c r="H358" s="9">
        <v>0.52763936700000003</v>
      </c>
      <c r="I358" s="10">
        <v>0.52365132566639405</v>
      </c>
      <c r="J358" s="10">
        <v>0.27421071087217203</v>
      </c>
      <c r="K358" s="10">
        <v>0.76673010900000005</v>
      </c>
      <c r="L358" s="10">
        <v>7.1930185999999993E-2</v>
      </c>
      <c r="M358" s="10">
        <v>-6.7393499999999995E-2</v>
      </c>
      <c r="N358" s="10">
        <v>0.46601924</v>
      </c>
      <c r="O358" s="9">
        <v>0.30932150850000001</v>
      </c>
      <c r="P358" s="10">
        <v>0.37949336599211098</v>
      </c>
      <c r="Q358" s="10">
        <v>0.14401521483202201</v>
      </c>
    </row>
    <row r="359" spans="1:17" x14ac:dyDescent="0.2">
      <c r="A359" s="10">
        <v>1613</v>
      </c>
      <c r="B359" s="10" t="s">
        <v>2822</v>
      </c>
      <c r="C359" s="9" t="s">
        <v>403</v>
      </c>
      <c r="D359" s="10">
        <v>-0.12793089199999999</v>
      </c>
      <c r="E359" s="10">
        <v>0.110149091</v>
      </c>
      <c r="F359" s="10">
        <v>-0.30072030599999999</v>
      </c>
      <c r="G359" s="10">
        <v>7.9120140000000005E-2</v>
      </c>
      <c r="H359" s="9">
        <v>-5.984549175E-2</v>
      </c>
      <c r="I359" s="10">
        <v>0.19223761584663701</v>
      </c>
      <c r="J359" s="10">
        <v>3.6955300946399303E-2</v>
      </c>
      <c r="K359" s="10">
        <v>2.1711424E-2</v>
      </c>
      <c r="L359" s="10">
        <v>-8.8422053E-2</v>
      </c>
      <c r="M359" s="10">
        <v>1.0363534000000001E-2</v>
      </c>
      <c r="N359" s="10">
        <v>-9.6100136000000003E-2</v>
      </c>
      <c r="O359" s="9">
        <v>-3.8111807749999997E-2</v>
      </c>
      <c r="P359" s="10">
        <v>6.2775910467679594E-2</v>
      </c>
      <c r="Q359" s="10">
        <v>3.9408149350461004E-3</v>
      </c>
    </row>
    <row r="360" spans="1:17" x14ac:dyDescent="0.2">
      <c r="A360" s="10">
        <v>1613</v>
      </c>
      <c r="B360" s="10" t="s">
        <v>96</v>
      </c>
      <c r="C360" s="9" t="s">
        <v>404</v>
      </c>
      <c r="D360" s="10">
        <v>0.23332177600000001</v>
      </c>
      <c r="E360" s="10">
        <v>-0.30402415799999999</v>
      </c>
      <c r="F360" s="10">
        <v>-7.6477419999999999E-3</v>
      </c>
      <c r="G360" s="10">
        <v>-0.26579495199999997</v>
      </c>
      <c r="H360" s="9">
        <v>-8.6036268750000006E-2</v>
      </c>
      <c r="I360" s="10">
        <v>0.25031062431575002</v>
      </c>
      <c r="J360" s="10">
        <v>6.2655408645340804E-2</v>
      </c>
      <c r="K360" s="10">
        <v>0.119075734</v>
      </c>
      <c r="L360" s="10">
        <v>0.403606513</v>
      </c>
      <c r="M360" s="10">
        <v>0.453434793</v>
      </c>
      <c r="N360" s="10">
        <v>-0.24548790500000001</v>
      </c>
      <c r="O360" s="9">
        <v>0.182657284</v>
      </c>
      <c r="P360" s="10">
        <v>0.32119046142965602</v>
      </c>
      <c r="Q360" s="10">
        <v>0.103163312513395</v>
      </c>
    </row>
    <row r="361" spans="1:17" x14ac:dyDescent="0.2">
      <c r="A361" s="10">
        <v>1613</v>
      </c>
      <c r="B361" s="10" t="s">
        <v>2819</v>
      </c>
      <c r="C361" s="9" t="s">
        <v>405</v>
      </c>
      <c r="D361" s="10">
        <v>-5.7470505999999998E-2</v>
      </c>
      <c r="E361" s="10">
        <v>-2.3854743000000001E-2</v>
      </c>
      <c r="F361" s="10">
        <v>7.1265143000000003E-2</v>
      </c>
      <c r="G361" s="10">
        <v>-4.5223831999999999E-2</v>
      </c>
      <c r="H361" s="9">
        <v>-1.3820984499999999E-2</v>
      </c>
      <c r="I361" s="10">
        <v>5.8400185390315801E-2</v>
      </c>
      <c r="J361" s="10">
        <v>3.4105816536232E-3</v>
      </c>
      <c r="K361" s="10">
        <v>0.27215711199999998</v>
      </c>
      <c r="L361" s="10">
        <v>-0.24431893800000001</v>
      </c>
      <c r="M361" s="10">
        <v>-0.22028372700000001</v>
      </c>
      <c r="N361" s="10">
        <v>-0.12982254400000001</v>
      </c>
      <c r="O361" s="9">
        <v>-8.0567024000000001E-2</v>
      </c>
      <c r="P361" s="10">
        <v>0.24026087821593001</v>
      </c>
      <c r="Q361" s="10">
        <v>5.77252896010901E-2</v>
      </c>
    </row>
    <row r="362" spans="1:17" x14ac:dyDescent="0.2">
      <c r="A362" s="10">
        <v>1613</v>
      </c>
      <c r="B362" s="10" t="s">
        <v>2826</v>
      </c>
      <c r="C362" s="9" t="s">
        <v>406</v>
      </c>
      <c r="D362" s="10">
        <v>-0.57299601600000005</v>
      </c>
      <c r="E362" s="10">
        <v>0.12552181900000001</v>
      </c>
      <c r="F362" s="10">
        <v>-0.23990329899999999</v>
      </c>
      <c r="G362" s="10">
        <v>-0.474471533</v>
      </c>
      <c r="H362" s="9">
        <v>-0.29046225725000002</v>
      </c>
      <c r="I362" s="10">
        <v>0.310528419712986</v>
      </c>
      <c r="J362" s="10">
        <v>9.6427899449444604E-2</v>
      </c>
      <c r="K362" s="10">
        <v>-0.55480569300000004</v>
      </c>
      <c r="L362" s="10">
        <v>-4.2058554999999997E-2</v>
      </c>
      <c r="M362" s="10">
        <v>-1.323849E-3</v>
      </c>
      <c r="N362" s="10">
        <v>-0.40757160100000001</v>
      </c>
      <c r="O362" s="9">
        <v>-0.25143992425</v>
      </c>
      <c r="P362" s="10">
        <v>0.272523087108544</v>
      </c>
      <c r="Q362" s="10">
        <v>7.4268833007171103E-2</v>
      </c>
    </row>
    <row r="363" spans="1:17" x14ac:dyDescent="0.2">
      <c r="A363" s="10">
        <v>1613</v>
      </c>
      <c r="B363" s="10" t="s">
        <v>2834</v>
      </c>
      <c r="C363" s="9" t="s">
        <v>407</v>
      </c>
      <c r="D363" s="10">
        <v>-0.138277389</v>
      </c>
      <c r="E363" s="10">
        <v>0.11097763300000001</v>
      </c>
      <c r="F363" s="10">
        <v>-1.0543536899999999</v>
      </c>
      <c r="G363" s="10">
        <v>-0.35325048399999998</v>
      </c>
      <c r="H363" s="9">
        <v>-0.35872598249999998</v>
      </c>
      <c r="I363" s="10">
        <v>0.50104788770317099</v>
      </c>
      <c r="J363" s="10">
        <v>0.25104898577180901</v>
      </c>
      <c r="K363" s="10">
        <v>-0.34768126900000002</v>
      </c>
      <c r="L363" s="10">
        <v>-0.43434967800000002</v>
      </c>
      <c r="M363" s="10">
        <v>-0.33967289299999998</v>
      </c>
      <c r="N363" s="10">
        <v>-7.0522062999999996E-2</v>
      </c>
      <c r="O363" s="9">
        <v>-0.29805647574999999</v>
      </c>
      <c r="P363" s="10">
        <v>0.15763067833269601</v>
      </c>
      <c r="Q363" s="10">
        <v>2.4847430751626001E-2</v>
      </c>
    </row>
    <row r="364" spans="1:17" x14ac:dyDescent="0.2">
      <c r="A364" s="10">
        <v>1613</v>
      </c>
      <c r="B364" s="10" t="s">
        <v>79</v>
      </c>
      <c r="C364" s="9" t="s">
        <v>408</v>
      </c>
      <c r="D364" s="10">
        <v>-0.39172118900000003</v>
      </c>
      <c r="E364" s="10">
        <v>1.6247212E-2</v>
      </c>
      <c r="F364" s="10">
        <v>4.5616208999999998E-2</v>
      </c>
      <c r="G364" s="10">
        <v>-8.5180919999999997E-3</v>
      </c>
      <c r="H364" s="9">
        <v>-8.4593964999999993E-2</v>
      </c>
      <c r="I364" s="10">
        <v>0.20594360277068799</v>
      </c>
      <c r="J364" s="10">
        <v>4.2412767522171303E-2</v>
      </c>
      <c r="K364" s="10">
        <v>0.32317917000000002</v>
      </c>
      <c r="L364" s="10">
        <v>-0.11981204099999999</v>
      </c>
      <c r="M364" s="10">
        <v>-0.25944276799999999</v>
      </c>
      <c r="N364" s="10">
        <v>9.1870297000000004E-2</v>
      </c>
      <c r="O364" s="9">
        <v>8.9486647499999999E-3</v>
      </c>
      <c r="P364" s="10">
        <v>0.25444717070773198</v>
      </c>
      <c r="Q364" s="10">
        <v>6.4743362681170105E-2</v>
      </c>
    </row>
    <row r="365" spans="1:17" x14ac:dyDescent="0.2">
      <c r="A365" s="10">
        <v>1613</v>
      </c>
      <c r="B365" s="10" t="s">
        <v>2824</v>
      </c>
      <c r="C365" s="9" t="s">
        <v>409</v>
      </c>
      <c r="D365" s="10">
        <v>-1.5883792000000001E-2</v>
      </c>
      <c r="E365" s="10">
        <v>0.20045310199999999</v>
      </c>
      <c r="F365" s="10">
        <v>-0.20420507500000001</v>
      </c>
      <c r="G365" s="10">
        <v>0.11184469399999999</v>
      </c>
      <c r="H365" s="9">
        <v>2.3052232249999999E-2</v>
      </c>
      <c r="I365" s="10">
        <v>0.17561042825394199</v>
      </c>
      <c r="J365" s="10">
        <v>3.0839022511533001E-2</v>
      </c>
      <c r="K365" s="10">
        <v>-0.41398068599999999</v>
      </c>
      <c r="L365" s="10">
        <v>-5.3843628999999997E-2</v>
      </c>
      <c r="M365" s="10">
        <v>-7.2432249000000004E-2</v>
      </c>
      <c r="N365" s="10">
        <v>-1.6045263000000001E-2</v>
      </c>
      <c r="O365" s="9">
        <v>-0.13907545674999999</v>
      </c>
      <c r="P365" s="10">
        <v>0.184765703206315</v>
      </c>
      <c r="Q365" s="10">
        <v>3.4138365081324298E-2</v>
      </c>
    </row>
    <row r="366" spans="1:17" x14ac:dyDescent="0.2">
      <c r="A366" s="10">
        <v>1613</v>
      </c>
      <c r="B366" s="10" t="s">
        <v>2814</v>
      </c>
      <c r="C366" s="9" t="s">
        <v>410</v>
      </c>
      <c r="D366" s="10">
        <v>-0.55635337699999998</v>
      </c>
      <c r="E366" s="10">
        <v>7.5763130000000003E-3</v>
      </c>
      <c r="F366" s="10">
        <v>-0.12217720899999999</v>
      </c>
      <c r="G366" s="10">
        <v>-8.1414980000000005E-3</v>
      </c>
      <c r="H366" s="9">
        <v>-0.16977394274999999</v>
      </c>
      <c r="I366" s="10">
        <v>0.26412577083602301</v>
      </c>
      <c r="J366" s="10">
        <v>6.9762422819723502E-2</v>
      </c>
      <c r="K366" s="10">
        <v>-0.26596161600000001</v>
      </c>
      <c r="L366" s="10">
        <v>7.6091293000000004E-2</v>
      </c>
      <c r="M366" s="10">
        <v>-1.9212317E-2</v>
      </c>
      <c r="N366" s="10">
        <v>0.36013800600000001</v>
      </c>
      <c r="O366" s="9">
        <v>3.7763841499999999E-2</v>
      </c>
      <c r="P366" s="10">
        <v>0.25877244292141999</v>
      </c>
      <c r="Q366" s="10">
        <v>6.6963177215519795E-2</v>
      </c>
    </row>
    <row r="367" spans="1:17" x14ac:dyDescent="0.2">
      <c r="A367" s="10">
        <v>1613</v>
      </c>
      <c r="B367" s="10" t="s">
        <v>74</v>
      </c>
      <c r="C367" s="9" t="s">
        <v>411</v>
      </c>
      <c r="D367" s="10">
        <v>-0.436002946</v>
      </c>
      <c r="E367" s="10">
        <v>-7.1167388999999998E-2</v>
      </c>
      <c r="F367" s="10">
        <v>-0.41507702000000002</v>
      </c>
      <c r="G367" s="10">
        <v>-5.4683167999999997E-2</v>
      </c>
      <c r="H367" s="9">
        <v>-0.24423263075000001</v>
      </c>
      <c r="I367" s="10">
        <v>0.209637970383937</v>
      </c>
      <c r="J367" s="10">
        <v>4.3948078626696398E-2</v>
      </c>
      <c r="K367" s="10">
        <v>2.1202487999999999E-2</v>
      </c>
      <c r="L367" s="10">
        <v>-0.32953065199999998</v>
      </c>
      <c r="M367" s="10">
        <v>-0.29125398000000002</v>
      </c>
      <c r="N367" s="10">
        <v>-0.74628124399999995</v>
      </c>
      <c r="O367" s="9">
        <v>-0.33646584699999998</v>
      </c>
      <c r="P367" s="10">
        <v>0.315154727780526</v>
      </c>
      <c r="Q367" s="10">
        <v>9.9322502442417804E-2</v>
      </c>
    </row>
    <row r="368" spans="1:17" x14ac:dyDescent="0.2">
      <c r="A368" s="10">
        <v>1613</v>
      </c>
      <c r="B368" s="10" t="s">
        <v>2830</v>
      </c>
      <c r="C368" s="9" t="s">
        <v>412</v>
      </c>
      <c r="D368" s="10">
        <v>-0.318278491</v>
      </c>
      <c r="E368" s="10">
        <v>-0.24916861000000001</v>
      </c>
      <c r="F368" s="10">
        <v>0.25520668000000002</v>
      </c>
      <c r="G368" s="10">
        <v>-0.18659869600000001</v>
      </c>
      <c r="H368" s="9">
        <v>-0.12470977950000001</v>
      </c>
      <c r="I368" s="10">
        <v>0.25892444248323099</v>
      </c>
      <c r="J368" s="10">
        <v>6.7041866915252296E-2</v>
      </c>
      <c r="K368" s="10">
        <v>-0.100172098</v>
      </c>
      <c r="L368" s="10">
        <v>-0.20177959100000001</v>
      </c>
      <c r="M368" s="10">
        <v>-0.47254336800000002</v>
      </c>
      <c r="N368" s="10">
        <v>6.9109395000000004E-2</v>
      </c>
      <c r="O368" s="9">
        <v>-0.17634641549999999</v>
      </c>
      <c r="P368" s="10">
        <v>0.226885112366812</v>
      </c>
      <c r="Q368" s="10">
        <v>5.1476854213701198E-2</v>
      </c>
    </row>
    <row r="369" spans="1:17" x14ac:dyDescent="0.2">
      <c r="A369" s="10">
        <v>1614</v>
      </c>
      <c r="B369" s="10" t="s">
        <v>2831</v>
      </c>
      <c r="C369" s="9" t="s">
        <v>413</v>
      </c>
      <c r="D369" s="10">
        <v>-0.70461579500000004</v>
      </c>
      <c r="E369" s="10">
        <v>-0.81976467600000003</v>
      </c>
      <c r="F369" s="10">
        <v>-2.096314993</v>
      </c>
      <c r="G369" s="10">
        <v>-1.6525031509999999</v>
      </c>
      <c r="H369" s="9">
        <v>-1.31829965375</v>
      </c>
      <c r="I369" s="10">
        <v>0.66886591785720995</v>
      </c>
      <c r="J369" s="10">
        <v>0.44738161607096799</v>
      </c>
      <c r="K369" s="10">
        <v>-0.36773929500000002</v>
      </c>
      <c r="L369" s="10">
        <v>-0.22020562900000001</v>
      </c>
      <c r="M369" s="10">
        <v>5.8886062000000003E-2</v>
      </c>
      <c r="N369" s="10">
        <v>2.7932087000000001E-2</v>
      </c>
      <c r="O369" s="9">
        <v>-0.12528169375000001</v>
      </c>
      <c r="P369" s="10">
        <v>0.20427796973482801</v>
      </c>
      <c r="Q369" s="10">
        <v>4.17294889189836E-2</v>
      </c>
    </row>
    <row r="370" spans="1:17" x14ac:dyDescent="0.2">
      <c r="A370" s="10">
        <v>1614</v>
      </c>
      <c r="B370" s="10" t="s">
        <v>2822</v>
      </c>
      <c r="C370" s="9" t="s">
        <v>414</v>
      </c>
      <c r="D370" s="10">
        <v>-3.0104183999999999E-2</v>
      </c>
      <c r="E370" s="10">
        <v>-0.125555579</v>
      </c>
      <c r="F370" s="10">
        <v>0.33649151799999999</v>
      </c>
      <c r="G370" s="10">
        <v>0.24751235699999999</v>
      </c>
      <c r="H370" s="9">
        <v>0.107086028</v>
      </c>
      <c r="I370" s="10">
        <v>0.22006794730620699</v>
      </c>
      <c r="J370" s="10">
        <v>4.8429901431567897E-2</v>
      </c>
      <c r="K370" s="10">
        <v>-0.80284095899999997</v>
      </c>
      <c r="L370" s="10">
        <v>3.6700146000000003E-2</v>
      </c>
      <c r="M370" s="10">
        <v>1.2513378E-2</v>
      </c>
      <c r="N370" s="10">
        <v>-0.524921953</v>
      </c>
      <c r="O370" s="9">
        <v>-0.31963734675</v>
      </c>
      <c r="P370" s="10">
        <v>0.41349244779317401</v>
      </c>
      <c r="Q370" s="10">
        <v>0.17097600438199001</v>
      </c>
    </row>
    <row r="371" spans="1:17" x14ac:dyDescent="0.2">
      <c r="A371" s="10">
        <v>1614</v>
      </c>
      <c r="B371" s="10" t="s">
        <v>2826</v>
      </c>
      <c r="C371" s="9" t="s">
        <v>415</v>
      </c>
      <c r="D371" s="10">
        <v>-0.38173689100000002</v>
      </c>
      <c r="E371" s="10">
        <v>-0.23103822399999999</v>
      </c>
      <c r="F371" s="10">
        <v>-1.376227259</v>
      </c>
      <c r="G371" s="10">
        <v>-0.42763617100000001</v>
      </c>
      <c r="H371" s="9">
        <v>-0.60415963625000002</v>
      </c>
      <c r="I371" s="10">
        <v>0.52151715017075695</v>
      </c>
      <c r="J371" s="10">
        <v>0.27198013792222803</v>
      </c>
      <c r="K371" s="10">
        <v>0.398377698</v>
      </c>
      <c r="L371" s="10">
        <v>0.77523336899999995</v>
      </c>
      <c r="M371" s="10">
        <v>-0.546768323</v>
      </c>
      <c r="N371" s="10">
        <v>-0.71200089899999996</v>
      </c>
      <c r="O371" s="9">
        <v>-2.128953875E-2</v>
      </c>
      <c r="P371" s="10">
        <v>0.72198325651110895</v>
      </c>
      <c r="Q371" s="10">
        <v>0.52125982268238602</v>
      </c>
    </row>
    <row r="372" spans="1:17" x14ac:dyDescent="0.2">
      <c r="A372" s="10">
        <v>1614</v>
      </c>
      <c r="B372" s="10" t="s">
        <v>2824</v>
      </c>
      <c r="C372" s="9" t="s">
        <v>416</v>
      </c>
      <c r="D372" s="10">
        <v>-3.4186419999999999E-3</v>
      </c>
      <c r="E372" s="10">
        <v>-0.51532456599999998</v>
      </c>
      <c r="F372" s="10">
        <v>-0.13825440999999999</v>
      </c>
      <c r="G372" s="10">
        <v>-0.90107976199999995</v>
      </c>
      <c r="H372" s="9">
        <v>-0.38951934500000002</v>
      </c>
      <c r="I372" s="10">
        <v>0.40403334610306602</v>
      </c>
      <c r="J372" s="10">
        <v>0.16324294476324</v>
      </c>
      <c r="K372" s="10">
        <v>0.33404554600000003</v>
      </c>
      <c r="L372" s="10">
        <v>0.44433558499999998</v>
      </c>
      <c r="M372" s="10">
        <v>-0.218215505</v>
      </c>
      <c r="N372" s="10">
        <v>0.24730152499999999</v>
      </c>
      <c r="O372" s="9">
        <v>0.20186678775</v>
      </c>
      <c r="P372" s="10">
        <v>0.29143083216173599</v>
      </c>
      <c r="Q372" s="10">
        <v>8.4931929934482203E-2</v>
      </c>
    </row>
    <row r="373" spans="1:17" x14ac:dyDescent="0.2">
      <c r="A373" s="10">
        <v>1614</v>
      </c>
      <c r="B373" s="10" t="s">
        <v>82</v>
      </c>
      <c r="C373" s="9" t="s">
        <v>2550</v>
      </c>
      <c r="D373" s="10">
        <v>6.7427240000000003E-3</v>
      </c>
      <c r="E373" s="10">
        <v>-0.56991419700000001</v>
      </c>
      <c r="F373" s="10">
        <v>-0.13884705899999999</v>
      </c>
      <c r="G373" s="10" t="s">
        <v>76</v>
      </c>
      <c r="H373" s="9">
        <v>-0.17550463275</v>
      </c>
      <c r="I373" s="10">
        <v>0.29987454791259399</v>
      </c>
      <c r="J373" s="10">
        <v>8.9924744485782998E-2</v>
      </c>
      <c r="K373" s="10">
        <v>6.3711135000000002E-2</v>
      </c>
      <c r="L373" s="10">
        <v>-0.234069265</v>
      </c>
      <c r="M373" s="10">
        <v>-1.2263574340000001</v>
      </c>
      <c r="N373" s="10">
        <v>0.210162713</v>
      </c>
      <c r="O373" s="9">
        <v>-0.29663821275000002</v>
      </c>
      <c r="P373" s="10">
        <v>0.64678474893098603</v>
      </c>
      <c r="Q373" s="10">
        <v>0.418330511449718</v>
      </c>
    </row>
    <row r="374" spans="1:17" x14ac:dyDescent="0.2">
      <c r="A374" s="10">
        <v>1614</v>
      </c>
      <c r="B374" s="10" t="s">
        <v>74</v>
      </c>
      <c r="C374" s="9" t="s">
        <v>417</v>
      </c>
      <c r="D374" s="10">
        <v>-0.34643185900000001</v>
      </c>
      <c r="E374" s="10">
        <v>-0.249604404</v>
      </c>
      <c r="F374" s="10">
        <v>-0.59323660199999995</v>
      </c>
      <c r="G374" s="10">
        <v>0.40550902</v>
      </c>
      <c r="H374" s="9">
        <v>-0.19594096150000001</v>
      </c>
      <c r="I374" s="10">
        <v>0.426267983588556</v>
      </c>
      <c r="J374" s="10">
        <v>0.18170439383265399</v>
      </c>
      <c r="K374" s="10">
        <v>0.54229025500000005</v>
      </c>
      <c r="L374" s="10">
        <v>-0.37566111800000002</v>
      </c>
      <c r="M374" s="10">
        <v>0.16825821799999999</v>
      </c>
      <c r="N374" s="10">
        <v>-0.31538010999999999</v>
      </c>
      <c r="O374" s="9">
        <v>4.876811E-3</v>
      </c>
      <c r="P374" s="10">
        <v>0.43315905654514802</v>
      </c>
      <c r="Q374" s="10">
        <v>0.18762676826708299</v>
      </c>
    </row>
    <row r="375" spans="1:17" x14ac:dyDescent="0.2">
      <c r="A375" s="10">
        <v>1615</v>
      </c>
      <c r="B375" s="10" t="s">
        <v>2821</v>
      </c>
      <c r="C375" s="9" t="s">
        <v>418</v>
      </c>
      <c r="D375" s="10">
        <v>-1.6162530989999999</v>
      </c>
      <c r="E375" s="10">
        <v>-0.73115780500000005</v>
      </c>
      <c r="F375" s="10">
        <v>-0.87185060299999995</v>
      </c>
      <c r="G375" s="10">
        <v>-0.78237403000000005</v>
      </c>
      <c r="H375" s="9">
        <v>-1.0004088842500001</v>
      </c>
      <c r="I375" s="10">
        <v>0.41465916520443002</v>
      </c>
      <c r="J375" s="10">
        <v>0.17194222328803499</v>
      </c>
      <c r="K375" s="10">
        <v>-0.80959944800000005</v>
      </c>
      <c r="L375" s="10">
        <v>-0.50341317299999999</v>
      </c>
      <c r="M375" s="10">
        <v>-0.111761764</v>
      </c>
      <c r="N375" s="10">
        <v>-0.15077817900000001</v>
      </c>
      <c r="O375" s="9">
        <v>-0.39388814124999999</v>
      </c>
      <c r="P375" s="10">
        <v>0.32838461678598602</v>
      </c>
      <c r="Q375" s="10">
        <v>0.10783645654167801</v>
      </c>
    </row>
    <row r="376" spans="1:17" x14ac:dyDescent="0.2">
      <c r="A376" s="10">
        <v>1615</v>
      </c>
      <c r="B376" s="10" t="s">
        <v>79</v>
      </c>
      <c r="C376" s="9" t="s">
        <v>419</v>
      </c>
      <c r="D376" s="10">
        <v>0.638460421</v>
      </c>
      <c r="E376" s="10">
        <v>-0.57381640899999997</v>
      </c>
      <c r="F376" s="10">
        <v>0.59633840000000005</v>
      </c>
      <c r="G376" s="10">
        <v>0.449798484</v>
      </c>
      <c r="H376" s="9">
        <v>0.27769522424999998</v>
      </c>
      <c r="I376" s="10">
        <v>0.57340404434533698</v>
      </c>
      <c r="J376" s="10">
        <v>0.32879219807158999</v>
      </c>
      <c r="K376" s="10">
        <v>0.45990119200000001</v>
      </c>
      <c r="L376" s="10">
        <v>5.5170675000000002E-2</v>
      </c>
      <c r="M376" s="10">
        <v>3.3527371E-2</v>
      </c>
      <c r="N376" s="10">
        <v>-0.59396077400000002</v>
      </c>
      <c r="O376" s="9">
        <v>-1.134038375E-2</v>
      </c>
      <c r="P376" s="10">
        <v>0.43510610897525398</v>
      </c>
      <c r="Q376" s="10">
        <v>0.189317326067585</v>
      </c>
    </row>
    <row r="377" spans="1:17" x14ac:dyDescent="0.2">
      <c r="A377" s="10">
        <v>1615</v>
      </c>
      <c r="B377" s="10" t="s">
        <v>2820</v>
      </c>
      <c r="C377" s="9" t="s">
        <v>420</v>
      </c>
      <c r="D377" s="10">
        <v>-0.76110096699999996</v>
      </c>
      <c r="E377" s="10">
        <v>0.161639121</v>
      </c>
      <c r="F377" s="10">
        <v>0.35290184000000002</v>
      </c>
      <c r="G377" s="10">
        <v>6.7441349999999997E-2</v>
      </c>
      <c r="H377" s="9">
        <v>-4.4779664249999997E-2</v>
      </c>
      <c r="I377" s="10">
        <v>0.492093845568567</v>
      </c>
      <c r="J377" s="10">
        <v>0.242156352846461</v>
      </c>
      <c r="K377" s="10">
        <v>0.1186866</v>
      </c>
      <c r="L377" s="10">
        <v>-0.36647756100000001</v>
      </c>
      <c r="M377" s="10">
        <v>-8.0002263000000004E-2</v>
      </c>
      <c r="N377" s="10">
        <v>-0.82112259399999998</v>
      </c>
      <c r="O377" s="9">
        <v>-0.28722895450000002</v>
      </c>
      <c r="P377" s="10">
        <v>0.40785336375786901</v>
      </c>
      <c r="Q377" s="10">
        <v>0.166344366328608</v>
      </c>
    </row>
    <row r="378" spans="1:17" x14ac:dyDescent="0.2">
      <c r="A378" s="10">
        <v>1615</v>
      </c>
      <c r="B378" s="10" t="s">
        <v>2814</v>
      </c>
      <c r="C378" s="9" t="s">
        <v>421</v>
      </c>
      <c r="D378" s="10">
        <v>0.48679794399999998</v>
      </c>
      <c r="E378" s="10">
        <v>-0.26197465800000003</v>
      </c>
      <c r="F378" s="10">
        <v>-0.22502983800000001</v>
      </c>
      <c r="G378" s="10">
        <v>0.430749365</v>
      </c>
      <c r="H378" s="9">
        <v>0.107635703</v>
      </c>
      <c r="I378" s="10">
        <v>0.40638431100727102</v>
      </c>
      <c r="J378" s="10">
        <v>0.165148208232855</v>
      </c>
      <c r="K378" s="10">
        <v>-0.33303778499999998</v>
      </c>
      <c r="L378" s="10">
        <v>0.93144611700000002</v>
      </c>
      <c r="M378" s="10">
        <v>-0.215504362</v>
      </c>
      <c r="N378" s="10">
        <v>-1.6084495000000001E-2</v>
      </c>
      <c r="O378" s="9">
        <v>9.1704868499999995E-2</v>
      </c>
      <c r="P378" s="10">
        <v>0.57491093348526501</v>
      </c>
      <c r="Q378" s="10">
        <v>0.33052258144089902</v>
      </c>
    </row>
    <row r="379" spans="1:17" x14ac:dyDescent="0.2">
      <c r="A379" s="10">
        <v>1616</v>
      </c>
      <c r="B379" s="10" t="s">
        <v>2831</v>
      </c>
      <c r="C379" s="9" t="s">
        <v>422</v>
      </c>
      <c r="D379" s="10">
        <v>-1.7939369220000001</v>
      </c>
      <c r="E379" s="10">
        <v>-0.89069976699999998</v>
      </c>
      <c r="F379" s="10">
        <v>-1.4892328669999999</v>
      </c>
      <c r="G379" s="10">
        <v>-1.5681773830000001</v>
      </c>
      <c r="H379" s="9">
        <v>-1.4355117344999999</v>
      </c>
      <c r="I379" s="10">
        <v>0.385475822559876</v>
      </c>
      <c r="J379" s="10">
        <v>0.14859160977821301</v>
      </c>
      <c r="K379" s="10">
        <v>-0.40119165000000001</v>
      </c>
      <c r="L379" s="10">
        <v>3.0123245999999999E-2</v>
      </c>
      <c r="M379" s="10">
        <v>-0.55733761599999998</v>
      </c>
      <c r="N379" s="10">
        <v>-0.11348660200000001</v>
      </c>
      <c r="O379" s="9">
        <v>-0.26047315524999998</v>
      </c>
      <c r="P379" s="10">
        <v>0.26707147487570898</v>
      </c>
      <c r="Q379" s="10">
        <v>7.1327172692286694E-2</v>
      </c>
    </row>
    <row r="380" spans="1:17" x14ac:dyDescent="0.2">
      <c r="A380" s="10">
        <v>1616</v>
      </c>
      <c r="B380" s="10" t="s">
        <v>96</v>
      </c>
      <c r="C380" s="9" t="s">
        <v>423</v>
      </c>
      <c r="D380" s="10">
        <v>-0.71882005199999999</v>
      </c>
      <c r="E380" s="10">
        <v>0.83853505900000003</v>
      </c>
      <c r="F380" s="10">
        <v>-0.52443891799999998</v>
      </c>
      <c r="G380" s="10">
        <v>0.31854788899999997</v>
      </c>
      <c r="H380" s="9">
        <v>-2.1544005750000001E-2</v>
      </c>
      <c r="I380" s="10">
        <v>0.72903947582574802</v>
      </c>
      <c r="J380" s="10">
        <v>0.53149855731228202</v>
      </c>
      <c r="K380" s="10">
        <v>-0.44462126600000001</v>
      </c>
      <c r="L380" s="10">
        <v>0.405701125</v>
      </c>
      <c r="M380" s="10">
        <v>-5.3808214E-2</v>
      </c>
      <c r="N380" s="10">
        <v>-0.62200087800000003</v>
      </c>
      <c r="O380" s="9">
        <v>-0.17868230825</v>
      </c>
      <c r="P380" s="10">
        <v>0.45619894052418097</v>
      </c>
      <c r="Q380" s="10">
        <v>0.20811747333538499</v>
      </c>
    </row>
    <row r="381" spans="1:17" x14ac:dyDescent="0.2">
      <c r="A381" s="10">
        <v>1616</v>
      </c>
      <c r="B381" s="10" t="s">
        <v>2819</v>
      </c>
      <c r="C381" s="9" t="s">
        <v>424</v>
      </c>
      <c r="D381" s="10">
        <v>-0.71206694500000001</v>
      </c>
      <c r="E381" s="10">
        <v>-0.21420273000000001</v>
      </c>
      <c r="F381" s="10">
        <v>-0.15050243599999999</v>
      </c>
      <c r="G381" s="10">
        <v>-4.2755871000000001E-2</v>
      </c>
      <c r="H381" s="9">
        <v>-0.27988199549999998</v>
      </c>
      <c r="I381" s="10">
        <v>0.29668471808062502</v>
      </c>
      <c r="J381" s="10">
        <v>8.8021821942580195E-2</v>
      </c>
      <c r="K381" s="10">
        <v>8.4785456999999995E-2</v>
      </c>
      <c r="L381" s="10">
        <v>-0.36867530900000001</v>
      </c>
      <c r="M381" s="10">
        <v>3.6204786000000003E-2</v>
      </c>
      <c r="N381" s="10">
        <v>-0.60003962</v>
      </c>
      <c r="O381" s="9">
        <v>-0.21193117175000001</v>
      </c>
      <c r="P381" s="10">
        <v>0.329043615888301</v>
      </c>
      <c r="Q381" s="10">
        <v>0.108269701156848</v>
      </c>
    </row>
    <row r="382" spans="1:17" x14ac:dyDescent="0.2">
      <c r="A382" s="10">
        <v>1616</v>
      </c>
      <c r="B382" s="10" t="s">
        <v>2826</v>
      </c>
      <c r="C382" s="9" t="s">
        <v>425</v>
      </c>
      <c r="D382" s="10">
        <v>-1.7651139999999999E-3</v>
      </c>
      <c r="E382" s="10">
        <v>0.352896398</v>
      </c>
      <c r="F382" s="10">
        <v>0.30703961200000002</v>
      </c>
      <c r="G382" s="10">
        <v>0.68631175499999997</v>
      </c>
      <c r="H382" s="9">
        <v>0.3361206625</v>
      </c>
      <c r="I382" s="10">
        <v>0.28161896954756699</v>
      </c>
      <c r="J382" s="10">
        <v>7.9309244009033594E-2</v>
      </c>
      <c r="K382" s="10">
        <v>0.37572495900000003</v>
      </c>
      <c r="L382" s="10">
        <v>0.20376058999999999</v>
      </c>
      <c r="M382" s="10">
        <v>-0.48573282800000001</v>
      </c>
      <c r="N382" s="10">
        <v>-0.40942318300000002</v>
      </c>
      <c r="O382" s="9">
        <v>-7.8917615499999996E-2</v>
      </c>
      <c r="P382" s="10">
        <v>0.43256575056385099</v>
      </c>
      <c r="Q382" s="10">
        <v>0.18711312856086801</v>
      </c>
    </row>
    <row r="383" spans="1:17" x14ac:dyDescent="0.2">
      <c r="A383" s="10">
        <v>1616</v>
      </c>
      <c r="B383" s="10" t="s">
        <v>2821</v>
      </c>
      <c r="C383" s="9" t="s">
        <v>426</v>
      </c>
      <c r="D383" s="10">
        <v>0.17424699199999999</v>
      </c>
      <c r="E383" s="10">
        <v>0.16564583099999999</v>
      </c>
      <c r="F383" s="10">
        <v>0.46216318099999998</v>
      </c>
      <c r="G383" s="10">
        <v>0.209664875</v>
      </c>
      <c r="H383" s="9">
        <v>0.25293021975000002</v>
      </c>
      <c r="I383" s="10">
        <v>0.14078344715484101</v>
      </c>
      <c r="J383" s="10">
        <v>1.98199789927999E-2</v>
      </c>
      <c r="K383" s="10">
        <v>1.3982680000000001E-2</v>
      </c>
      <c r="L383" s="10">
        <v>0.14949270000000001</v>
      </c>
      <c r="M383" s="10">
        <v>8.7459600999999998E-2</v>
      </c>
      <c r="N383" s="10">
        <v>-0.31604201900000001</v>
      </c>
      <c r="O383" s="9">
        <v>-1.6276759250000002E-2</v>
      </c>
      <c r="P383" s="10">
        <v>0.20737694397293699</v>
      </c>
      <c r="Q383" s="10">
        <v>4.3005196891554798E-2</v>
      </c>
    </row>
    <row r="384" spans="1:17" x14ac:dyDescent="0.2">
      <c r="A384" s="10">
        <v>1616</v>
      </c>
      <c r="B384" s="10" t="s">
        <v>2820</v>
      </c>
      <c r="C384" s="9" t="s">
        <v>427</v>
      </c>
      <c r="D384" s="10">
        <v>-0.41401685399999999</v>
      </c>
      <c r="E384" s="10">
        <v>-0.45670818299999999</v>
      </c>
      <c r="F384" s="10">
        <v>-0.34071632699999999</v>
      </c>
      <c r="G384" s="10">
        <v>-7.9343621000000003E-2</v>
      </c>
      <c r="H384" s="9">
        <v>-0.32269624624999999</v>
      </c>
      <c r="I384" s="10">
        <v>0.16915858054659699</v>
      </c>
      <c r="J384" s="10">
        <v>2.8614625372539601E-2</v>
      </c>
      <c r="K384" s="10">
        <v>-0.246358154</v>
      </c>
      <c r="L384" s="10">
        <v>-0.46213226699999999</v>
      </c>
      <c r="M384" s="10">
        <v>-0.30112742399999998</v>
      </c>
      <c r="N384" s="10">
        <v>-0.508904299</v>
      </c>
      <c r="O384" s="9">
        <v>-0.37963053600000002</v>
      </c>
      <c r="P384" s="10">
        <v>0.12575440060665199</v>
      </c>
      <c r="Q384" s="10">
        <v>1.5814169271938301E-2</v>
      </c>
    </row>
    <row r="385" spans="1:17" x14ac:dyDescent="0.2">
      <c r="A385" s="10">
        <v>1616</v>
      </c>
      <c r="B385" s="10" t="s">
        <v>2824</v>
      </c>
      <c r="C385" s="9" t="s">
        <v>428</v>
      </c>
      <c r="D385" s="10">
        <v>4.3766909E-2</v>
      </c>
      <c r="E385" s="10">
        <v>0.19267515499999999</v>
      </c>
      <c r="F385" s="10">
        <v>5.8383913000000003E-2</v>
      </c>
      <c r="G385" s="10">
        <v>-3.9554076000000001E-2</v>
      </c>
      <c r="H385" s="9">
        <v>6.3817975250000006E-2</v>
      </c>
      <c r="I385" s="10">
        <v>9.6127568094096005E-2</v>
      </c>
      <c r="J385" s="10">
        <v>9.2405093476849998E-3</v>
      </c>
      <c r="K385" s="10">
        <v>-0.359146564</v>
      </c>
      <c r="L385" s="10">
        <v>-0.55599334199999995</v>
      </c>
      <c r="M385" s="10">
        <v>-0.55244680199999996</v>
      </c>
      <c r="N385" s="10">
        <v>0.21156190699999999</v>
      </c>
      <c r="O385" s="9">
        <v>-0.31400620000000001</v>
      </c>
      <c r="P385" s="10">
        <v>0.36224815855665599</v>
      </c>
      <c r="Q385" s="10">
        <v>0.131223728377688</v>
      </c>
    </row>
    <row r="386" spans="1:17" x14ac:dyDescent="0.2">
      <c r="A386" s="10">
        <v>1616</v>
      </c>
      <c r="B386" s="10" t="s">
        <v>82</v>
      </c>
      <c r="C386" s="9" t="s">
        <v>429</v>
      </c>
      <c r="D386" s="10">
        <v>0.38326367700000002</v>
      </c>
      <c r="E386" s="10">
        <v>0.29449721499999998</v>
      </c>
      <c r="F386" s="10">
        <v>-0.31049944299999999</v>
      </c>
      <c r="G386" s="10">
        <v>0.16444188700000001</v>
      </c>
      <c r="H386" s="9">
        <v>0.13292583399999999</v>
      </c>
      <c r="I386" s="10">
        <v>0.308973345492975</v>
      </c>
      <c r="J386" s="10">
        <v>9.5464528225121706E-2</v>
      </c>
      <c r="K386" s="10">
        <v>0.32853653599999999</v>
      </c>
      <c r="L386" s="10">
        <v>0.31940006999999998</v>
      </c>
      <c r="M386" s="10">
        <v>1.0088057189999999</v>
      </c>
      <c r="N386" s="10">
        <v>-0.30127965699999998</v>
      </c>
      <c r="O386" s="9">
        <v>0.33886566725</v>
      </c>
      <c r="P386" s="10">
        <v>0.53512967572561598</v>
      </c>
      <c r="Q386" s="10">
        <v>0.28636376984220302</v>
      </c>
    </row>
    <row r="387" spans="1:17" x14ac:dyDescent="0.2">
      <c r="A387" s="10">
        <v>1616</v>
      </c>
      <c r="B387" s="10" t="s">
        <v>2814</v>
      </c>
      <c r="C387" s="9" t="s">
        <v>430</v>
      </c>
      <c r="D387" s="10">
        <v>-0.20049605000000001</v>
      </c>
      <c r="E387" s="10">
        <v>-8.7951120999999993E-2</v>
      </c>
      <c r="F387" s="10">
        <v>-1.8527011999999999E-2</v>
      </c>
      <c r="G387" s="10">
        <v>-1.6825775000000001E-2</v>
      </c>
      <c r="H387" s="9">
        <v>-8.09499895E-2</v>
      </c>
      <c r="I387" s="10">
        <v>8.6311102855807703E-2</v>
      </c>
      <c r="J387" s="10">
        <v>7.4496064761858001E-3</v>
      </c>
      <c r="K387" s="10">
        <v>-0.22041603400000001</v>
      </c>
      <c r="L387" s="10">
        <v>-0.25512015500000002</v>
      </c>
      <c r="M387" s="10">
        <v>-6.9903119999999999E-2</v>
      </c>
      <c r="N387" s="10">
        <v>-0.27688267100000002</v>
      </c>
      <c r="O387" s="9">
        <v>-0.205580495</v>
      </c>
      <c r="P387" s="10">
        <v>9.3392757605647497E-2</v>
      </c>
      <c r="Q387" s="10">
        <v>8.7222071731871999E-3</v>
      </c>
    </row>
    <row r="388" spans="1:17" x14ac:dyDescent="0.2">
      <c r="A388" s="10">
        <v>1616</v>
      </c>
      <c r="B388" s="10" t="s">
        <v>2825</v>
      </c>
      <c r="C388" s="9" t="s">
        <v>431</v>
      </c>
      <c r="D388" s="10">
        <v>-8.4621126000000005E-2</v>
      </c>
      <c r="E388" s="10">
        <v>0.159027747</v>
      </c>
      <c r="F388" s="10">
        <v>-1.8723305999999999E-2</v>
      </c>
      <c r="G388" s="10">
        <v>0.100979813</v>
      </c>
      <c r="H388" s="9">
        <v>3.9165782000000003E-2</v>
      </c>
      <c r="I388" s="10">
        <v>0.11084856063387</v>
      </c>
      <c r="J388" s="10">
        <v>1.22874033946007E-2</v>
      </c>
      <c r="K388" s="10">
        <v>-0.19925839200000001</v>
      </c>
      <c r="L388" s="10">
        <v>-0.33987425100000002</v>
      </c>
      <c r="M388" s="10">
        <v>8.2712433000000002E-2</v>
      </c>
      <c r="N388" s="10">
        <v>-2.8062344999999999E-2</v>
      </c>
      <c r="O388" s="9">
        <v>-0.12112063875</v>
      </c>
      <c r="P388" s="10">
        <v>0.18633877618474201</v>
      </c>
      <c r="Q388" s="10">
        <v>3.47221395100277E-2</v>
      </c>
    </row>
    <row r="389" spans="1:17" x14ac:dyDescent="0.2">
      <c r="A389" s="10">
        <v>1616</v>
      </c>
      <c r="B389" s="10" t="s">
        <v>2835</v>
      </c>
      <c r="C389" s="9" t="s">
        <v>2549</v>
      </c>
      <c r="D389" s="10">
        <v>1.1111947209999999</v>
      </c>
      <c r="E389" s="10">
        <v>-0.38294944199999997</v>
      </c>
      <c r="F389" s="10">
        <v>9.0158492000000007E-2</v>
      </c>
      <c r="G389" s="10">
        <v>1.1607201309999999</v>
      </c>
      <c r="H389" s="9">
        <v>0.4947809755</v>
      </c>
      <c r="I389" s="10">
        <v>0.76541293962318602</v>
      </c>
      <c r="J389" s="10">
        <v>0.58585696814260801</v>
      </c>
      <c r="K389" s="10">
        <v>2.3959534000000001E-2</v>
      </c>
      <c r="L389" s="10">
        <v>-0.60584002100000001</v>
      </c>
      <c r="M389" s="10">
        <v>-1.3604376570000001</v>
      </c>
      <c r="N389" s="10">
        <v>-0.61717709399999998</v>
      </c>
      <c r="O389" s="9">
        <v>-0.63987380974999997</v>
      </c>
      <c r="P389" s="10">
        <v>0.56614497728660196</v>
      </c>
      <c r="Q389" s="10">
        <v>0.32052013530684698</v>
      </c>
    </row>
    <row r="390" spans="1:17" x14ac:dyDescent="0.2">
      <c r="A390" s="10">
        <v>1617</v>
      </c>
      <c r="B390" s="10" t="s">
        <v>2831</v>
      </c>
      <c r="C390" s="9" t="s">
        <v>432</v>
      </c>
      <c r="D390" s="10">
        <v>-1.295041756</v>
      </c>
      <c r="E390" s="10">
        <v>-0.602903509</v>
      </c>
      <c r="F390" s="10">
        <v>-0.314602135</v>
      </c>
      <c r="G390" s="10">
        <v>-2.0394116659999999</v>
      </c>
      <c r="H390" s="9">
        <v>-1.0629897665000001</v>
      </c>
      <c r="I390" s="10">
        <v>0.77006736999144698</v>
      </c>
      <c r="J390" s="10">
        <v>0.59300375432554397</v>
      </c>
      <c r="K390" s="10">
        <v>0.170463225</v>
      </c>
      <c r="L390" s="10">
        <v>7.5962923000000002E-2</v>
      </c>
      <c r="M390" s="10">
        <v>-9.6601486E-2</v>
      </c>
      <c r="N390" s="10">
        <v>-5.9872393000000003E-2</v>
      </c>
      <c r="O390" s="9">
        <v>2.24880675E-2</v>
      </c>
      <c r="P390" s="10">
        <v>0.123452790726519</v>
      </c>
      <c r="Q390" s="10">
        <v>1.5240591538165701E-2</v>
      </c>
    </row>
    <row r="391" spans="1:17" x14ac:dyDescent="0.2">
      <c r="A391" s="10">
        <v>1617</v>
      </c>
      <c r="B391" s="10" t="s">
        <v>2819</v>
      </c>
      <c r="C391" s="9" t="s">
        <v>433</v>
      </c>
      <c r="D391" s="10">
        <v>-0.43930887099999999</v>
      </c>
      <c r="E391" s="10">
        <v>-0.23030049999999999</v>
      </c>
      <c r="F391" s="10">
        <v>-0.50262354300000001</v>
      </c>
      <c r="G391" s="10">
        <v>-0.440268822</v>
      </c>
      <c r="H391" s="9">
        <v>-0.403125434</v>
      </c>
      <c r="I391" s="10">
        <v>0.118963865510963</v>
      </c>
      <c r="J391" s="10">
        <v>1.4152401297310499E-2</v>
      </c>
      <c r="K391" s="10">
        <v>-0.51754635199999999</v>
      </c>
      <c r="L391" s="10">
        <v>-0.30817557000000001</v>
      </c>
      <c r="M391" s="10">
        <v>0.48185077900000001</v>
      </c>
      <c r="N391" s="10">
        <v>0.24370229800000001</v>
      </c>
      <c r="O391" s="9">
        <v>-2.5042211500000001E-2</v>
      </c>
      <c r="P391" s="10">
        <v>0.46615052730119999</v>
      </c>
      <c r="Q391" s="10">
        <v>0.217296314103187</v>
      </c>
    </row>
    <row r="392" spans="1:17" x14ac:dyDescent="0.2">
      <c r="A392" s="10">
        <v>1617</v>
      </c>
      <c r="B392" s="10" t="s">
        <v>2821</v>
      </c>
      <c r="C392" s="9" t="s">
        <v>434</v>
      </c>
      <c r="D392" s="10">
        <v>-0.16016577200000001</v>
      </c>
      <c r="E392" s="10">
        <v>-0.17999648300000001</v>
      </c>
      <c r="F392" s="10">
        <v>-0.58277794199999999</v>
      </c>
      <c r="G392" s="10">
        <v>-0.13028756</v>
      </c>
      <c r="H392" s="9">
        <v>-0.26330693924999998</v>
      </c>
      <c r="I392" s="10">
        <v>0.21395841446133201</v>
      </c>
      <c r="J392" s="10">
        <v>4.57782031188071E-2</v>
      </c>
      <c r="K392" s="10">
        <v>0.38002072199999998</v>
      </c>
      <c r="L392" s="10">
        <v>0.93830413300000004</v>
      </c>
      <c r="M392" s="10">
        <v>-0.66894711200000001</v>
      </c>
      <c r="N392" s="10">
        <v>5.9512442999999998E-2</v>
      </c>
      <c r="O392" s="9">
        <v>0.17722254649999999</v>
      </c>
      <c r="P392" s="10">
        <v>0.670877793324406</v>
      </c>
      <c r="Q392" s="10">
        <v>0.45007701357582403</v>
      </c>
    </row>
    <row r="393" spans="1:17" x14ac:dyDescent="0.2">
      <c r="A393" s="10">
        <v>1617</v>
      </c>
      <c r="B393" s="10" t="s">
        <v>2824</v>
      </c>
      <c r="C393" s="9" t="s">
        <v>435</v>
      </c>
      <c r="D393" s="10">
        <v>-9.8395407000000004E-2</v>
      </c>
      <c r="E393" s="10">
        <v>0.28359009299999999</v>
      </c>
      <c r="F393" s="10">
        <v>-0.16228870200000001</v>
      </c>
      <c r="G393" s="10">
        <v>0.27890457400000002</v>
      </c>
      <c r="H393" s="9">
        <v>7.5452639500000002E-2</v>
      </c>
      <c r="I393" s="10">
        <v>0.23906622369219699</v>
      </c>
      <c r="J393" s="10">
        <v>5.7152659310447503E-2</v>
      </c>
      <c r="K393" s="10">
        <v>-0.306325448</v>
      </c>
      <c r="L393" s="10">
        <v>0.19424481499999999</v>
      </c>
      <c r="M393" s="10">
        <v>-0.42565581499999999</v>
      </c>
      <c r="N393" s="10">
        <v>-0.30350185200000002</v>
      </c>
      <c r="O393" s="9">
        <v>-0.21030957524999999</v>
      </c>
      <c r="P393" s="10">
        <v>0.27564597216405801</v>
      </c>
      <c r="Q393" s="10">
        <v>7.5980701970268794E-2</v>
      </c>
    </row>
    <row r="394" spans="1:17" x14ac:dyDescent="0.2">
      <c r="A394" s="10">
        <v>1617</v>
      </c>
      <c r="B394" s="10" t="s">
        <v>74</v>
      </c>
      <c r="C394" s="9" t="s">
        <v>436</v>
      </c>
      <c r="D394" s="10">
        <v>-0.30288995899999999</v>
      </c>
      <c r="E394" s="10">
        <v>-9.9839421999999997E-2</v>
      </c>
      <c r="F394" s="10">
        <v>0.43305927</v>
      </c>
      <c r="G394" s="10">
        <v>0.101986694</v>
      </c>
      <c r="H394" s="9">
        <v>3.3079145749999997E-2</v>
      </c>
      <c r="I394" s="10">
        <v>0.313727554310051</v>
      </c>
      <c r="J394" s="10">
        <v>9.84249783333664E-2</v>
      </c>
      <c r="K394" s="10">
        <v>-0.32931517599999999</v>
      </c>
      <c r="L394" s="10">
        <v>0.29096929300000002</v>
      </c>
      <c r="M394" s="10">
        <v>-0.13075852199999999</v>
      </c>
      <c r="N394" s="10">
        <v>-0.104420085</v>
      </c>
      <c r="O394" s="9">
        <v>-6.8381122500000002E-2</v>
      </c>
      <c r="P394" s="10">
        <v>0.25974926896427197</v>
      </c>
      <c r="Q394" s="10">
        <v>6.7469682727474098E-2</v>
      </c>
    </row>
    <row r="395" spans="1:17" x14ac:dyDescent="0.2">
      <c r="A395" s="10">
        <v>1617</v>
      </c>
      <c r="B395" s="10" t="s">
        <v>2818</v>
      </c>
      <c r="C395" s="9" t="s">
        <v>437</v>
      </c>
      <c r="D395" s="10">
        <v>-0.693500903</v>
      </c>
      <c r="E395" s="10">
        <v>-4.3165413E-2</v>
      </c>
      <c r="F395" s="10">
        <v>-5.0136194000000002E-2</v>
      </c>
      <c r="G395" s="10">
        <v>7.7520292000000005E-2</v>
      </c>
      <c r="H395" s="9">
        <v>-0.1773205545</v>
      </c>
      <c r="I395" s="10">
        <v>0.34907471634264597</v>
      </c>
      <c r="J395" s="10">
        <v>0.121853157589699</v>
      </c>
      <c r="K395" s="10">
        <v>0.29735350999999999</v>
      </c>
      <c r="L395" s="10">
        <v>-0.31611692800000002</v>
      </c>
      <c r="M395" s="10">
        <v>-4.43335E-3</v>
      </c>
      <c r="N395" s="10">
        <v>-7.6860618000000006E-2</v>
      </c>
      <c r="O395" s="9">
        <v>-2.50143465E-2</v>
      </c>
      <c r="P395" s="10">
        <v>0.25283285726987897</v>
      </c>
      <c r="Q395" s="10">
        <v>6.3924453715251101E-2</v>
      </c>
    </row>
    <row r="396" spans="1:17" x14ac:dyDescent="0.2">
      <c r="A396" s="10">
        <v>1617</v>
      </c>
      <c r="B396" s="10" t="s">
        <v>2830</v>
      </c>
      <c r="C396" s="9" t="s">
        <v>438</v>
      </c>
      <c r="D396" s="10">
        <v>-0.22536234299999999</v>
      </c>
      <c r="E396" s="10">
        <v>0.180277245</v>
      </c>
      <c r="F396" s="10">
        <v>-0.25579747400000002</v>
      </c>
      <c r="G396" s="10">
        <v>-5.830834E-3</v>
      </c>
      <c r="H396" s="9">
        <v>-7.6678351500000005E-2</v>
      </c>
      <c r="I396" s="10">
        <v>0.204316860686308</v>
      </c>
      <c r="J396" s="10">
        <v>4.17453795607085E-2</v>
      </c>
      <c r="K396" s="10">
        <v>0.21389640800000001</v>
      </c>
      <c r="L396" s="10">
        <v>0.119368191</v>
      </c>
      <c r="M396" s="10">
        <v>-0.79209441199999997</v>
      </c>
      <c r="N396" s="10">
        <v>0.38664670400000001</v>
      </c>
      <c r="O396" s="9">
        <v>-1.8045777249999999E-2</v>
      </c>
      <c r="P396" s="10">
        <v>0.52776480535284398</v>
      </c>
      <c r="Q396" s="10">
        <v>0.27853568976912502</v>
      </c>
    </row>
    <row r="397" spans="1:17" x14ac:dyDescent="0.2">
      <c r="A397" s="10">
        <v>1618</v>
      </c>
      <c r="B397" s="10" t="s">
        <v>2831</v>
      </c>
      <c r="C397" s="9" t="s">
        <v>2548</v>
      </c>
      <c r="D397" s="10">
        <v>-5.9434912280000001</v>
      </c>
      <c r="E397" s="10">
        <v>0.31479462699999999</v>
      </c>
      <c r="F397" s="10">
        <v>-1.653314642</v>
      </c>
      <c r="G397" s="10">
        <v>-0.19754170400000001</v>
      </c>
      <c r="H397" s="9">
        <v>-1.86988823675</v>
      </c>
      <c r="I397" s="10">
        <v>2.8408172294269902</v>
      </c>
      <c r="J397" s="10">
        <v>8.0702425310092405</v>
      </c>
      <c r="K397" s="10">
        <v>0.80188659900000003</v>
      </c>
      <c r="L397" s="10">
        <v>-0.53850581799999997</v>
      </c>
      <c r="M397" s="10">
        <v>-1.355820389</v>
      </c>
      <c r="N397" s="10">
        <v>-5.5254390869999996</v>
      </c>
      <c r="O397" s="9">
        <v>-1.65446967375</v>
      </c>
      <c r="P397" s="10">
        <v>2.7296310531899901</v>
      </c>
      <c r="Q397" s="10">
        <v>7.45088568653913</v>
      </c>
    </row>
    <row r="398" spans="1:17" x14ac:dyDescent="0.2">
      <c r="A398" s="10">
        <v>1618</v>
      </c>
      <c r="B398" s="10" t="s">
        <v>2819</v>
      </c>
      <c r="C398" s="9" t="s">
        <v>439</v>
      </c>
      <c r="D398" s="10">
        <v>-0.62135589300000005</v>
      </c>
      <c r="E398" s="10">
        <v>-0.28164918999999999</v>
      </c>
      <c r="F398" s="10">
        <v>-0.38907187900000001</v>
      </c>
      <c r="G398" s="10">
        <v>-0.29170798599999997</v>
      </c>
      <c r="H398" s="9">
        <v>-0.39594623699999998</v>
      </c>
      <c r="I398" s="10">
        <v>0.15788835479583799</v>
      </c>
      <c r="J398" s="10">
        <v>2.49287325801365E-2</v>
      </c>
      <c r="K398" s="10">
        <v>-0.41178577500000002</v>
      </c>
      <c r="L398" s="10">
        <v>5.0439587000000001E-2</v>
      </c>
      <c r="M398" s="10">
        <v>0.35166535999999998</v>
      </c>
      <c r="N398" s="10">
        <v>-0.26015268200000002</v>
      </c>
      <c r="O398" s="9">
        <v>-6.7458377250000007E-2</v>
      </c>
      <c r="P398" s="10">
        <v>0.33924282798858202</v>
      </c>
      <c r="Q398" s="10">
        <v>0.115085696341691</v>
      </c>
    </row>
    <row r="399" spans="1:17" x14ac:dyDescent="0.2">
      <c r="A399" s="10">
        <v>1618</v>
      </c>
      <c r="B399" s="10" t="s">
        <v>2826</v>
      </c>
      <c r="C399" s="9" t="s">
        <v>440</v>
      </c>
      <c r="D399" s="10">
        <v>-1.7620126490000001</v>
      </c>
      <c r="E399" s="10">
        <v>-0.17123089399999999</v>
      </c>
      <c r="F399" s="10">
        <v>7.4029330000000004E-2</v>
      </c>
      <c r="G399" s="10">
        <v>1.0555361089999999</v>
      </c>
      <c r="H399" s="9">
        <v>-0.20091952625000001</v>
      </c>
      <c r="I399" s="10">
        <v>1.16792847807373</v>
      </c>
      <c r="J399" s="10">
        <v>1.36405692989562</v>
      </c>
      <c r="K399" s="10">
        <v>4.5940160000000001E-2</v>
      </c>
      <c r="L399" s="10">
        <v>-0.91803696000000001</v>
      </c>
      <c r="M399" s="10">
        <v>-0.12529469200000001</v>
      </c>
      <c r="N399" s="10">
        <v>1.1653301410000001</v>
      </c>
      <c r="O399" s="9">
        <v>4.1984662249999999E-2</v>
      </c>
      <c r="P399" s="10">
        <v>0.85859276496220505</v>
      </c>
      <c r="Q399" s="10">
        <v>0.73718153604544501</v>
      </c>
    </row>
    <row r="400" spans="1:17" x14ac:dyDescent="0.2">
      <c r="A400" s="10">
        <v>1618</v>
      </c>
      <c r="B400" s="10" t="s">
        <v>2821</v>
      </c>
      <c r="C400" s="9" t="s">
        <v>441</v>
      </c>
      <c r="D400" s="10">
        <v>-0.37306634900000002</v>
      </c>
      <c r="E400" s="10">
        <v>0.186785703</v>
      </c>
      <c r="F400" s="10">
        <v>-0.223268417</v>
      </c>
      <c r="G400" s="10">
        <v>2.8836396E-2</v>
      </c>
      <c r="H400" s="9">
        <v>-9.5178166750000001E-2</v>
      </c>
      <c r="I400" s="10">
        <v>0.25067388486623099</v>
      </c>
      <c r="J400" s="10">
        <v>6.2837396553928407E-2</v>
      </c>
      <c r="K400" s="10">
        <v>-0.192888315</v>
      </c>
      <c r="L400" s="10">
        <v>-9.0744551000000007E-2</v>
      </c>
      <c r="M400" s="10">
        <v>-0.40300710099999998</v>
      </c>
      <c r="N400" s="10">
        <v>-0.19810175999999999</v>
      </c>
      <c r="O400" s="9">
        <v>-0.22118543174999999</v>
      </c>
      <c r="P400" s="10">
        <v>0.130903941241299</v>
      </c>
      <c r="Q400" s="10">
        <v>1.7135841832505602E-2</v>
      </c>
    </row>
    <row r="401" spans="1:17" x14ac:dyDescent="0.2">
      <c r="A401" s="10">
        <v>1618</v>
      </c>
      <c r="B401" s="10" t="s">
        <v>2820</v>
      </c>
      <c r="C401" s="9" t="s">
        <v>442</v>
      </c>
      <c r="D401" s="10">
        <v>-0.30459529499999999</v>
      </c>
      <c r="E401" s="10">
        <v>-0.14096014900000001</v>
      </c>
      <c r="F401" s="10">
        <v>-0.29450532200000001</v>
      </c>
      <c r="G401" s="10">
        <v>2.0117362999999999E-2</v>
      </c>
      <c r="H401" s="9">
        <v>-0.17998585075000001</v>
      </c>
      <c r="I401" s="10">
        <v>0.15297769384437601</v>
      </c>
      <c r="J401" s="10">
        <v>2.3402174813943799E-2</v>
      </c>
      <c r="K401" s="10">
        <v>-0.20181707700000001</v>
      </c>
      <c r="L401" s="10">
        <v>-0.180380129</v>
      </c>
      <c r="M401" s="10">
        <v>-0.39128671199999998</v>
      </c>
      <c r="N401" s="10">
        <v>-0.11785755000000001</v>
      </c>
      <c r="O401" s="9">
        <v>-0.22283536725</v>
      </c>
      <c r="P401" s="10">
        <v>0.11781399668199399</v>
      </c>
      <c r="Q401" s="10">
        <v>1.3880137814185E-2</v>
      </c>
    </row>
    <row r="402" spans="1:17" x14ac:dyDescent="0.2">
      <c r="A402" s="10">
        <v>1618</v>
      </c>
      <c r="B402" s="10" t="s">
        <v>2824</v>
      </c>
      <c r="C402" s="9" t="s">
        <v>443</v>
      </c>
      <c r="D402" s="10">
        <v>-3.2010139E-2</v>
      </c>
      <c r="E402" s="10">
        <v>6.0380986999999997E-2</v>
      </c>
      <c r="F402" s="10">
        <v>-5.8290214999999999E-2</v>
      </c>
      <c r="G402" s="10">
        <v>0.149986536</v>
      </c>
      <c r="H402" s="9">
        <v>3.0016792E-2</v>
      </c>
      <c r="I402" s="10">
        <v>9.47983675457202E-2</v>
      </c>
      <c r="J402" s="10">
        <v>8.9867304893334003E-3</v>
      </c>
      <c r="K402" s="10">
        <v>-3.6626712999999998E-2</v>
      </c>
      <c r="L402" s="10">
        <v>-4.9012932000000002E-2</v>
      </c>
      <c r="M402" s="10">
        <v>-0.41365678299999997</v>
      </c>
      <c r="N402" s="10">
        <v>5.1747172000000001E-2</v>
      </c>
      <c r="O402" s="9">
        <v>-0.111887314</v>
      </c>
      <c r="P402" s="10">
        <v>0.206121649682729</v>
      </c>
      <c r="Q402" s="10">
        <v>4.2486134467929697E-2</v>
      </c>
    </row>
    <row r="403" spans="1:17" x14ac:dyDescent="0.2">
      <c r="A403" s="10">
        <v>1618</v>
      </c>
      <c r="B403" s="10" t="s">
        <v>2814</v>
      </c>
      <c r="C403" s="9" t="s">
        <v>444</v>
      </c>
      <c r="D403" s="10">
        <v>-9.9438789999999992E-3</v>
      </c>
      <c r="E403" s="10">
        <v>8.1661798999999993E-2</v>
      </c>
      <c r="F403" s="10">
        <v>0.21343802000000001</v>
      </c>
      <c r="G403" s="10">
        <v>0.117978152</v>
      </c>
      <c r="H403" s="9">
        <v>0.100783523</v>
      </c>
      <c r="I403" s="10">
        <v>9.2399294447472899E-2</v>
      </c>
      <c r="J403" s="10">
        <v>8.5376296143908001E-3</v>
      </c>
      <c r="K403" s="10">
        <v>5.9891901999999997E-2</v>
      </c>
      <c r="L403" s="10">
        <v>-1.2358851000000001E-2</v>
      </c>
      <c r="M403" s="10">
        <v>8.1360747999999997E-2</v>
      </c>
      <c r="N403" s="10">
        <v>-0.24231148599999999</v>
      </c>
      <c r="O403" s="9">
        <v>-2.8354422000000001E-2</v>
      </c>
      <c r="P403" s="10">
        <v>0.148164678375963</v>
      </c>
      <c r="Q403" s="10">
        <v>2.1952771918252598E-2</v>
      </c>
    </row>
    <row r="404" spans="1:17" x14ac:dyDescent="0.2">
      <c r="A404" s="10">
        <v>1618</v>
      </c>
      <c r="B404" s="10" t="s">
        <v>2833</v>
      </c>
      <c r="C404" s="9" t="s">
        <v>445</v>
      </c>
      <c r="D404" s="10">
        <v>0.43461897599999999</v>
      </c>
      <c r="E404" s="10">
        <v>0.53301005499999998</v>
      </c>
      <c r="F404" s="10">
        <v>3.4696417E-2</v>
      </c>
      <c r="G404" s="10">
        <v>0.23743045300000001</v>
      </c>
      <c r="H404" s="9">
        <v>0.30993897500000001</v>
      </c>
      <c r="I404" s="10">
        <v>0.22084818381166599</v>
      </c>
      <c r="J404" s="10">
        <v>4.8773920292911402E-2</v>
      </c>
      <c r="K404" s="10">
        <v>0.34885066199999998</v>
      </c>
      <c r="L404" s="10">
        <v>3.9894438999999997E-2</v>
      </c>
      <c r="M404" s="10">
        <v>0.14526005</v>
      </c>
      <c r="N404" s="10">
        <v>0.14676890500000001</v>
      </c>
      <c r="O404" s="9">
        <v>0.17019351425000001</v>
      </c>
      <c r="P404" s="10">
        <v>0.129185416374026</v>
      </c>
      <c r="Q404" s="10">
        <v>1.66888718037305E-2</v>
      </c>
    </row>
    <row r="405" spans="1:17" x14ac:dyDescent="0.2">
      <c r="A405" s="10">
        <v>1618</v>
      </c>
      <c r="B405" s="10" t="s">
        <v>2825</v>
      </c>
      <c r="C405" s="9" t="s">
        <v>446</v>
      </c>
      <c r="D405" s="10">
        <v>-0.47939621599999999</v>
      </c>
      <c r="E405" s="10">
        <v>-7.1321359999999999E-3</v>
      </c>
      <c r="F405" s="10">
        <v>-0.64199764999999998</v>
      </c>
      <c r="G405" s="10">
        <v>0.64082994000000004</v>
      </c>
      <c r="H405" s="9">
        <v>-0.1219240155</v>
      </c>
      <c r="I405" s="10">
        <v>0.57539370048179195</v>
      </c>
      <c r="J405" s="10">
        <v>0.33107791055412999</v>
      </c>
      <c r="K405" s="10">
        <v>-4.9180701E-2</v>
      </c>
      <c r="L405" s="10">
        <v>0.35291292299999999</v>
      </c>
      <c r="M405" s="10">
        <v>0.29778478000000003</v>
      </c>
      <c r="N405" s="10">
        <v>-0.128328317</v>
      </c>
      <c r="O405" s="9">
        <v>0.11829717125</v>
      </c>
      <c r="P405" s="10">
        <v>0.242303750013592</v>
      </c>
      <c r="Q405" s="10">
        <v>5.8711107270649598E-2</v>
      </c>
    </row>
    <row r="406" spans="1:17" x14ac:dyDescent="0.2">
      <c r="A406" s="10">
        <v>1618</v>
      </c>
      <c r="B406" s="10" t="s">
        <v>74</v>
      </c>
      <c r="C406" s="9" t="s">
        <v>447</v>
      </c>
      <c r="D406" s="10">
        <v>-0.63513112400000005</v>
      </c>
      <c r="E406" s="10">
        <v>-0.339466781</v>
      </c>
      <c r="F406" s="10">
        <v>-0.66584005599999996</v>
      </c>
      <c r="G406" s="10">
        <v>7.5520263000000004E-2</v>
      </c>
      <c r="H406" s="9">
        <v>-0.39122942449999998</v>
      </c>
      <c r="I406" s="10">
        <v>0.34420617852060298</v>
      </c>
      <c r="J406" s="10">
        <v>0.118477893331757</v>
      </c>
      <c r="K406" s="10">
        <v>-0.107226716</v>
      </c>
      <c r="L406" s="10">
        <v>0.14312260500000001</v>
      </c>
      <c r="M406" s="10">
        <v>-0.149978259</v>
      </c>
      <c r="N406" s="10">
        <v>-0.50027197700000003</v>
      </c>
      <c r="O406" s="9">
        <v>-0.15358858675000001</v>
      </c>
      <c r="P406" s="10">
        <v>0.26482029246946598</v>
      </c>
      <c r="Q406" s="10">
        <v>7.0129787303613703E-2</v>
      </c>
    </row>
    <row r="407" spans="1:17" x14ac:dyDescent="0.2">
      <c r="A407" s="10">
        <v>1618</v>
      </c>
      <c r="B407" s="10" t="s">
        <v>2830</v>
      </c>
      <c r="C407" s="9" t="s">
        <v>448</v>
      </c>
      <c r="D407" s="10">
        <v>-0.579063934</v>
      </c>
      <c r="E407" s="10">
        <v>-0.24251534399999999</v>
      </c>
      <c r="F407" s="10">
        <v>-5.6534391000000003E-2</v>
      </c>
      <c r="G407" s="10">
        <v>-0.57749459299999994</v>
      </c>
      <c r="H407" s="9">
        <v>-0.36390206549999998</v>
      </c>
      <c r="I407" s="10">
        <v>0.258924712960032</v>
      </c>
      <c r="J407" s="10">
        <v>6.7042006981435295E-2</v>
      </c>
      <c r="K407" s="10">
        <v>-7.9775565000000007E-2</v>
      </c>
      <c r="L407" s="10">
        <v>-0.60639388000000005</v>
      </c>
      <c r="M407" s="10">
        <v>-0.175817379</v>
      </c>
      <c r="N407" s="10">
        <v>0.21009147</v>
      </c>
      <c r="O407" s="9">
        <v>-0.1629738385</v>
      </c>
      <c r="P407" s="10">
        <v>0.33807591201583598</v>
      </c>
      <c r="Q407" s="10">
        <v>0.11429532228533899</v>
      </c>
    </row>
    <row r="408" spans="1:17" x14ac:dyDescent="0.2">
      <c r="A408" s="10">
        <v>1618</v>
      </c>
      <c r="B408" s="10" t="s">
        <v>2832</v>
      </c>
      <c r="C408" s="9" t="s">
        <v>449</v>
      </c>
      <c r="D408" s="10">
        <v>-0.61690199300000004</v>
      </c>
      <c r="E408" s="10">
        <v>-0.17532061800000001</v>
      </c>
      <c r="F408" s="10">
        <v>-0.27894028199999998</v>
      </c>
      <c r="G408" s="10">
        <v>0.12942726199999999</v>
      </c>
      <c r="H408" s="9">
        <v>-0.23543390775</v>
      </c>
      <c r="I408" s="10">
        <v>0.30775963860377997</v>
      </c>
      <c r="J408" s="10">
        <v>9.4715995153529395E-2</v>
      </c>
      <c r="K408" s="10">
        <v>0.77570038799999996</v>
      </c>
      <c r="L408" s="10">
        <v>0.387118085</v>
      </c>
      <c r="M408" s="10">
        <v>-0.23844688999999999</v>
      </c>
      <c r="N408" s="10">
        <v>-7.3008689999999998E-3</v>
      </c>
      <c r="O408" s="9">
        <v>0.22926767849999999</v>
      </c>
      <c r="P408" s="10">
        <v>0.44655236799921799</v>
      </c>
      <c r="Q408" s="10">
        <v>0.19940901736570901</v>
      </c>
    </row>
    <row r="409" spans="1:17" x14ac:dyDescent="0.2">
      <c r="A409" s="10">
        <v>1619</v>
      </c>
      <c r="B409" s="10" t="s">
        <v>2823</v>
      </c>
      <c r="C409" s="9" t="s">
        <v>450</v>
      </c>
      <c r="D409" s="10">
        <v>0.19341713499999999</v>
      </c>
      <c r="E409" s="10">
        <v>0.55862207200000003</v>
      </c>
      <c r="F409" s="10">
        <v>0.23774383499999999</v>
      </c>
      <c r="G409" s="10">
        <v>-9.9575457000000006E-2</v>
      </c>
      <c r="H409" s="9">
        <v>0.22255189650000001</v>
      </c>
      <c r="I409" s="10">
        <v>0.26943695864806899</v>
      </c>
      <c r="J409" s="10">
        <v>7.2596274685521406E-2</v>
      </c>
      <c r="K409" s="10">
        <v>0.49950684699999998</v>
      </c>
      <c r="L409" s="10">
        <v>-0.24435484199999999</v>
      </c>
      <c r="M409" s="10">
        <v>0.18401358200000001</v>
      </c>
      <c r="N409" s="10">
        <v>-0.235321268</v>
      </c>
      <c r="O409" s="9">
        <v>5.0961079749999999E-2</v>
      </c>
      <c r="P409" s="10">
        <v>0.35965972341700098</v>
      </c>
      <c r="Q409" s="10">
        <v>0.129355116648393</v>
      </c>
    </row>
    <row r="410" spans="1:17" x14ac:dyDescent="0.2">
      <c r="A410" s="10">
        <v>1619</v>
      </c>
      <c r="B410" s="10" t="s">
        <v>2821</v>
      </c>
      <c r="C410" s="9" t="s">
        <v>451</v>
      </c>
      <c r="D410" s="10">
        <v>-0.21558697900000001</v>
      </c>
      <c r="E410" s="10">
        <v>0.113702741</v>
      </c>
      <c r="F410" s="10">
        <v>-0.14117935300000001</v>
      </c>
      <c r="G410" s="10">
        <v>5.7119212000000003E-2</v>
      </c>
      <c r="H410" s="9">
        <v>-4.6486094749999998E-2</v>
      </c>
      <c r="I410" s="10">
        <v>0.15701002611068601</v>
      </c>
      <c r="J410" s="10">
        <v>2.4652148299278299E-2</v>
      </c>
      <c r="K410" s="10">
        <v>-1.3569060000000001E-2</v>
      </c>
      <c r="L410" s="10">
        <v>-9.0048815000000004E-2</v>
      </c>
      <c r="M410" s="10">
        <v>-1.5203292E-2</v>
      </c>
      <c r="N410" s="10">
        <v>-0.284077248</v>
      </c>
      <c r="O410" s="9">
        <v>-0.10072460375</v>
      </c>
      <c r="P410" s="10">
        <v>0.127334399893483</v>
      </c>
      <c r="Q410" s="10">
        <v>1.6214049396233499E-2</v>
      </c>
    </row>
    <row r="411" spans="1:17" x14ac:dyDescent="0.2">
      <c r="A411" s="10">
        <v>1619</v>
      </c>
      <c r="B411" s="10" t="s">
        <v>2834</v>
      </c>
      <c r="C411" s="9" t="s">
        <v>452</v>
      </c>
      <c r="D411" s="10">
        <v>3.7925766E-2</v>
      </c>
      <c r="E411" s="10">
        <v>-0.17976101</v>
      </c>
      <c r="F411" s="10">
        <v>-0.35965504399999998</v>
      </c>
      <c r="G411" s="10">
        <v>0.198787292</v>
      </c>
      <c r="H411" s="9">
        <v>-7.5675749E-2</v>
      </c>
      <c r="I411" s="10">
        <v>0.24475378555560501</v>
      </c>
      <c r="J411" s="10">
        <v>5.99044155437993E-2</v>
      </c>
      <c r="K411" s="10">
        <v>-1.0687263680000001</v>
      </c>
      <c r="L411" s="10">
        <v>-0.12952797699999999</v>
      </c>
      <c r="M411" s="10">
        <v>-1.889869955</v>
      </c>
      <c r="N411" s="10">
        <v>0.16410912599999999</v>
      </c>
      <c r="O411" s="9">
        <v>-0.7310037935</v>
      </c>
      <c r="P411" s="10">
        <v>0.93452797605472204</v>
      </c>
      <c r="Q411" s="10">
        <v>0.87334253802893502</v>
      </c>
    </row>
    <row r="412" spans="1:17" x14ac:dyDescent="0.2">
      <c r="A412" s="10">
        <v>1619</v>
      </c>
      <c r="B412" s="10" t="s">
        <v>2820</v>
      </c>
      <c r="C412" s="9" t="s">
        <v>453</v>
      </c>
      <c r="D412" s="10">
        <v>-1.743307406</v>
      </c>
      <c r="E412" s="10">
        <v>0.54092645800000005</v>
      </c>
      <c r="F412" s="10">
        <v>-1.352989641</v>
      </c>
      <c r="G412" s="10">
        <v>-0.74480183899999997</v>
      </c>
      <c r="H412" s="9">
        <v>-0.82504310700000005</v>
      </c>
      <c r="I412" s="10">
        <v>0.999040936628242</v>
      </c>
      <c r="J412" s="10">
        <v>0.99808279305903602</v>
      </c>
      <c r="K412" s="10">
        <v>-1.4446659669999999</v>
      </c>
      <c r="L412" s="10">
        <v>-2.5273708999999998E-2</v>
      </c>
      <c r="M412" s="10">
        <v>-0.56895876300000003</v>
      </c>
      <c r="N412" s="10">
        <v>0.75351665300000004</v>
      </c>
      <c r="O412" s="9">
        <v>-0.32134544625</v>
      </c>
      <c r="P412" s="10">
        <v>0.92486906334037999</v>
      </c>
      <c r="Q412" s="10">
        <v>0.85538278432411197</v>
      </c>
    </row>
    <row r="413" spans="1:17" x14ac:dyDescent="0.2">
      <c r="A413" s="10">
        <v>1619</v>
      </c>
      <c r="B413" s="10" t="s">
        <v>2824</v>
      </c>
      <c r="C413" s="9" t="s">
        <v>454</v>
      </c>
      <c r="D413" s="10">
        <v>-0.38815882899999998</v>
      </c>
      <c r="E413" s="10">
        <v>-7.6091817000000006E-2</v>
      </c>
      <c r="F413" s="10">
        <v>-0.23408023999999999</v>
      </c>
      <c r="G413" s="10">
        <v>-3.6370189999999997E-2</v>
      </c>
      <c r="H413" s="9">
        <v>-0.183675269</v>
      </c>
      <c r="I413" s="10">
        <v>0.160859330736741</v>
      </c>
      <c r="J413" s="10">
        <v>2.5875724285072298E-2</v>
      </c>
      <c r="K413" s="10">
        <v>7.9834439999999993E-3</v>
      </c>
      <c r="L413" s="10">
        <v>-0.207851968</v>
      </c>
      <c r="M413" s="10">
        <v>-0.12422293199999999</v>
      </c>
      <c r="N413" s="10">
        <v>-0.12657463799999999</v>
      </c>
      <c r="O413" s="9">
        <v>-0.1126665235</v>
      </c>
      <c r="P413" s="10">
        <v>8.9337692173717301E-2</v>
      </c>
      <c r="Q413" s="10">
        <v>7.9812232429258001E-3</v>
      </c>
    </row>
    <row r="414" spans="1:17" x14ac:dyDescent="0.2">
      <c r="A414" s="10">
        <v>1619</v>
      </c>
      <c r="B414" s="10" t="s">
        <v>2825</v>
      </c>
      <c r="C414" s="9" t="s">
        <v>455</v>
      </c>
      <c r="D414" s="10">
        <v>-0.92073582700000001</v>
      </c>
      <c r="E414" s="10">
        <v>-0.558553831</v>
      </c>
      <c r="F414" s="10">
        <v>-0.99869191599999996</v>
      </c>
      <c r="G414" s="10">
        <v>0.16687796999999999</v>
      </c>
      <c r="H414" s="9">
        <v>-0.57777590074999996</v>
      </c>
      <c r="I414" s="10">
        <v>0.53218752274480996</v>
      </c>
      <c r="J414" s="10">
        <v>0.283223559365258</v>
      </c>
      <c r="K414" s="10">
        <v>4.5992122000000003E-2</v>
      </c>
      <c r="L414" s="10">
        <v>-0.51391869800000001</v>
      </c>
      <c r="M414" s="10">
        <v>-0.42813973999999999</v>
      </c>
      <c r="N414" s="10">
        <v>-0.217455867</v>
      </c>
      <c r="O414" s="9">
        <v>-0.27838054550000002</v>
      </c>
      <c r="P414" s="10">
        <v>0.24955659444422301</v>
      </c>
      <c r="Q414" s="10">
        <v>6.2278493830598601E-2</v>
      </c>
    </row>
    <row r="415" spans="1:17" x14ac:dyDescent="0.2">
      <c r="A415" s="10">
        <v>1619</v>
      </c>
      <c r="B415" s="10" t="s">
        <v>74</v>
      </c>
      <c r="C415" s="9" t="s">
        <v>456</v>
      </c>
      <c r="D415" s="10">
        <v>-0.24053290999999999</v>
      </c>
      <c r="E415" s="10">
        <v>0.29715425400000001</v>
      </c>
      <c r="F415" s="10">
        <v>-0.20932304800000001</v>
      </c>
      <c r="G415" s="10">
        <v>-0.31758228399999999</v>
      </c>
      <c r="H415" s="9">
        <v>-0.11757099725</v>
      </c>
      <c r="I415" s="10">
        <v>0.28020208163379401</v>
      </c>
      <c r="J415" s="10">
        <v>7.8513206551911796E-2</v>
      </c>
      <c r="K415" s="10">
        <v>0.61306287000000004</v>
      </c>
      <c r="L415" s="10">
        <v>0.25600824799999999</v>
      </c>
      <c r="M415" s="10">
        <v>-0.88769984599999996</v>
      </c>
      <c r="N415" s="10">
        <v>-0.39260357600000001</v>
      </c>
      <c r="O415" s="9">
        <v>-0.102808076</v>
      </c>
      <c r="P415" s="10">
        <v>0.66864462113786305</v>
      </c>
      <c r="Q415" s="10">
        <v>0.44708562937659602</v>
      </c>
    </row>
    <row r="416" spans="1:17" x14ac:dyDescent="0.2">
      <c r="A416" s="10">
        <v>1620</v>
      </c>
      <c r="B416" s="10" t="s">
        <v>2826</v>
      </c>
      <c r="C416" s="9" t="s">
        <v>457</v>
      </c>
      <c r="D416" s="10">
        <v>6.7881612999999993E-2</v>
      </c>
      <c r="E416" s="10">
        <v>0.100478001</v>
      </c>
      <c r="F416" s="10">
        <v>2.9316455000000002E-2</v>
      </c>
      <c r="G416" s="10">
        <v>3.2626702E-2</v>
      </c>
      <c r="H416" s="9">
        <v>5.7575692749999997E-2</v>
      </c>
      <c r="I416" s="10">
        <v>3.3505505532832401E-2</v>
      </c>
      <c r="J416" s="10">
        <v>1.1226189010106E-3</v>
      </c>
      <c r="K416" s="10">
        <v>0.25472958000000001</v>
      </c>
      <c r="L416" s="10">
        <v>0.144672519</v>
      </c>
      <c r="M416" s="10">
        <v>-0.22233992899999999</v>
      </c>
      <c r="N416" s="10">
        <v>3.961725E-2</v>
      </c>
      <c r="O416" s="9">
        <v>5.4169855000000003E-2</v>
      </c>
      <c r="P416" s="10">
        <v>0.20419302505487699</v>
      </c>
      <c r="Q416" s="10">
        <v>4.1694791481061699E-2</v>
      </c>
    </row>
    <row r="417" spans="1:17" x14ac:dyDescent="0.2">
      <c r="A417" s="10">
        <v>1620</v>
      </c>
      <c r="B417" s="10" t="s">
        <v>2834</v>
      </c>
      <c r="C417" s="9" t="s">
        <v>458</v>
      </c>
      <c r="D417" s="10">
        <v>-0.102263623</v>
      </c>
      <c r="E417" s="10">
        <v>0.23839299</v>
      </c>
      <c r="F417" s="10">
        <v>7.6357185999999994E-2</v>
      </c>
      <c r="G417" s="10">
        <v>0.15086503400000001</v>
      </c>
      <c r="H417" s="9">
        <v>9.0837896749999994E-2</v>
      </c>
      <c r="I417" s="10">
        <v>0.14476837898752901</v>
      </c>
      <c r="J417" s="10">
        <v>2.0957883554677099E-2</v>
      </c>
      <c r="K417" s="10">
        <v>-3.7226301000000003E-2</v>
      </c>
      <c r="L417" s="10">
        <v>-5.9328969000000002E-2</v>
      </c>
      <c r="M417" s="10">
        <v>-0.21959014700000001</v>
      </c>
      <c r="N417" s="10">
        <v>-0.13553658199999999</v>
      </c>
      <c r="O417" s="9">
        <v>-0.11292049999999999</v>
      </c>
      <c r="P417" s="10">
        <v>8.2646969521596003E-2</v>
      </c>
      <c r="Q417" s="10">
        <v>6.8305215711036002E-3</v>
      </c>
    </row>
    <row r="418" spans="1:17" x14ac:dyDescent="0.2">
      <c r="A418" s="10">
        <v>1620</v>
      </c>
      <c r="B418" s="10" t="s">
        <v>2824</v>
      </c>
      <c r="C418" s="9" t="s">
        <v>459</v>
      </c>
      <c r="D418" s="10">
        <v>-0.56498351199999997</v>
      </c>
      <c r="E418" s="10">
        <v>-7.1033099999999998E-3</v>
      </c>
      <c r="F418" s="10">
        <v>3.9251965999999999E-2</v>
      </c>
      <c r="G418" s="10">
        <v>-8.2887259000000005E-2</v>
      </c>
      <c r="H418" s="9">
        <v>-0.15393052874999999</v>
      </c>
      <c r="I418" s="10">
        <v>0.278621254070341</v>
      </c>
      <c r="J418" s="10">
        <v>7.7629803219729995E-2</v>
      </c>
      <c r="K418" s="10">
        <v>-0.22098757999999999</v>
      </c>
      <c r="L418" s="10">
        <v>-1.2056944999999999E-2</v>
      </c>
      <c r="M418" s="10">
        <v>-0.31293393200000003</v>
      </c>
      <c r="N418" s="10">
        <v>-0.18591791999999999</v>
      </c>
      <c r="O418" s="9">
        <v>-0.18297409425</v>
      </c>
      <c r="P418" s="10">
        <v>0.12590462335257899</v>
      </c>
      <c r="Q418" s="10">
        <v>1.5851974181554901E-2</v>
      </c>
    </row>
    <row r="419" spans="1:17" x14ac:dyDescent="0.2">
      <c r="A419" s="10">
        <v>1620</v>
      </c>
      <c r="B419" s="10" t="s">
        <v>2833</v>
      </c>
      <c r="C419" s="9" t="s">
        <v>2547</v>
      </c>
      <c r="D419" s="10">
        <v>-0.43859055200000002</v>
      </c>
      <c r="E419" s="10">
        <v>-0.94021759500000002</v>
      </c>
      <c r="F419" s="10">
        <v>4.9734494739999997</v>
      </c>
      <c r="G419" s="10">
        <v>-1.9737625700000001</v>
      </c>
      <c r="H419" s="9">
        <v>0.40521968899999999</v>
      </c>
      <c r="I419" s="10">
        <v>3.1118321058604499</v>
      </c>
      <c r="J419" s="10">
        <v>9.68349905506388</v>
      </c>
      <c r="K419" s="10">
        <v>-0.36781925599999998</v>
      </c>
      <c r="L419" s="10">
        <v>-0.80120648900000002</v>
      </c>
      <c r="M419" s="10">
        <v>-1.5932810399999999</v>
      </c>
      <c r="N419" s="10">
        <v>-4.0832209390000003</v>
      </c>
      <c r="O419" s="9">
        <v>-1.71138193075</v>
      </c>
      <c r="P419" s="10">
        <v>1.6606372368459901</v>
      </c>
      <c r="Q419" s="10">
        <v>2.75771603239949</v>
      </c>
    </row>
    <row r="420" spans="1:17" x14ac:dyDescent="0.2">
      <c r="A420" s="10">
        <v>1620</v>
      </c>
      <c r="B420" s="10" t="s">
        <v>2830</v>
      </c>
      <c r="C420" s="9" t="s">
        <v>460</v>
      </c>
      <c r="D420" s="10">
        <v>-2.7523999999999999E-3</v>
      </c>
      <c r="E420" s="10">
        <v>2.0295619999999999E-3</v>
      </c>
      <c r="F420" s="10">
        <v>-3.2388308999999997E-2</v>
      </c>
      <c r="G420" s="10">
        <v>8.6148961999999996E-2</v>
      </c>
      <c r="H420" s="9">
        <v>1.3259453500000001E-2</v>
      </c>
      <c r="I420" s="10">
        <v>5.09217981688104E-2</v>
      </c>
      <c r="J420" s="10">
        <v>2.5930295287450002E-3</v>
      </c>
      <c r="K420" s="10">
        <v>-1.401843E-2</v>
      </c>
      <c r="L420" s="10">
        <v>-9.8837531000000006E-2</v>
      </c>
      <c r="M420" s="10">
        <v>-8.7234568999999998E-2</v>
      </c>
      <c r="N420" s="10">
        <v>-0.14202076199999999</v>
      </c>
      <c r="O420" s="9">
        <v>-8.5527823000000003E-2</v>
      </c>
      <c r="P420" s="10">
        <v>5.31824117324513E-2</v>
      </c>
      <c r="Q420" s="10">
        <v>2.8283689176798999E-3</v>
      </c>
    </row>
    <row r="421" spans="1:17" x14ac:dyDescent="0.2">
      <c r="A421" s="10">
        <v>1621</v>
      </c>
      <c r="B421" s="10" t="s">
        <v>2831</v>
      </c>
      <c r="C421" s="9" t="s">
        <v>461</v>
      </c>
      <c r="D421" s="10">
        <v>-1.049635941</v>
      </c>
      <c r="E421" s="10">
        <v>-1.07094193</v>
      </c>
      <c r="F421" s="10">
        <v>-0.86067370899999995</v>
      </c>
      <c r="G421" s="10">
        <v>-1.3549805210000001</v>
      </c>
      <c r="H421" s="9">
        <v>-1.0840580252500001</v>
      </c>
      <c r="I421" s="10">
        <v>0.20384345569464901</v>
      </c>
      <c r="J421" s="10">
        <v>4.1552154429536602E-2</v>
      </c>
      <c r="K421" s="10">
        <v>-0.434050555</v>
      </c>
      <c r="L421" s="10">
        <v>-0.103532279</v>
      </c>
      <c r="M421" s="10">
        <v>-0.69258715500000001</v>
      </c>
      <c r="N421" s="10">
        <v>-0.21561248699999999</v>
      </c>
      <c r="O421" s="9">
        <v>-0.361445619</v>
      </c>
      <c r="P421" s="10">
        <v>0.25994408817723802</v>
      </c>
      <c r="Q421" s="10">
        <v>6.7570928978296099E-2</v>
      </c>
    </row>
    <row r="422" spans="1:17" x14ac:dyDescent="0.2">
      <c r="A422" s="10">
        <v>1621</v>
      </c>
      <c r="B422" s="10" t="s">
        <v>2822</v>
      </c>
      <c r="C422" s="9" t="s">
        <v>462</v>
      </c>
      <c r="D422" s="10">
        <v>0.71150145399999998</v>
      </c>
      <c r="E422" s="10">
        <v>-0.12550171900000001</v>
      </c>
      <c r="F422" s="10">
        <v>0.46885954499999999</v>
      </c>
      <c r="G422" s="10">
        <v>-0.57642745900000003</v>
      </c>
      <c r="H422" s="9">
        <v>0.1196079555</v>
      </c>
      <c r="I422" s="10">
        <v>0.58219659826858206</v>
      </c>
      <c r="J422" s="10">
        <v>0.33895287903550902</v>
      </c>
      <c r="K422" s="10">
        <v>0.19344659</v>
      </c>
      <c r="L422" s="10">
        <v>-0.21042854899999999</v>
      </c>
      <c r="M422" s="10">
        <v>9.1948160000000001E-2</v>
      </c>
      <c r="N422" s="10">
        <v>6.0997996999999998E-2</v>
      </c>
      <c r="O422" s="9">
        <v>3.3991049500000002E-2</v>
      </c>
      <c r="P422" s="10">
        <v>0.17248711198021399</v>
      </c>
      <c r="Q422" s="10">
        <v>2.9751803799275101E-2</v>
      </c>
    </row>
    <row r="423" spans="1:17" x14ac:dyDescent="0.2">
      <c r="A423" s="10">
        <v>1621</v>
      </c>
      <c r="B423" s="10" t="s">
        <v>96</v>
      </c>
      <c r="C423" s="9" t="s">
        <v>463</v>
      </c>
      <c r="D423" s="10">
        <v>0.23381548499999999</v>
      </c>
      <c r="E423" s="10">
        <v>9.8291630000000001E-3</v>
      </c>
      <c r="F423" s="10">
        <v>0.26848686799999999</v>
      </c>
      <c r="G423" s="10">
        <v>0.171722663</v>
      </c>
      <c r="H423" s="9">
        <v>0.17096354475</v>
      </c>
      <c r="I423" s="10">
        <v>0.11463860637293399</v>
      </c>
      <c r="J423" s="10">
        <v>1.31420100711285E-2</v>
      </c>
      <c r="K423" s="10">
        <v>-0.17854729799999999</v>
      </c>
      <c r="L423" s="10">
        <v>0.50359900599999996</v>
      </c>
      <c r="M423" s="10">
        <v>-3.7367091999999998E-2</v>
      </c>
      <c r="N423" s="10">
        <v>-0.27540295300000001</v>
      </c>
      <c r="O423" s="9">
        <v>3.0704155000000001E-3</v>
      </c>
      <c r="P423" s="10">
        <v>0.34770508228546798</v>
      </c>
      <c r="Q423" s="10">
        <v>0.120898824247144</v>
      </c>
    </row>
    <row r="424" spans="1:17" x14ac:dyDescent="0.2">
      <c r="A424" s="10">
        <v>1621</v>
      </c>
      <c r="B424" s="10" t="s">
        <v>2826</v>
      </c>
      <c r="C424" s="9" t="s">
        <v>464</v>
      </c>
      <c r="D424" s="10">
        <v>-0.24676858900000001</v>
      </c>
      <c r="E424" s="10">
        <v>0.13106931899999999</v>
      </c>
      <c r="F424" s="10">
        <v>-0.92420456399999995</v>
      </c>
      <c r="G424" s="10">
        <v>0.93095673099999998</v>
      </c>
      <c r="H424" s="9">
        <v>-2.7236775750000001E-2</v>
      </c>
      <c r="I424" s="10">
        <v>0.77372282853740904</v>
      </c>
      <c r="J424" s="10">
        <v>0.59864701539992904</v>
      </c>
      <c r="K424" s="10">
        <v>0.47340666399999998</v>
      </c>
      <c r="L424" s="10">
        <v>-1.2021098990000001</v>
      </c>
      <c r="M424" s="10">
        <v>0.241218922</v>
      </c>
      <c r="N424" s="10">
        <v>3.6882659999999999E-3</v>
      </c>
      <c r="O424" s="9">
        <v>-0.12094901175</v>
      </c>
      <c r="P424" s="10">
        <v>0.745847973038545</v>
      </c>
      <c r="Q424" s="10">
        <v>0.55628919888570705</v>
      </c>
    </row>
    <row r="425" spans="1:17" x14ac:dyDescent="0.2">
      <c r="A425" s="10">
        <v>1621</v>
      </c>
      <c r="B425" s="10" t="s">
        <v>2821</v>
      </c>
      <c r="C425" s="9" t="s">
        <v>465</v>
      </c>
      <c r="D425" s="10">
        <v>0.242804518</v>
      </c>
      <c r="E425" s="10">
        <v>-7.1808937000000003E-2</v>
      </c>
      <c r="F425" s="10">
        <v>-0.72652032200000005</v>
      </c>
      <c r="G425" s="10">
        <v>0.47824593799999998</v>
      </c>
      <c r="H425" s="9">
        <v>-1.9319700749999998E-2</v>
      </c>
      <c r="I425" s="10">
        <v>0.522547768004191</v>
      </c>
      <c r="J425" s="10">
        <v>0.27305616984616199</v>
      </c>
      <c r="K425" s="10">
        <v>0.18430733699999999</v>
      </c>
      <c r="L425" s="10">
        <v>9.2886710999999997E-2</v>
      </c>
      <c r="M425" s="10">
        <v>-0.26862557100000001</v>
      </c>
      <c r="N425" s="10">
        <v>-0.23141574600000001</v>
      </c>
      <c r="O425" s="9">
        <v>-5.5711817249999997E-2</v>
      </c>
      <c r="P425" s="10">
        <v>0.22795822286773801</v>
      </c>
      <c r="Q425" s="10">
        <v>5.19649513730173E-2</v>
      </c>
    </row>
    <row r="426" spans="1:17" x14ac:dyDescent="0.2">
      <c r="A426" s="10">
        <v>1621</v>
      </c>
      <c r="B426" s="10" t="s">
        <v>2824</v>
      </c>
      <c r="C426" s="9" t="s">
        <v>2546</v>
      </c>
      <c r="D426" s="10">
        <v>0.88792721799999996</v>
      </c>
      <c r="E426" s="10">
        <v>0.42119033500000003</v>
      </c>
      <c r="F426" s="10">
        <v>1.2177294460000001</v>
      </c>
      <c r="G426" s="10">
        <v>0.184264764</v>
      </c>
      <c r="H426" s="9">
        <v>0.67777794074999997</v>
      </c>
      <c r="I426" s="10">
        <v>0.46371787464679798</v>
      </c>
      <c r="J426" s="10">
        <v>0.215034267266944</v>
      </c>
      <c r="K426" s="10">
        <v>1.219695172</v>
      </c>
      <c r="L426" s="10">
        <v>-0.25441220599999997</v>
      </c>
      <c r="M426" s="10">
        <v>-2.621016402</v>
      </c>
      <c r="N426" s="10">
        <v>0.65090592599999997</v>
      </c>
      <c r="O426" s="9">
        <v>-0.25120687749999998</v>
      </c>
      <c r="P426" s="10">
        <v>1.69247036468428</v>
      </c>
      <c r="Q426" s="10">
        <v>2.86445593533454</v>
      </c>
    </row>
    <row r="427" spans="1:17" x14ac:dyDescent="0.2">
      <c r="A427" s="10">
        <v>1621</v>
      </c>
      <c r="B427" s="10" t="s">
        <v>82</v>
      </c>
      <c r="C427" s="9" t="s">
        <v>466</v>
      </c>
      <c r="D427" s="10">
        <v>0.28692988400000002</v>
      </c>
      <c r="E427" s="10">
        <v>-5.4092653999999997E-2</v>
      </c>
      <c r="F427" s="10">
        <v>1.0952383E-2</v>
      </c>
      <c r="G427" s="10">
        <v>1.0557594859999999</v>
      </c>
      <c r="H427" s="9">
        <v>0.32488727449999999</v>
      </c>
      <c r="I427" s="10">
        <v>0.50918099445529497</v>
      </c>
      <c r="J427" s="10">
        <v>0.25926528511448399</v>
      </c>
      <c r="K427" s="10">
        <v>0.123156948</v>
      </c>
      <c r="L427" s="10">
        <v>-4.1228035000000003E-2</v>
      </c>
      <c r="M427" s="10">
        <v>7.8291877999999995E-2</v>
      </c>
      <c r="N427" s="10">
        <v>-0.23588271099999999</v>
      </c>
      <c r="O427" s="9">
        <v>-1.8915479749999999E-2</v>
      </c>
      <c r="P427" s="10">
        <v>0.160422852367932</v>
      </c>
      <c r="Q427" s="10">
        <v>2.5735491561863499E-2</v>
      </c>
    </row>
    <row r="428" spans="1:17" x14ac:dyDescent="0.2">
      <c r="A428" s="10">
        <v>1621</v>
      </c>
      <c r="B428" s="10" t="s">
        <v>2814</v>
      </c>
      <c r="C428" s="9" t="s">
        <v>467</v>
      </c>
      <c r="D428" s="10">
        <v>-0.27282542399999998</v>
      </c>
      <c r="E428" s="10">
        <v>8.7003208999999998E-2</v>
      </c>
      <c r="F428" s="10">
        <v>-4.7613243999999999E-2</v>
      </c>
      <c r="G428" s="10">
        <v>0.16051550000000001</v>
      </c>
      <c r="H428" s="9">
        <v>-1.8229990000000001E-2</v>
      </c>
      <c r="I428" s="10">
        <v>0.19035597092149001</v>
      </c>
      <c r="J428" s="10">
        <v>3.62353956654635E-2</v>
      </c>
      <c r="K428" s="10">
        <v>0.29348174500000002</v>
      </c>
      <c r="L428" s="10">
        <v>2.7882804000000001E-2</v>
      </c>
      <c r="M428" s="10">
        <v>7.2346809999999998E-3</v>
      </c>
      <c r="N428" s="10">
        <v>-0.68233656099999995</v>
      </c>
      <c r="O428" s="9">
        <v>-8.8434332500000004E-2</v>
      </c>
      <c r="P428" s="10">
        <v>0.41683809153270102</v>
      </c>
      <c r="Q428" s="10">
        <v>0.173753994552625</v>
      </c>
    </row>
    <row r="429" spans="1:17" x14ac:dyDescent="0.2">
      <c r="A429" s="10">
        <v>1621</v>
      </c>
      <c r="B429" s="10" t="s">
        <v>2825</v>
      </c>
      <c r="C429" s="9" t="s">
        <v>468</v>
      </c>
      <c r="D429" s="10">
        <v>0.29110498400000001</v>
      </c>
      <c r="E429" s="10">
        <v>0.20136348500000001</v>
      </c>
      <c r="F429" s="10">
        <v>0.40624101899999998</v>
      </c>
      <c r="G429" s="10">
        <v>-0.83682109000000005</v>
      </c>
      <c r="H429" s="9">
        <v>1.5472099499999999E-2</v>
      </c>
      <c r="I429" s="10">
        <v>0.57434981313254796</v>
      </c>
      <c r="J429" s="10">
        <v>0.329877707845393</v>
      </c>
      <c r="K429" s="10">
        <v>-0.19622600300000001</v>
      </c>
      <c r="L429" s="10">
        <v>-0.86109241599999997</v>
      </c>
      <c r="M429" s="10">
        <v>3.0732544000000001E-2</v>
      </c>
      <c r="N429" s="10">
        <v>0.43727264599999999</v>
      </c>
      <c r="O429" s="9">
        <v>-0.14732830725000001</v>
      </c>
      <c r="P429" s="10">
        <v>0.54323540903185596</v>
      </c>
      <c r="Q429" s="10">
        <v>0.29510470962600799</v>
      </c>
    </row>
    <row r="430" spans="1:17" x14ac:dyDescent="0.2">
      <c r="A430" s="10">
        <v>1621</v>
      </c>
      <c r="B430" s="10" t="s">
        <v>74</v>
      </c>
      <c r="C430" s="9" t="s">
        <v>469</v>
      </c>
      <c r="D430" s="10">
        <v>-0.38551649100000002</v>
      </c>
      <c r="E430" s="10">
        <v>-6.1684240000000001E-2</v>
      </c>
      <c r="F430" s="10">
        <v>-1.1965179560000001</v>
      </c>
      <c r="G430" s="10">
        <v>-0.66886025800000004</v>
      </c>
      <c r="H430" s="9">
        <v>-0.57814473624999996</v>
      </c>
      <c r="I430" s="10">
        <v>0.481127782695771</v>
      </c>
      <c r="J430" s="10">
        <v>0.23148394328174901</v>
      </c>
      <c r="K430" s="10">
        <v>1.5098693999999999E-2</v>
      </c>
      <c r="L430" s="10">
        <v>-0.53857977099999998</v>
      </c>
      <c r="M430" s="10">
        <v>0.52852976399999996</v>
      </c>
      <c r="N430" s="10">
        <v>-0.79984256300000001</v>
      </c>
      <c r="O430" s="9">
        <v>-0.19869846899999999</v>
      </c>
      <c r="P430" s="10">
        <v>0.59202017166631704</v>
      </c>
      <c r="Q430" s="10">
        <v>0.35048788365981498</v>
      </c>
    </row>
    <row r="431" spans="1:17" x14ac:dyDescent="0.2">
      <c r="A431" s="10">
        <v>1621</v>
      </c>
      <c r="B431" s="10" t="s">
        <v>2830</v>
      </c>
      <c r="C431" s="9" t="s">
        <v>470</v>
      </c>
      <c r="D431" s="10">
        <v>-0.52502107499999995</v>
      </c>
      <c r="E431" s="10">
        <v>0.46762510200000001</v>
      </c>
      <c r="F431" s="10">
        <v>-0.45777980299999999</v>
      </c>
      <c r="G431" s="10">
        <v>-9.5004433999999999E-2</v>
      </c>
      <c r="H431" s="9">
        <v>-0.15254505274999999</v>
      </c>
      <c r="I431" s="10">
        <v>0.45454320790589098</v>
      </c>
      <c r="J431" s="10">
        <v>0.20660952785337799</v>
      </c>
      <c r="K431" s="10">
        <v>8.8028111000000006E-2</v>
      </c>
      <c r="L431" s="10">
        <v>-0.39185850900000002</v>
      </c>
      <c r="M431" s="10">
        <v>-0.64428618599999998</v>
      </c>
      <c r="N431" s="10">
        <v>-0.34655211800000002</v>
      </c>
      <c r="O431" s="9">
        <v>-0.32366717550000002</v>
      </c>
      <c r="P431" s="10">
        <v>0.30411803485820599</v>
      </c>
      <c r="Q431" s="10">
        <v>9.2487779126017494E-2</v>
      </c>
    </row>
    <row r="432" spans="1:17" x14ac:dyDescent="0.2">
      <c r="A432" s="10">
        <v>1622</v>
      </c>
      <c r="B432" s="10" t="s">
        <v>2814</v>
      </c>
      <c r="C432" s="9" t="s">
        <v>471</v>
      </c>
      <c r="D432" s="10">
        <v>0.50575835300000005</v>
      </c>
      <c r="E432" s="10">
        <v>-0.12906554000000001</v>
      </c>
      <c r="F432" s="10">
        <v>-0.69630271399999999</v>
      </c>
      <c r="G432" s="10">
        <v>-0.53337168000000001</v>
      </c>
      <c r="H432" s="9">
        <v>-0.21324539525</v>
      </c>
      <c r="I432" s="10">
        <v>0.53537458830655404</v>
      </c>
      <c r="J432" s="10">
        <v>0.28662594980441197</v>
      </c>
      <c r="K432" s="10">
        <v>0.43155216800000001</v>
      </c>
      <c r="L432" s="10">
        <v>-0.10478715700000001</v>
      </c>
      <c r="M432" s="10">
        <v>0.661411835</v>
      </c>
      <c r="N432" s="10">
        <v>0.30613310999999999</v>
      </c>
      <c r="O432" s="9">
        <v>0.32357748874999998</v>
      </c>
      <c r="P432" s="10">
        <v>0.32124297810421798</v>
      </c>
      <c r="Q432" s="10">
        <v>0.103197050981267</v>
      </c>
    </row>
    <row r="433" spans="1:17" x14ac:dyDescent="0.2">
      <c r="A433" s="10">
        <v>1622</v>
      </c>
      <c r="B433" s="10" t="s">
        <v>2825</v>
      </c>
      <c r="C433" s="9" t="s">
        <v>472</v>
      </c>
      <c r="D433" s="10">
        <v>0.107072719</v>
      </c>
      <c r="E433" s="10">
        <v>1.1636267E-2</v>
      </c>
      <c r="F433" s="10">
        <v>-0.137458723</v>
      </c>
      <c r="G433" s="10">
        <v>0.146452575</v>
      </c>
      <c r="H433" s="9">
        <v>3.1925709500000003E-2</v>
      </c>
      <c r="I433" s="10">
        <v>0.126314717284983</v>
      </c>
      <c r="J433" s="10">
        <v>1.5955407802785301E-2</v>
      </c>
      <c r="K433" s="10">
        <v>0.18037987799999999</v>
      </c>
      <c r="L433" s="10">
        <v>4.1707243999999997E-2</v>
      </c>
      <c r="M433" s="10">
        <v>-2.1100766E-2</v>
      </c>
      <c r="N433" s="10">
        <v>0.29671204099999998</v>
      </c>
      <c r="O433" s="9">
        <v>0.12442459925</v>
      </c>
      <c r="P433" s="10">
        <v>0.142400548448675</v>
      </c>
      <c r="Q433" s="10">
        <v>2.02779161984834E-2</v>
      </c>
    </row>
    <row r="434" spans="1:17" x14ac:dyDescent="0.2">
      <c r="A434" s="10">
        <v>1622</v>
      </c>
      <c r="B434" s="10" t="s">
        <v>2832</v>
      </c>
      <c r="C434" s="9" t="s">
        <v>473</v>
      </c>
      <c r="D434" s="10">
        <v>0.13839395600000001</v>
      </c>
      <c r="E434" s="10">
        <v>-0.77331422900000002</v>
      </c>
      <c r="F434" s="10">
        <v>0.51723846600000001</v>
      </c>
      <c r="G434" s="10">
        <v>-0.60420772499999997</v>
      </c>
      <c r="H434" s="9">
        <v>-0.18047238274999999</v>
      </c>
      <c r="I434" s="10">
        <v>0.61087076248802596</v>
      </c>
      <c r="J434" s="10">
        <v>0.37316308846270202</v>
      </c>
      <c r="K434" s="10">
        <v>-8.9697130000000007E-3</v>
      </c>
      <c r="L434" s="10">
        <v>-0.49012924200000002</v>
      </c>
      <c r="M434" s="10">
        <v>0.25316345299999998</v>
      </c>
      <c r="N434" s="10">
        <v>0.287959454</v>
      </c>
      <c r="O434" s="9">
        <v>1.0505988000000001E-2</v>
      </c>
      <c r="P434" s="10">
        <v>0.35910908628726901</v>
      </c>
      <c r="Q434" s="10">
        <v>0.12895933585407701</v>
      </c>
    </row>
    <row r="435" spans="1:17" x14ac:dyDescent="0.2">
      <c r="A435" s="10">
        <v>1623</v>
      </c>
      <c r="B435" s="10" t="s">
        <v>2824</v>
      </c>
      <c r="C435" s="9" t="s">
        <v>474</v>
      </c>
      <c r="D435" s="10">
        <v>7.7853619999999997E-3</v>
      </c>
      <c r="E435" s="10">
        <v>3.0664439000000002E-2</v>
      </c>
      <c r="F435" s="10">
        <v>-0.18373213899999999</v>
      </c>
      <c r="G435" s="10">
        <v>-5.6886856E-2</v>
      </c>
      <c r="H435" s="9">
        <v>-5.0542298499999999E-2</v>
      </c>
      <c r="I435" s="10">
        <v>9.6222722917689602E-2</v>
      </c>
      <c r="J435" s="10">
        <v>9.2588124056943999E-3</v>
      </c>
      <c r="K435" s="10">
        <v>7.6588832999999995E-2</v>
      </c>
      <c r="L435" s="10">
        <v>-9.9124298E-2</v>
      </c>
      <c r="M435" s="10">
        <v>-0.20142721899999999</v>
      </c>
      <c r="N435" s="10">
        <v>-0.18330255300000001</v>
      </c>
      <c r="O435" s="9">
        <v>-0.10181630899999999</v>
      </c>
      <c r="P435" s="10">
        <v>0.12701441252540299</v>
      </c>
      <c r="Q435" s="10">
        <v>1.6132660989173299E-2</v>
      </c>
    </row>
    <row r="436" spans="1:17" x14ac:dyDescent="0.2">
      <c r="A436" s="10">
        <v>1623</v>
      </c>
      <c r="B436" s="10" t="s">
        <v>74</v>
      </c>
      <c r="C436" s="9" t="s">
        <v>475</v>
      </c>
      <c r="D436" s="10">
        <v>-0.11158478600000001</v>
      </c>
      <c r="E436" s="10">
        <v>0.123547192</v>
      </c>
      <c r="F436" s="10">
        <v>3.5372378000000003E-2</v>
      </c>
      <c r="G436" s="10">
        <v>0.22939111100000001</v>
      </c>
      <c r="H436" s="9">
        <v>6.9181474000000007E-2</v>
      </c>
      <c r="I436" s="10">
        <v>0.144270873484627</v>
      </c>
      <c r="J436" s="10">
        <v>2.0814084936017298E-2</v>
      </c>
      <c r="K436" s="10">
        <v>0.193789084</v>
      </c>
      <c r="L436" s="10">
        <v>9.3171474000000004E-2</v>
      </c>
      <c r="M436" s="10">
        <v>-0.357153677</v>
      </c>
      <c r="N436" s="10">
        <v>-2.5103005000000001E-2</v>
      </c>
      <c r="O436" s="9">
        <v>-2.3824030999999999E-2</v>
      </c>
      <c r="P436" s="10">
        <v>0.23955076336564199</v>
      </c>
      <c r="Q436" s="10">
        <v>5.7384568229062002E-2</v>
      </c>
    </row>
    <row r="437" spans="1:17" x14ac:dyDescent="0.2">
      <c r="A437" s="10">
        <v>1624</v>
      </c>
      <c r="B437" s="10" t="s">
        <v>2823</v>
      </c>
      <c r="C437" s="9" t="s">
        <v>476</v>
      </c>
      <c r="D437" s="10">
        <v>-0.50368964299999996</v>
      </c>
      <c r="E437" s="10">
        <v>-0.64679631699999995</v>
      </c>
      <c r="F437" s="10">
        <v>-9.4105174E-2</v>
      </c>
      <c r="G437" s="10">
        <v>-3.6740922000000002E-2</v>
      </c>
      <c r="H437" s="9">
        <v>-0.32033301400000003</v>
      </c>
      <c r="I437" s="10">
        <v>0.30099914276728101</v>
      </c>
      <c r="J437" s="10">
        <v>9.0600483946638499E-2</v>
      </c>
      <c r="K437" s="10">
        <v>0.104667565</v>
      </c>
      <c r="L437" s="10">
        <v>-0.37928276900000002</v>
      </c>
      <c r="M437" s="10">
        <v>1.3678094E-2</v>
      </c>
      <c r="N437" s="10">
        <v>-0.44569144999999999</v>
      </c>
      <c r="O437" s="9">
        <v>-0.17665713975</v>
      </c>
      <c r="P437" s="10">
        <v>0.27616884716298301</v>
      </c>
      <c r="Q437" s="10">
        <v>7.6269232143331103E-2</v>
      </c>
    </row>
    <row r="438" spans="1:17" x14ac:dyDescent="0.2">
      <c r="A438" s="10">
        <v>1624</v>
      </c>
      <c r="B438" s="10" t="s">
        <v>2819</v>
      </c>
      <c r="C438" s="9" t="s">
        <v>2545</v>
      </c>
      <c r="D438" s="10">
        <v>0.19000683500000001</v>
      </c>
      <c r="E438" s="10">
        <v>-0.26499128999999999</v>
      </c>
      <c r="F438" s="10">
        <v>0.20778485399999999</v>
      </c>
      <c r="G438" s="10">
        <v>0.31370621700000001</v>
      </c>
      <c r="H438" s="9">
        <v>0.11162665400000001</v>
      </c>
      <c r="I438" s="10">
        <v>0.256948164503978</v>
      </c>
      <c r="J438" s="10">
        <v>6.6022359241963605E-2</v>
      </c>
      <c r="K438" s="10">
        <v>-0.76832196100000005</v>
      </c>
      <c r="L438" s="10">
        <v>-0.80311651500000003</v>
      </c>
      <c r="M438" s="10">
        <v>-1.2797833830000001</v>
      </c>
      <c r="N438" s="10">
        <v>0.147311784</v>
      </c>
      <c r="O438" s="9">
        <v>-0.67597751849999999</v>
      </c>
      <c r="P438" s="10">
        <v>0.59639992681287002</v>
      </c>
      <c r="Q438" s="10">
        <v>0.35569287270239702</v>
      </c>
    </row>
    <row r="439" spans="1:17" x14ac:dyDescent="0.2">
      <c r="A439" s="10">
        <v>1624</v>
      </c>
      <c r="B439" s="10" t="s">
        <v>2824</v>
      </c>
      <c r="C439" s="9" t="s">
        <v>477</v>
      </c>
      <c r="D439" s="10">
        <v>-0.296027121</v>
      </c>
      <c r="E439" s="10">
        <v>-0.35250917700000001</v>
      </c>
      <c r="F439" s="10">
        <v>-0.486080446</v>
      </c>
      <c r="G439" s="10">
        <v>-0.45901008900000001</v>
      </c>
      <c r="H439" s="9">
        <v>-0.39840670825000002</v>
      </c>
      <c r="I439" s="10">
        <v>8.9345056400658096E-2</v>
      </c>
      <c r="J439" s="10">
        <v>7.9825391032367007E-3</v>
      </c>
      <c r="K439" s="10">
        <v>0.109212748</v>
      </c>
      <c r="L439" s="10">
        <v>-2.1318001E-2</v>
      </c>
      <c r="M439" s="10">
        <v>-0.51301621399999997</v>
      </c>
      <c r="N439" s="10">
        <v>-0.107574481</v>
      </c>
      <c r="O439" s="9">
        <v>-0.13317398699999999</v>
      </c>
      <c r="P439" s="10">
        <v>0.268451450004003</v>
      </c>
      <c r="Q439" s="10">
        <v>7.2066181009251898E-2</v>
      </c>
    </row>
    <row r="440" spans="1:17" x14ac:dyDescent="0.2">
      <c r="A440" s="10">
        <v>1624</v>
      </c>
      <c r="B440" s="10" t="s">
        <v>2825</v>
      </c>
      <c r="C440" s="9" t="s">
        <v>478</v>
      </c>
      <c r="D440" s="10">
        <v>-0.30808190800000002</v>
      </c>
      <c r="E440" s="10">
        <v>7.2188250999999995E-2</v>
      </c>
      <c r="F440" s="10">
        <v>0.358333556</v>
      </c>
      <c r="G440" s="10">
        <v>-0.391708051</v>
      </c>
      <c r="H440" s="9">
        <v>-6.7317038250000003E-2</v>
      </c>
      <c r="I440" s="10">
        <v>0.34825154020851501</v>
      </c>
      <c r="J440" s="10">
        <v>0.121279135257603</v>
      </c>
      <c r="K440" s="10">
        <v>7.7885420999999996E-2</v>
      </c>
      <c r="L440" s="10">
        <v>-0.39460657599999999</v>
      </c>
      <c r="M440" s="10">
        <v>-0.28811856800000002</v>
      </c>
      <c r="N440" s="10">
        <v>-1.4681175339999999</v>
      </c>
      <c r="O440" s="9">
        <v>-0.51823931425000003</v>
      </c>
      <c r="P440" s="10">
        <v>0.66479920380872903</v>
      </c>
      <c r="Q440" s="10">
        <v>0.44195798138471998</v>
      </c>
    </row>
    <row r="441" spans="1:17" x14ac:dyDescent="0.2">
      <c r="A441" s="10">
        <v>1624</v>
      </c>
      <c r="B441" s="10" t="s">
        <v>2830</v>
      </c>
      <c r="C441" s="9" t="s">
        <v>479</v>
      </c>
      <c r="D441" s="10">
        <v>-0.41952038699999999</v>
      </c>
      <c r="E441" s="10">
        <v>-0.45430770999999998</v>
      </c>
      <c r="F441" s="10">
        <v>-0.46566958200000003</v>
      </c>
      <c r="G441" s="10">
        <v>-0.32169286200000002</v>
      </c>
      <c r="H441" s="9">
        <v>-0.415297635</v>
      </c>
      <c r="I441" s="10">
        <v>6.5418662370181596E-2</v>
      </c>
      <c r="J441" s="10">
        <v>4.2796013863037998E-3</v>
      </c>
      <c r="K441" s="10">
        <v>-0.45824579500000001</v>
      </c>
      <c r="L441" s="10">
        <v>5.8499611E-2</v>
      </c>
      <c r="M441" s="10">
        <v>-0.124450938</v>
      </c>
      <c r="N441" s="10">
        <v>-0.32940831799999998</v>
      </c>
      <c r="O441" s="9">
        <v>-0.21340135974999999</v>
      </c>
      <c r="P441" s="10">
        <v>0.22748533085278499</v>
      </c>
      <c r="Q441" s="10">
        <v>5.1749575753201299E-2</v>
      </c>
    </row>
    <row r="442" spans="1:17" x14ac:dyDescent="0.2">
      <c r="A442" s="10">
        <v>1624</v>
      </c>
      <c r="B442" s="10" t="s">
        <v>2832</v>
      </c>
      <c r="C442" s="9" t="s">
        <v>2544</v>
      </c>
      <c r="D442" s="10">
        <v>-2.9950938E-2</v>
      </c>
      <c r="E442" s="10">
        <v>-1.9175336780000001</v>
      </c>
      <c r="F442" s="10">
        <v>-0.993150796</v>
      </c>
      <c r="G442" s="10">
        <v>0.49311481499999998</v>
      </c>
      <c r="H442" s="9">
        <v>-0.61188014925</v>
      </c>
      <c r="I442" s="10">
        <v>1.0661072368097499</v>
      </c>
      <c r="J442" s="10">
        <v>1.1365846403781299</v>
      </c>
      <c r="K442" s="10">
        <v>-0.32463903399999999</v>
      </c>
      <c r="L442" s="10">
        <v>4.4542635999999997E-2</v>
      </c>
      <c r="M442" s="10">
        <v>-0.74058128599999995</v>
      </c>
      <c r="N442" s="10">
        <v>-1.554173289</v>
      </c>
      <c r="O442" s="9">
        <v>-0.64371274349999996</v>
      </c>
      <c r="P442" s="10">
        <v>0.68649482128248396</v>
      </c>
      <c r="Q442" s="10">
        <v>0.47127513964766998</v>
      </c>
    </row>
    <row r="443" spans="1:17" x14ac:dyDescent="0.2">
      <c r="A443" s="10">
        <v>1625</v>
      </c>
      <c r="B443" s="10" t="s">
        <v>96</v>
      </c>
      <c r="C443" s="9" t="s">
        <v>480</v>
      </c>
      <c r="D443" s="10">
        <v>-0.27783399199999997</v>
      </c>
      <c r="E443" s="10">
        <v>0.16854938699999999</v>
      </c>
      <c r="F443" s="10">
        <v>0.42678121699999999</v>
      </c>
      <c r="G443" s="10">
        <v>-8.0534468999999997E-2</v>
      </c>
      <c r="H443" s="9">
        <v>5.9240536250000003E-2</v>
      </c>
      <c r="I443" s="10">
        <v>0.30560915482909201</v>
      </c>
      <c r="J443" s="10">
        <v>9.3396955515352195E-2</v>
      </c>
      <c r="K443" s="10">
        <v>-0.32437839200000002</v>
      </c>
      <c r="L443" s="10">
        <v>-0.13433883499999999</v>
      </c>
      <c r="M443" s="10">
        <v>0.38949114299999998</v>
      </c>
      <c r="N443" s="10">
        <v>-0.71875824200000005</v>
      </c>
      <c r="O443" s="9">
        <v>-0.1969960815</v>
      </c>
      <c r="P443" s="10">
        <v>0.46056313363773099</v>
      </c>
      <c r="Q443" s="10">
        <v>0.212118400066207</v>
      </c>
    </row>
    <row r="444" spans="1:17" x14ac:dyDescent="0.2">
      <c r="A444" s="10">
        <v>1625</v>
      </c>
      <c r="B444" s="10" t="s">
        <v>2823</v>
      </c>
      <c r="C444" s="9" t="s">
        <v>2543</v>
      </c>
      <c r="D444" s="10">
        <v>-0.56970573700000005</v>
      </c>
      <c r="E444" s="10">
        <v>-2.0889843450000001</v>
      </c>
      <c r="F444" s="10">
        <v>0.92799180299999995</v>
      </c>
      <c r="G444" s="10">
        <v>-0.66787743099999997</v>
      </c>
      <c r="H444" s="9">
        <v>-0.59964392725000004</v>
      </c>
      <c r="I444" s="10">
        <v>1.23252557925446</v>
      </c>
      <c r="J444" s="10">
        <v>1.51911930351654</v>
      </c>
      <c r="K444" s="10">
        <v>1.0820790709999999</v>
      </c>
      <c r="L444" s="10">
        <v>6.1651876000000001E-2</v>
      </c>
      <c r="M444" s="10">
        <v>1.534147677</v>
      </c>
      <c r="N444" s="10">
        <v>0.77535514400000005</v>
      </c>
      <c r="O444" s="9">
        <v>0.86330844200000001</v>
      </c>
      <c r="P444" s="10">
        <v>0.61867463171105497</v>
      </c>
      <c r="Q444" s="10">
        <v>0.38275829992281002</v>
      </c>
    </row>
    <row r="445" spans="1:17" x14ac:dyDescent="0.2">
      <c r="A445" s="10">
        <v>1625</v>
      </c>
      <c r="B445" s="10" t="s">
        <v>2819</v>
      </c>
      <c r="C445" s="9" t="s">
        <v>481</v>
      </c>
      <c r="D445" s="10">
        <v>-7.8641563999999997E-2</v>
      </c>
      <c r="E445" s="10">
        <v>-0.137684009</v>
      </c>
      <c r="F445" s="10">
        <v>-0.267823327</v>
      </c>
      <c r="G445" s="10">
        <v>-0.221342442</v>
      </c>
      <c r="H445" s="9">
        <v>-0.17637283549999999</v>
      </c>
      <c r="I445" s="10">
        <v>8.45255082392493E-2</v>
      </c>
      <c r="J445" s="10">
        <v>7.1445615431033997E-3</v>
      </c>
      <c r="K445" s="10">
        <v>-0.213364153</v>
      </c>
      <c r="L445" s="10">
        <v>0.20526825800000001</v>
      </c>
      <c r="M445" s="10">
        <v>-0.22768345700000001</v>
      </c>
      <c r="N445" s="10">
        <v>-0.34953670799999997</v>
      </c>
      <c r="O445" s="9">
        <v>-0.14632901500000001</v>
      </c>
      <c r="P445" s="10">
        <v>0.24223009986046201</v>
      </c>
      <c r="Q445" s="10">
        <v>5.8675421278409703E-2</v>
      </c>
    </row>
    <row r="446" spans="1:17" x14ac:dyDescent="0.2">
      <c r="A446" s="10">
        <v>1625</v>
      </c>
      <c r="B446" s="10" t="s">
        <v>2826</v>
      </c>
      <c r="C446" s="9" t="s">
        <v>482</v>
      </c>
      <c r="D446" s="10">
        <v>0.38345057300000002</v>
      </c>
      <c r="E446" s="10">
        <v>0.13734664499999999</v>
      </c>
      <c r="F446" s="10">
        <v>0.15344724500000001</v>
      </c>
      <c r="G446" s="10">
        <v>-0.109110201</v>
      </c>
      <c r="H446" s="9">
        <v>0.14128356524999999</v>
      </c>
      <c r="I446" s="10">
        <v>0.20125055052973401</v>
      </c>
      <c r="J446" s="10">
        <v>4.0501784088521203E-2</v>
      </c>
      <c r="K446" s="10">
        <v>-0.16976527599999999</v>
      </c>
      <c r="L446" s="10">
        <v>9.7507347999999994E-2</v>
      </c>
      <c r="M446" s="10">
        <v>0.31382416299999999</v>
      </c>
      <c r="N446" s="10">
        <v>9.6327372999999994E-2</v>
      </c>
      <c r="O446" s="9">
        <v>8.4473402000000003E-2</v>
      </c>
      <c r="P446" s="10">
        <v>0.197947364501497</v>
      </c>
      <c r="Q446" s="10">
        <v>3.9183159113088797E-2</v>
      </c>
    </row>
    <row r="447" spans="1:17" x14ac:dyDescent="0.2">
      <c r="A447" s="10">
        <v>1625</v>
      </c>
      <c r="B447" s="10" t="s">
        <v>2821</v>
      </c>
      <c r="C447" s="9" t="s">
        <v>483</v>
      </c>
      <c r="D447" s="10">
        <v>1.105434472</v>
      </c>
      <c r="E447" s="10">
        <v>0.36449505199999999</v>
      </c>
      <c r="F447" s="10">
        <v>-0.41762254900000001</v>
      </c>
      <c r="G447" s="10">
        <v>-0.587975837</v>
      </c>
      <c r="H447" s="9">
        <v>0.11608278449999999</v>
      </c>
      <c r="I447" s="10">
        <v>0.77911602510332501</v>
      </c>
      <c r="J447" s="10">
        <v>0.60702178057280498</v>
      </c>
      <c r="K447" s="10">
        <v>0.11961198100000001</v>
      </c>
      <c r="L447" s="10">
        <v>-0.40095231999999997</v>
      </c>
      <c r="M447" s="10">
        <v>-0.51496845599999996</v>
      </c>
      <c r="N447" s="10">
        <v>-0.24188791700000001</v>
      </c>
      <c r="O447" s="9">
        <v>-0.25954917775000003</v>
      </c>
      <c r="P447" s="10">
        <v>0.276471192457036</v>
      </c>
      <c r="Q447" s="10">
        <v>7.6436320258615603E-2</v>
      </c>
    </row>
    <row r="448" spans="1:17" x14ac:dyDescent="0.2">
      <c r="A448" s="10">
        <v>1625</v>
      </c>
      <c r="B448" s="10" t="s">
        <v>2834</v>
      </c>
      <c r="C448" s="9" t="s">
        <v>484</v>
      </c>
      <c r="D448" s="10">
        <v>-0.97082265400000001</v>
      </c>
      <c r="E448" s="10">
        <v>0.18378277400000001</v>
      </c>
      <c r="F448" s="10">
        <v>-0.16206994799999999</v>
      </c>
      <c r="G448" s="10">
        <v>0.14471167200000001</v>
      </c>
      <c r="H448" s="9">
        <v>-0.20109953875</v>
      </c>
      <c r="I448" s="10">
        <v>0.53594675458557905</v>
      </c>
      <c r="J448" s="10">
        <v>0.287238923750815</v>
      </c>
      <c r="K448" s="10">
        <v>0.59226432699999998</v>
      </c>
      <c r="L448" s="10">
        <v>0.17099721400000001</v>
      </c>
      <c r="M448" s="10">
        <v>5.4213691000000001E-2</v>
      </c>
      <c r="N448" s="10">
        <v>-0.635699032</v>
      </c>
      <c r="O448" s="9">
        <v>4.544404975E-2</v>
      </c>
      <c r="P448" s="10">
        <v>0.50951245228109798</v>
      </c>
      <c r="Q448" s="10">
        <v>0.25960293902949799</v>
      </c>
    </row>
    <row r="449" spans="1:17" x14ac:dyDescent="0.2">
      <c r="A449" s="10">
        <v>1625</v>
      </c>
      <c r="B449" s="10" t="s">
        <v>2820</v>
      </c>
      <c r="C449" s="9" t="s">
        <v>485</v>
      </c>
      <c r="D449" s="10">
        <v>-0.23999200900000001</v>
      </c>
      <c r="E449" s="10">
        <v>6.9645316999999998E-2</v>
      </c>
      <c r="F449" s="10">
        <v>-0.19801786800000001</v>
      </c>
      <c r="G449" s="10">
        <v>0.490144474</v>
      </c>
      <c r="H449" s="9">
        <v>3.0444978750000001E-2</v>
      </c>
      <c r="I449" s="10">
        <v>0.33575374365767202</v>
      </c>
      <c r="J449" s="10">
        <v>0.112730576380142</v>
      </c>
      <c r="K449" s="10">
        <v>-0.38548219</v>
      </c>
      <c r="L449" s="10">
        <v>0.169949138</v>
      </c>
      <c r="M449" s="10">
        <v>-0.19974372300000001</v>
      </c>
      <c r="N449" s="10">
        <v>-6.0691370000000001E-2</v>
      </c>
      <c r="O449" s="9">
        <v>-0.11899203625</v>
      </c>
      <c r="P449" s="10">
        <v>0.23411094721721901</v>
      </c>
      <c r="Q449" s="10">
        <v>5.4807935606943803E-2</v>
      </c>
    </row>
    <row r="450" spans="1:17" x14ac:dyDescent="0.2">
      <c r="A450" s="10">
        <v>1625</v>
      </c>
      <c r="B450" s="10" t="s">
        <v>2824</v>
      </c>
      <c r="C450" s="9" t="s">
        <v>486</v>
      </c>
      <c r="D450" s="10">
        <v>-0.31073870100000001</v>
      </c>
      <c r="E450" s="10">
        <v>-0.243136562</v>
      </c>
      <c r="F450" s="10">
        <v>-0.105517657</v>
      </c>
      <c r="G450" s="10">
        <v>9.2854537000000001E-2</v>
      </c>
      <c r="H450" s="9">
        <v>-0.141634596</v>
      </c>
      <c r="I450" s="10">
        <v>0.178127701577208</v>
      </c>
      <c r="J450" s="10">
        <v>3.1729478069179098E-2</v>
      </c>
      <c r="K450" s="10">
        <v>-9.6762226000000007E-2</v>
      </c>
      <c r="L450" s="10">
        <v>0.14890603499999999</v>
      </c>
      <c r="M450" s="10">
        <v>0.23046751500000001</v>
      </c>
      <c r="N450" s="10">
        <v>0.19563682199999999</v>
      </c>
      <c r="O450" s="9">
        <v>0.1195620365</v>
      </c>
      <c r="P450" s="10">
        <v>0.14803676901851301</v>
      </c>
      <c r="Q450" s="10">
        <v>2.1914884981440601E-2</v>
      </c>
    </row>
    <row r="451" spans="1:17" x14ac:dyDescent="0.2">
      <c r="A451" s="10">
        <v>1625</v>
      </c>
      <c r="B451" s="10" t="s">
        <v>2814</v>
      </c>
      <c r="C451" s="9" t="s">
        <v>487</v>
      </c>
      <c r="D451" s="10">
        <v>-0.10565163299999999</v>
      </c>
      <c r="E451" s="10">
        <v>0.44116593599999998</v>
      </c>
      <c r="F451" s="10">
        <v>-0.172940916</v>
      </c>
      <c r="G451" s="10">
        <v>0.15574254500000001</v>
      </c>
      <c r="H451" s="9">
        <v>7.9578983000000006E-2</v>
      </c>
      <c r="I451" s="10">
        <v>0.27965615390514897</v>
      </c>
      <c r="J451" s="10">
        <v>7.8207564417020495E-2</v>
      </c>
      <c r="K451" s="10">
        <v>-0.47067240700000001</v>
      </c>
      <c r="L451" s="10">
        <v>0.156407095</v>
      </c>
      <c r="M451" s="10">
        <v>-1.1727605E-2</v>
      </c>
      <c r="N451" s="10">
        <v>-0.76980441700000002</v>
      </c>
      <c r="O451" s="9">
        <v>-0.2739493335</v>
      </c>
      <c r="P451" s="10">
        <v>0.42368979294167602</v>
      </c>
      <c r="Q451" s="10">
        <v>0.17951304064296</v>
      </c>
    </row>
    <row r="452" spans="1:17" x14ac:dyDescent="0.2">
      <c r="A452" s="10">
        <v>1625</v>
      </c>
      <c r="B452" s="10" t="s">
        <v>2833</v>
      </c>
      <c r="C452" s="9" t="s">
        <v>488</v>
      </c>
      <c r="D452" s="10">
        <v>0.94806003000000005</v>
      </c>
      <c r="E452" s="10">
        <v>-1.0147125939999999</v>
      </c>
      <c r="F452" s="10">
        <v>-0.23156199499999999</v>
      </c>
      <c r="G452" s="10">
        <v>0.52301774400000001</v>
      </c>
      <c r="H452" s="9">
        <v>5.6200796249999997E-2</v>
      </c>
      <c r="I452" s="10">
        <v>0.86467602198289695</v>
      </c>
      <c r="J452" s="10">
        <v>0.74766462299216696</v>
      </c>
      <c r="K452" s="10">
        <v>-2.1404911160000002</v>
      </c>
      <c r="L452" s="10">
        <v>0.45274358799999997</v>
      </c>
      <c r="M452" s="10">
        <v>-4.3771556000000003E-2</v>
      </c>
      <c r="N452" s="10">
        <v>-0.12648008199999999</v>
      </c>
      <c r="O452" s="9">
        <v>-0.46449979175</v>
      </c>
      <c r="P452" s="10">
        <v>1.14623323821888</v>
      </c>
      <c r="Q452" s="10">
        <v>1.31385063639775</v>
      </c>
    </row>
    <row r="453" spans="1:17" x14ac:dyDescent="0.2">
      <c r="A453" s="10">
        <v>1625</v>
      </c>
      <c r="B453" s="10" t="s">
        <v>2825</v>
      </c>
      <c r="C453" s="9" t="s">
        <v>489</v>
      </c>
      <c r="D453" s="10">
        <v>9.8697871000000006E-2</v>
      </c>
      <c r="E453" s="10">
        <v>0.12931815399999999</v>
      </c>
      <c r="F453" s="10">
        <v>6.1246360000000001E-3</v>
      </c>
      <c r="G453" s="10">
        <v>0.16501009699999999</v>
      </c>
      <c r="H453" s="9">
        <v>9.9787689499999999E-2</v>
      </c>
      <c r="I453" s="10">
        <v>6.8068509775050898E-2</v>
      </c>
      <c r="J453" s="10">
        <v>4.6333220229962E-3</v>
      </c>
      <c r="K453" s="10">
        <v>0.205044069</v>
      </c>
      <c r="L453" s="10">
        <v>0.13002588900000001</v>
      </c>
      <c r="M453" s="10">
        <v>-0.34392843299999998</v>
      </c>
      <c r="N453" s="10">
        <v>-0.149239599</v>
      </c>
      <c r="O453" s="9">
        <v>-3.9524518250000001E-2</v>
      </c>
      <c r="P453" s="10">
        <v>0.25381113498505498</v>
      </c>
      <c r="Q453" s="10">
        <v>6.4420092242401902E-2</v>
      </c>
    </row>
    <row r="454" spans="1:17" x14ac:dyDescent="0.2">
      <c r="A454" s="10">
        <v>1625</v>
      </c>
      <c r="B454" s="10" t="s">
        <v>74</v>
      </c>
      <c r="C454" s="9" t="s">
        <v>490</v>
      </c>
      <c r="D454" s="10">
        <v>-2.4221652999999999E-2</v>
      </c>
      <c r="E454" s="10">
        <v>-0.26619125900000001</v>
      </c>
      <c r="F454" s="10">
        <v>0.26430067200000001</v>
      </c>
      <c r="G454" s="10">
        <v>0.32230704999999998</v>
      </c>
      <c r="H454" s="9">
        <v>7.4048702499999994E-2</v>
      </c>
      <c r="I454" s="10">
        <v>0.27279315312380098</v>
      </c>
      <c r="J454" s="10">
        <v>7.4416104391225799E-2</v>
      </c>
      <c r="K454" s="10">
        <v>-0.24410749300000001</v>
      </c>
      <c r="L454" s="10">
        <v>-0.30641567800000002</v>
      </c>
      <c r="M454" s="10">
        <v>-0.109370366</v>
      </c>
      <c r="N454" s="10">
        <v>5.7798612999999999E-2</v>
      </c>
      <c r="O454" s="9">
        <v>-0.15052373099999999</v>
      </c>
      <c r="P454" s="10">
        <v>0.16140220786387499</v>
      </c>
      <c r="Q454" s="10">
        <v>2.60506727033336E-2</v>
      </c>
    </row>
    <row r="455" spans="1:17" x14ac:dyDescent="0.2">
      <c r="A455" s="10">
        <v>1625</v>
      </c>
      <c r="B455" s="10" t="s">
        <v>2830</v>
      </c>
      <c r="C455" s="9" t="s">
        <v>491</v>
      </c>
      <c r="D455" s="10">
        <v>-7.6088167999999998E-2</v>
      </c>
      <c r="E455" s="10">
        <v>-0.17818249899999999</v>
      </c>
      <c r="F455" s="10">
        <v>0.35303751700000002</v>
      </c>
      <c r="G455" s="10">
        <v>-5.2892618000000002E-2</v>
      </c>
      <c r="H455" s="9">
        <v>1.1468558E-2</v>
      </c>
      <c r="I455" s="10">
        <v>0.23412633229199301</v>
      </c>
      <c r="J455" s="10">
        <v>5.4815139472501002E-2</v>
      </c>
      <c r="K455" s="10">
        <v>-6.3731454000000007E-2</v>
      </c>
      <c r="L455" s="10">
        <v>2.4941445E-2</v>
      </c>
      <c r="M455" s="10">
        <v>-0.10416019899999999</v>
      </c>
      <c r="N455" s="10">
        <v>0.20486006800000001</v>
      </c>
      <c r="O455" s="9">
        <v>1.5477464749999999E-2</v>
      </c>
      <c r="P455" s="10">
        <v>0.13728627114296699</v>
      </c>
      <c r="Q455" s="10">
        <v>1.8847520244340402E-2</v>
      </c>
    </row>
    <row r="456" spans="1:17" x14ac:dyDescent="0.2">
      <c r="A456" s="10">
        <v>1626</v>
      </c>
      <c r="B456" s="10" t="s">
        <v>2831</v>
      </c>
      <c r="C456" s="9" t="s">
        <v>2542</v>
      </c>
      <c r="D456" s="10">
        <v>-2.0363380310000001</v>
      </c>
      <c r="E456" s="10">
        <v>-0.90361086000000002</v>
      </c>
      <c r="F456" s="10">
        <v>-1.536700787</v>
      </c>
      <c r="G456" s="10">
        <v>1.9688015590000001</v>
      </c>
      <c r="H456" s="9">
        <v>-0.62696202950000002</v>
      </c>
      <c r="I456" s="10">
        <v>1.7915066753342099</v>
      </c>
      <c r="J456" s="10">
        <v>3.2094961677670599</v>
      </c>
      <c r="K456" s="10">
        <v>1.391657881</v>
      </c>
      <c r="L456" s="10">
        <v>-0.89891378399999999</v>
      </c>
      <c r="M456" s="10">
        <v>0.11530053899999999</v>
      </c>
      <c r="N456" s="10">
        <v>-1.218897318</v>
      </c>
      <c r="O456" s="9">
        <v>-0.1527131705</v>
      </c>
      <c r="P456" s="10">
        <v>1.17621954939816</v>
      </c>
      <c r="Q456" s="10">
        <v>1.3834924283864101</v>
      </c>
    </row>
    <row r="457" spans="1:17" x14ac:dyDescent="0.2">
      <c r="A457" s="10">
        <v>1626</v>
      </c>
      <c r="B457" s="10" t="s">
        <v>2822</v>
      </c>
      <c r="C457" s="9" t="s">
        <v>492</v>
      </c>
      <c r="D457" s="10">
        <v>0.51577005099999995</v>
      </c>
      <c r="E457" s="10">
        <v>-0.31380855099999999</v>
      </c>
      <c r="F457" s="10">
        <v>-0.25433378600000001</v>
      </c>
      <c r="G457" s="10">
        <v>0.115737172</v>
      </c>
      <c r="H457" s="9">
        <v>1.5841221499999999E-2</v>
      </c>
      <c r="I457" s="10">
        <v>0.38365415966226002</v>
      </c>
      <c r="J457" s="10">
        <v>0.14719051422615501</v>
      </c>
      <c r="K457" s="10">
        <v>-0.75024904999999997</v>
      </c>
      <c r="L457" s="10">
        <v>-0.61549020099999996</v>
      </c>
      <c r="M457" s="10">
        <v>0.13278116200000001</v>
      </c>
      <c r="N457" s="10">
        <v>-0.163289291</v>
      </c>
      <c r="O457" s="9">
        <v>-0.34906184499999998</v>
      </c>
      <c r="P457" s="10">
        <v>0.407684259998289</v>
      </c>
      <c r="Q457" s="10">
        <v>0.16620645585035301</v>
      </c>
    </row>
    <row r="458" spans="1:17" x14ac:dyDescent="0.2">
      <c r="A458" s="10">
        <v>1626</v>
      </c>
      <c r="B458" s="10" t="s">
        <v>2826</v>
      </c>
      <c r="C458" s="9" t="s">
        <v>493</v>
      </c>
      <c r="D458" s="10">
        <v>6.1759031999999998E-2</v>
      </c>
      <c r="E458" s="10">
        <v>0.33267068999999999</v>
      </c>
      <c r="F458" s="10">
        <v>-4.1710599000000001E-2</v>
      </c>
      <c r="G458" s="10">
        <v>0.233864249</v>
      </c>
      <c r="H458" s="9">
        <v>0.146645843</v>
      </c>
      <c r="I458" s="10">
        <v>0.16822228743659701</v>
      </c>
      <c r="J458" s="10">
        <v>2.8298737990401099E-2</v>
      </c>
      <c r="K458" s="10">
        <v>2.1586620000000001E-2</v>
      </c>
      <c r="L458" s="10">
        <v>-0.28491525600000001</v>
      </c>
      <c r="M458" s="10">
        <v>0.14881444799999999</v>
      </c>
      <c r="N458" s="10">
        <v>2.9911945999999998E-2</v>
      </c>
      <c r="O458" s="9">
        <v>-2.1150560499999999E-2</v>
      </c>
      <c r="P458" s="10">
        <v>0.18519698060332401</v>
      </c>
      <c r="Q458" s="10">
        <v>3.42979216245883E-2</v>
      </c>
    </row>
    <row r="459" spans="1:17" x14ac:dyDescent="0.2">
      <c r="A459" s="10">
        <v>1626</v>
      </c>
      <c r="B459" s="10" t="s">
        <v>2824</v>
      </c>
      <c r="C459" s="9" t="s">
        <v>494</v>
      </c>
      <c r="D459" s="10">
        <v>-2.1873442E-2</v>
      </c>
      <c r="E459" s="10">
        <v>9.8320319999999992E-3</v>
      </c>
      <c r="F459" s="10">
        <v>0.228142804</v>
      </c>
      <c r="G459" s="10">
        <v>0.14153385299999999</v>
      </c>
      <c r="H459" s="9">
        <v>8.9408811749999997E-2</v>
      </c>
      <c r="I459" s="10">
        <v>0.116447905957981</v>
      </c>
      <c r="J459" s="10">
        <v>1.3560114801998801E-2</v>
      </c>
      <c r="K459" s="10">
        <v>-7.1368910999999993E-2</v>
      </c>
      <c r="L459" s="10">
        <v>-9.3898537000000004E-2</v>
      </c>
      <c r="M459" s="10">
        <v>-0.27092440099999998</v>
      </c>
      <c r="N459" s="10">
        <v>-0.11553875</v>
      </c>
      <c r="O459" s="9">
        <v>-0.13793264975</v>
      </c>
      <c r="P459" s="10">
        <v>9.0476566116339099E-2</v>
      </c>
      <c r="Q459" s="10">
        <v>8.1860090162042005E-3</v>
      </c>
    </row>
    <row r="460" spans="1:17" x14ac:dyDescent="0.2">
      <c r="A460" s="10">
        <v>1626</v>
      </c>
      <c r="B460" s="10" t="s">
        <v>2817</v>
      </c>
      <c r="C460" s="9" t="s">
        <v>495</v>
      </c>
      <c r="D460" s="10">
        <v>-0.222072086</v>
      </c>
      <c r="E460" s="10">
        <v>-0.66257884700000003</v>
      </c>
      <c r="F460" s="10">
        <v>-0.26183866500000003</v>
      </c>
      <c r="G460" s="10">
        <v>-0.53542041100000004</v>
      </c>
      <c r="H460" s="9">
        <v>-0.42047750225000002</v>
      </c>
      <c r="I460" s="10">
        <v>0.213194686677878</v>
      </c>
      <c r="J460" s="10">
        <v>4.5451974427678898E-2</v>
      </c>
      <c r="K460" s="10">
        <v>-0.840339328</v>
      </c>
      <c r="L460" s="10">
        <v>-0.20446714799999999</v>
      </c>
      <c r="M460" s="10">
        <v>-0.53361212899999999</v>
      </c>
      <c r="N460" s="10">
        <v>-0.20182307099999999</v>
      </c>
      <c r="O460" s="9">
        <v>-0.44506041899999998</v>
      </c>
      <c r="P460" s="10">
        <v>0.30612434878477401</v>
      </c>
      <c r="Q460" s="10">
        <v>9.37121169189023E-2</v>
      </c>
    </row>
    <row r="461" spans="1:17" x14ac:dyDescent="0.2">
      <c r="A461" s="10">
        <v>1626</v>
      </c>
      <c r="B461" s="10" t="s">
        <v>2833</v>
      </c>
      <c r="C461" s="9" t="s">
        <v>496</v>
      </c>
      <c r="D461" s="10">
        <v>3.0157481E-2</v>
      </c>
      <c r="E461" s="10">
        <v>0.17374810800000001</v>
      </c>
      <c r="F461" s="10">
        <v>-0.118876167</v>
      </c>
      <c r="G461" s="10">
        <v>7.3278494E-2</v>
      </c>
      <c r="H461" s="9">
        <v>3.9576978999999998E-2</v>
      </c>
      <c r="I461" s="10">
        <v>0.121564537578877</v>
      </c>
      <c r="J461" s="10">
        <v>1.4777936796766301E-2</v>
      </c>
      <c r="K461" s="10">
        <v>-0.19199269499999999</v>
      </c>
      <c r="L461" s="10">
        <v>-0.21264881099999999</v>
      </c>
      <c r="M461" s="10">
        <v>-0.19123004099999999</v>
      </c>
      <c r="N461" s="10">
        <v>-0.152014011</v>
      </c>
      <c r="O461" s="9">
        <v>-0.1869713895</v>
      </c>
      <c r="P461" s="10">
        <v>2.53291525585553E-2</v>
      </c>
      <c r="Q461" s="10">
        <v>6.4156596933450001E-4</v>
      </c>
    </row>
    <row r="462" spans="1:17" x14ac:dyDescent="0.2">
      <c r="A462" s="10">
        <v>1626</v>
      </c>
      <c r="B462" s="10" t="s">
        <v>2825</v>
      </c>
      <c r="C462" s="9" t="s">
        <v>497</v>
      </c>
      <c r="D462" s="10">
        <v>-0.18277137299999999</v>
      </c>
      <c r="E462" s="10">
        <v>0.18399952</v>
      </c>
      <c r="F462" s="10">
        <v>-1.3013978000000001E-2</v>
      </c>
      <c r="G462" s="10">
        <v>-0.101109429</v>
      </c>
      <c r="H462" s="9">
        <v>-2.8223814749999999E-2</v>
      </c>
      <c r="I462" s="10">
        <v>0.15755141327199501</v>
      </c>
      <c r="J462" s="10">
        <v>2.4822447824002999E-2</v>
      </c>
      <c r="K462" s="10">
        <v>-4.2572016999999997E-2</v>
      </c>
      <c r="L462" s="10">
        <v>9.6079379999999999E-3</v>
      </c>
      <c r="M462" s="10">
        <v>-0.69421226700000005</v>
      </c>
      <c r="N462" s="10">
        <v>0.484920183</v>
      </c>
      <c r="O462" s="9">
        <v>-6.0564040499999999E-2</v>
      </c>
      <c r="P462" s="10">
        <v>0.484531021542213</v>
      </c>
      <c r="Q462" s="10">
        <v>0.23477031083673999</v>
      </c>
    </row>
    <row r="463" spans="1:17" x14ac:dyDescent="0.2">
      <c r="A463" s="10">
        <v>1626</v>
      </c>
      <c r="B463" s="10" t="s">
        <v>74</v>
      </c>
      <c r="C463" s="9" t="s">
        <v>498</v>
      </c>
      <c r="D463" s="10">
        <v>-0.30149634400000003</v>
      </c>
      <c r="E463" s="10">
        <v>-0.26487930500000001</v>
      </c>
      <c r="F463" s="10">
        <v>-0.215431652</v>
      </c>
      <c r="G463" s="10">
        <v>-8.0318434999999994E-2</v>
      </c>
      <c r="H463" s="9">
        <v>-0.21553143399999999</v>
      </c>
      <c r="I463" s="10">
        <v>9.6794874483039695E-2</v>
      </c>
      <c r="J463" s="10">
        <v>9.3692477261874008E-3</v>
      </c>
      <c r="K463" s="10">
        <v>-0.159362741</v>
      </c>
      <c r="L463" s="10">
        <v>-9.1029216999999996E-2</v>
      </c>
      <c r="M463" s="10">
        <v>-0.33432913600000003</v>
      </c>
      <c r="N463" s="10">
        <v>-0.379410637</v>
      </c>
      <c r="O463" s="9">
        <v>-0.24103293275000001</v>
      </c>
      <c r="P463" s="10">
        <v>0.137869147544153</v>
      </c>
      <c r="Q463" s="10">
        <v>1.9007901844551402E-2</v>
      </c>
    </row>
    <row r="464" spans="1:17" x14ac:dyDescent="0.2">
      <c r="A464" s="10">
        <v>1626</v>
      </c>
      <c r="B464" s="10" t="s">
        <v>2835</v>
      </c>
      <c r="C464" s="9" t="s">
        <v>499</v>
      </c>
      <c r="D464" s="10">
        <v>-5.9661363000000002E-2</v>
      </c>
      <c r="E464" s="10">
        <v>-0.31366206400000002</v>
      </c>
      <c r="F464" s="10">
        <v>-1.2384437999999999E-2</v>
      </c>
      <c r="G464" s="10">
        <v>0.14350371100000001</v>
      </c>
      <c r="H464" s="9">
        <v>-6.0551038500000001E-2</v>
      </c>
      <c r="I464" s="10">
        <v>0.18975804326333601</v>
      </c>
      <c r="J464" s="10">
        <v>3.6008114983130397E-2</v>
      </c>
      <c r="K464" s="10">
        <v>-0.185821298</v>
      </c>
      <c r="L464" s="10">
        <v>9.4290513000000006E-2</v>
      </c>
      <c r="M464" s="10">
        <v>1.141597067</v>
      </c>
      <c r="N464" s="10">
        <v>0.57345863699999999</v>
      </c>
      <c r="O464" s="9">
        <v>0.40588122975000002</v>
      </c>
      <c r="P464" s="10">
        <v>0.58211128280642299</v>
      </c>
      <c r="Q464" s="10">
        <v>0.33885354557053898</v>
      </c>
    </row>
    <row r="465" spans="1:17" x14ac:dyDescent="0.2">
      <c r="A465" s="10">
        <v>1627</v>
      </c>
      <c r="B465" s="10" t="s">
        <v>2826</v>
      </c>
      <c r="C465" s="9" t="s">
        <v>2541</v>
      </c>
      <c r="D465" s="10">
        <v>-1.4928225E-2</v>
      </c>
      <c r="E465" s="10">
        <v>-1.395706729</v>
      </c>
      <c r="F465" s="10">
        <v>-0.111844627</v>
      </c>
      <c r="G465" s="10">
        <v>-0.59148917499999998</v>
      </c>
      <c r="H465" s="9">
        <v>-0.52849218899999995</v>
      </c>
      <c r="I465" s="10">
        <v>0.63070669746257202</v>
      </c>
      <c r="J465" s="10">
        <v>0.39779093822414402</v>
      </c>
      <c r="K465" s="10">
        <v>-0.10952226700000001</v>
      </c>
      <c r="L465" s="10">
        <v>1.031085064</v>
      </c>
      <c r="M465" s="10">
        <v>4.7974277369999996</v>
      </c>
      <c r="N465" s="10">
        <v>4.7539043000000003</v>
      </c>
      <c r="O465" s="9">
        <v>2.6182237100000001</v>
      </c>
      <c r="P465" s="10">
        <v>2.5344078184368901</v>
      </c>
      <c r="Q465" s="10">
        <v>6.4232229901540503</v>
      </c>
    </row>
    <row r="466" spans="1:17" x14ac:dyDescent="0.2">
      <c r="A466" s="10">
        <v>1627</v>
      </c>
      <c r="B466" s="10" t="s">
        <v>2824</v>
      </c>
      <c r="C466" s="9" t="s">
        <v>500</v>
      </c>
      <c r="D466" s="10">
        <v>-0.401865745</v>
      </c>
      <c r="E466" s="10">
        <v>-0.32398529199999998</v>
      </c>
      <c r="F466" s="10">
        <v>-0.118319484</v>
      </c>
      <c r="G466" s="10">
        <v>-8.5721549999999997E-3</v>
      </c>
      <c r="H466" s="9">
        <v>-0.21318566899999999</v>
      </c>
      <c r="I466" s="10">
        <v>0.18142308811558899</v>
      </c>
      <c r="J466" s="10">
        <v>3.2914336901396703E-2</v>
      </c>
      <c r="K466" s="10">
        <v>-0.35309774500000002</v>
      </c>
      <c r="L466" s="10">
        <v>-0.20675518100000001</v>
      </c>
      <c r="M466" s="10">
        <v>8.9851730000000005E-2</v>
      </c>
      <c r="N466" s="10">
        <v>-0.10757074</v>
      </c>
      <c r="O466" s="9">
        <v>-0.14439298424999999</v>
      </c>
      <c r="P466" s="10">
        <v>0.18589709032048801</v>
      </c>
      <c r="Q466" s="10">
        <v>3.4557728189623702E-2</v>
      </c>
    </row>
    <row r="467" spans="1:17" x14ac:dyDescent="0.2">
      <c r="A467" s="10">
        <v>1627</v>
      </c>
      <c r="B467" s="10" t="s">
        <v>2814</v>
      </c>
      <c r="C467" s="9" t="s">
        <v>2540</v>
      </c>
      <c r="D467" s="10">
        <v>1.5236506910000001</v>
      </c>
      <c r="E467" s="10">
        <v>0.35071213000000001</v>
      </c>
      <c r="F467" s="10">
        <v>8.7413616E-2</v>
      </c>
      <c r="G467" s="10">
        <v>1.603353338</v>
      </c>
      <c r="H467" s="9">
        <v>0.89128244374999999</v>
      </c>
      <c r="I467" s="10">
        <v>0.78429499443852202</v>
      </c>
      <c r="J467" s="10">
        <v>0.61511863830132096</v>
      </c>
      <c r="K467" s="10">
        <v>-0.51389498</v>
      </c>
      <c r="L467" s="10">
        <v>-0.38043514499999997</v>
      </c>
      <c r="M467" s="10">
        <v>0.90634417599999995</v>
      </c>
      <c r="N467" s="10">
        <v>1.06871249</v>
      </c>
      <c r="O467" s="9">
        <v>0.27018163525</v>
      </c>
      <c r="P467" s="10">
        <v>0.83275299210230702</v>
      </c>
      <c r="Q467" s="10">
        <v>0.69347754585534405</v>
      </c>
    </row>
    <row r="468" spans="1:17" x14ac:dyDescent="0.2">
      <c r="A468" s="10">
        <v>1627</v>
      </c>
      <c r="B468" s="10" t="s">
        <v>2825</v>
      </c>
      <c r="C468" s="9" t="s">
        <v>501</v>
      </c>
      <c r="D468" s="10">
        <v>-0.17018876099999999</v>
      </c>
      <c r="E468" s="10">
        <v>9.0485389999999999E-2</v>
      </c>
      <c r="F468" s="10">
        <v>-0.24381312999999999</v>
      </c>
      <c r="G468" s="10">
        <v>-0.101949915</v>
      </c>
      <c r="H468" s="9">
        <v>-0.10636660375</v>
      </c>
      <c r="I468" s="10">
        <v>0.14345153643548</v>
      </c>
      <c r="J468" s="10">
        <v>2.0578343305699999E-2</v>
      </c>
      <c r="K468" s="10">
        <v>0.26291130099999999</v>
      </c>
      <c r="L468" s="10">
        <v>9.8420651999999997E-2</v>
      </c>
      <c r="M468" s="10">
        <v>-5.3457659999999997E-2</v>
      </c>
      <c r="N468" s="10">
        <v>-0.58801038699999997</v>
      </c>
      <c r="O468" s="9">
        <v>-7.0034023749999993E-2</v>
      </c>
      <c r="P468" s="10">
        <v>0.36869312251780501</v>
      </c>
      <c r="Q468" s="10">
        <v>0.13593461859192901</v>
      </c>
    </row>
    <row r="469" spans="1:17" x14ac:dyDescent="0.2">
      <c r="A469" s="10">
        <v>1627</v>
      </c>
      <c r="B469" s="10" t="s">
        <v>74</v>
      </c>
      <c r="C469" s="9" t="s">
        <v>502</v>
      </c>
      <c r="D469" s="10">
        <v>0.126856313</v>
      </c>
      <c r="E469" s="10">
        <v>7.1057401000000006E-2</v>
      </c>
      <c r="F469" s="10">
        <v>-0.103249276</v>
      </c>
      <c r="G469" s="10">
        <v>1.7913473999999999E-2</v>
      </c>
      <c r="H469" s="9">
        <v>2.8144478000000001E-2</v>
      </c>
      <c r="I469" s="10">
        <v>9.8242111409401298E-2</v>
      </c>
      <c r="J469" s="10">
        <v>9.6515124541772003E-3</v>
      </c>
      <c r="K469" s="10">
        <v>0.326573004</v>
      </c>
      <c r="L469" s="10">
        <v>-0.39070060400000001</v>
      </c>
      <c r="M469" s="10">
        <v>-0.20669633200000001</v>
      </c>
      <c r="N469" s="10">
        <v>-0.39517906699999999</v>
      </c>
      <c r="O469" s="9">
        <v>-0.16650074975000001</v>
      </c>
      <c r="P469" s="10">
        <v>0.34024342212380099</v>
      </c>
      <c r="Q469" s="10">
        <v>0.11576558629851499</v>
      </c>
    </row>
    <row r="470" spans="1:17" x14ac:dyDescent="0.2">
      <c r="A470" s="10">
        <v>1628</v>
      </c>
      <c r="B470" s="10" t="s">
        <v>2822</v>
      </c>
      <c r="C470" s="9" t="s">
        <v>503</v>
      </c>
      <c r="D470" s="10">
        <v>-0.66926416700000002</v>
      </c>
      <c r="E470" s="10">
        <v>-0.15360705899999999</v>
      </c>
      <c r="F470" s="10">
        <v>-0.35664174900000001</v>
      </c>
      <c r="G470" s="10">
        <v>-0.38671745499999999</v>
      </c>
      <c r="H470" s="9">
        <v>-0.39155760750000002</v>
      </c>
      <c r="I470" s="10">
        <v>0.21211941681655999</v>
      </c>
      <c r="J470" s="10">
        <v>4.49946469905977E-2</v>
      </c>
      <c r="K470" s="10">
        <v>-0.154017506</v>
      </c>
      <c r="L470" s="10">
        <v>-0.31962166199999997</v>
      </c>
      <c r="M470" s="10">
        <v>-8.6860962E-2</v>
      </c>
      <c r="N470" s="10">
        <v>-7.6730860999999997E-2</v>
      </c>
      <c r="O470" s="9">
        <v>-0.15930774750000001</v>
      </c>
      <c r="P470" s="10">
        <v>0.112243807179963</v>
      </c>
      <c r="Q470" s="10">
        <v>1.2598672250252799E-2</v>
      </c>
    </row>
    <row r="471" spans="1:17" x14ac:dyDescent="0.2">
      <c r="A471" s="10">
        <v>1628</v>
      </c>
      <c r="B471" s="10" t="s">
        <v>96</v>
      </c>
      <c r="C471" s="9" t="s">
        <v>504</v>
      </c>
      <c r="D471" s="10">
        <v>0.66191548099999997</v>
      </c>
      <c r="E471" s="10">
        <v>0.30436313700000001</v>
      </c>
      <c r="F471" s="10">
        <v>4.1062037000000003E-2</v>
      </c>
      <c r="G471" s="10">
        <v>-0.43273880599999998</v>
      </c>
      <c r="H471" s="9">
        <v>0.14365046225</v>
      </c>
      <c r="I471" s="10">
        <v>0.46086012593637699</v>
      </c>
      <c r="J471" s="10">
        <v>0.21239205567809399</v>
      </c>
      <c r="K471" s="10">
        <v>-0.54483479400000001</v>
      </c>
      <c r="L471" s="10">
        <v>5.8093931000000001E-2</v>
      </c>
      <c r="M471" s="10">
        <v>0.37128070499999999</v>
      </c>
      <c r="N471" s="10">
        <v>8.7510186000000004E-2</v>
      </c>
      <c r="O471" s="9">
        <v>-6.9874927500000001E-3</v>
      </c>
      <c r="P471" s="10">
        <v>0.38537079628906601</v>
      </c>
      <c r="Q471" s="10">
        <v>0.14851065063246799</v>
      </c>
    </row>
    <row r="472" spans="1:17" x14ac:dyDescent="0.2">
      <c r="A472" s="10">
        <v>1628</v>
      </c>
      <c r="B472" s="10" t="s">
        <v>2823</v>
      </c>
      <c r="C472" s="9" t="s">
        <v>505</v>
      </c>
      <c r="D472" s="10">
        <v>0.387002713</v>
      </c>
      <c r="E472" s="10">
        <v>-0.29908343199999998</v>
      </c>
      <c r="F472" s="10">
        <v>-5.8515559000000002E-2</v>
      </c>
      <c r="G472" s="10">
        <v>0.34178341200000001</v>
      </c>
      <c r="H472" s="9">
        <v>9.2796783499999994E-2</v>
      </c>
      <c r="I472" s="10">
        <v>0.32914890167314798</v>
      </c>
      <c r="J472" s="10">
        <v>0.108338999472639</v>
      </c>
      <c r="K472" s="10">
        <v>-8.4772656000000002E-2</v>
      </c>
      <c r="L472" s="10">
        <v>0.27536839000000002</v>
      </c>
      <c r="M472" s="10">
        <v>-0.182163723</v>
      </c>
      <c r="N472" s="10">
        <v>-0.227107633</v>
      </c>
      <c r="O472" s="9">
        <v>-5.4668905750000003E-2</v>
      </c>
      <c r="P472" s="10">
        <v>0.22790414318765501</v>
      </c>
      <c r="Q472" s="10">
        <v>5.1940298482099301E-2</v>
      </c>
    </row>
    <row r="473" spans="1:17" x14ac:dyDescent="0.2">
      <c r="A473" s="10">
        <v>1628</v>
      </c>
      <c r="B473" s="10" t="s">
        <v>2819</v>
      </c>
      <c r="C473" s="9" t="s">
        <v>506</v>
      </c>
      <c r="D473" s="10">
        <v>-0.13204534800000001</v>
      </c>
      <c r="E473" s="10">
        <v>-2.1515670000000001E-2</v>
      </c>
      <c r="F473" s="10">
        <v>-9.5816718999999995E-2</v>
      </c>
      <c r="G473" s="10">
        <v>-4.5512842999999997E-2</v>
      </c>
      <c r="H473" s="9">
        <v>-7.3722645000000003E-2</v>
      </c>
      <c r="I473" s="10">
        <v>4.9702605426924097E-2</v>
      </c>
      <c r="J473" s="10">
        <v>2.4703489862244999E-3</v>
      </c>
      <c r="K473" s="10">
        <v>2.0057044E-2</v>
      </c>
      <c r="L473" s="10">
        <v>-9.7548702000000001E-2</v>
      </c>
      <c r="M473" s="10">
        <v>6.3717770000000007E-2</v>
      </c>
      <c r="N473" s="10">
        <v>1.7815789999999999E-3</v>
      </c>
      <c r="O473" s="9">
        <v>-2.9980772499999999E-3</v>
      </c>
      <c r="P473" s="10">
        <v>6.8179196838481004E-2</v>
      </c>
      <c r="Q473" s="10">
        <v>4.6484028815403002E-3</v>
      </c>
    </row>
    <row r="474" spans="1:17" x14ac:dyDescent="0.2">
      <c r="A474" s="10">
        <v>1628</v>
      </c>
      <c r="B474" s="10" t="s">
        <v>2824</v>
      </c>
      <c r="C474" s="9" t="s">
        <v>507</v>
      </c>
      <c r="D474" s="10">
        <v>7.7285125999999996E-2</v>
      </c>
      <c r="E474" s="10">
        <v>0.43695701399999998</v>
      </c>
      <c r="F474" s="10">
        <v>-0.109163342</v>
      </c>
      <c r="G474" s="10">
        <v>-0.31684187699999999</v>
      </c>
      <c r="H474" s="9">
        <v>2.2059230499999999E-2</v>
      </c>
      <c r="I474" s="10">
        <v>0.32003301625781899</v>
      </c>
      <c r="J474" s="10">
        <v>0.102421131495078</v>
      </c>
      <c r="K474" s="10">
        <v>8.2371232000000003E-2</v>
      </c>
      <c r="L474" s="10">
        <v>-0.34905222200000002</v>
      </c>
      <c r="M474" s="10">
        <v>-0.810046237</v>
      </c>
      <c r="N474" s="10">
        <v>0.25863661999999998</v>
      </c>
      <c r="O474" s="9">
        <v>-0.20452265175000001</v>
      </c>
      <c r="P474" s="10">
        <v>0.47762335946217799</v>
      </c>
      <c r="Q474" s="10">
        <v>0.22812407350393701</v>
      </c>
    </row>
    <row r="475" spans="1:17" x14ac:dyDescent="0.2">
      <c r="A475" s="10">
        <v>1628</v>
      </c>
      <c r="B475" s="10" t="s">
        <v>74</v>
      </c>
      <c r="C475" s="9" t="s">
        <v>508</v>
      </c>
      <c r="D475" s="10">
        <v>-0.224403408</v>
      </c>
      <c r="E475" s="10">
        <v>0.22206210700000001</v>
      </c>
      <c r="F475" s="10">
        <v>-0.17358298999999999</v>
      </c>
      <c r="G475" s="10">
        <v>0.105261802</v>
      </c>
      <c r="H475" s="9">
        <v>-1.7665622249999999E-2</v>
      </c>
      <c r="I475" s="10">
        <v>0.215740023660425</v>
      </c>
      <c r="J475" s="10">
        <v>4.6543757809000802E-2</v>
      </c>
      <c r="K475" s="10">
        <v>-0.61209391099999999</v>
      </c>
      <c r="L475" s="10">
        <v>-0.51794844600000001</v>
      </c>
      <c r="M475" s="10">
        <v>0.446400831</v>
      </c>
      <c r="N475" s="10">
        <v>-0.51139427100000001</v>
      </c>
      <c r="O475" s="9">
        <v>-0.29875894949999998</v>
      </c>
      <c r="P475" s="10">
        <v>0.49889869108478802</v>
      </c>
      <c r="Q475" s="10">
        <v>0.248899903966115</v>
      </c>
    </row>
    <row r="476" spans="1:17" x14ac:dyDescent="0.2">
      <c r="A476" s="10">
        <v>1628</v>
      </c>
      <c r="B476" s="10" t="s">
        <v>2832</v>
      </c>
      <c r="C476" s="9" t="s">
        <v>509</v>
      </c>
      <c r="D476" s="10">
        <v>-0.18716370600000001</v>
      </c>
      <c r="E476" s="10">
        <v>0.87951800199999997</v>
      </c>
      <c r="F476" s="10">
        <v>-0.36101645100000002</v>
      </c>
      <c r="G476" s="10">
        <v>0.654093072</v>
      </c>
      <c r="H476" s="9">
        <v>0.24635772924999999</v>
      </c>
      <c r="I476" s="10">
        <v>0.61209592667922397</v>
      </c>
      <c r="J476" s="10">
        <v>0.37466142345729703</v>
      </c>
      <c r="K476" s="10">
        <v>-9.2063418999999994E-2</v>
      </c>
      <c r="L476" s="10">
        <v>-0.149440886</v>
      </c>
      <c r="M476" s="10">
        <v>-0.34219677100000001</v>
      </c>
      <c r="N476" s="10">
        <v>-0.50373486599999995</v>
      </c>
      <c r="O476" s="9">
        <v>-0.27185898525000002</v>
      </c>
      <c r="P476" s="10">
        <v>0.187995092883601</v>
      </c>
      <c r="Q476" s="10">
        <v>3.5342154948313997E-2</v>
      </c>
    </row>
    <row r="477" spans="1:17" x14ac:dyDescent="0.2">
      <c r="A477" s="10">
        <v>1629</v>
      </c>
      <c r="B477" s="10" t="s">
        <v>2826</v>
      </c>
      <c r="C477" s="9" t="s">
        <v>510</v>
      </c>
      <c r="D477" s="10">
        <v>-0.19037747899999999</v>
      </c>
      <c r="E477" s="10">
        <v>0.22860071100000001</v>
      </c>
      <c r="F477" s="10">
        <v>0.157329156</v>
      </c>
      <c r="G477" s="10">
        <v>-0.47235472899999997</v>
      </c>
      <c r="H477" s="9">
        <v>-6.9200585250000002E-2</v>
      </c>
      <c r="I477" s="10">
        <v>0.32517607482750299</v>
      </c>
      <c r="J477" s="10">
        <v>0.105739479640222</v>
      </c>
      <c r="K477" s="10">
        <v>-0.81829781300000004</v>
      </c>
      <c r="L477" s="10">
        <v>-5.6797973989999999</v>
      </c>
      <c r="M477" s="10">
        <v>-0.35961390500000001</v>
      </c>
      <c r="N477" s="10">
        <v>-0.18445172300000001</v>
      </c>
      <c r="O477" s="9">
        <v>-1.76054021</v>
      </c>
      <c r="P477" s="10">
        <v>2.6264708310536702</v>
      </c>
      <c r="Q477" s="10">
        <v>6.8983490263757901</v>
      </c>
    </row>
    <row r="478" spans="1:17" x14ac:dyDescent="0.2">
      <c r="A478" s="10">
        <v>1629</v>
      </c>
      <c r="B478" s="10" t="s">
        <v>2821</v>
      </c>
      <c r="C478" s="9" t="s">
        <v>511</v>
      </c>
      <c r="D478" s="10">
        <v>-0.114591921</v>
      </c>
      <c r="E478" s="10">
        <v>0.26724613000000003</v>
      </c>
      <c r="F478" s="10">
        <v>-0.20363709999999999</v>
      </c>
      <c r="G478" s="10">
        <v>-0.146012959</v>
      </c>
      <c r="H478" s="9">
        <v>-4.924896225E-2</v>
      </c>
      <c r="I478" s="10">
        <v>0.214194470689205</v>
      </c>
      <c r="J478" s="10">
        <v>4.5879271273829E-2</v>
      </c>
      <c r="K478" s="10">
        <v>1.1874232E-2</v>
      </c>
      <c r="L478" s="10">
        <v>-0.228193062</v>
      </c>
      <c r="M478" s="10">
        <v>-0.142024338</v>
      </c>
      <c r="N478" s="10">
        <v>3.9078330000000003E-3</v>
      </c>
      <c r="O478" s="9">
        <v>-8.8608833999999997E-2</v>
      </c>
      <c r="P478" s="10">
        <v>0.116894757509307</v>
      </c>
      <c r="Q478" s="10">
        <v>1.3664384333159699E-2</v>
      </c>
    </row>
    <row r="479" spans="1:17" x14ac:dyDescent="0.2">
      <c r="A479" s="10">
        <v>1629</v>
      </c>
      <c r="B479" s="10" t="s">
        <v>79</v>
      </c>
      <c r="C479" s="9" t="s">
        <v>2539</v>
      </c>
      <c r="D479" s="10">
        <v>-0.112524913</v>
      </c>
      <c r="E479" s="10">
        <v>-0.79684919499999995</v>
      </c>
      <c r="F479" s="10">
        <v>-1.0324007340000001</v>
      </c>
      <c r="G479" s="10">
        <v>0.75495128499999997</v>
      </c>
      <c r="H479" s="9">
        <v>-0.29670588925000002</v>
      </c>
      <c r="I479" s="10">
        <v>0.80234981461582799</v>
      </c>
      <c r="J479" s="10">
        <v>0.64376522501405398</v>
      </c>
      <c r="K479" s="10">
        <v>-0.59409149400000005</v>
      </c>
      <c r="L479" s="10">
        <v>2.7622398999999999E-2</v>
      </c>
      <c r="M479" s="10">
        <v>-0.20062580599999999</v>
      </c>
      <c r="N479" s="10">
        <v>0.49062044199999999</v>
      </c>
      <c r="O479" s="9">
        <v>-6.9118614999999994E-2</v>
      </c>
      <c r="P479" s="10">
        <v>0.45297435567268601</v>
      </c>
      <c r="Q479" s="10">
        <v>0.20518576689708501</v>
      </c>
    </row>
    <row r="480" spans="1:17" x14ac:dyDescent="0.2">
      <c r="A480" s="10">
        <v>1629</v>
      </c>
      <c r="B480" s="10" t="s">
        <v>2824</v>
      </c>
      <c r="C480" s="9" t="s">
        <v>512</v>
      </c>
      <c r="D480" s="10">
        <v>-1.281472256</v>
      </c>
      <c r="E480" s="10">
        <v>-0.78693893299999995</v>
      </c>
      <c r="F480" s="10">
        <v>-0.58615487700000002</v>
      </c>
      <c r="G480" s="10">
        <v>0.81814198599999999</v>
      </c>
      <c r="H480" s="9">
        <v>-0.45910602</v>
      </c>
      <c r="I480" s="10">
        <v>0.90023414099793198</v>
      </c>
      <c r="J480" s="10">
        <v>0.81042150861828499</v>
      </c>
      <c r="K480" s="10">
        <v>-0.47623417600000001</v>
      </c>
      <c r="L480" s="10">
        <v>-9.1079658999999993E-2</v>
      </c>
      <c r="M480" s="10">
        <v>-0.60963161499999996</v>
      </c>
      <c r="N480" s="10">
        <v>-0.641631917</v>
      </c>
      <c r="O480" s="9">
        <v>-0.45464434175000001</v>
      </c>
      <c r="P480" s="10">
        <v>0.252738868962542</v>
      </c>
      <c r="Q480" s="10">
        <v>6.3876935884464997E-2</v>
      </c>
    </row>
    <row r="481" spans="1:17" x14ac:dyDescent="0.2">
      <c r="A481" s="10">
        <v>1629</v>
      </c>
      <c r="B481" s="10" t="s">
        <v>2814</v>
      </c>
      <c r="C481" s="9" t="s">
        <v>513</v>
      </c>
      <c r="D481" s="10">
        <v>-5.9891600000000001E-4</v>
      </c>
      <c r="E481" s="10">
        <v>0.485610282</v>
      </c>
      <c r="F481" s="10">
        <v>-0.18621236999999999</v>
      </c>
      <c r="G481" s="10">
        <v>0.50757814499999998</v>
      </c>
      <c r="H481" s="9">
        <v>0.20159428525</v>
      </c>
      <c r="I481" s="10">
        <v>0.34907845408795901</v>
      </c>
      <c r="J481" s="10">
        <v>0.121855767108439</v>
      </c>
      <c r="K481" s="10">
        <v>6.7266403000000002E-2</v>
      </c>
      <c r="L481" s="10">
        <v>0.31490885600000001</v>
      </c>
      <c r="M481" s="10">
        <v>3.4365609999999999E-3</v>
      </c>
      <c r="N481" s="10">
        <v>-3.8588959999999999E-2</v>
      </c>
      <c r="O481" s="9">
        <v>8.6755714999999997E-2</v>
      </c>
      <c r="P481" s="10">
        <v>0.15820562358792201</v>
      </c>
      <c r="Q481" s="10">
        <v>2.50290193348435E-2</v>
      </c>
    </row>
    <row r="482" spans="1:17" x14ac:dyDescent="0.2">
      <c r="A482" s="10">
        <v>1629</v>
      </c>
      <c r="B482" s="10" t="s">
        <v>2825</v>
      </c>
      <c r="C482" s="9" t="s">
        <v>514</v>
      </c>
      <c r="D482" s="10">
        <v>-0.46464807200000002</v>
      </c>
      <c r="E482" s="10">
        <v>-5.9245357999999998E-2</v>
      </c>
      <c r="F482" s="10">
        <v>3.8608940000000001E-3</v>
      </c>
      <c r="G482" s="10">
        <v>0.31110525700000002</v>
      </c>
      <c r="H482" s="9">
        <v>-5.2231819999999998E-2</v>
      </c>
      <c r="I482" s="10">
        <v>0.319007094338979</v>
      </c>
      <c r="J482" s="10">
        <v>0.101765526238598</v>
      </c>
      <c r="K482" s="10">
        <v>-0.28816436400000001</v>
      </c>
      <c r="L482" s="10">
        <v>0.22220135299999999</v>
      </c>
      <c r="M482" s="10">
        <v>-5.3805071000000003E-2</v>
      </c>
      <c r="N482" s="10">
        <v>-0.173728307</v>
      </c>
      <c r="O482" s="9">
        <v>-7.3374097250000006E-2</v>
      </c>
      <c r="P482" s="10">
        <v>0.21905373745875401</v>
      </c>
      <c r="Q482" s="10">
        <v>4.7984539894648799E-2</v>
      </c>
    </row>
    <row r="483" spans="1:17" x14ac:dyDescent="0.2">
      <c r="A483" s="10">
        <v>1629</v>
      </c>
      <c r="B483" s="10" t="s">
        <v>74</v>
      </c>
      <c r="C483" s="9" t="s">
        <v>515</v>
      </c>
      <c r="D483" s="10">
        <v>0.21709509900000001</v>
      </c>
      <c r="E483" s="10">
        <v>0.118815818</v>
      </c>
      <c r="F483" s="10">
        <v>-2.7053191000000001E-2</v>
      </c>
      <c r="G483" s="10">
        <v>-5.4280236000000003E-2</v>
      </c>
      <c r="H483" s="9">
        <v>6.3644372500000004E-2</v>
      </c>
      <c r="I483" s="10">
        <v>0.12744054192269699</v>
      </c>
      <c r="J483" s="10">
        <v>1.6241091725550601E-2</v>
      </c>
      <c r="K483" s="10">
        <v>3.3603218999999997E-2</v>
      </c>
      <c r="L483" s="10">
        <v>-0.24969059699999999</v>
      </c>
      <c r="M483" s="10">
        <v>-0.30236795100000002</v>
      </c>
      <c r="N483" s="10">
        <v>0.24148423799999999</v>
      </c>
      <c r="O483" s="9">
        <v>-6.9242772499999994E-2</v>
      </c>
      <c r="P483" s="10">
        <v>0.25432088604708603</v>
      </c>
      <c r="Q483" s="10">
        <v>6.4679113079774905E-2</v>
      </c>
    </row>
    <row r="484" spans="1:17" x14ac:dyDescent="0.2">
      <c r="A484" s="10">
        <v>1629</v>
      </c>
      <c r="B484" s="10" t="s">
        <v>2832</v>
      </c>
      <c r="C484" s="9" t="s">
        <v>516</v>
      </c>
      <c r="D484" s="10">
        <v>0.115497055</v>
      </c>
      <c r="E484" s="10">
        <v>-0.13130868300000001</v>
      </c>
      <c r="F484" s="10">
        <v>-0.32809358199999999</v>
      </c>
      <c r="G484" s="10">
        <v>8.6633348999999998E-2</v>
      </c>
      <c r="H484" s="9">
        <v>-6.4317965249999998E-2</v>
      </c>
      <c r="I484" s="10">
        <v>0.207513110459566</v>
      </c>
      <c r="J484" s="10">
        <v>4.3061691012604403E-2</v>
      </c>
      <c r="K484" s="10">
        <v>0.12764604900000001</v>
      </c>
      <c r="L484" s="10">
        <v>-1.2441558E-2</v>
      </c>
      <c r="M484" s="10">
        <v>-0.38591307899999999</v>
      </c>
      <c r="N484" s="10">
        <v>0.155692733</v>
      </c>
      <c r="O484" s="9">
        <v>-2.875396375E-2</v>
      </c>
      <c r="P484" s="10">
        <v>0.24920558856608199</v>
      </c>
      <c r="Q484" s="10">
        <v>6.21034253725673E-2</v>
      </c>
    </row>
    <row r="485" spans="1:17" x14ac:dyDescent="0.2">
      <c r="A485" s="10">
        <v>1630</v>
      </c>
      <c r="B485" s="10" t="s">
        <v>2822</v>
      </c>
      <c r="C485" s="9" t="s">
        <v>517</v>
      </c>
      <c r="D485" s="10">
        <v>-0.40516098</v>
      </c>
      <c r="E485" s="10">
        <v>-5.4063973000000001E-2</v>
      </c>
      <c r="F485" s="10">
        <v>-3.0243994999999999E-2</v>
      </c>
      <c r="G485" s="10">
        <v>-0.17882458000000001</v>
      </c>
      <c r="H485" s="9">
        <v>-0.16707338225000001</v>
      </c>
      <c r="I485" s="10">
        <v>0.171578167458421</v>
      </c>
      <c r="J485" s="10">
        <v>2.9439067548389899E-2</v>
      </c>
      <c r="K485" s="10">
        <v>-0.39586223599999998</v>
      </c>
      <c r="L485" s="10">
        <v>-8.3835827000000002E-2</v>
      </c>
      <c r="M485" s="10">
        <v>-6.5604477999999994E-2</v>
      </c>
      <c r="N485" s="10">
        <v>-9.3847238999999999E-2</v>
      </c>
      <c r="O485" s="9">
        <v>-0.15978744475000001</v>
      </c>
      <c r="P485" s="10">
        <v>0.15781687411126899</v>
      </c>
      <c r="Q485" s="10">
        <v>2.49061657542523E-2</v>
      </c>
    </row>
    <row r="486" spans="1:17" x14ac:dyDescent="0.2">
      <c r="A486" s="10">
        <v>1630</v>
      </c>
      <c r="B486" s="10" t="s">
        <v>96</v>
      </c>
      <c r="C486" s="9" t="s">
        <v>518</v>
      </c>
      <c r="D486" s="10">
        <v>-0.33293935200000002</v>
      </c>
      <c r="E486" s="10">
        <v>-2.2461629999999998E-3</v>
      </c>
      <c r="F486" s="10">
        <v>-0.30949536500000002</v>
      </c>
      <c r="G486" s="10">
        <v>0.37210291699999998</v>
      </c>
      <c r="H486" s="9">
        <v>-6.8144490749999995E-2</v>
      </c>
      <c r="I486" s="10">
        <v>0.32991258068185603</v>
      </c>
      <c r="J486" s="10">
        <v>0.10884231089216199</v>
      </c>
      <c r="K486" s="10">
        <v>-0.38083057199999998</v>
      </c>
      <c r="L486" s="10">
        <v>0.12808213500000001</v>
      </c>
      <c r="M486" s="10">
        <v>-0.526776468</v>
      </c>
      <c r="N486" s="10">
        <v>0.25977304400000001</v>
      </c>
      <c r="O486" s="9">
        <v>-0.12993796499999999</v>
      </c>
      <c r="P486" s="10">
        <v>0.38248178181029902</v>
      </c>
      <c r="Q486" s="10">
        <v>0.14629231341678101</v>
      </c>
    </row>
    <row r="487" spans="1:17" x14ac:dyDescent="0.2">
      <c r="A487" s="10">
        <v>1630</v>
      </c>
      <c r="B487" s="10" t="s">
        <v>2826</v>
      </c>
      <c r="C487" s="9" t="s">
        <v>519</v>
      </c>
      <c r="D487" s="10">
        <v>0.21821421499999999</v>
      </c>
      <c r="E487" s="10">
        <v>0.43415068299999998</v>
      </c>
      <c r="F487" s="10">
        <v>0.32043153499999999</v>
      </c>
      <c r="G487" s="10">
        <v>7.9991343000000006E-2</v>
      </c>
      <c r="H487" s="9">
        <v>0.26319694375000002</v>
      </c>
      <c r="I487" s="10">
        <v>0.15065271037618899</v>
      </c>
      <c r="J487" s="10">
        <v>2.2696239143691999E-2</v>
      </c>
      <c r="K487" s="10">
        <v>-0.25983245700000002</v>
      </c>
      <c r="L487" s="10">
        <v>0.36714332300000002</v>
      </c>
      <c r="M487" s="10">
        <v>0.15323046100000001</v>
      </c>
      <c r="N487" s="10">
        <v>-3.2427609000000003E-2</v>
      </c>
      <c r="O487" s="9">
        <v>5.7028429499999998E-2</v>
      </c>
      <c r="P487" s="10">
        <v>0.26697645480012</v>
      </c>
      <c r="Q487" s="10">
        <v>7.1276427417640897E-2</v>
      </c>
    </row>
    <row r="488" spans="1:17" x14ac:dyDescent="0.2">
      <c r="A488" s="10">
        <v>1630</v>
      </c>
      <c r="B488" s="10" t="s">
        <v>2821</v>
      </c>
      <c r="C488" s="9" t="s">
        <v>520</v>
      </c>
      <c r="D488" s="10">
        <v>5.6017875000000002E-2</v>
      </c>
      <c r="E488" s="10">
        <v>0.32104725000000001</v>
      </c>
      <c r="F488" s="10">
        <v>3.5790002000000001E-2</v>
      </c>
      <c r="G488" s="10">
        <v>-6.9057154999999995E-2</v>
      </c>
      <c r="H488" s="9">
        <v>8.5949493000000002E-2</v>
      </c>
      <c r="I488" s="10">
        <v>0.16604205548003301</v>
      </c>
      <c r="J488" s="10">
        <v>2.7569964188034601E-2</v>
      </c>
      <c r="K488" s="10">
        <v>0.71001945099999997</v>
      </c>
      <c r="L488" s="10">
        <v>-1.8962930999999999E-2</v>
      </c>
      <c r="M488" s="10">
        <v>-0.104080503</v>
      </c>
      <c r="N488" s="10">
        <v>-0.32190981899999999</v>
      </c>
      <c r="O488" s="9">
        <v>6.6266549499999994E-2</v>
      </c>
      <c r="P488" s="10">
        <v>0.44772792106116299</v>
      </c>
      <c r="Q488" s="10">
        <v>0.200460291297751</v>
      </c>
    </row>
    <row r="489" spans="1:17" x14ac:dyDescent="0.2">
      <c r="A489" s="10">
        <v>1630</v>
      </c>
      <c r="B489" s="10" t="s">
        <v>79</v>
      </c>
      <c r="C489" s="9" t="s">
        <v>521</v>
      </c>
      <c r="D489" s="10">
        <v>-0.34944191000000002</v>
      </c>
      <c r="E489" s="10">
        <v>0.79025968099999999</v>
      </c>
      <c r="F489" s="10">
        <v>-1.2373222070000001</v>
      </c>
      <c r="G489" s="10">
        <v>-1.452583443</v>
      </c>
      <c r="H489" s="9">
        <v>-0.56227196975000004</v>
      </c>
      <c r="I489" s="10">
        <v>1.0202917626551</v>
      </c>
      <c r="J489" s="10">
        <v>1.0409952809418499</v>
      </c>
      <c r="K489" s="10">
        <v>-1.7246572</v>
      </c>
      <c r="L489" s="10">
        <v>-0.32629630300000001</v>
      </c>
      <c r="M489" s="10">
        <v>-0.16812287000000001</v>
      </c>
      <c r="N489" s="10">
        <v>-0.27229149000000002</v>
      </c>
      <c r="O489" s="9">
        <v>-0.62284196574999995</v>
      </c>
      <c r="P489" s="10">
        <v>0.73747118194757599</v>
      </c>
      <c r="Q489" s="10">
        <v>0.54386374420315597</v>
      </c>
    </row>
    <row r="490" spans="1:17" x14ac:dyDescent="0.2">
      <c r="A490" s="10">
        <v>1630</v>
      </c>
      <c r="B490" s="10" t="s">
        <v>2820</v>
      </c>
      <c r="C490" s="9" t="s">
        <v>522</v>
      </c>
      <c r="D490" s="10">
        <v>0.101222989</v>
      </c>
      <c r="E490" s="10">
        <v>0.93002050300000005</v>
      </c>
      <c r="F490" s="10">
        <v>-6.9185960000000005E-2</v>
      </c>
      <c r="G490" s="10">
        <v>1.9991337000000001E-2</v>
      </c>
      <c r="H490" s="9">
        <v>0.245512217</v>
      </c>
      <c r="I490" s="10">
        <v>0.46161513003893601</v>
      </c>
      <c r="J490" s="10">
        <v>0.213088528280863</v>
      </c>
      <c r="K490" s="10">
        <v>-7.7955302000000004E-2</v>
      </c>
      <c r="L490" s="10">
        <v>0.39838819399999997</v>
      </c>
      <c r="M490" s="10">
        <v>-0.46299527099999999</v>
      </c>
      <c r="N490" s="10">
        <v>-9.7919111000000003E-2</v>
      </c>
      <c r="O490" s="9">
        <v>-6.0120372499999998E-2</v>
      </c>
      <c r="P490" s="10">
        <v>0.35321623157197901</v>
      </c>
      <c r="Q490" s="10">
        <v>0.12476170624591</v>
      </c>
    </row>
    <row r="491" spans="1:17" x14ac:dyDescent="0.2">
      <c r="A491" s="10">
        <v>1630</v>
      </c>
      <c r="B491" s="10" t="s">
        <v>2824</v>
      </c>
      <c r="C491" s="9" t="s">
        <v>523</v>
      </c>
      <c r="D491" s="10">
        <v>0.340189621</v>
      </c>
      <c r="E491" s="10">
        <v>0.29615223200000002</v>
      </c>
      <c r="F491" s="10">
        <v>-0.39574103900000002</v>
      </c>
      <c r="G491" s="10">
        <v>-0.346127081</v>
      </c>
      <c r="H491" s="9">
        <v>-2.6381567000000002E-2</v>
      </c>
      <c r="I491" s="10">
        <v>0.398775668201369</v>
      </c>
      <c r="J491" s="10">
        <v>0.15902203354944799</v>
      </c>
      <c r="K491" s="10">
        <v>-0.255088853</v>
      </c>
      <c r="L491" s="10">
        <v>-6.4785920999999996E-2</v>
      </c>
      <c r="M491" s="10">
        <v>-0.45553253999999999</v>
      </c>
      <c r="N491" s="10">
        <v>-4.7404165999999998E-2</v>
      </c>
      <c r="O491" s="9">
        <v>-0.20570286974999999</v>
      </c>
      <c r="P491" s="10">
        <v>0.19128504518365</v>
      </c>
      <c r="Q491" s="10">
        <v>3.6589968510911099E-2</v>
      </c>
    </row>
    <row r="492" spans="1:17" x14ac:dyDescent="0.2">
      <c r="A492" s="10">
        <v>1630</v>
      </c>
      <c r="B492" s="10" t="s">
        <v>2817</v>
      </c>
      <c r="C492" s="9" t="s">
        <v>524</v>
      </c>
      <c r="D492" s="10">
        <v>2.9307032E-2</v>
      </c>
      <c r="E492" s="10">
        <v>6.2874199999999995E-4</v>
      </c>
      <c r="F492" s="10">
        <v>0.112671903</v>
      </c>
      <c r="G492" s="10">
        <v>-6.6014607000000003E-2</v>
      </c>
      <c r="H492" s="9">
        <v>1.91482675E-2</v>
      </c>
      <c r="I492" s="10">
        <v>7.4039536535446607E-2</v>
      </c>
      <c r="J492" s="10">
        <v>5.4818529703837002E-3</v>
      </c>
      <c r="K492" s="10">
        <v>-0.25471676399999998</v>
      </c>
      <c r="L492" s="10">
        <v>-0.60167819099999997</v>
      </c>
      <c r="M492" s="10">
        <v>-0.289068357</v>
      </c>
      <c r="N492" s="10">
        <v>9.3899359999999998E-3</v>
      </c>
      <c r="O492" s="9">
        <v>-0.28401834399999998</v>
      </c>
      <c r="P492" s="10">
        <v>0.25025339317740702</v>
      </c>
      <c r="Q492" s="10">
        <v>6.2626760796806097E-2</v>
      </c>
    </row>
    <row r="493" spans="1:17" x14ac:dyDescent="0.2">
      <c r="A493" s="10">
        <v>1630</v>
      </c>
      <c r="B493" s="10" t="s">
        <v>82</v>
      </c>
      <c r="C493" s="9" t="s">
        <v>525</v>
      </c>
      <c r="D493" s="10">
        <v>-0.436811277</v>
      </c>
      <c r="E493" s="10">
        <v>0.79191099700000001</v>
      </c>
      <c r="F493" s="10">
        <v>0.51097382400000002</v>
      </c>
      <c r="G493" s="10">
        <v>-0.14675780699999999</v>
      </c>
      <c r="H493" s="9">
        <v>0.179828934</v>
      </c>
      <c r="I493" s="10">
        <v>0.568977281104314</v>
      </c>
      <c r="J493" s="10">
        <v>0.323735146412857</v>
      </c>
      <c r="K493" s="10">
        <v>0.13837358899999999</v>
      </c>
      <c r="L493" s="10">
        <v>-0.260705034</v>
      </c>
      <c r="M493" s="10">
        <v>-0.10392781199999999</v>
      </c>
      <c r="N493" s="10">
        <v>-0.74136743400000005</v>
      </c>
      <c r="O493" s="9">
        <v>-0.24190667275</v>
      </c>
      <c r="P493" s="10">
        <v>0.37124370877032198</v>
      </c>
      <c r="Q493" s="10">
        <v>0.13782189130154299</v>
      </c>
    </row>
    <row r="494" spans="1:17" x14ac:dyDescent="0.2">
      <c r="A494" s="10">
        <v>1630</v>
      </c>
      <c r="B494" s="10" t="s">
        <v>2814</v>
      </c>
      <c r="C494" s="9" t="s">
        <v>526</v>
      </c>
      <c r="D494" s="10">
        <v>-0.74424523600000003</v>
      </c>
      <c r="E494" s="10">
        <v>-0.68297985400000005</v>
      </c>
      <c r="F494" s="10">
        <v>-0.51339188499999999</v>
      </c>
      <c r="G494" s="10">
        <v>-4.9928980999999997E-2</v>
      </c>
      <c r="H494" s="9">
        <v>-0.49763648900000002</v>
      </c>
      <c r="I494" s="10">
        <v>0.31403730259801899</v>
      </c>
      <c r="J494" s="10">
        <v>9.8619427423040001E-2</v>
      </c>
      <c r="K494" s="10">
        <v>-0.32764353600000001</v>
      </c>
      <c r="L494" s="10">
        <v>0.62426126299999996</v>
      </c>
      <c r="M494" s="10">
        <v>0.48993099200000001</v>
      </c>
      <c r="N494" s="10">
        <v>-0.25993659800000002</v>
      </c>
      <c r="O494" s="9">
        <v>0.13165303025</v>
      </c>
      <c r="P494" s="10">
        <v>0.49508307099947901</v>
      </c>
      <c r="Q494" s="10">
        <v>0.24510724719027499</v>
      </c>
    </row>
    <row r="495" spans="1:17" x14ac:dyDescent="0.2">
      <c r="A495" s="10">
        <v>1630</v>
      </c>
      <c r="B495" s="10" t="s">
        <v>2825</v>
      </c>
      <c r="C495" s="9" t="s">
        <v>527</v>
      </c>
      <c r="D495" s="10">
        <v>-5.7346143000000002E-2</v>
      </c>
      <c r="E495" s="10">
        <v>-0.110647659</v>
      </c>
      <c r="F495" s="10">
        <v>-0.119020238</v>
      </c>
      <c r="G495" s="10">
        <v>-0.21293705099999999</v>
      </c>
      <c r="H495" s="9">
        <v>-0.12498777275</v>
      </c>
      <c r="I495" s="10">
        <v>6.4683114626326296E-2</v>
      </c>
      <c r="J495" s="10">
        <v>4.1839053177623996E-3</v>
      </c>
      <c r="K495" s="10">
        <v>7.1371430000000003E-3</v>
      </c>
      <c r="L495" s="10">
        <v>-0.20027117799999999</v>
      </c>
      <c r="M495" s="10">
        <v>-0.22757729400000001</v>
      </c>
      <c r="N495" s="10">
        <v>0.151231906</v>
      </c>
      <c r="O495" s="9">
        <v>-6.7369855749999999E-2</v>
      </c>
      <c r="P495" s="10">
        <v>0.179505996027395</v>
      </c>
      <c r="Q495" s="10">
        <v>3.2222402609787301E-2</v>
      </c>
    </row>
    <row r="496" spans="1:17" x14ac:dyDescent="0.2">
      <c r="A496" s="10">
        <v>1630</v>
      </c>
      <c r="B496" s="10" t="s">
        <v>2818</v>
      </c>
      <c r="C496" s="9" t="s">
        <v>528</v>
      </c>
      <c r="D496" s="10">
        <v>-0.45811075400000001</v>
      </c>
      <c r="E496" s="10">
        <v>-0.33274701800000001</v>
      </c>
      <c r="F496" s="10">
        <v>-0.19097904299999999</v>
      </c>
      <c r="G496" s="10">
        <v>-0.23755178499999999</v>
      </c>
      <c r="H496" s="9">
        <v>-0.30484715000000001</v>
      </c>
      <c r="I496" s="10">
        <v>0.11798692990854601</v>
      </c>
      <c r="J496" s="10">
        <v>1.39209156292443E-2</v>
      </c>
      <c r="K496" s="10">
        <v>-1.0090814E-2</v>
      </c>
      <c r="L496" s="10">
        <v>-0.152512646</v>
      </c>
      <c r="M496" s="10">
        <v>0.105632113</v>
      </c>
      <c r="N496" s="10">
        <v>-0.29620699700000003</v>
      </c>
      <c r="O496" s="9">
        <v>-8.8294585750000001E-2</v>
      </c>
      <c r="P496" s="10">
        <v>0.17423635711111901</v>
      </c>
      <c r="Q496" s="10">
        <v>3.0358308139353699E-2</v>
      </c>
    </row>
    <row r="497" spans="1:17" x14ac:dyDescent="0.2">
      <c r="A497" s="10">
        <v>1630</v>
      </c>
      <c r="B497" s="10" t="s">
        <v>2830</v>
      </c>
      <c r="C497" s="9" t="s">
        <v>529</v>
      </c>
      <c r="D497" s="10">
        <v>-0.21141443600000001</v>
      </c>
      <c r="E497" s="10">
        <v>1.2174786959999999</v>
      </c>
      <c r="F497" s="10">
        <v>-0.30386027199999999</v>
      </c>
      <c r="G497" s="10">
        <v>-0.94288300800000002</v>
      </c>
      <c r="H497" s="9">
        <v>-6.0169755249999998E-2</v>
      </c>
      <c r="I497" s="10">
        <v>0.91174343484905496</v>
      </c>
      <c r="J497" s="10">
        <v>0.83127609099035304</v>
      </c>
      <c r="K497" s="10">
        <v>0.968097031</v>
      </c>
      <c r="L497" s="10">
        <v>-0.77281895099999998</v>
      </c>
      <c r="M497" s="10">
        <v>0.64477995200000005</v>
      </c>
      <c r="N497" s="10">
        <v>0.71629207100000003</v>
      </c>
      <c r="O497" s="9">
        <v>0.38908752600000002</v>
      </c>
      <c r="P497" s="10">
        <v>0.78691805993536501</v>
      </c>
      <c r="Q497" s="10">
        <v>0.61924003305243902</v>
      </c>
    </row>
    <row r="498" spans="1:17" x14ac:dyDescent="0.2">
      <c r="A498" s="10">
        <v>1630</v>
      </c>
      <c r="B498" s="10" t="s">
        <v>2832</v>
      </c>
      <c r="C498" s="9" t="s">
        <v>530</v>
      </c>
      <c r="D498" s="10">
        <v>-0.148644784</v>
      </c>
      <c r="E498" s="10">
        <v>0.18931858300000001</v>
      </c>
      <c r="F498" s="10">
        <v>-0.122109813</v>
      </c>
      <c r="G498" s="10">
        <v>0.51169140899999999</v>
      </c>
      <c r="H498" s="9">
        <v>0.10756384875</v>
      </c>
      <c r="I498" s="10">
        <v>0.31005148815596301</v>
      </c>
      <c r="J498" s="10">
        <v>9.6131925307727698E-2</v>
      </c>
      <c r="K498" s="10">
        <v>3.0803344E-2</v>
      </c>
      <c r="L498" s="10">
        <v>-0.308076342</v>
      </c>
      <c r="M498" s="10">
        <v>-0.47638144799999999</v>
      </c>
      <c r="N498" s="10">
        <v>0.24463273099999999</v>
      </c>
      <c r="O498" s="9">
        <v>-0.12725542849999999</v>
      </c>
      <c r="P498" s="10">
        <v>0.32550911865946902</v>
      </c>
      <c r="Q498" s="10">
        <v>0.105956186330464</v>
      </c>
    </row>
    <row r="499" spans="1:17" x14ac:dyDescent="0.2">
      <c r="A499" s="10">
        <v>1631</v>
      </c>
      <c r="B499" s="10" t="s">
        <v>2821</v>
      </c>
      <c r="C499" s="9" t="s">
        <v>531</v>
      </c>
      <c r="D499" s="10">
        <v>0.48889624199999998</v>
      </c>
      <c r="E499" s="10">
        <v>0.87493001100000001</v>
      </c>
      <c r="F499" s="10">
        <v>0.14349563600000001</v>
      </c>
      <c r="G499" s="10">
        <v>-0.81913608500000001</v>
      </c>
      <c r="H499" s="9">
        <v>0.17204645075</v>
      </c>
      <c r="I499" s="10">
        <v>0.72518895415461004</v>
      </c>
      <c r="J499" s="10">
        <v>0.52589901922785698</v>
      </c>
      <c r="K499" s="10">
        <v>0.3514371</v>
      </c>
      <c r="L499" s="10">
        <v>0.45070641099999997</v>
      </c>
      <c r="M499" s="10">
        <v>-2.8717970999999998E-2</v>
      </c>
      <c r="N499" s="10">
        <v>8.0780924000000004E-2</v>
      </c>
      <c r="O499" s="9">
        <v>0.213551616</v>
      </c>
      <c r="P499" s="10">
        <v>0.22477945704528199</v>
      </c>
      <c r="Q499" s="10">
        <v>5.0525804309571903E-2</v>
      </c>
    </row>
    <row r="500" spans="1:17" x14ac:dyDescent="0.2">
      <c r="A500" s="10">
        <v>1631</v>
      </c>
      <c r="B500" s="10" t="s">
        <v>2834</v>
      </c>
      <c r="C500" s="9" t="s">
        <v>2538</v>
      </c>
      <c r="D500" s="10">
        <v>0.54477506099999995</v>
      </c>
      <c r="E500" s="10">
        <v>-1.3416631699999999</v>
      </c>
      <c r="F500" s="10">
        <v>1.0390627349999999</v>
      </c>
      <c r="G500" s="10">
        <v>-0.25009520099999999</v>
      </c>
      <c r="H500" s="9">
        <v>-1.9801437499999998E-3</v>
      </c>
      <c r="I500" s="10">
        <v>1.03907382185191</v>
      </c>
      <c r="J500" s="10">
        <v>1.0796744072579401</v>
      </c>
      <c r="K500" s="10">
        <v>0.52222036900000002</v>
      </c>
      <c r="L500" s="10">
        <v>-1.8477697550000001</v>
      </c>
      <c r="M500" s="10">
        <v>-0.587527307</v>
      </c>
      <c r="N500" s="10">
        <v>0.44373899999999999</v>
      </c>
      <c r="O500" s="9">
        <v>-0.36733442324999999</v>
      </c>
      <c r="P500" s="10">
        <v>1.1089516827264201</v>
      </c>
      <c r="Q500" s="10">
        <v>1.2297738346217599</v>
      </c>
    </row>
    <row r="501" spans="1:17" x14ac:dyDescent="0.2">
      <c r="A501" s="10">
        <v>1631</v>
      </c>
      <c r="B501" s="10" t="s">
        <v>2824</v>
      </c>
      <c r="C501" s="9" t="s">
        <v>532</v>
      </c>
      <c r="D501" s="10">
        <v>-0.44665098800000003</v>
      </c>
      <c r="E501" s="10">
        <v>-9.0841346000000003E-2</v>
      </c>
      <c r="F501" s="10">
        <v>-0.42146433799999999</v>
      </c>
      <c r="G501" s="10">
        <v>-0.16651933099999999</v>
      </c>
      <c r="H501" s="9">
        <v>-0.28136900074999999</v>
      </c>
      <c r="I501" s="10">
        <v>0.179291264608476</v>
      </c>
      <c r="J501" s="10">
        <v>3.2145357564906503E-2</v>
      </c>
      <c r="K501" s="10">
        <v>0.191274156</v>
      </c>
      <c r="L501" s="10">
        <v>-0.101713628</v>
      </c>
      <c r="M501" s="10">
        <v>-0.59456719400000002</v>
      </c>
      <c r="N501" s="10">
        <v>-0.18136843999999999</v>
      </c>
      <c r="O501" s="9">
        <v>-0.17159377649999999</v>
      </c>
      <c r="P501" s="10">
        <v>0.324324131874977</v>
      </c>
      <c r="Q501" s="10">
        <v>0.105186142516458</v>
      </c>
    </row>
    <row r="502" spans="1:17" x14ac:dyDescent="0.2">
      <c r="A502" s="10">
        <v>1631</v>
      </c>
      <c r="B502" s="10" t="s">
        <v>2814</v>
      </c>
      <c r="C502" s="9" t="s">
        <v>533</v>
      </c>
      <c r="D502" s="10">
        <v>-0.67133956500000003</v>
      </c>
      <c r="E502" s="10">
        <v>-0.27980935099999998</v>
      </c>
      <c r="F502" s="10">
        <v>0.52630056199999997</v>
      </c>
      <c r="G502" s="10">
        <v>-0.28308207699999999</v>
      </c>
      <c r="H502" s="9">
        <v>-0.17698260774999999</v>
      </c>
      <c r="I502" s="10">
        <v>0.50359588777034903</v>
      </c>
      <c r="J502" s="10">
        <v>0.253608818179206</v>
      </c>
      <c r="K502" s="10">
        <v>0.63293958100000003</v>
      </c>
      <c r="L502" s="10">
        <v>-1.7188676E-2</v>
      </c>
      <c r="M502" s="10">
        <v>0.66673051800000005</v>
      </c>
      <c r="N502" s="10">
        <v>-0.46556635200000002</v>
      </c>
      <c r="O502" s="9">
        <v>0.204228768</v>
      </c>
      <c r="P502" s="10">
        <v>0.54630639059642805</v>
      </c>
      <c r="Q502" s="10">
        <v>0.29845067240649698</v>
      </c>
    </row>
    <row r="503" spans="1:17" x14ac:dyDescent="0.2">
      <c r="A503" s="10">
        <v>1631</v>
      </c>
      <c r="B503" s="10" t="s">
        <v>2818</v>
      </c>
      <c r="C503" s="9" t="s">
        <v>534</v>
      </c>
      <c r="D503" s="10">
        <v>-0.36955953400000002</v>
      </c>
      <c r="E503" s="10">
        <v>-9.9252443999999995E-2</v>
      </c>
      <c r="F503" s="10">
        <v>-0.103935018</v>
      </c>
      <c r="G503" s="10">
        <v>0.46124589900000001</v>
      </c>
      <c r="H503" s="9">
        <v>-2.7875274500000002E-2</v>
      </c>
      <c r="I503" s="10">
        <v>0.34969865144301798</v>
      </c>
      <c r="J503" s="10">
        <v>0.12228914682106599</v>
      </c>
      <c r="K503" s="10">
        <v>-0.113090985</v>
      </c>
      <c r="L503" s="10">
        <v>0.14134813299999999</v>
      </c>
      <c r="M503" s="10">
        <v>8.7602705000000003E-2</v>
      </c>
      <c r="N503" s="10">
        <v>-4.9976594999999999E-2</v>
      </c>
      <c r="O503" s="9">
        <v>1.64708145E-2</v>
      </c>
      <c r="P503" s="10">
        <v>0.11811803226828201</v>
      </c>
      <c r="Q503" s="10">
        <v>1.39518695469311E-2</v>
      </c>
    </row>
    <row r="504" spans="1:17" x14ac:dyDescent="0.2">
      <c r="A504" s="10">
        <v>1632</v>
      </c>
      <c r="B504" s="10" t="s">
        <v>2831</v>
      </c>
      <c r="C504" s="9" t="s">
        <v>535</v>
      </c>
      <c r="D504" s="10">
        <v>-0.63613403000000002</v>
      </c>
      <c r="E504" s="10">
        <v>-1.228915204</v>
      </c>
      <c r="F504" s="10">
        <v>-0.96930029100000004</v>
      </c>
      <c r="G504" s="10">
        <v>-0.54926049200000004</v>
      </c>
      <c r="H504" s="9">
        <v>-0.845902504</v>
      </c>
      <c r="I504" s="10">
        <v>0.31300960483957602</v>
      </c>
      <c r="J504" s="10">
        <v>9.7975012721828E-2</v>
      </c>
      <c r="K504" s="10">
        <v>-0.44888812</v>
      </c>
      <c r="L504" s="10">
        <v>-0.34874317199999999</v>
      </c>
      <c r="M504" s="10">
        <v>-0.16907840800000001</v>
      </c>
      <c r="N504" s="10">
        <v>8.3014101000000007E-2</v>
      </c>
      <c r="O504" s="9">
        <v>-0.22092389975000001</v>
      </c>
      <c r="P504" s="10">
        <v>0.233360747475817</v>
      </c>
      <c r="Q504" s="10">
        <v>5.44572384624721E-2</v>
      </c>
    </row>
    <row r="505" spans="1:17" x14ac:dyDescent="0.2">
      <c r="A505" s="10">
        <v>1632</v>
      </c>
      <c r="B505" s="10" t="s">
        <v>2822</v>
      </c>
      <c r="C505" s="9" t="s">
        <v>536</v>
      </c>
      <c r="D505" s="10">
        <v>-6.3509012000000004E-2</v>
      </c>
      <c r="E505" s="10">
        <v>0.40709763999999998</v>
      </c>
      <c r="F505" s="10">
        <v>0.41370142399999998</v>
      </c>
      <c r="G505" s="10">
        <v>-0.38946788599999999</v>
      </c>
      <c r="H505" s="9">
        <v>9.1955541749999994E-2</v>
      </c>
      <c r="I505" s="10">
        <v>0.39105528129813399</v>
      </c>
      <c r="J505" s="10">
        <v>0.15292423303116301</v>
      </c>
      <c r="K505" s="10">
        <v>0.50733655799999999</v>
      </c>
      <c r="L505" s="10">
        <v>-5.7904430999999999E-2</v>
      </c>
      <c r="M505" s="10">
        <v>-0.502615013</v>
      </c>
      <c r="N505" s="10">
        <v>-0.34381824999999999</v>
      </c>
      <c r="O505" s="9">
        <v>-9.9250283999999994E-2</v>
      </c>
      <c r="P505" s="10">
        <v>0.44428732108942398</v>
      </c>
      <c r="Q505" s="10">
        <v>0.19739122368081699</v>
      </c>
    </row>
    <row r="506" spans="1:17" x14ac:dyDescent="0.2">
      <c r="A506" s="10">
        <v>1632</v>
      </c>
      <c r="B506" s="10" t="s">
        <v>96</v>
      </c>
      <c r="C506" s="9" t="s">
        <v>537</v>
      </c>
      <c r="D506" s="10">
        <v>-7.3283951E-2</v>
      </c>
      <c r="E506" s="10">
        <v>0.21862541399999999</v>
      </c>
      <c r="F506" s="10">
        <v>0.90312700599999995</v>
      </c>
      <c r="G506" s="10">
        <v>9.3488562999999997E-2</v>
      </c>
      <c r="H506" s="9">
        <v>0.28548925800000002</v>
      </c>
      <c r="I506" s="10">
        <v>0.42876941890547199</v>
      </c>
      <c r="J506" s="10">
        <v>0.183843214588536</v>
      </c>
      <c r="K506" s="10">
        <v>-0.23186172199999999</v>
      </c>
      <c r="L506" s="10">
        <v>0.28864772500000002</v>
      </c>
      <c r="M506" s="10">
        <v>6.4273047E-2</v>
      </c>
      <c r="N506" s="10">
        <v>-1.116029897</v>
      </c>
      <c r="O506" s="9">
        <v>-0.24874271149999999</v>
      </c>
      <c r="P506" s="10">
        <v>0.61623571687301604</v>
      </c>
      <c r="Q506" s="10">
        <v>0.37974645875000002</v>
      </c>
    </row>
    <row r="507" spans="1:17" x14ac:dyDescent="0.2">
      <c r="A507" s="10">
        <v>1632</v>
      </c>
      <c r="B507" s="10" t="s">
        <v>2826</v>
      </c>
      <c r="C507" s="9" t="s">
        <v>538</v>
      </c>
      <c r="D507" s="10">
        <v>-0.231039678</v>
      </c>
      <c r="E507" s="10">
        <v>-0.105770502</v>
      </c>
      <c r="F507" s="10">
        <v>-4.058639E-2</v>
      </c>
      <c r="G507" s="10">
        <v>-7.9542975000000002E-2</v>
      </c>
      <c r="H507" s="9">
        <v>-0.11423488625</v>
      </c>
      <c r="I507" s="10">
        <v>8.2346088517825503E-2</v>
      </c>
      <c r="J507" s="10">
        <v>6.7808782941855003E-3</v>
      </c>
      <c r="K507" s="10">
        <v>-0.209963767</v>
      </c>
      <c r="L507" s="10">
        <v>-0.28494550200000002</v>
      </c>
      <c r="M507" s="10">
        <v>0.146140889</v>
      </c>
      <c r="N507" s="10">
        <v>-8.0542839000000005E-2</v>
      </c>
      <c r="O507" s="9">
        <v>-0.10732780475000001</v>
      </c>
      <c r="P507" s="10">
        <v>0.18889679741853399</v>
      </c>
      <c r="Q507" s="10">
        <v>3.5682000074978598E-2</v>
      </c>
    </row>
    <row r="508" spans="1:17" x14ac:dyDescent="0.2">
      <c r="A508" s="10">
        <v>1632</v>
      </c>
      <c r="B508" s="10" t="s">
        <v>2824</v>
      </c>
      <c r="C508" s="9" t="s">
        <v>539</v>
      </c>
      <c r="D508" s="10">
        <v>0.32596808399999999</v>
      </c>
      <c r="E508" s="10">
        <v>0.20383422000000001</v>
      </c>
      <c r="F508" s="10">
        <v>-0.18919860899999999</v>
      </c>
      <c r="G508" s="10">
        <v>0.21371246399999999</v>
      </c>
      <c r="H508" s="9">
        <v>0.1385790395</v>
      </c>
      <c r="I508" s="10">
        <v>0.22543004156056701</v>
      </c>
      <c r="J508" s="10">
        <v>5.0818703637999098E-2</v>
      </c>
      <c r="K508" s="10">
        <v>0.30795234199999999</v>
      </c>
      <c r="L508" s="10">
        <v>-0.23331660200000001</v>
      </c>
      <c r="M508" s="10">
        <v>-0.379264143</v>
      </c>
      <c r="N508" s="10">
        <v>0.100554197</v>
      </c>
      <c r="O508" s="9">
        <v>-5.1018551500000002E-2</v>
      </c>
      <c r="P508" s="10">
        <v>0.31241646778155902</v>
      </c>
      <c r="Q508" s="10">
        <v>9.7604049341105906E-2</v>
      </c>
    </row>
    <row r="509" spans="1:17" x14ac:dyDescent="0.2">
      <c r="A509" s="10">
        <v>1632</v>
      </c>
      <c r="B509" s="10" t="s">
        <v>2814</v>
      </c>
      <c r="C509" s="9" t="s">
        <v>2537</v>
      </c>
      <c r="D509" s="10">
        <v>-2.2278254159999999</v>
      </c>
      <c r="E509" s="10">
        <v>0.49166381999999997</v>
      </c>
      <c r="F509" s="10">
        <v>-1.714400793</v>
      </c>
      <c r="G509" s="10">
        <v>-0.33557267200000002</v>
      </c>
      <c r="H509" s="9">
        <v>-0.94653376499999997</v>
      </c>
      <c r="I509" s="10">
        <v>1.2480670145297199</v>
      </c>
      <c r="J509" s="10">
        <v>1.55767127275714</v>
      </c>
      <c r="K509" s="10">
        <v>-0.68686077999999995</v>
      </c>
      <c r="L509" s="10">
        <v>-5.8152619059999999</v>
      </c>
      <c r="M509" s="10">
        <v>-0.27576948800000001</v>
      </c>
      <c r="N509" s="10">
        <v>-6.0199777059999997</v>
      </c>
      <c r="O509" s="9">
        <v>-3.1994674700000001</v>
      </c>
      <c r="P509" s="10">
        <v>3.1442466395716502</v>
      </c>
      <c r="Q509" s="10">
        <v>9.8862869304576506</v>
      </c>
    </row>
    <row r="510" spans="1:17" x14ac:dyDescent="0.2">
      <c r="A510" s="10">
        <v>1632</v>
      </c>
      <c r="B510" s="10" t="s">
        <v>2833</v>
      </c>
      <c r="C510" s="9" t="s">
        <v>540</v>
      </c>
      <c r="D510" s="10">
        <v>-0.40642755600000002</v>
      </c>
      <c r="E510" s="10">
        <v>-0.184970046</v>
      </c>
      <c r="F510" s="10">
        <v>9.7571819000000004E-2</v>
      </c>
      <c r="G510" s="10">
        <v>-8.0604482000000005E-2</v>
      </c>
      <c r="H510" s="9">
        <v>-0.14360756625000001</v>
      </c>
      <c r="I510" s="10">
        <v>0.21049314021905699</v>
      </c>
      <c r="J510" s="10">
        <v>4.4307362079279898E-2</v>
      </c>
      <c r="K510" s="10">
        <v>8.0407922000000007E-2</v>
      </c>
      <c r="L510" s="10">
        <v>0.36577071500000002</v>
      </c>
      <c r="M510" s="10">
        <v>-0.16025588599999999</v>
      </c>
      <c r="N510" s="10">
        <v>-6.0135136999999998E-2</v>
      </c>
      <c r="O510" s="9">
        <v>5.6446903499999999E-2</v>
      </c>
      <c r="P510" s="10">
        <v>0.22862401588100101</v>
      </c>
      <c r="Q510" s="10">
        <v>5.2268940637556598E-2</v>
      </c>
    </row>
    <row r="511" spans="1:17" x14ac:dyDescent="0.2">
      <c r="A511" s="10">
        <v>1632</v>
      </c>
      <c r="B511" s="10" t="s">
        <v>2825</v>
      </c>
      <c r="C511" s="9" t="s">
        <v>541</v>
      </c>
      <c r="D511" s="10">
        <v>-0.50775167399999999</v>
      </c>
      <c r="E511" s="10">
        <v>-0.200437052</v>
      </c>
      <c r="F511" s="10">
        <v>0.16042067400000001</v>
      </c>
      <c r="G511" s="10">
        <v>-0.17175283699999999</v>
      </c>
      <c r="H511" s="9">
        <v>-0.17988022225</v>
      </c>
      <c r="I511" s="10">
        <v>0.27312575034318098</v>
      </c>
      <c r="J511" s="10">
        <v>7.4597675500525998E-2</v>
      </c>
      <c r="K511" s="10">
        <v>1.227961E-2</v>
      </c>
      <c r="L511" s="10">
        <v>-0.208287468</v>
      </c>
      <c r="M511" s="10">
        <v>-0.51471826200000004</v>
      </c>
      <c r="N511" s="10">
        <v>-9.5247818999999997E-2</v>
      </c>
      <c r="O511" s="9">
        <v>-0.20149348475000001</v>
      </c>
      <c r="P511" s="10">
        <v>0.22740785446810899</v>
      </c>
      <c r="Q511" s="10">
        <v>5.1714332273788799E-2</v>
      </c>
    </row>
    <row r="512" spans="1:17" x14ac:dyDescent="0.2">
      <c r="A512" s="10">
        <v>1633</v>
      </c>
      <c r="B512" s="10" t="s">
        <v>2831</v>
      </c>
      <c r="C512" s="9" t="s">
        <v>2536</v>
      </c>
      <c r="D512" s="10">
        <v>-0.61826022000000003</v>
      </c>
      <c r="E512" s="10">
        <v>-2.4104551160000001</v>
      </c>
      <c r="F512" s="10">
        <v>0.24346644100000001</v>
      </c>
      <c r="G512" s="10">
        <v>0.160109961</v>
      </c>
      <c r="H512" s="9">
        <v>-0.65628473350000005</v>
      </c>
      <c r="I512" s="10">
        <v>1.2321542202837199</v>
      </c>
      <c r="J512" s="10">
        <v>1.51820402256299</v>
      </c>
      <c r="K512" s="10">
        <v>0.86062749299999997</v>
      </c>
      <c r="L512" s="10">
        <v>-6.0284450000000003E-3</v>
      </c>
      <c r="M512" s="10">
        <v>9.4110985999999994E-2</v>
      </c>
      <c r="N512" s="10">
        <v>-0.40655930200000001</v>
      </c>
      <c r="O512" s="9">
        <v>0.13553768299999999</v>
      </c>
      <c r="P512" s="10">
        <v>0.529585219309466</v>
      </c>
      <c r="Q512" s="10">
        <v>0.28046050451105597</v>
      </c>
    </row>
    <row r="513" spans="1:17" x14ac:dyDescent="0.2">
      <c r="A513" s="10">
        <v>1633</v>
      </c>
      <c r="B513" s="10" t="s">
        <v>96</v>
      </c>
      <c r="C513" s="9" t="s">
        <v>542</v>
      </c>
      <c r="D513" s="10">
        <v>0.47023669899999998</v>
      </c>
      <c r="E513" s="10">
        <v>-1.6865364000000001E-2</v>
      </c>
      <c r="F513" s="10">
        <v>0.472179723</v>
      </c>
      <c r="G513" s="10">
        <v>-1.0461068689999999</v>
      </c>
      <c r="H513" s="9">
        <v>-3.01389525E-2</v>
      </c>
      <c r="I513" s="10">
        <v>0.71532436462515403</v>
      </c>
      <c r="J513" s="10">
        <v>0.51168894662637998</v>
      </c>
      <c r="K513" s="10">
        <v>0.16940374399999999</v>
      </c>
      <c r="L513" s="10">
        <v>1.0277043E-2</v>
      </c>
      <c r="M513" s="10">
        <v>5.7243825099999999</v>
      </c>
      <c r="N513" s="10">
        <v>-0.86831726399999998</v>
      </c>
      <c r="O513" s="9">
        <v>1.2589365082499999</v>
      </c>
      <c r="P513" s="10">
        <v>3.0117353087895702</v>
      </c>
      <c r="Q513" s="10">
        <v>9.0705495702098595</v>
      </c>
    </row>
    <row r="514" spans="1:17" x14ac:dyDescent="0.2">
      <c r="A514" s="10">
        <v>1633</v>
      </c>
      <c r="B514" s="10" t="s">
        <v>2823</v>
      </c>
      <c r="C514" s="9" t="s">
        <v>543</v>
      </c>
      <c r="D514" s="10">
        <v>-0.213250304</v>
      </c>
      <c r="E514" s="10">
        <v>0.124247865</v>
      </c>
      <c r="F514" s="10">
        <v>-0.274452115</v>
      </c>
      <c r="G514" s="10">
        <v>-6.5723427000000001E-2</v>
      </c>
      <c r="H514" s="9">
        <v>-0.10729449525</v>
      </c>
      <c r="I514" s="10">
        <v>0.17749020776176</v>
      </c>
      <c r="J514" s="10">
        <v>3.1502773851312997E-2</v>
      </c>
      <c r="K514" s="10">
        <v>-0.46088685499999998</v>
      </c>
      <c r="L514" s="10">
        <v>1.7628441000000002E-2</v>
      </c>
      <c r="M514" s="10">
        <v>-0.115162366</v>
      </c>
      <c r="N514" s="10">
        <v>-0.65300744600000005</v>
      </c>
      <c r="O514" s="9">
        <v>-0.30285705675000002</v>
      </c>
      <c r="P514" s="10">
        <v>0.30850119580031099</v>
      </c>
      <c r="Q514" s="10">
        <v>9.5172987810221807E-2</v>
      </c>
    </row>
    <row r="515" spans="1:17" x14ac:dyDescent="0.2">
      <c r="A515" s="10">
        <v>1633</v>
      </c>
      <c r="B515" s="10" t="s">
        <v>79</v>
      </c>
      <c r="C515" s="9" t="s">
        <v>2535</v>
      </c>
      <c r="D515" s="10">
        <v>-6.7215467000000001E-2</v>
      </c>
      <c r="E515" s="10">
        <v>-0.80508539599999995</v>
      </c>
      <c r="F515" s="10">
        <v>0.77712620899999996</v>
      </c>
      <c r="G515" s="10">
        <v>0.38407019599999997</v>
      </c>
      <c r="H515" s="9">
        <v>7.2223885500000001E-2</v>
      </c>
      <c r="I515" s="10">
        <v>0.67903125001230602</v>
      </c>
      <c r="J515" s="10">
        <v>0.46108343849327499</v>
      </c>
      <c r="K515" s="10">
        <v>0.22628335899999999</v>
      </c>
      <c r="L515" s="10">
        <v>0.38918281399999999</v>
      </c>
      <c r="M515" s="10">
        <v>-1.2368065859999999</v>
      </c>
      <c r="N515" s="10">
        <v>0.39772942700000002</v>
      </c>
      <c r="O515" s="9">
        <v>-5.5902746500000003E-2</v>
      </c>
      <c r="P515" s="10">
        <v>0.79121134582424302</v>
      </c>
      <c r="Q515" s="10">
        <v>0.62601539376101001</v>
      </c>
    </row>
    <row r="516" spans="1:17" x14ac:dyDescent="0.2">
      <c r="A516" s="10">
        <v>1633</v>
      </c>
      <c r="B516" s="10" t="s">
        <v>2820</v>
      </c>
      <c r="C516" s="9" t="s">
        <v>544</v>
      </c>
      <c r="D516" s="10">
        <v>-3.012792315</v>
      </c>
      <c r="E516" s="10">
        <v>-1.4547627750000001</v>
      </c>
      <c r="F516" s="10">
        <v>-0.383016949</v>
      </c>
      <c r="G516" s="10">
        <v>-1.211908698</v>
      </c>
      <c r="H516" s="9">
        <v>-1.5156201842499999</v>
      </c>
      <c r="I516" s="10">
        <v>1.0985230643511099</v>
      </c>
      <c r="J516" s="10">
        <v>1.2067529229113501</v>
      </c>
      <c r="K516" s="10">
        <v>-0.40412287000000002</v>
      </c>
      <c r="L516" s="10">
        <v>-0.23425419</v>
      </c>
      <c r="M516" s="10">
        <v>-0.43918891199999999</v>
      </c>
      <c r="N516" s="10">
        <v>-2.0374152999999999E-2</v>
      </c>
      <c r="O516" s="9">
        <v>-0.27448503125000001</v>
      </c>
      <c r="P516" s="10">
        <v>0.19159349032308801</v>
      </c>
      <c r="Q516" s="10">
        <v>3.6708065534183397E-2</v>
      </c>
    </row>
    <row r="517" spans="1:17" x14ac:dyDescent="0.2">
      <c r="A517" s="10">
        <v>1633</v>
      </c>
      <c r="B517" s="10" t="s">
        <v>2824</v>
      </c>
      <c r="C517" s="9" t="s">
        <v>545</v>
      </c>
      <c r="D517" s="10">
        <v>-0.977032656</v>
      </c>
      <c r="E517" s="10">
        <v>-0.19927850499999999</v>
      </c>
      <c r="F517" s="10">
        <v>0.46677550600000001</v>
      </c>
      <c r="G517" s="10">
        <v>0.19556514899999999</v>
      </c>
      <c r="H517" s="9">
        <v>-0.12849262650000001</v>
      </c>
      <c r="I517" s="10">
        <v>0.62832804958634003</v>
      </c>
      <c r="J517" s="10">
        <v>0.39479613789697399</v>
      </c>
      <c r="K517" s="10">
        <v>0.23889901899999999</v>
      </c>
      <c r="L517" s="10">
        <v>-0.63742102</v>
      </c>
      <c r="M517" s="10">
        <v>0.39353965499999999</v>
      </c>
      <c r="N517" s="10">
        <v>0.28449495600000002</v>
      </c>
      <c r="O517" s="9">
        <v>6.9878152250000006E-2</v>
      </c>
      <c r="P517" s="10">
        <v>0.47597524910325201</v>
      </c>
      <c r="Q517" s="10">
        <v>0.22655243775890299</v>
      </c>
    </row>
    <row r="518" spans="1:17" x14ac:dyDescent="0.2">
      <c r="A518" s="10">
        <v>1633</v>
      </c>
      <c r="B518" s="10" t="s">
        <v>2833</v>
      </c>
      <c r="C518" s="9" t="s">
        <v>546</v>
      </c>
      <c r="D518" s="10">
        <v>-0.46000043800000001</v>
      </c>
      <c r="E518" s="10">
        <v>0.23249804399999999</v>
      </c>
      <c r="F518" s="10">
        <v>0.46512191000000003</v>
      </c>
      <c r="G518" s="10">
        <v>-0.24601469400000001</v>
      </c>
      <c r="H518" s="9">
        <v>-2.0987944999999999E-3</v>
      </c>
      <c r="I518" s="10">
        <v>0.425244927266066</v>
      </c>
      <c r="J518" s="10">
        <v>0.18083324816552199</v>
      </c>
      <c r="K518" s="10">
        <v>0.45200183799999999</v>
      </c>
      <c r="L518" s="10">
        <v>-7.5239433999999994E-2</v>
      </c>
      <c r="M518" s="10">
        <v>-0.48224140999999998</v>
      </c>
      <c r="N518" s="10">
        <v>-1.2720103599999999</v>
      </c>
      <c r="O518" s="9">
        <v>-0.34437234150000001</v>
      </c>
      <c r="P518" s="10">
        <v>0.72713238801228897</v>
      </c>
      <c r="Q518" s="10">
        <v>0.52872150969645504</v>
      </c>
    </row>
    <row r="519" spans="1:17" x14ac:dyDescent="0.2">
      <c r="A519" s="10">
        <v>1633</v>
      </c>
      <c r="B519" s="10" t="s">
        <v>2825</v>
      </c>
      <c r="C519" s="9" t="s">
        <v>547</v>
      </c>
      <c r="D519" s="10">
        <v>-0.168814517</v>
      </c>
      <c r="E519" s="10">
        <v>1.7006664000000001E-2</v>
      </c>
      <c r="F519" s="10">
        <v>-0.23334909300000001</v>
      </c>
      <c r="G519" s="10">
        <v>-0.18470556199999999</v>
      </c>
      <c r="H519" s="9">
        <v>-0.14246562725</v>
      </c>
      <c r="I519" s="10">
        <v>0.10980238628554199</v>
      </c>
      <c r="J519" s="10">
        <v>1.20565640339993E-2</v>
      </c>
      <c r="K519" s="10">
        <v>-2.3239447E-2</v>
      </c>
      <c r="L519" s="10">
        <v>0.148348074</v>
      </c>
      <c r="M519" s="10">
        <v>-0.38389750900000003</v>
      </c>
      <c r="N519" s="10">
        <v>-4.2522346000000003E-2</v>
      </c>
      <c r="O519" s="9">
        <v>-7.5327807250000003E-2</v>
      </c>
      <c r="P519" s="10">
        <v>0.22288678460330999</v>
      </c>
      <c r="Q519" s="10">
        <v>4.96785187508023E-2</v>
      </c>
    </row>
    <row r="520" spans="1:17" x14ac:dyDescent="0.2">
      <c r="A520" s="10">
        <v>1633</v>
      </c>
      <c r="B520" s="10" t="s">
        <v>2818</v>
      </c>
      <c r="C520" s="9" t="s">
        <v>548</v>
      </c>
      <c r="D520" s="10">
        <v>-0.46402100200000002</v>
      </c>
      <c r="E520" s="10">
        <v>-0.31437202400000003</v>
      </c>
      <c r="F520" s="10">
        <v>0.132259823</v>
      </c>
      <c r="G520" s="10">
        <v>-0.42318117500000002</v>
      </c>
      <c r="H520" s="9">
        <v>-0.26732859450000002</v>
      </c>
      <c r="I520" s="10">
        <v>0.27377723162937301</v>
      </c>
      <c r="J520" s="10">
        <v>7.4953972558643597E-2</v>
      </c>
      <c r="K520" s="10">
        <v>-0.36517606600000002</v>
      </c>
      <c r="L520" s="10">
        <v>-7.7131900000000002E-4</v>
      </c>
      <c r="M520" s="10">
        <v>-0.31099023399999998</v>
      </c>
      <c r="N520" s="10">
        <v>-0.36825353700000002</v>
      </c>
      <c r="O520" s="9">
        <v>-0.26129778874999998</v>
      </c>
      <c r="P520" s="10">
        <v>0.17566408200830999</v>
      </c>
      <c r="Q520" s="10">
        <v>3.08578697078223E-2</v>
      </c>
    </row>
    <row r="521" spans="1:17" x14ac:dyDescent="0.2">
      <c r="A521" s="10">
        <v>1633</v>
      </c>
      <c r="B521" s="10" t="s">
        <v>2830</v>
      </c>
      <c r="C521" s="9" t="s">
        <v>549</v>
      </c>
      <c r="D521" s="10">
        <v>5.2528449999999997E-2</v>
      </c>
      <c r="E521" s="10">
        <v>-4.1193119E-2</v>
      </c>
      <c r="F521" s="10">
        <v>-0.23224556099999999</v>
      </c>
      <c r="G521" s="10">
        <v>0.183264969</v>
      </c>
      <c r="H521" s="9">
        <v>-9.4113152499999998E-3</v>
      </c>
      <c r="I521" s="10">
        <v>0.174762571469777</v>
      </c>
      <c r="J521" s="10">
        <v>3.0541956386728901E-2</v>
      </c>
      <c r="K521" s="10">
        <v>-0.53850485299999995</v>
      </c>
      <c r="L521" s="10">
        <v>0.149055942</v>
      </c>
      <c r="M521" s="10">
        <v>-0.54761173500000004</v>
      </c>
      <c r="N521" s="10">
        <v>-0.28092810699999998</v>
      </c>
      <c r="O521" s="9">
        <v>-0.30449718799999997</v>
      </c>
      <c r="P521" s="10">
        <v>0.32666507493850999</v>
      </c>
      <c r="Q521" s="10">
        <v>0.10671007118458201</v>
      </c>
    </row>
    <row r="522" spans="1:17" x14ac:dyDescent="0.2">
      <c r="A522" s="10">
        <v>1633</v>
      </c>
      <c r="B522" s="10" t="s">
        <v>2832</v>
      </c>
      <c r="C522" s="9" t="s">
        <v>550</v>
      </c>
      <c r="D522" s="10">
        <v>0.256189053</v>
      </c>
      <c r="E522" s="10">
        <v>0.109818605</v>
      </c>
      <c r="F522" s="10">
        <v>-0.37243912800000001</v>
      </c>
      <c r="G522" s="10">
        <v>-8.2088211999999994E-2</v>
      </c>
      <c r="H522" s="9">
        <v>-2.212992075E-2</v>
      </c>
      <c r="I522" s="10">
        <v>0.27152863690017098</v>
      </c>
      <c r="J522" s="10">
        <v>7.3727800656864906E-2</v>
      </c>
      <c r="K522" s="10">
        <v>-0.48432589399999998</v>
      </c>
      <c r="L522" s="10">
        <v>-0.108440754</v>
      </c>
      <c r="M522" s="10">
        <v>-0.60789818299999998</v>
      </c>
      <c r="N522" s="10">
        <v>-0.14120577600000001</v>
      </c>
      <c r="O522" s="9">
        <v>-0.33546765174999998</v>
      </c>
      <c r="P522" s="10">
        <v>0.24876766893014399</v>
      </c>
      <c r="Q522" s="10">
        <v>6.1885353104938E-2</v>
      </c>
    </row>
    <row r="523" spans="1:17" x14ac:dyDescent="0.2">
      <c r="A523" s="10">
        <v>1634</v>
      </c>
      <c r="B523" s="10" t="s">
        <v>2831</v>
      </c>
      <c r="C523" s="9" t="s">
        <v>551</v>
      </c>
      <c r="D523" s="10">
        <v>-0.83028925799999997</v>
      </c>
      <c r="E523" s="10">
        <v>-1.139305177</v>
      </c>
      <c r="F523" s="10">
        <v>-0.60636433599999995</v>
      </c>
      <c r="G523" s="10">
        <v>-0.40714518999999999</v>
      </c>
      <c r="H523" s="9">
        <v>-0.74577599024999996</v>
      </c>
      <c r="I523" s="10">
        <v>0.31417306349026602</v>
      </c>
      <c r="J523" s="10">
        <v>9.8704713822858794E-2</v>
      </c>
      <c r="K523" s="10">
        <v>-0.513146926</v>
      </c>
      <c r="L523" s="10">
        <v>-0.54670336600000002</v>
      </c>
      <c r="M523" s="10">
        <v>-0.636564303</v>
      </c>
      <c r="N523" s="10">
        <v>-0.324086555</v>
      </c>
      <c r="O523" s="9">
        <v>-0.50512528749999996</v>
      </c>
      <c r="P523" s="10">
        <v>0.13145889187219001</v>
      </c>
      <c r="Q523" s="10">
        <v>1.7281440252264201E-2</v>
      </c>
    </row>
    <row r="524" spans="1:17" x14ac:dyDescent="0.2">
      <c r="A524" s="10">
        <v>1634</v>
      </c>
      <c r="B524" s="10" t="s">
        <v>2822</v>
      </c>
      <c r="C524" s="9" t="s">
        <v>552</v>
      </c>
      <c r="D524" s="10">
        <v>0.28798291799999998</v>
      </c>
      <c r="E524" s="10">
        <v>0.38325598700000002</v>
      </c>
      <c r="F524" s="10">
        <v>-0.40180016400000002</v>
      </c>
      <c r="G524" s="10">
        <v>-0.41005632400000003</v>
      </c>
      <c r="H524" s="9">
        <v>-3.5154395749999998E-2</v>
      </c>
      <c r="I524" s="10">
        <v>0.42990911718322</v>
      </c>
      <c r="J524" s="10">
        <v>0.18482184903725599</v>
      </c>
      <c r="K524" s="10">
        <v>0.306983638</v>
      </c>
      <c r="L524" s="10">
        <v>-0.52596690199999996</v>
      </c>
      <c r="M524" s="10">
        <v>3.4509113000000001E-2</v>
      </c>
      <c r="N524" s="10">
        <v>-0.132178991</v>
      </c>
      <c r="O524" s="9">
        <v>-7.9163285250000007E-2</v>
      </c>
      <c r="P524" s="10">
        <v>0.34855654608513598</v>
      </c>
      <c r="Q524" s="10">
        <v>0.121491665818799</v>
      </c>
    </row>
    <row r="525" spans="1:17" x14ac:dyDescent="0.2">
      <c r="A525" s="10">
        <v>1634</v>
      </c>
      <c r="B525" s="10" t="s">
        <v>2821</v>
      </c>
      <c r="C525" s="9" t="s">
        <v>553</v>
      </c>
      <c r="D525" s="10">
        <v>-0.31179763199999999</v>
      </c>
      <c r="E525" s="10">
        <v>-0.88869211000000004</v>
      </c>
      <c r="F525" s="10">
        <v>-0.25478283099999999</v>
      </c>
      <c r="G525" s="10">
        <v>1.0828872999999999E-2</v>
      </c>
      <c r="H525" s="9">
        <v>-0.36111092500000003</v>
      </c>
      <c r="I525" s="10">
        <v>0.37877811646682202</v>
      </c>
      <c r="J525" s="10">
        <v>0.14347286151415301</v>
      </c>
      <c r="K525" s="10">
        <v>0.17272448300000001</v>
      </c>
      <c r="L525" s="10">
        <v>-0.25352323199999999</v>
      </c>
      <c r="M525" s="10">
        <v>-7.2248335999999996E-2</v>
      </c>
      <c r="N525" s="10">
        <v>-4.1056760999999997E-2</v>
      </c>
      <c r="O525" s="9">
        <v>-4.8525961249999999E-2</v>
      </c>
      <c r="P525" s="10">
        <v>0.17473234780841701</v>
      </c>
      <c r="Q525" s="10">
        <v>3.0531393370641698E-2</v>
      </c>
    </row>
    <row r="526" spans="1:17" x14ac:dyDescent="0.2">
      <c r="A526" s="10">
        <v>1634</v>
      </c>
      <c r="B526" s="10" t="s">
        <v>79</v>
      </c>
      <c r="C526" s="9" t="s">
        <v>554</v>
      </c>
      <c r="D526" s="10">
        <v>0.14394875800000001</v>
      </c>
      <c r="E526" s="3">
        <v>4.88E-5</v>
      </c>
      <c r="F526" s="10">
        <v>-0.37449843999999999</v>
      </c>
      <c r="G526" s="10">
        <v>-0.51111321600000004</v>
      </c>
      <c r="H526" s="9">
        <v>-0.18540353425</v>
      </c>
      <c r="I526" s="10">
        <v>0.30806340302789897</v>
      </c>
      <c r="J526" s="10">
        <v>9.4903060285130098E-2</v>
      </c>
      <c r="K526" s="10">
        <v>0.15540484700000001</v>
      </c>
      <c r="L526" s="10">
        <v>-2.2870267E-2</v>
      </c>
      <c r="M526" s="10">
        <v>-0.73029275800000004</v>
      </c>
      <c r="N526" s="10">
        <v>0.227062606</v>
      </c>
      <c r="O526" s="9">
        <v>-9.2673892999999993E-2</v>
      </c>
      <c r="P526" s="10">
        <v>0.437875497236143</v>
      </c>
      <c r="Q526" s="10">
        <v>0.19173495107979999</v>
      </c>
    </row>
    <row r="527" spans="1:17" x14ac:dyDescent="0.2">
      <c r="A527" s="10">
        <v>1634</v>
      </c>
      <c r="B527" s="10" t="s">
        <v>2820</v>
      </c>
      <c r="C527" s="9" t="s">
        <v>555</v>
      </c>
      <c r="D527" s="10">
        <v>-0.37364726599999998</v>
      </c>
      <c r="E527" s="10">
        <v>-0.18072052499999999</v>
      </c>
      <c r="F527" s="10">
        <v>0.350276431</v>
      </c>
      <c r="G527" s="10">
        <v>-6.4938454000000007E-2</v>
      </c>
      <c r="H527" s="9">
        <v>-6.7257453250000002E-2</v>
      </c>
      <c r="I527" s="10">
        <v>0.30609830025790702</v>
      </c>
      <c r="J527" s="10">
        <v>9.3696169420779796E-2</v>
      </c>
      <c r="K527" s="10">
        <v>-0.27354525499999999</v>
      </c>
      <c r="L527" s="10">
        <v>-0.357078854</v>
      </c>
      <c r="M527" s="10">
        <v>-0.119454744</v>
      </c>
      <c r="N527" s="10">
        <v>-6.3094980999999994E-2</v>
      </c>
      <c r="O527" s="9">
        <v>-0.20329345825</v>
      </c>
      <c r="P527" s="10">
        <v>0.135732341912185</v>
      </c>
      <c r="Q527" s="10">
        <v>1.8423268640966401E-2</v>
      </c>
    </row>
    <row r="528" spans="1:17" x14ac:dyDescent="0.2">
      <c r="A528" s="10">
        <v>1634</v>
      </c>
      <c r="B528" s="10" t="s">
        <v>74</v>
      </c>
      <c r="C528" s="9" t="s">
        <v>556</v>
      </c>
      <c r="D528" s="10">
        <v>-9.4818413000000004E-2</v>
      </c>
      <c r="E528" s="10">
        <v>-5.0365884E-2</v>
      </c>
      <c r="F528" s="10">
        <v>0.34889687699999999</v>
      </c>
      <c r="G528" s="10">
        <v>8.5799944000000003E-2</v>
      </c>
      <c r="H528" s="9">
        <v>7.2378131250000005E-2</v>
      </c>
      <c r="I528" s="10">
        <v>0.19971941943426799</v>
      </c>
      <c r="J528" s="10">
        <v>3.9887846499161203E-2</v>
      </c>
      <c r="K528" s="10">
        <v>2.4814473E-2</v>
      </c>
      <c r="L528" s="10">
        <v>0.27733448300000002</v>
      </c>
      <c r="M528" s="10">
        <v>-0.25275057200000001</v>
      </c>
      <c r="N528" s="10">
        <v>5.0463953999999998E-2</v>
      </c>
      <c r="O528" s="9">
        <v>2.4965584499999999E-2</v>
      </c>
      <c r="P528" s="10">
        <v>0.217153182640795</v>
      </c>
      <c r="Q528" s="10">
        <v>4.7155504731026497E-2</v>
      </c>
    </row>
    <row r="529" spans="1:17" x14ac:dyDescent="0.2">
      <c r="A529" s="10">
        <v>1634</v>
      </c>
      <c r="B529" s="10" t="s">
        <v>2830</v>
      </c>
      <c r="C529" s="9" t="s">
        <v>557</v>
      </c>
      <c r="D529" s="10">
        <v>-5.4188578000000001E-2</v>
      </c>
      <c r="E529" s="10">
        <v>-9.1986268999999996E-2</v>
      </c>
      <c r="F529" s="10">
        <v>0.20491830999999999</v>
      </c>
      <c r="G529" s="10">
        <v>-0.16367828600000001</v>
      </c>
      <c r="H529" s="9">
        <v>-2.6233705499999999E-2</v>
      </c>
      <c r="I529" s="10">
        <v>0.160651944154483</v>
      </c>
      <c r="J529" s="10">
        <v>2.58090471606153E-2</v>
      </c>
      <c r="K529" s="10">
        <v>-0.194167278</v>
      </c>
      <c r="L529" s="10">
        <v>-0.24224322500000001</v>
      </c>
      <c r="M529" s="10">
        <v>8.0934557000000004E-2</v>
      </c>
      <c r="N529" s="10">
        <v>-0.66771454600000002</v>
      </c>
      <c r="O529" s="9">
        <v>-0.25579762299999997</v>
      </c>
      <c r="P529" s="10">
        <v>0.30932514373029402</v>
      </c>
      <c r="Q529" s="10">
        <v>9.5682044543767206E-2</v>
      </c>
    </row>
    <row r="530" spans="1:17" x14ac:dyDescent="0.2">
      <c r="A530" s="10">
        <v>1635</v>
      </c>
      <c r="B530" s="10" t="s">
        <v>2831</v>
      </c>
      <c r="C530" s="9" t="s">
        <v>558</v>
      </c>
      <c r="D530" s="10">
        <v>-1.074923122</v>
      </c>
      <c r="E530" s="10">
        <v>-1.211514057</v>
      </c>
      <c r="F530" s="10">
        <v>-0.69660828699999999</v>
      </c>
      <c r="G530" s="10">
        <v>-1.188938096</v>
      </c>
      <c r="H530" s="9">
        <v>-1.0429958902500001</v>
      </c>
      <c r="I530" s="10">
        <v>0.23853806108351799</v>
      </c>
      <c r="J530" s="10">
        <v>5.6900406585484502E-2</v>
      </c>
      <c r="K530" s="10">
        <v>-0.24842431800000001</v>
      </c>
      <c r="L530" s="10">
        <v>-0.47619213599999999</v>
      </c>
      <c r="M530" s="10">
        <v>-0.62836802700000005</v>
      </c>
      <c r="N530" s="10">
        <v>-0.36886279799999999</v>
      </c>
      <c r="O530" s="9">
        <v>-0.43046181950000001</v>
      </c>
      <c r="P530" s="10">
        <v>0.16144165118946499</v>
      </c>
      <c r="Q530" s="10">
        <v>2.6063406738780999E-2</v>
      </c>
    </row>
    <row r="531" spans="1:17" x14ac:dyDescent="0.2">
      <c r="A531" s="10">
        <v>1635</v>
      </c>
      <c r="B531" s="10" t="s">
        <v>2826</v>
      </c>
      <c r="C531" s="9" t="s">
        <v>559</v>
      </c>
      <c r="D531" s="10">
        <v>-0.16184960600000001</v>
      </c>
      <c r="E531" s="10">
        <v>-0.419204154</v>
      </c>
      <c r="F531" s="10">
        <v>0.25970965899999998</v>
      </c>
      <c r="G531" s="10">
        <v>0.23735418799999999</v>
      </c>
      <c r="H531" s="9">
        <v>-2.0997478E-2</v>
      </c>
      <c r="I531" s="10">
        <v>0.32860815513354102</v>
      </c>
      <c r="J531" s="10">
        <v>0.107983319620269</v>
      </c>
      <c r="K531" s="10">
        <v>-0.47697729300000002</v>
      </c>
      <c r="L531" s="10">
        <v>-1.4710134999999999E-2</v>
      </c>
      <c r="M531" s="10">
        <v>-0.30578834999999999</v>
      </c>
      <c r="N531" s="10">
        <v>-0.204842147</v>
      </c>
      <c r="O531" s="9">
        <v>-0.25057948125000001</v>
      </c>
      <c r="P531" s="10">
        <v>0.193244439849759</v>
      </c>
      <c r="Q531" s="10">
        <v>3.7343413532847203E-2</v>
      </c>
    </row>
    <row r="532" spans="1:17" x14ac:dyDescent="0.2">
      <c r="A532" s="10">
        <v>1635</v>
      </c>
      <c r="B532" s="10" t="s">
        <v>79</v>
      </c>
      <c r="C532" s="9" t="s">
        <v>560</v>
      </c>
      <c r="D532" s="10">
        <v>-9.0597217999999993E-2</v>
      </c>
      <c r="E532" s="10">
        <v>-0.26045184999999998</v>
      </c>
      <c r="F532" s="10">
        <v>-0.256554587</v>
      </c>
      <c r="G532" s="10">
        <v>-0.10860373299999999</v>
      </c>
      <c r="H532" s="9">
        <v>-0.17905184674999999</v>
      </c>
      <c r="I532" s="10">
        <v>9.2050336507790195E-2</v>
      </c>
      <c r="J532" s="10">
        <v>8.4732644511974001E-3</v>
      </c>
      <c r="K532" s="10">
        <v>0.35596793700000001</v>
      </c>
      <c r="L532" s="10">
        <v>0.219716141</v>
      </c>
      <c r="M532" s="10">
        <v>-0.182372009</v>
      </c>
      <c r="N532" s="10">
        <v>-0.20594921699999999</v>
      </c>
      <c r="O532" s="9">
        <v>4.6840712999999999E-2</v>
      </c>
      <c r="P532" s="10">
        <v>0.283952328663447</v>
      </c>
      <c r="Q532" s="10">
        <v>8.0628924953394507E-2</v>
      </c>
    </row>
    <row r="533" spans="1:17" x14ac:dyDescent="0.2">
      <c r="A533" s="10">
        <v>1635</v>
      </c>
      <c r="B533" s="10" t="s">
        <v>2824</v>
      </c>
      <c r="C533" s="9" t="s">
        <v>561</v>
      </c>
      <c r="D533" s="10">
        <v>-0.26898544200000002</v>
      </c>
      <c r="E533" s="10">
        <v>0.22207031299999999</v>
      </c>
      <c r="F533" s="10">
        <v>-8.0732649999999996E-3</v>
      </c>
      <c r="G533" s="10">
        <v>-7.2685595000000006E-2</v>
      </c>
      <c r="H533" s="9">
        <v>-3.1918497249999997E-2</v>
      </c>
      <c r="I533" s="10">
        <v>0.20243649488611101</v>
      </c>
      <c r="J533" s="10">
        <v>4.0980534461774798E-2</v>
      </c>
      <c r="K533" s="10">
        <v>0.44397158399999997</v>
      </c>
      <c r="L533" s="10">
        <v>0.13110171900000001</v>
      </c>
      <c r="M533" s="10">
        <v>-0.26566432499999998</v>
      </c>
      <c r="N533" s="10">
        <v>-7.5748830000000003E-2</v>
      </c>
      <c r="O533" s="9">
        <v>5.8415036750000003E-2</v>
      </c>
      <c r="P533" s="10">
        <v>0.30384457691252398</v>
      </c>
      <c r="Q533" s="10">
        <v>9.2321526919151006E-2</v>
      </c>
    </row>
    <row r="534" spans="1:17" x14ac:dyDescent="0.2">
      <c r="A534" s="10">
        <v>1635</v>
      </c>
      <c r="B534" s="10" t="s">
        <v>2825</v>
      </c>
      <c r="C534" s="9" t="s">
        <v>562</v>
      </c>
      <c r="D534" s="10">
        <v>-0.16397399500000001</v>
      </c>
      <c r="E534" s="10">
        <v>0.22204048600000001</v>
      </c>
      <c r="F534" s="10">
        <v>-0.30519117699999998</v>
      </c>
      <c r="G534" s="10">
        <v>-3.4533790000000002E-2</v>
      </c>
      <c r="H534" s="9">
        <v>-7.0414618999999998E-2</v>
      </c>
      <c r="I534" s="10">
        <v>0.22412110666194501</v>
      </c>
      <c r="J534" s="10">
        <v>5.0230270451374903E-2</v>
      </c>
      <c r="K534" s="10">
        <v>0.194664384</v>
      </c>
      <c r="L534" s="10">
        <v>-0.163365444</v>
      </c>
      <c r="M534" s="10">
        <v>-1.6281212999999999E-2</v>
      </c>
      <c r="N534" s="10">
        <v>6.0577498E-2</v>
      </c>
      <c r="O534" s="9">
        <v>1.8898806250000001E-2</v>
      </c>
      <c r="P534" s="10">
        <v>0.149542125995105</v>
      </c>
      <c r="Q534" s="10">
        <v>2.2362847447135899E-2</v>
      </c>
    </row>
    <row r="535" spans="1:17" x14ac:dyDescent="0.2">
      <c r="A535" s="10">
        <v>1635</v>
      </c>
      <c r="B535" s="10" t="s">
        <v>74</v>
      </c>
      <c r="C535" s="9" t="s">
        <v>563</v>
      </c>
      <c r="D535" s="10">
        <v>3.0253223999999999E-2</v>
      </c>
      <c r="E535" s="10">
        <v>0.18301002399999999</v>
      </c>
      <c r="F535" s="10">
        <v>-0.33951137399999998</v>
      </c>
      <c r="G535" s="10">
        <v>-0.123406127</v>
      </c>
      <c r="H535" s="9">
        <v>-6.2413563249999998E-2</v>
      </c>
      <c r="I535" s="10">
        <v>0.22310174076202299</v>
      </c>
      <c r="J535" s="10">
        <v>4.97743867310452E-2</v>
      </c>
      <c r="K535" s="10">
        <v>-0.115470197</v>
      </c>
      <c r="L535" s="10">
        <v>2.0208371999999999E-2</v>
      </c>
      <c r="M535" s="10">
        <v>1.3077470000000001E-2</v>
      </c>
      <c r="N535" s="10">
        <v>-2.053048E-3</v>
      </c>
      <c r="O535" s="9">
        <v>-2.1059350750000001E-2</v>
      </c>
      <c r="P535" s="10">
        <v>6.3621261922291006E-2</v>
      </c>
      <c r="Q535" s="10">
        <v>4.0476649685846997E-3</v>
      </c>
    </row>
    <row r="536" spans="1:17" x14ac:dyDescent="0.2">
      <c r="A536" s="10">
        <v>1635</v>
      </c>
      <c r="B536" s="10" t="s">
        <v>2830</v>
      </c>
      <c r="C536" s="9" t="s">
        <v>564</v>
      </c>
      <c r="D536" s="10">
        <v>-0.42665688000000002</v>
      </c>
      <c r="E536" s="10">
        <v>-0.54609955399999999</v>
      </c>
      <c r="F536" s="10">
        <v>4.1216205999999998E-2</v>
      </c>
      <c r="G536" s="10">
        <v>-0.111976459</v>
      </c>
      <c r="H536" s="9">
        <v>-0.26087917199999999</v>
      </c>
      <c r="I536" s="10">
        <v>0.27219267080855403</v>
      </c>
      <c r="J536" s="10">
        <v>7.4088850041894097E-2</v>
      </c>
      <c r="K536" s="10">
        <v>-7.7461220000000003E-3</v>
      </c>
      <c r="L536" s="10">
        <v>-1.0906862669999999</v>
      </c>
      <c r="M536" s="10">
        <v>-0.31174284099999999</v>
      </c>
      <c r="N536" s="10">
        <v>-0.18721454100000001</v>
      </c>
      <c r="O536" s="9">
        <v>-0.39934744300000002</v>
      </c>
      <c r="P536" s="10">
        <v>0.47748504290053101</v>
      </c>
      <c r="Q536" s="10">
        <v>0.227991966193722</v>
      </c>
    </row>
    <row r="537" spans="1:17" x14ac:dyDescent="0.2">
      <c r="A537" s="10">
        <v>1635</v>
      </c>
      <c r="B537" s="10" t="s">
        <v>2832</v>
      </c>
      <c r="C537" s="9" t="s">
        <v>565</v>
      </c>
      <c r="D537" s="10">
        <v>-0.27400696000000002</v>
      </c>
      <c r="E537" s="10">
        <v>-0.17224662099999999</v>
      </c>
      <c r="F537" s="10">
        <v>-0.41355751600000001</v>
      </c>
      <c r="G537" s="10">
        <v>-0.57102234399999996</v>
      </c>
      <c r="H537" s="9">
        <v>-0.35770836025000002</v>
      </c>
      <c r="I537" s="10">
        <v>0.17322813954506</v>
      </c>
      <c r="J537" s="10">
        <v>3.0007988330242898E-2</v>
      </c>
      <c r="K537" s="10">
        <v>1.5113486000000001E-2</v>
      </c>
      <c r="L537" s="10">
        <v>-0.37683628699999999</v>
      </c>
      <c r="M537" s="10">
        <v>-0.43462927699999998</v>
      </c>
      <c r="N537" s="10">
        <v>3.4112563999999998E-2</v>
      </c>
      <c r="O537" s="9">
        <v>-0.19055987825000001</v>
      </c>
      <c r="P537" s="10">
        <v>0.24969849214033801</v>
      </c>
      <c r="Q537" s="10">
        <v>6.2349336977158699E-2</v>
      </c>
    </row>
    <row r="538" spans="1:17" x14ac:dyDescent="0.2">
      <c r="A538" s="10">
        <v>1636</v>
      </c>
      <c r="B538" s="10" t="s">
        <v>2831</v>
      </c>
      <c r="C538" s="9" t="s">
        <v>566</v>
      </c>
      <c r="D538" s="10">
        <v>-1.9642670019999999</v>
      </c>
      <c r="E538" s="10">
        <v>-0.35928151600000002</v>
      </c>
      <c r="F538" s="10">
        <v>-2.2929828090000002</v>
      </c>
      <c r="G538" s="10">
        <v>-2.6183451999999999E-2</v>
      </c>
      <c r="H538" s="9">
        <v>-1.1606786947500001</v>
      </c>
      <c r="I538" s="10">
        <v>1.1338994177361601</v>
      </c>
      <c r="J538" s="10">
        <v>1.28572788954241</v>
      </c>
      <c r="K538" s="10">
        <v>-1.0426313810000001</v>
      </c>
      <c r="L538" s="10">
        <v>-0.80323182000000004</v>
      </c>
      <c r="M538" s="10">
        <v>-0.912479296</v>
      </c>
      <c r="N538" s="10">
        <v>-1.8939730939999999</v>
      </c>
      <c r="O538" s="9">
        <v>-1.16307889775</v>
      </c>
      <c r="P538" s="10">
        <v>0.49699229040487403</v>
      </c>
      <c r="Q538" s="10">
        <v>0.24700133672188199</v>
      </c>
    </row>
    <row r="539" spans="1:17" x14ac:dyDescent="0.2">
      <c r="A539" s="10">
        <v>1636</v>
      </c>
      <c r="B539" s="10" t="s">
        <v>2822</v>
      </c>
      <c r="C539" s="9" t="s">
        <v>567</v>
      </c>
      <c r="D539" s="10">
        <v>-0.572048534</v>
      </c>
      <c r="E539" s="10">
        <v>-0.27857074599999998</v>
      </c>
      <c r="F539" s="10">
        <v>-0.89376005000000003</v>
      </c>
      <c r="G539" s="10">
        <v>0.44326199799999999</v>
      </c>
      <c r="H539" s="9">
        <v>-0.32527933274999998</v>
      </c>
      <c r="I539" s="10">
        <v>0.57064373991653805</v>
      </c>
      <c r="J539" s="10">
        <v>0.32563427790593302</v>
      </c>
      <c r="K539" s="10">
        <v>0.138288936</v>
      </c>
      <c r="L539" s="10">
        <v>-0.23839115699999999</v>
      </c>
      <c r="M539" s="10">
        <v>-0.93230116600000001</v>
      </c>
      <c r="N539" s="10">
        <v>-0.45532712400000003</v>
      </c>
      <c r="O539" s="9">
        <v>-0.37193262775000002</v>
      </c>
      <c r="P539" s="10">
        <v>0.44688809531052298</v>
      </c>
      <c r="Q539" s="10">
        <v>0.199708969730267</v>
      </c>
    </row>
    <row r="540" spans="1:17" x14ac:dyDescent="0.2">
      <c r="A540" s="10">
        <v>1636</v>
      </c>
      <c r="B540" s="10" t="s">
        <v>2819</v>
      </c>
      <c r="C540" s="9" t="s">
        <v>568</v>
      </c>
      <c r="D540" s="10">
        <v>-0.69016063500000002</v>
      </c>
      <c r="E540" s="10">
        <v>-1.049066447</v>
      </c>
      <c r="F540" s="10">
        <v>-0.26451044200000001</v>
      </c>
      <c r="G540" s="10">
        <v>0.86850250600000001</v>
      </c>
      <c r="H540" s="9">
        <v>-0.28380875449999998</v>
      </c>
      <c r="I540" s="10">
        <v>0.83245317238804395</v>
      </c>
      <c r="J540" s="10">
        <v>0.69297828421891905</v>
      </c>
      <c r="K540" s="10">
        <v>1.2669222060000001</v>
      </c>
      <c r="L540" s="10">
        <v>-0.45983687600000001</v>
      </c>
      <c r="M540" s="10">
        <v>0.214132237</v>
      </c>
      <c r="N540" s="10">
        <v>0.43687245200000002</v>
      </c>
      <c r="O540" s="9">
        <v>0.36452250474999998</v>
      </c>
      <c r="P540" s="10">
        <v>0.71221376869298803</v>
      </c>
      <c r="Q540" s="10">
        <v>0.50724845231586901</v>
      </c>
    </row>
    <row r="541" spans="1:17" x14ac:dyDescent="0.2">
      <c r="A541" s="10">
        <v>1636</v>
      </c>
      <c r="B541" s="10" t="s">
        <v>2825</v>
      </c>
      <c r="C541" s="9" t="s">
        <v>569</v>
      </c>
      <c r="D541" s="10">
        <v>0.18784456799999999</v>
      </c>
      <c r="E541" s="10">
        <v>0.214846706</v>
      </c>
      <c r="F541" s="10">
        <v>-0.35797476900000003</v>
      </c>
      <c r="G541" s="10">
        <v>-7.4124471999999997E-2</v>
      </c>
      <c r="H541" s="9">
        <v>-7.35199175E-3</v>
      </c>
      <c r="I541" s="10">
        <v>0.26762464651402501</v>
      </c>
      <c r="J541" s="10">
        <v>7.1622951421756897E-2</v>
      </c>
      <c r="K541" s="10">
        <v>2.4237616999999999E-2</v>
      </c>
      <c r="L541" s="10">
        <v>-0.133863608</v>
      </c>
      <c r="M541" s="10">
        <v>-0.23286401100000001</v>
      </c>
      <c r="N541" s="10">
        <v>-7.3190447000000006E-2</v>
      </c>
      <c r="O541" s="9">
        <v>-0.10392011225</v>
      </c>
      <c r="P541" s="10">
        <v>0.10784534892686801</v>
      </c>
      <c r="Q541" s="10">
        <v>1.1630619285157901E-2</v>
      </c>
    </row>
    <row r="542" spans="1:17" x14ac:dyDescent="0.2">
      <c r="A542" s="10">
        <v>1636</v>
      </c>
      <c r="B542" s="10" t="s">
        <v>74</v>
      </c>
      <c r="C542" s="9" t="s">
        <v>570</v>
      </c>
      <c r="D542" s="10">
        <v>-8.4007603E-2</v>
      </c>
      <c r="E542" s="10">
        <v>0.133120769</v>
      </c>
      <c r="F542" s="10">
        <v>-3.2999765E-2</v>
      </c>
      <c r="G542" s="10">
        <v>0.14811930100000001</v>
      </c>
      <c r="H542" s="9">
        <v>4.1058175500000002E-2</v>
      </c>
      <c r="I542" s="10">
        <v>0.116995203916208</v>
      </c>
      <c r="J542" s="10">
        <v>1.36878777393951E-2</v>
      </c>
      <c r="K542" s="10">
        <v>-0.47336194700000001</v>
      </c>
      <c r="L542" s="10">
        <v>-0.742251781</v>
      </c>
      <c r="M542" s="10">
        <v>2.3816397E-2</v>
      </c>
      <c r="N542" s="10">
        <v>-0.13183018799999999</v>
      </c>
      <c r="O542" s="9">
        <v>-0.33090687974999999</v>
      </c>
      <c r="P542" s="10">
        <v>0.343975874268315</v>
      </c>
      <c r="Q542" s="10">
        <v>0.11831940207865101</v>
      </c>
    </row>
    <row r="543" spans="1:17" x14ac:dyDescent="0.2">
      <c r="A543" s="10">
        <v>1636</v>
      </c>
      <c r="B543" s="10" t="s">
        <v>2818</v>
      </c>
      <c r="C543" s="9" t="s">
        <v>571</v>
      </c>
      <c r="D543" s="10">
        <v>6.2025355999999997E-2</v>
      </c>
      <c r="E543" s="10">
        <v>-0.211254527</v>
      </c>
      <c r="F543" s="10">
        <v>-1.5058505999999999E-2</v>
      </c>
      <c r="G543" s="10">
        <v>-0.43898665799999997</v>
      </c>
      <c r="H543" s="9">
        <v>-0.15081858375000001</v>
      </c>
      <c r="I543" s="10">
        <v>0.223924603123803</v>
      </c>
      <c r="J543" s="10">
        <v>5.0142227884152797E-2</v>
      </c>
      <c r="K543" s="10">
        <v>0.22806965700000001</v>
      </c>
      <c r="L543" s="10">
        <v>-0.24356370499999999</v>
      </c>
      <c r="M543" s="10">
        <v>-8.6364626999999999E-2</v>
      </c>
      <c r="N543" s="10">
        <v>-0.26388098999999998</v>
      </c>
      <c r="O543" s="9">
        <v>-9.1434916500000005E-2</v>
      </c>
      <c r="P543" s="10">
        <v>0.22729547354275501</v>
      </c>
      <c r="Q543" s="10">
        <v>5.1663232293025198E-2</v>
      </c>
    </row>
    <row r="544" spans="1:17" x14ac:dyDescent="0.2">
      <c r="A544" s="10">
        <v>1637</v>
      </c>
      <c r="B544" s="10" t="s">
        <v>2831</v>
      </c>
      <c r="C544" s="9" t="s">
        <v>572</v>
      </c>
      <c r="D544" s="10">
        <v>-0.71276615499999996</v>
      </c>
      <c r="E544" s="10">
        <v>-1.036136433</v>
      </c>
      <c r="F544" s="10">
        <v>-0.99601982300000003</v>
      </c>
      <c r="G544" s="10">
        <v>-1.686268208</v>
      </c>
      <c r="H544" s="9">
        <v>-1.1077976544999999</v>
      </c>
      <c r="I544" s="10">
        <v>0.41162591477599703</v>
      </c>
      <c r="J544" s="10">
        <v>0.16943589371517601</v>
      </c>
      <c r="K544" s="10">
        <v>-0.442362019</v>
      </c>
      <c r="L544" s="10">
        <v>-0.152660356</v>
      </c>
      <c r="M544" s="10">
        <v>-0.88263716599999997</v>
      </c>
      <c r="N544" s="10">
        <v>-1.3457056E-2</v>
      </c>
      <c r="O544" s="9">
        <v>-0.37277914899999998</v>
      </c>
      <c r="P544" s="10">
        <v>0.383997232128169</v>
      </c>
      <c r="Q544" s="10">
        <v>0.147453874282095</v>
      </c>
    </row>
    <row r="545" spans="1:17" x14ac:dyDescent="0.2">
      <c r="A545" s="10">
        <v>1637</v>
      </c>
      <c r="B545" s="10" t="s">
        <v>2823</v>
      </c>
      <c r="C545" s="9" t="s">
        <v>573</v>
      </c>
      <c r="D545" s="10">
        <v>9.4642979000000002E-2</v>
      </c>
      <c r="E545" s="10">
        <v>-8.8023494999999993E-2</v>
      </c>
      <c r="F545" s="10">
        <v>-1.150405157</v>
      </c>
      <c r="G545" s="10">
        <v>0.39846560399999997</v>
      </c>
      <c r="H545" s="9">
        <v>-0.18633001725000001</v>
      </c>
      <c r="I545" s="10">
        <v>0.67330943620689598</v>
      </c>
      <c r="J545" s="10">
        <v>0.453345596885249</v>
      </c>
      <c r="K545" s="10">
        <v>-0.51713074599999997</v>
      </c>
      <c r="L545" s="10">
        <v>0.26810057300000001</v>
      </c>
      <c r="M545" s="10">
        <v>-0.364453372</v>
      </c>
      <c r="N545" s="10">
        <v>5.3893126999999999E-2</v>
      </c>
      <c r="O545" s="9">
        <v>-0.13989760449999999</v>
      </c>
      <c r="P545" s="10">
        <v>0.363660783433361</v>
      </c>
      <c r="Q545" s="10">
        <v>0.132249165407366</v>
      </c>
    </row>
    <row r="546" spans="1:17" x14ac:dyDescent="0.2">
      <c r="A546" s="10">
        <v>1637</v>
      </c>
      <c r="B546" s="10" t="s">
        <v>82</v>
      </c>
      <c r="C546" s="9" t="s">
        <v>574</v>
      </c>
      <c r="D546" s="10">
        <v>-1.6116577999999999E-2</v>
      </c>
      <c r="E546" s="10">
        <v>4.4497070999999999E-2</v>
      </c>
      <c r="F546" s="10">
        <v>-0.119792836</v>
      </c>
      <c r="G546" s="10">
        <v>-0.118682553</v>
      </c>
      <c r="H546" s="9">
        <v>-5.2523724000000001E-2</v>
      </c>
      <c r="I546" s="10">
        <v>8.0912790555051906E-2</v>
      </c>
      <c r="J546" s="10">
        <v>6.5468796754057004E-3</v>
      </c>
      <c r="K546" s="10">
        <v>-0.25609452599999999</v>
      </c>
      <c r="L546" s="10">
        <v>0.52901902700000003</v>
      </c>
      <c r="M546" s="10">
        <v>-0.32973940400000001</v>
      </c>
      <c r="N546" s="10">
        <v>-0.26125420500000002</v>
      </c>
      <c r="O546" s="9">
        <v>-7.9517276750000004E-2</v>
      </c>
      <c r="P546" s="10">
        <v>0.40707713519252903</v>
      </c>
      <c r="Q546" s="10">
        <v>0.165711793996556</v>
      </c>
    </row>
    <row r="547" spans="1:17" x14ac:dyDescent="0.2">
      <c r="A547" s="10">
        <v>1637</v>
      </c>
      <c r="B547" s="10" t="s">
        <v>2818</v>
      </c>
      <c r="C547" s="9" t="s">
        <v>575</v>
      </c>
      <c r="D547" s="10">
        <v>-9.0593844000000007E-2</v>
      </c>
      <c r="E547" s="10">
        <v>0.20829370999999999</v>
      </c>
      <c r="F547" s="10">
        <v>0.104208105</v>
      </c>
      <c r="G547" s="10">
        <v>4.6230896E-2</v>
      </c>
      <c r="H547" s="9">
        <v>6.7034716750000001E-2</v>
      </c>
      <c r="I547" s="10">
        <v>0.12465355468912399</v>
      </c>
      <c r="J547" s="10">
        <v>1.5538508696634401E-2</v>
      </c>
      <c r="K547" s="10">
        <v>0.38510339399999999</v>
      </c>
      <c r="L547" s="10">
        <v>-7.2352399999999997E-2</v>
      </c>
      <c r="M547" s="10">
        <v>2.6678183000000001E-2</v>
      </c>
      <c r="N547" s="10">
        <v>-0.39694538099999999</v>
      </c>
      <c r="O547" s="9">
        <v>-1.4379051E-2</v>
      </c>
      <c r="P547" s="10">
        <v>0.32196781742427399</v>
      </c>
      <c r="Q547" s="10">
        <v>0.103663275456951</v>
      </c>
    </row>
    <row r="548" spans="1:17" x14ac:dyDescent="0.2">
      <c r="A548" s="10">
        <v>1637</v>
      </c>
      <c r="B548" s="10" t="s">
        <v>2830</v>
      </c>
      <c r="C548" s="9" t="s">
        <v>576</v>
      </c>
      <c r="D548" s="10">
        <v>-0.26265337</v>
      </c>
      <c r="E548" s="10">
        <v>-2.6156532999999999E-2</v>
      </c>
      <c r="F548" s="10">
        <v>-4.5277162000000003E-2</v>
      </c>
      <c r="G548" s="10">
        <v>-0.41378063700000001</v>
      </c>
      <c r="H548" s="9">
        <v>-0.18696692575000001</v>
      </c>
      <c r="I548" s="10">
        <v>0.18539046093955899</v>
      </c>
      <c r="J548" s="10">
        <v>3.4369623007382201E-2</v>
      </c>
      <c r="K548" s="10">
        <v>-4.4733272999999997E-2</v>
      </c>
      <c r="L548" s="10">
        <v>-0.273295132</v>
      </c>
      <c r="M548" s="10">
        <v>8.3828575000000002E-2</v>
      </c>
      <c r="N548" s="10">
        <v>-2.8337134999999999E-2</v>
      </c>
      <c r="O548" s="9">
        <v>-6.5634241250000003E-2</v>
      </c>
      <c r="P548" s="10">
        <v>0.14976660018940099</v>
      </c>
      <c r="Q548" s="10">
        <v>2.2430034532292E-2</v>
      </c>
    </row>
    <row r="549" spans="1:17" x14ac:dyDescent="0.2">
      <c r="A549" s="10">
        <v>1638</v>
      </c>
      <c r="B549" s="10" t="s">
        <v>2821</v>
      </c>
      <c r="C549" s="9" t="s">
        <v>2534</v>
      </c>
      <c r="D549" s="10">
        <v>0.37480560400000001</v>
      </c>
      <c r="E549" s="10">
        <v>-0.55877326000000005</v>
      </c>
      <c r="F549" s="10">
        <v>-0.40198562500000001</v>
      </c>
      <c r="G549" s="10">
        <v>1.029271136</v>
      </c>
      <c r="H549" s="9">
        <v>0.11082946375</v>
      </c>
      <c r="I549" s="10">
        <v>0.73588170037711698</v>
      </c>
      <c r="J549" s="10">
        <v>0.54152187694991705</v>
      </c>
      <c r="K549" s="10">
        <v>-5.2600507999999997E-2</v>
      </c>
      <c r="L549" s="10">
        <v>0.36442744799999999</v>
      </c>
      <c r="M549" s="10">
        <v>0.889178739</v>
      </c>
      <c r="N549" s="10">
        <v>0.355322319</v>
      </c>
      <c r="O549" s="9">
        <v>0.3890819995</v>
      </c>
      <c r="P549" s="10">
        <v>0.385973984109096</v>
      </c>
      <c r="Q549" s="10">
        <v>0.148975916409048</v>
      </c>
    </row>
    <row r="550" spans="1:17" x14ac:dyDescent="0.2">
      <c r="A550" s="10">
        <v>1638</v>
      </c>
      <c r="B550" s="10" t="s">
        <v>2817</v>
      </c>
      <c r="C550" s="9" t="s">
        <v>577</v>
      </c>
      <c r="D550" s="10">
        <v>-0.38373180000000001</v>
      </c>
      <c r="E550" s="10">
        <v>0.18398996000000001</v>
      </c>
      <c r="F550" s="10">
        <v>-0.14897464999999999</v>
      </c>
      <c r="G550" s="10">
        <v>0.371815491</v>
      </c>
      <c r="H550" s="9">
        <v>5.7747502500000002E-3</v>
      </c>
      <c r="I550" s="10">
        <v>0.33734710830262798</v>
      </c>
      <c r="J550" s="10">
        <v>0.113803071480145</v>
      </c>
      <c r="K550" s="10">
        <v>-3.4105955E-2</v>
      </c>
      <c r="L550" s="10">
        <v>-0.194935102</v>
      </c>
      <c r="M550" s="10">
        <v>-0.27773876800000002</v>
      </c>
      <c r="N550" s="10">
        <v>-0.105751358</v>
      </c>
      <c r="O550" s="9">
        <v>-0.15313279574999999</v>
      </c>
      <c r="P550" s="10">
        <v>0.10596614332003899</v>
      </c>
      <c r="Q550" s="10">
        <v>1.1228823530123101E-2</v>
      </c>
    </row>
    <row r="551" spans="1:17" x14ac:dyDescent="0.2">
      <c r="A551" s="10">
        <v>1638</v>
      </c>
      <c r="B551" s="10" t="s">
        <v>82</v>
      </c>
      <c r="C551" s="9" t="s">
        <v>578</v>
      </c>
      <c r="D551" s="10">
        <v>-1.576852031</v>
      </c>
      <c r="E551" s="10">
        <v>-1.1681531300000001</v>
      </c>
      <c r="F551" s="10">
        <v>-0.61775216600000005</v>
      </c>
      <c r="G551" s="10">
        <v>-0.620756223</v>
      </c>
      <c r="H551" s="9">
        <v>-0.99587838775000004</v>
      </c>
      <c r="I551" s="10">
        <v>0.46579861135836298</v>
      </c>
      <c r="J551" s="10">
        <v>0.216968346343379</v>
      </c>
      <c r="K551" s="10">
        <v>0.100215571</v>
      </c>
      <c r="L551" s="10">
        <v>0.58508168299999996</v>
      </c>
      <c r="M551" s="10">
        <v>-0.57575760200000003</v>
      </c>
      <c r="N551" s="10">
        <v>0.18933683200000001</v>
      </c>
      <c r="O551" s="9">
        <v>7.4719120750000007E-2</v>
      </c>
      <c r="P551" s="10">
        <v>0.48214009046247902</v>
      </c>
      <c r="Q551" s="10">
        <v>0.23245906683116799</v>
      </c>
    </row>
    <row r="552" spans="1:17" x14ac:dyDescent="0.2">
      <c r="A552" s="10">
        <v>1638</v>
      </c>
      <c r="B552" s="10" t="s">
        <v>2814</v>
      </c>
      <c r="C552" s="9" t="s">
        <v>579</v>
      </c>
      <c r="D552" s="10">
        <v>1.2841221039999999</v>
      </c>
      <c r="E552" s="10">
        <v>-0.98110901699999997</v>
      </c>
      <c r="F552" s="10">
        <v>-0.61738549300000001</v>
      </c>
      <c r="G552" s="10">
        <v>-1.6836849000000001E-2</v>
      </c>
      <c r="H552" s="9">
        <v>-8.2802314000000002E-2</v>
      </c>
      <c r="I552" s="10">
        <v>0.99424475776369703</v>
      </c>
      <c r="J552" s="10">
        <v>0.98852263834059295</v>
      </c>
      <c r="K552" s="10">
        <v>0.29008579200000001</v>
      </c>
      <c r="L552" s="10">
        <v>-0.21121483799999999</v>
      </c>
      <c r="M552" s="10">
        <v>-0.60495530900000005</v>
      </c>
      <c r="N552" s="10">
        <v>4.7844271000000001E-2</v>
      </c>
      <c r="O552" s="9">
        <v>-0.11956002075</v>
      </c>
      <c r="P552" s="10">
        <v>0.382902546426789</v>
      </c>
      <c r="Q552" s="10">
        <v>0.14661436006011899</v>
      </c>
    </row>
    <row r="553" spans="1:17" x14ac:dyDescent="0.2">
      <c r="A553" s="10">
        <v>1638</v>
      </c>
      <c r="B553" s="10" t="s">
        <v>2818</v>
      </c>
      <c r="C553" s="9" t="s">
        <v>580</v>
      </c>
      <c r="D553" s="10">
        <v>-0.405399381</v>
      </c>
      <c r="E553" s="10">
        <v>0.38110986600000002</v>
      </c>
      <c r="F553" s="10">
        <v>-7.6241987999999997E-2</v>
      </c>
      <c r="G553" s="10">
        <v>0.30768761</v>
      </c>
      <c r="H553" s="9">
        <v>5.1789026500000002E-2</v>
      </c>
      <c r="I553" s="10">
        <v>0.36485133090642802</v>
      </c>
      <c r="J553" s="10">
        <v>0.13311649366419201</v>
      </c>
      <c r="K553" s="10">
        <v>-0.50792150599999997</v>
      </c>
      <c r="L553" s="10">
        <v>-0.38718545999999998</v>
      </c>
      <c r="M553" s="10">
        <v>-5.6361451999999999E-2</v>
      </c>
      <c r="N553" s="10">
        <v>-0.23686447799999999</v>
      </c>
      <c r="O553" s="9">
        <v>-0.29708322425</v>
      </c>
      <c r="P553" s="10">
        <v>0.19505936102764801</v>
      </c>
      <c r="Q553" s="10">
        <v>3.8048154324514499E-2</v>
      </c>
    </row>
    <row r="554" spans="1:17" x14ac:dyDescent="0.2">
      <c r="A554" s="10">
        <v>1638</v>
      </c>
      <c r="B554" s="10" t="s">
        <v>2830</v>
      </c>
      <c r="C554" s="9" t="s">
        <v>581</v>
      </c>
      <c r="D554" s="10">
        <v>-1.035877444</v>
      </c>
      <c r="E554" s="10">
        <v>-0.51501901000000005</v>
      </c>
      <c r="F554" s="10">
        <v>-0.24714523799999999</v>
      </c>
      <c r="G554" s="10">
        <v>-0.14110774100000001</v>
      </c>
      <c r="H554" s="9">
        <v>-0.48478735825000002</v>
      </c>
      <c r="I554" s="10">
        <v>0.39966806727979298</v>
      </c>
      <c r="J554" s="10">
        <v>0.15973456400316499</v>
      </c>
      <c r="K554" s="10">
        <v>0.29849468299999998</v>
      </c>
      <c r="L554" s="10">
        <v>-0.191575</v>
      </c>
      <c r="M554" s="10">
        <v>0.24234318699999999</v>
      </c>
      <c r="N554" s="10">
        <v>-0.45521615999999998</v>
      </c>
      <c r="O554" s="9">
        <v>-2.6488322500000001E-2</v>
      </c>
      <c r="P554" s="10">
        <v>0.36006735670763801</v>
      </c>
      <c r="Q554" s="10">
        <v>0.129648501366425</v>
      </c>
    </row>
    <row r="555" spans="1:17" x14ac:dyDescent="0.2">
      <c r="A555" s="10">
        <v>1639</v>
      </c>
      <c r="B555" s="10" t="s">
        <v>2822</v>
      </c>
      <c r="C555" s="9" t="s">
        <v>582</v>
      </c>
      <c r="D555" s="10">
        <v>-0.31867648300000001</v>
      </c>
      <c r="E555" s="10">
        <v>0.49320600999999997</v>
      </c>
      <c r="F555" s="10">
        <v>0.99885021299999999</v>
      </c>
      <c r="G555" s="10">
        <v>0.43367919799999999</v>
      </c>
      <c r="H555" s="9">
        <v>0.4017647345</v>
      </c>
      <c r="I555" s="10">
        <v>0.54311651799407201</v>
      </c>
      <c r="J555" s="10">
        <v>0.29497555211800502</v>
      </c>
      <c r="K555" s="10">
        <v>-0.50783582999999999</v>
      </c>
      <c r="L555" s="10">
        <v>0.136806388</v>
      </c>
      <c r="M555" s="10">
        <v>-5.5507408000000001E-2</v>
      </c>
      <c r="N555" s="10">
        <v>0.328337555</v>
      </c>
      <c r="O555" s="9">
        <v>-2.4549823750000001E-2</v>
      </c>
      <c r="P555" s="10">
        <v>0.35827785540044499</v>
      </c>
      <c r="Q555" s="10">
        <v>0.128363021670342</v>
      </c>
    </row>
    <row r="556" spans="1:17" x14ac:dyDescent="0.2">
      <c r="A556" s="10">
        <v>1639</v>
      </c>
      <c r="B556" s="10" t="s">
        <v>2821</v>
      </c>
      <c r="C556" s="9" t="s">
        <v>583</v>
      </c>
      <c r="D556" s="10">
        <v>-1.144057562</v>
      </c>
      <c r="E556" s="10">
        <v>-0.37001839600000003</v>
      </c>
      <c r="F556" s="10">
        <v>-0.37277344099999998</v>
      </c>
      <c r="G556" s="10">
        <v>-0.31098414000000002</v>
      </c>
      <c r="H556" s="9">
        <v>-0.54945838474999997</v>
      </c>
      <c r="I556" s="10">
        <v>0.397422707749989</v>
      </c>
      <c r="J556" s="10">
        <v>0.157944808635333</v>
      </c>
      <c r="K556" s="10">
        <v>-0.55018755699999999</v>
      </c>
      <c r="L556" s="10">
        <v>9.0827719999999994E-3</v>
      </c>
      <c r="M556" s="10">
        <v>2.6682992999999999E-2</v>
      </c>
      <c r="N556" s="10">
        <v>-4.3390520000000002E-2</v>
      </c>
      <c r="O556" s="9">
        <v>-0.13945307800000001</v>
      </c>
      <c r="P556" s="10">
        <v>0.27543596963810102</v>
      </c>
      <c r="Q556" s="10">
        <v>7.5864973370481398E-2</v>
      </c>
    </row>
    <row r="557" spans="1:17" x14ac:dyDescent="0.2">
      <c r="A557" s="10">
        <v>1639</v>
      </c>
      <c r="B557" s="10" t="s">
        <v>2834</v>
      </c>
      <c r="C557" s="9" t="s">
        <v>584</v>
      </c>
      <c r="D557" s="10">
        <v>-1.676896639</v>
      </c>
      <c r="E557" s="10">
        <v>0.92708045800000005</v>
      </c>
      <c r="F557" s="10">
        <v>-1.490798391</v>
      </c>
      <c r="G557" s="10">
        <v>-1.137596786</v>
      </c>
      <c r="H557" s="9">
        <v>-0.84455283950000004</v>
      </c>
      <c r="I557" s="10">
        <v>1.2020799763729799</v>
      </c>
      <c r="J557" s="10">
        <v>1.4449962695968801</v>
      </c>
      <c r="K557" s="10">
        <v>0.141331553</v>
      </c>
      <c r="L557" s="10">
        <v>-0.46652695799999999</v>
      </c>
      <c r="M557" s="10">
        <v>0.176329772</v>
      </c>
      <c r="N557" s="10">
        <v>-0.205205428</v>
      </c>
      <c r="O557" s="9">
        <v>-8.8517764999999998E-2</v>
      </c>
      <c r="P557" s="10">
        <v>0.30522226192778701</v>
      </c>
      <c r="Q557" s="10">
        <v>9.3160629176314694E-2</v>
      </c>
    </row>
    <row r="558" spans="1:17" x14ac:dyDescent="0.2">
      <c r="A558" s="10">
        <v>1639</v>
      </c>
      <c r="B558" s="10" t="s">
        <v>2820</v>
      </c>
      <c r="C558" s="9" t="s">
        <v>585</v>
      </c>
      <c r="D558" s="10">
        <v>-4.8580116E-2</v>
      </c>
      <c r="E558" s="10">
        <v>-1.09075265</v>
      </c>
      <c r="F558" s="10">
        <v>-0.42298745500000001</v>
      </c>
      <c r="G558" s="10">
        <v>-0.14677968999999999</v>
      </c>
      <c r="H558" s="9">
        <v>-0.42727497775000001</v>
      </c>
      <c r="I558" s="10">
        <v>0.46986111749161802</v>
      </c>
      <c r="J558" s="10">
        <v>0.22076946973047201</v>
      </c>
      <c r="K558" s="10">
        <v>-0.186220678</v>
      </c>
      <c r="L558" s="10">
        <v>-0.534732286</v>
      </c>
      <c r="M558" s="10">
        <v>-1.2226173760000001</v>
      </c>
      <c r="N558" s="10">
        <v>-0.17155465</v>
      </c>
      <c r="O558" s="9">
        <v>-0.52878124724999997</v>
      </c>
      <c r="P558" s="10">
        <v>0.49207132742069198</v>
      </c>
      <c r="Q558" s="10">
        <v>0.24213419126956201</v>
      </c>
    </row>
    <row r="559" spans="1:17" x14ac:dyDescent="0.2">
      <c r="A559" s="10">
        <v>1639</v>
      </c>
      <c r="B559" s="10" t="s">
        <v>2814</v>
      </c>
      <c r="C559" s="9" t="s">
        <v>586</v>
      </c>
      <c r="D559" s="10">
        <v>-0.54824007799999996</v>
      </c>
      <c r="E559" s="10">
        <v>7.7967112000000005E-2</v>
      </c>
      <c r="F559" s="10">
        <v>-1.2913165000000001E-2</v>
      </c>
      <c r="G559" s="10">
        <v>-0.33210922500000001</v>
      </c>
      <c r="H559" s="9">
        <v>-0.20382383900000001</v>
      </c>
      <c r="I559" s="10">
        <v>0.28921313447622699</v>
      </c>
      <c r="J559" s="10">
        <v>8.3644237153564199E-2</v>
      </c>
      <c r="K559" s="10">
        <v>0.27450537400000002</v>
      </c>
      <c r="L559" s="10">
        <v>-0.36308252699999999</v>
      </c>
      <c r="M559" s="10">
        <v>-0.76153751400000003</v>
      </c>
      <c r="N559" s="10">
        <v>-7.9965452000000006E-2</v>
      </c>
      <c r="O559" s="9">
        <v>-0.23252002975</v>
      </c>
      <c r="P559" s="10">
        <v>0.43865465671401999</v>
      </c>
      <c r="Q559" s="10">
        <v>0.192417907856895</v>
      </c>
    </row>
    <row r="560" spans="1:17" x14ac:dyDescent="0.2">
      <c r="A560" s="10">
        <v>1639</v>
      </c>
      <c r="B560" s="10" t="s">
        <v>2818</v>
      </c>
      <c r="C560" s="9" t="s">
        <v>587</v>
      </c>
      <c r="D560" s="10">
        <v>-0.415649659</v>
      </c>
      <c r="E560" s="10">
        <v>-3.8367660999999997E-2</v>
      </c>
      <c r="F560" s="10">
        <v>0.12556837200000001</v>
      </c>
      <c r="G560" s="10">
        <v>8.1261565999999993E-2</v>
      </c>
      <c r="H560" s="9">
        <v>-6.1796845500000003E-2</v>
      </c>
      <c r="I560" s="10">
        <v>0.245853733032418</v>
      </c>
      <c r="J560" s="10">
        <v>6.0444058045975399E-2</v>
      </c>
      <c r="K560" s="10">
        <v>0.21748442500000001</v>
      </c>
      <c r="L560" s="10">
        <v>-0.25781298499999999</v>
      </c>
      <c r="M560" s="10">
        <v>-0.177248828</v>
      </c>
      <c r="N560" s="10">
        <v>9.6580797999999995E-2</v>
      </c>
      <c r="O560" s="9">
        <v>-3.02491475E-2</v>
      </c>
      <c r="P560" s="10">
        <v>0.22424091525557499</v>
      </c>
      <c r="Q560" s="10">
        <v>5.0283988074657997E-2</v>
      </c>
    </row>
    <row r="561" spans="1:17" x14ac:dyDescent="0.2">
      <c r="A561" s="10">
        <v>1639</v>
      </c>
      <c r="B561" s="10" t="s">
        <v>2830</v>
      </c>
      <c r="C561" s="9" t="s">
        <v>588</v>
      </c>
      <c r="D561" s="10">
        <v>0.107919851</v>
      </c>
      <c r="E561" s="10">
        <v>0.21677364199999999</v>
      </c>
      <c r="F561" s="10">
        <v>0.218830685</v>
      </c>
      <c r="G561" s="10">
        <v>0.199178946</v>
      </c>
      <c r="H561" s="9">
        <v>0.18567578125</v>
      </c>
      <c r="I561" s="10">
        <v>5.2582141243349402E-2</v>
      </c>
      <c r="J561" s="10">
        <v>2.7648815777354999E-3</v>
      </c>
      <c r="K561" s="10">
        <v>-1.9867566999999999E-2</v>
      </c>
      <c r="L561" s="10">
        <v>1.8740388E-2</v>
      </c>
      <c r="M561" s="10">
        <v>-0.246932815</v>
      </c>
      <c r="N561" s="10">
        <v>-4.6032416999999999E-2</v>
      </c>
      <c r="O561" s="9">
        <v>-7.352310275E-2</v>
      </c>
      <c r="P561" s="10">
        <v>0.11862845969331801</v>
      </c>
      <c r="Q561" s="10">
        <v>1.40727114492093E-2</v>
      </c>
    </row>
    <row r="562" spans="1:17" x14ac:dyDescent="0.2">
      <c r="A562" s="10">
        <v>1640</v>
      </c>
      <c r="B562" s="10" t="s">
        <v>2822</v>
      </c>
      <c r="C562" s="9" t="s">
        <v>589</v>
      </c>
      <c r="D562" s="10">
        <v>-0.27056479900000002</v>
      </c>
      <c r="E562" s="10">
        <v>-0.16354855800000001</v>
      </c>
      <c r="F562" s="10">
        <v>-0.29520652400000003</v>
      </c>
      <c r="G562" s="10">
        <v>0.14556029700000001</v>
      </c>
      <c r="H562" s="9">
        <v>-0.14593989574999999</v>
      </c>
      <c r="I562" s="10">
        <v>0.202562188128911</v>
      </c>
      <c r="J562" s="10">
        <v>4.1031440059572398E-2</v>
      </c>
      <c r="K562" s="10">
        <v>-0.331909175</v>
      </c>
      <c r="L562" s="10">
        <v>-0.28345647499999999</v>
      </c>
      <c r="M562" s="10">
        <v>-0.46138954300000001</v>
      </c>
      <c r="N562" s="10">
        <v>0.70435194499999998</v>
      </c>
      <c r="O562" s="9">
        <v>-9.3100811749999998E-2</v>
      </c>
      <c r="P562" s="10">
        <v>0.53691470511413597</v>
      </c>
      <c r="Q562" s="10">
        <v>0.28827740056779999</v>
      </c>
    </row>
    <row r="563" spans="1:17" x14ac:dyDescent="0.2">
      <c r="A563" s="10">
        <v>1640</v>
      </c>
      <c r="B563" s="10" t="s">
        <v>96</v>
      </c>
      <c r="C563" s="9" t="s">
        <v>2533</v>
      </c>
      <c r="D563" s="10">
        <v>0.69659383900000005</v>
      </c>
      <c r="E563" s="10">
        <v>0.88645005399999999</v>
      </c>
      <c r="F563" s="10">
        <v>0.366872753</v>
      </c>
      <c r="G563" s="10">
        <v>0.35617752400000002</v>
      </c>
      <c r="H563" s="9">
        <v>0.57652354250000004</v>
      </c>
      <c r="I563" s="10">
        <v>0.26011352652187097</v>
      </c>
      <c r="J563" s="10">
        <v>6.7659046679644397E-2</v>
      </c>
      <c r="K563" s="10">
        <v>1.2072219870000001</v>
      </c>
      <c r="L563" s="10">
        <v>0.67574854799999995</v>
      </c>
      <c r="M563" s="10">
        <v>4.7791683450000004</v>
      </c>
      <c r="N563" s="10">
        <v>0.88635104499999995</v>
      </c>
      <c r="O563" s="9">
        <v>1.887122481</v>
      </c>
      <c r="P563" s="10">
        <v>1.94037489795884</v>
      </c>
      <c r="Q563" s="10">
        <v>3.7650547446287801</v>
      </c>
    </row>
    <row r="564" spans="1:17" x14ac:dyDescent="0.2">
      <c r="A564" s="10">
        <v>1640</v>
      </c>
      <c r="B564" s="10" t="s">
        <v>2821</v>
      </c>
      <c r="C564" s="9" t="s">
        <v>590</v>
      </c>
      <c r="D564" s="10">
        <v>-0.71210062100000004</v>
      </c>
      <c r="E564" s="10">
        <v>-0.42429732799999997</v>
      </c>
      <c r="F564" s="10">
        <v>-0.36693408799999999</v>
      </c>
      <c r="G564" s="10">
        <v>-0.36905356900000003</v>
      </c>
      <c r="H564" s="9">
        <v>-0.46809640149999998</v>
      </c>
      <c r="I564" s="10">
        <v>0.16482284865430299</v>
      </c>
      <c r="J564" s="10">
        <v>2.7166571438519301E-2</v>
      </c>
      <c r="K564" s="10">
        <v>5.6913683E-2</v>
      </c>
      <c r="L564" s="10">
        <v>-0.17413357400000001</v>
      </c>
      <c r="M564" s="10">
        <v>5.6469362000000002E-2</v>
      </c>
      <c r="N564" s="10">
        <v>-0.27939190899999999</v>
      </c>
      <c r="O564" s="9">
        <v>-8.5035609999999998E-2</v>
      </c>
      <c r="P564" s="10">
        <v>0.169200154682596</v>
      </c>
      <c r="Q564" s="10">
        <v>2.86286923446144E-2</v>
      </c>
    </row>
    <row r="565" spans="1:17" x14ac:dyDescent="0.2">
      <c r="A565" s="10">
        <v>1640</v>
      </c>
      <c r="B565" s="10" t="s">
        <v>2834</v>
      </c>
      <c r="C565" s="9" t="s">
        <v>591</v>
      </c>
      <c r="D565" s="10">
        <v>-6.4459705000000006E-2</v>
      </c>
      <c r="E565" s="10">
        <v>0.191137949</v>
      </c>
      <c r="F565" s="10">
        <v>0.35021820199999998</v>
      </c>
      <c r="G565" s="10">
        <v>0.128660145</v>
      </c>
      <c r="H565" s="9">
        <v>0.15138914775000001</v>
      </c>
      <c r="I565" s="10">
        <v>0.17148400782022599</v>
      </c>
      <c r="J565" s="10">
        <v>2.9406764938087301E-2</v>
      </c>
      <c r="K565" s="10">
        <v>-3.7513730000000001E-3</v>
      </c>
      <c r="L565" s="10">
        <v>-2.8815336E-2</v>
      </c>
      <c r="M565" s="10">
        <v>-0.498964613</v>
      </c>
      <c r="N565" s="10">
        <v>-0.30979026100000001</v>
      </c>
      <c r="O565" s="9">
        <v>-0.21033039575000001</v>
      </c>
      <c r="P565" s="10">
        <v>0.237223232223335</v>
      </c>
      <c r="Q565" s="10">
        <v>5.6274861906486402E-2</v>
      </c>
    </row>
    <row r="566" spans="1:17" x14ac:dyDescent="0.2">
      <c r="A566" s="10">
        <v>1640</v>
      </c>
      <c r="B566" s="10" t="s">
        <v>2824</v>
      </c>
      <c r="C566" s="9" t="s">
        <v>592</v>
      </c>
      <c r="D566" s="10">
        <v>-0.130777804</v>
      </c>
      <c r="E566" s="10">
        <v>1.9019688E-2</v>
      </c>
      <c r="F566" s="10">
        <v>0.53934301399999995</v>
      </c>
      <c r="G566" s="10">
        <v>0.60031229900000005</v>
      </c>
      <c r="H566" s="9">
        <v>0.25697429900000002</v>
      </c>
      <c r="I566" s="10">
        <v>0.367236147336576</v>
      </c>
      <c r="J566" s="10">
        <v>0.134862387910611</v>
      </c>
      <c r="K566" s="10">
        <v>-0.33345293399999998</v>
      </c>
      <c r="L566" s="10">
        <v>-0.49991605900000002</v>
      </c>
      <c r="M566" s="10">
        <v>-1.3020831E-2</v>
      </c>
      <c r="N566" s="10">
        <v>-0.17894437399999999</v>
      </c>
      <c r="O566" s="9">
        <v>-0.25633354949999998</v>
      </c>
      <c r="P566" s="10">
        <v>0.20854256309636601</v>
      </c>
      <c r="Q566" s="10">
        <v>4.3490000622802102E-2</v>
      </c>
    </row>
    <row r="567" spans="1:17" x14ac:dyDescent="0.2">
      <c r="A567" s="10">
        <v>1640</v>
      </c>
      <c r="B567" s="10" t="s">
        <v>82</v>
      </c>
      <c r="C567" s="9" t="s">
        <v>593</v>
      </c>
      <c r="D567" s="10">
        <v>-0.238060619</v>
      </c>
      <c r="E567" s="10">
        <v>-0.27821515699999999</v>
      </c>
      <c r="F567" s="10">
        <v>-0.42783133200000001</v>
      </c>
      <c r="G567" s="10">
        <v>8.2970268999999999E-2</v>
      </c>
      <c r="H567" s="9">
        <v>-0.21528421</v>
      </c>
      <c r="I567" s="10">
        <v>0.21495044561580201</v>
      </c>
      <c r="J567" s="10">
        <v>4.6203694070432101E-2</v>
      </c>
      <c r="K567" s="10">
        <v>0.29991794100000002</v>
      </c>
      <c r="L567" s="10">
        <v>7.7938722000000002E-2</v>
      </c>
      <c r="M567" s="10">
        <v>0.33170500400000003</v>
      </c>
      <c r="N567" s="10">
        <v>-1.4657626E-2</v>
      </c>
      <c r="O567" s="9">
        <v>0.1737260105</v>
      </c>
      <c r="P567" s="10">
        <v>0.168864210585247</v>
      </c>
      <c r="Q567" s="10">
        <v>2.8515121616578699E-2</v>
      </c>
    </row>
    <row r="568" spans="1:17" x14ac:dyDescent="0.2">
      <c r="A568" s="10">
        <v>1640</v>
      </c>
      <c r="B568" s="10" t="s">
        <v>2830</v>
      </c>
      <c r="C568" s="9" t="s">
        <v>594</v>
      </c>
      <c r="D568" s="10">
        <v>0.60743008600000004</v>
      </c>
      <c r="E568" s="10">
        <v>0.1040336</v>
      </c>
      <c r="F568" s="10">
        <v>0.135955364</v>
      </c>
      <c r="G568" s="10">
        <v>0.56818142000000005</v>
      </c>
      <c r="H568" s="9">
        <v>0.35390011700000001</v>
      </c>
      <c r="I568" s="10">
        <v>0.27087950191580301</v>
      </c>
      <c r="J568" s="10">
        <v>7.3375704558153607E-2</v>
      </c>
      <c r="K568" s="10">
        <v>0.141652677</v>
      </c>
      <c r="L568" s="10">
        <v>0.62010732400000002</v>
      </c>
      <c r="M568" s="10">
        <v>-1.1053171000000001E-2</v>
      </c>
      <c r="N568" s="10">
        <v>1.227158277</v>
      </c>
      <c r="O568" s="9">
        <v>0.49446627674999999</v>
      </c>
      <c r="P568" s="10">
        <v>0.55756930457311404</v>
      </c>
      <c r="Q568" s="10">
        <v>0.31088352940214697</v>
      </c>
    </row>
    <row r="569" spans="1:17" x14ac:dyDescent="0.2">
      <c r="A569" s="10">
        <v>1641</v>
      </c>
      <c r="B569" s="10" t="s">
        <v>2821</v>
      </c>
      <c r="C569" s="9" t="s">
        <v>595</v>
      </c>
      <c r="D569" s="10">
        <v>0.26291470700000003</v>
      </c>
      <c r="E569" s="10">
        <v>0.36186672800000003</v>
      </c>
      <c r="F569" s="10">
        <v>3.7240357000000002E-2</v>
      </c>
      <c r="G569" s="10">
        <v>-0.26768670999999999</v>
      </c>
      <c r="H569" s="9">
        <v>9.8583770500000001E-2</v>
      </c>
      <c r="I569" s="10">
        <v>0.27942777937924401</v>
      </c>
      <c r="J569" s="10">
        <v>7.8079883888815496E-2</v>
      </c>
      <c r="K569" s="10">
        <v>0.150153174</v>
      </c>
      <c r="L569" s="10">
        <v>-0.35301557099999997</v>
      </c>
      <c r="M569" s="10">
        <v>-6.6983941000000005E-2</v>
      </c>
      <c r="N569" s="10">
        <v>-3.6981703999999997E-2</v>
      </c>
      <c r="O569" s="9">
        <v>-7.6707010749999999E-2</v>
      </c>
      <c r="P569" s="10">
        <v>0.20775354146518299</v>
      </c>
      <c r="Q569" s="10">
        <v>4.31615339913256E-2</v>
      </c>
    </row>
    <row r="570" spans="1:17" x14ac:dyDescent="0.2">
      <c r="A570" s="10">
        <v>1641</v>
      </c>
      <c r="B570" s="10" t="s">
        <v>2834</v>
      </c>
      <c r="C570" s="9" t="s">
        <v>596</v>
      </c>
      <c r="D570" s="10">
        <v>0.33681801</v>
      </c>
      <c r="E570" s="10">
        <v>3.1714605E-2</v>
      </c>
      <c r="F570" s="10">
        <v>-0.102574544</v>
      </c>
      <c r="G570" s="10">
        <v>0.25675552000000001</v>
      </c>
      <c r="H570" s="9">
        <v>0.13067839775000001</v>
      </c>
      <c r="I570" s="10">
        <v>0.20214660323959199</v>
      </c>
      <c r="J570" s="10">
        <v>4.0863249201305199E-2</v>
      </c>
      <c r="K570" s="10">
        <v>0.34256261399999999</v>
      </c>
      <c r="L570" s="10">
        <v>-0.28704077</v>
      </c>
      <c r="M570" s="10">
        <v>-0.24004927500000001</v>
      </c>
      <c r="N570" s="10">
        <v>-9.0215300999999998E-2</v>
      </c>
      <c r="O570" s="9">
        <v>-6.8685682999999997E-2</v>
      </c>
      <c r="P570" s="10">
        <v>0.28672467102230398</v>
      </c>
      <c r="Q570" s="10">
        <v>8.2211036972848706E-2</v>
      </c>
    </row>
    <row r="571" spans="1:17" x14ac:dyDescent="0.2">
      <c r="A571" s="10">
        <v>1641</v>
      </c>
      <c r="B571" s="10" t="s">
        <v>2824</v>
      </c>
      <c r="C571" s="9" t="s">
        <v>597</v>
      </c>
      <c r="D571" s="10">
        <v>0.102049764</v>
      </c>
      <c r="E571" s="10">
        <v>-5.3867251999999997E-2</v>
      </c>
      <c r="F571" s="10">
        <v>-0.158916487</v>
      </c>
      <c r="G571" s="10">
        <v>0.40792263499999998</v>
      </c>
      <c r="H571" s="9">
        <v>7.4297164999999998E-2</v>
      </c>
      <c r="I571" s="10">
        <v>0.24690813828095501</v>
      </c>
      <c r="J571" s="10">
        <v>6.0963628749367497E-2</v>
      </c>
      <c r="K571" s="10">
        <v>-0.37503902300000003</v>
      </c>
      <c r="L571" s="10">
        <v>8.5951579E-2</v>
      </c>
      <c r="M571" s="10">
        <v>-0.435942051</v>
      </c>
      <c r="N571" s="10">
        <v>-5.3972390000000002E-2</v>
      </c>
      <c r="O571" s="9">
        <v>-0.19475047125</v>
      </c>
      <c r="P571" s="10">
        <v>0.25119013330503098</v>
      </c>
      <c r="Q571" s="10">
        <v>6.30964830697993E-2</v>
      </c>
    </row>
    <row r="572" spans="1:17" x14ac:dyDescent="0.2">
      <c r="A572" s="10">
        <v>1641</v>
      </c>
      <c r="B572" s="10" t="s">
        <v>82</v>
      </c>
      <c r="C572" s="9" t="s">
        <v>598</v>
      </c>
      <c r="D572" s="10">
        <v>-1.5870909999999999E-3</v>
      </c>
      <c r="E572" s="10">
        <v>-2.2912964000000001E-2</v>
      </c>
      <c r="F572" s="10">
        <v>0.402764334</v>
      </c>
      <c r="G572" s="10">
        <v>-0.21364361600000001</v>
      </c>
      <c r="H572" s="9">
        <v>4.1155166E-2</v>
      </c>
      <c r="I572" s="10">
        <v>0.25923942312431703</v>
      </c>
      <c r="J572" s="10">
        <v>6.7205078501828802E-2</v>
      </c>
      <c r="K572" s="10">
        <v>-0.51317639100000001</v>
      </c>
      <c r="L572" s="10">
        <v>3.3833947000000003E-2</v>
      </c>
      <c r="M572" s="10">
        <v>0.34106708699999999</v>
      </c>
      <c r="N572" s="10">
        <v>0.18260122300000001</v>
      </c>
      <c r="O572" s="9">
        <v>1.10814665E-2</v>
      </c>
      <c r="P572" s="10">
        <v>0.37133700467633701</v>
      </c>
      <c r="Q572" s="10">
        <v>0.137891171041994</v>
      </c>
    </row>
    <row r="573" spans="1:17" x14ac:dyDescent="0.2">
      <c r="A573" s="10">
        <v>1642</v>
      </c>
      <c r="B573" s="10" t="s">
        <v>2831</v>
      </c>
      <c r="C573" s="9" t="s">
        <v>599</v>
      </c>
      <c r="D573" s="10">
        <v>-1.2836351189999999</v>
      </c>
      <c r="E573" s="10">
        <v>-1.774144492</v>
      </c>
      <c r="F573" s="10">
        <v>-0.62919903700000002</v>
      </c>
      <c r="G573" s="10">
        <v>-1.1582190800000001</v>
      </c>
      <c r="H573" s="9">
        <v>-1.2112994322499999</v>
      </c>
      <c r="I573" s="10">
        <v>0.47034930523592899</v>
      </c>
      <c r="J573" s="10">
        <v>0.22122846893592099</v>
      </c>
      <c r="K573" s="10">
        <v>-0.267288576</v>
      </c>
      <c r="L573" s="10">
        <v>-0.14017522800000001</v>
      </c>
      <c r="M573" s="10">
        <v>-0.42169841499999999</v>
      </c>
      <c r="N573" s="10">
        <v>-4.7838598000000003E-2</v>
      </c>
      <c r="O573" s="9">
        <v>-0.21925020425</v>
      </c>
      <c r="P573" s="10">
        <v>0.16220126779447999</v>
      </c>
      <c r="Q573" s="10">
        <v>2.6309251274136899E-2</v>
      </c>
    </row>
    <row r="574" spans="1:17" x14ac:dyDescent="0.2">
      <c r="A574" s="10">
        <v>1642</v>
      </c>
      <c r="B574" s="10" t="s">
        <v>2822</v>
      </c>
      <c r="C574" s="9" t="s">
        <v>600</v>
      </c>
      <c r="D574" s="10">
        <v>-0.38576400999999999</v>
      </c>
      <c r="E574" s="10">
        <v>-6.9389968999999996E-2</v>
      </c>
      <c r="F574" s="10">
        <v>-8.7445839999999997E-3</v>
      </c>
      <c r="G574" s="10">
        <v>-0.62496709500000003</v>
      </c>
      <c r="H574" s="9">
        <v>-0.27221641424999998</v>
      </c>
      <c r="I574" s="10">
        <v>0.28744974720127398</v>
      </c>
      <c r="J574" s="10">
        <v>8.2627357166076595E-2</v>
      </c>
      <c r="K574" s="10">
        <v>3.4959013999999997E-2</v>
      </c>
      <c r="L574" s="10">
        <v>0.48985022700000003</v>
      </c>
      <c r="M574" s="10">
        <v>-0.55836445400000001</v>
      </c>
      <c r="N574" s="10">
        <v>0.188106578</v>
      </c>
      <c r="O574" s="9">
        <v>3.8637840999999999E-2</v>
      </c>
      <c r="P574" s="10">
        <v>0.44059005686448499</v>
      </c>
      <c r="Q574" s="10">
        <v>0.19411959820784999</v>
      </c>
    </row>
    <row r="575" spans="1:17" x14ac:dyDescent="0.2">
      <c r="A575" s="10">
        <v>1642</v>
      </c>
      <c r="B575" s="10" t="s">
        <v>2819</v>
      </c>
      <c r="C575" s="9" t="s">
        <v>601</v>
      </c>
      <c r="D575" s="10">
        <v>-0.75612641800000002</v>
      </c>
      <c r="E575" s="10">
        <v>-0.338155394</v>
      </c>
      <c r="F575" s="10">
        <v>-0.114830484</v>
      </c>
      <c r="G575" s="10">
        <v>-5.6454284E-2</v>
      </c>
      <c r="H575" s="9">
        <v>-0.316391645</v>
      </c>
      <c r="I575" s="10">
        <v>0.31729831632246203</v>
      </c>
      <c r="J575" s="10">
        <v>0.10067822154106899</v>
      </c>
      <c r="K575" s="10">
        <v>-0.24503352</v>
      </c>
      <c r="L575" s="10">
        <v>0.25418637999999999</v>
      </c>
      <c r="M575" s="10">
        <v>0.47105546599999998</v>
      </c>
      <c r="N575" s="10">
        <v>-0.44751706899999999</v>
      </c>
      <c r="O575" s="9">
        <v>8.1728142500000003E-3</v>
      </c>
      <c r="P575" s="10">
        <v>0.42682929500557198</v>
      </c>
      <c r="Q575" s="10">
        <v>0.18218324707495401</v>
      </c>
    </row>
    <row r="576" spans="1:17" x14ac:dyDescent="0.2">
      <c r="A576" s="10">
        <v>1642</v>
      </c>
      <c r="B576" s="10" t="s">
        <v>2826</v>
      </c>
      <c r="C576" s="9" t="s">
        <v>602</v>
      </c>
      <c r="D576" s="10">
        <v>-1.7941282999999999E-2</v>
      </c>
      <c r="E576" s="10">
        <v>0.178899063</v>
      </c>
      <c r="F576" s="10">
        <v>-2.4042237000000001E-2</v>
      </c>
      <c r="G576" s="10">
        <v>8.6834589999999993E-3</v>
      </c>
      <c r="H576" s="9">
        <v>3.6399750250000001E-2</v>
      </c>
      <c r="I576" s="10">
        <v>9.6056283244571203E-2</v>
      </c>
      <c r="J576" s="10">
        <v>9.2268095507613002E-3</v>
      </c>
      <c r="K576" s="10">
        <v>0.23932741799999999</v>
      </c>
      <c r="L576" s="10">
        <v>-0.25401142799999998</v>
      </c>
      <c r="M576" s="10">
        <v>-0.21218430999999999</v>
      </c>
      <c r="N576" s="10">
        <v>-0.13278489499999999</v>
      </c>
      <c r="O576" s="9">
        <v>-8.9913303750000007E-2</v>
      </c>
      <c r="P576" s="10">
        <v>0.225178314191608</v>
      </c>
      <c r="Q576" s="10">
        <v>5.0705273182174597E-2</v>
      </c>
    </row>
    <row r="577" spans="1:17" x14ac:dyDescent="0.2">
      <c r="A577" s="10">
        <v>1642</v>
      </c>
      <c r="B577" s="10" t="s">
        <v>79</v>
      </c>
      <c r="C577" s="9" t="s">
        <v>603</v>
      </c>
      <c r="D577" s="10">
        <v>-0.23016871</v>
      </c>
      <c r="E577" s="10">
        <v>-0.101813344</v>
      </c>
      <c r="F577" s="10">
        <v>0.176575541</v>
      </c>
      <c r="G577" s="10">
        <v>-0.26199809299999999</v>
      </c>
      <c r="H577" s="9">
        <v>-0.10435115175</v>
      </c>
      <c r="I577" s="10">
        <v>0.19967378664303201</v>
      </c>
      <c r="J577" s="10">
        <v>3.9869621072367301E-2</v>
      </c>
      <c r="K577" s="10">
        <v>-2.1640629999999999E-3</v>
      </c>
      <c r="L577" s="10">
        <v>0.69929934100000002</v>
      </c>
      <c r="M577" s="10">
        <v>-0.49369262400000002</v>
      </c>
      <c r="N577" s="10">
        <v>-0.44706757800000002</v>
      </c>
      <c r="O577" s="9">
        <v>-6.0906231249999998E-2</v>
      </c>
      <c r="P577" s="10">
        <v>0.55310873008357397</v>
      </c>
      <c r="Q577" s="10">
        <v>0.30592926729466402</v>
      </c>
    </row>
    <row r="578" spans="1:17" x14ac:dyDescent="0.2">
      <c r="A578" s="10">
        <v>1642</v>
      </c>
      <c r="B578" s="10" t="s">
        <v>2824</v>
      </c>
      <c r="C578" s="9" t="s">
        <v>604</v>
      </c>
      <c r="D578" s="10">
        <v>-0.50019570899999999</v>
      </c>
      <c r="E578" s="10">
        <v>-0.14863453099999999</v>
      </c>
      <c r="F578" s="10">
        <v>-0.18129445999999999</v>
      </c>
      <c r="G578" s="10">
        <v>-2.4950569999999998E-2</v>
      </c>
      <c r="H578" s="9">
        <v>-0.21376881775000001</v>
      </c>
      <c r="I578" s="10">
        <v>0.20247613352049301</v>
      </c>
      <c r="J578" s="10">
        <v>4.0996584645408597E-2</v>
      </c>
      <c r="K578" s="10">
        <v>-0.277811276</v>
      </c>
      <c r="L578" s="10">
        <v>9.8168918999999993E-2</v>
      </c>
      <c r="M578" s="10">
        <v>-0.41477668000000001</v>
      </c>
      <c r="N578" s="10">
        <v>-0.55447298899999997</v>
      </c>
      <c r="O578" s="9">
        <v>-0.28722300649999999</v>
      </c>
      <c r="P578" s="10">
        <v>0.28065875464770201</v>
      </c>
      <c r="Q578" s="10">
        <v>7.8769336560399E-2</v>
      </c>
    </row>
    <row r="579" spans="1:17" x14ac:dyDescent="0.2">
      <c r="A579" s="10">
        <v>1642</v>
      </c>
      <c r="B579" s="10" t="s">
        <v>2814</v>
      </c>
      <c r="C579" s="9" t="s">
        <v>605</v>
      </c>
      <c r="D579" s="10">
        <v>-0.52327606199999999</v>
      </c>
      <c r="E579" s="10">
        <v>0.16322236000000001</v>
      </c>
      <c r="F579" s="10">
        <v>-0.34650246099999998</v>
      </c>
      <c r="G579" s="10">
        <v>0.303555097</v>
      </c>
      <c r="H579" s="9">
        <v>-0.1007502665</v>
      </c>
      <c r="I579" s="10">
        <v>0.39668062865931503</v>
      </c>
      <c r="J579" s="10">
        <v>0.15735552115354901</v>
      </c>
      <c r="K579" s="10">
        <v>-2.3799244000000001E-2</v>
      </c>
      <c r="L579" s="10">
        <v>8.3609832999999995E-2</v>
      </c>
      <c r="M579" s="10">
        <v>7.3280138999999994E-2</v>
      </c>
      <c r="N579" s="10">
        <v>0.57233946400000002</v>
      </c>
      <c r="O579" s="9">
        <v>0.176357548</v>
      </c>
      <c r="P579" s="10">
        <v>0.26838499092822898</v>
      </c>
      <c r="Q579" s="10">
        <v>7.2030503355545603E-2</v>
      </c>
    </row>
    <row r="580" spans="1:17" x14ac:dyDescent="0.2">
      <c r="A580" s="10">
        <v>1642</v>
      </c>
      <c r="B580" s="10" t="s">
        <v>2833</v>
      </c>
      <c r="C580" s="9" t="s">
        <v>606</v>
      </c>
      <c r="D580" s="10">
        <v>0.12803563700000001</v>
      </c>
      <c r="E580" s="10">
        <v>0.52182051900000004</v>
      </c>
      <c r="F580" s="10">
        <v>0.62176068500000004</v>
      </c>
      <c r="G580" s="10">
        <v>-0.244102138</v>
      </c>
      <c r="H580" s="9">
        <v>0.25687867599999997</v>
      </c>
      <c r="I580" s="10">
        <v>0.39619665376298902</v>
      </c>
      <c r="J580" s="10">
        <v>0.15697178845299001</v>
      </c>
      <c r="K580" s="10">
        <v>-0.31742024299999999</v>
      </c>
      <c r="L580" s="10">
        <v>-0.25669541699999998</v>
      </c>
      <c r="M580" s="10">
        <v>-0.66387364400000004</v>
      </c>
      <c r="N580" s="10">
        <v>-0.48098197100000001</v>
      </c>
      <c r="O580" s="9">
        <v>-0.42974281874999998</v>
      </c>
      <c r="P580" s="10">
        <v>0.18257825567053401</v>
      </c>
      <c r="Q580" s="10">
        <v>3.3334819443694999E-2</v>
      </c>
    </row>
    <row r="581" spans="1:17" x14ac:dyDescent="0.2">
      <c r="A581" s="10">
        <v>1642</v>
      </c>
      <c r="B581" s="10" t="s">
        <v>2818</v>
      </c>
      <c r="C581" s="9" t="s">
        <v>607</v>
      </c>
      <c r="D581" s="10">
        <v>9.775031E-3</v>
      </c>
      <c r="E581" s="10">
        <v>-0.326884487</v>
      </c>
      <c r="F581" s="10">
        <v>-0.16414532100000001</v>
      </c>
      <c r="G581" s="10">
        <v>-0.28223733899999998</v>
      </c>
      <c r="H581" s="9">
        <v>-0.19087302875000001</v>
      </c>
      <c r="I581" s="10">
        <v>0.15035576499950401</v>
      </c>
      <c r="J581" s="10">
        <v>2.2606856068586201E-2</v>
      </c>
      <c r="K581" s="10">
        <v>-0.114510444</v>
      </c>
      <c r="L581" s="10">
        <v>0.16683716900000001</v>
      </c>
      <c r="M581" s="10">
        <v>-0.27468694199999999</v>
      </c>
      <c r="N581" s="10">
        <v>3.7723543999999998E-2</v>
      </c>
      <c r="O581" s="9">
        <v>-4.61591685E-2</v>
      </c>
      <c r="P581" s="10">
        <v>0.19087569198138299</v>
      </c>
      <c r="Q581" s="10">
        <v>3.64335297893719E-2</v>
      </c>
    </row>
    <row r="582" spans="1:17" x14ac:dyDescent="0.2">
      <c r="A582" s="10">
        <v>1643</v>
      </c>
      <c r="B582" s="10" t="s">
        <v>2821</v>
      </c>
      <c r="C582" s="9" t="s">
        <v>608</v>
      </c>
      <c r="D582" s="10">
        <v>-0.64122714599999997</v>
      </c>
      <c r="E582" s="10">
        <v>-0.23713620799999999</v>
      </c>
      <c r="F582" s="10">
        <v>-0.31024363500000002</v>
      </c>
      <c r="G582" s="10">
        <v>-0.24761163899999999</v>
      </c>
      <c r="H582" s="9">
        <v>-0.359054657</v>
      </c>
      <c r="I582" s="10">
        <v>0.19086424834128701</v>
      </c>
      <c r="J582" s="10">
        <v>3.64291612948845E-2</v>
      </c>
      <c r="K582" s="10">
        <v>-0.11036285699999999</v>
      </c>
      <c r="L582" s="10">
        <v>0.11398728299999999</v>
      </c>
      <c r="M582" s="10">
        <v>-0.48924498900000002</v>
      </c>
      <c r="N582" s="10">
        <v>-0.10167327299999999</v>
      </c>
      <c r="O582" s="9">
        <v>-0.14682345899999999</v>
      </c>
      <c r="P582" s="10">
        <v>0.250760617684255</v>
      </c>
      <c r="Q582" s="10">
        <v>6.2880887381389403E-2</v>
      </c>
    </row>
    <row r="583" spans="1:17" x14ac:dyDescent="0.2">
      <c r="A583" s="10">
        <v>1643</v>
      </c>
      <c r="B583" s="10" t="s">
        <v>2814</v>
      </c>
      <c r="C583" s="9" t="s">
        <v>609</v>
      </c>
      <c r="D583" s="10">
        <v>-0.65755156699999995</v>
      </c>
      <c r="E583" s="10">
        <v>0.98294351899999999</v>
      </c>
      <c r="F583" s="10">
        <v>-0.33092609899999997</v>
      </c>
      <c r="G583" s="10">
        <v>0.13971380899999999</v>
      </c>
      <c r="H583" s="9">
        <v>3.3544915500000001E-2</v>
      </c>
      <c r="I583" s="10">
        <v>0.71252672717339605</v>
      </c>
      <c r="J583" s="10">
        <v>0.50769433693643196</v>
      </c>
      <c r="K583" s="10">
        <v>-0.18383052999999999</v>
      </c>
      <c r="L583" s="10">
        <v>6.7412917000000003E-2</v>
      </c>
      <c r="M583" s="10">
        <v>-0.22214055299999999</v>
      </c>
      <c r="N583" s="10">
        <v>-0.42599654599999998</v>
      </c>
      <c r="O583" s="9">
        <v>-0.19113867825</v>
      </c>
      <c r="P583" s="10">
        <v>0.20250240386989199</v>
      </c>
      <c r="Q583" s="10">
        <v>4.1007223573084998E-2</v>
      </c>
    </row>
    <row r="584" spans="1:17" x14ac:dyDescent="0.2">
      <c r="A584" s="10">
        <v>1643</v>
      </c>
      <c r="B584" s="10" t="s">
        <v>74</v>
      </c>
      <c r="C584" s="9" t="s">
        <v>610</v>
      </c>
      <c r="D584" s="10">
        <v>0.47159979000000002</v>
      </c>
      <c r="E584" s="10">
        <v>-4.6970120999999997E-2</v>
      </c>
      <c r="F584" s="10">
        <v>0.34816594099999998</v>
      </c>
      <c r="G584" s="10">
        <v>0.34487948800000001</v>
      </c>
      <c r="H584" s="9">
        <v>0.27941877450000002</v>
      </c>
      <c r="I584" s="10">
        <v>0.22544366017405801</v>
      </c>
      <c r="J584" s="10">
        <v>5.0824843912676297E-2</v>
      </c>
      <c r="K584" s="10">
        <v>0.14407034099999999</v>
      </c>
      <c r="L584" s="10">
        <v>-0.30864845699999999</v>
      </c>
      <c r="M584" s="10">
        <v>6.9822032000000006E-2</v>
      </c>
      <c r="N584" s="10">
        <v>-0.38641915900000001</v>
      </c>
      <c r="O584" s="9">
        <v>-0.12029381074999999</v>
      </c>
      <c r="P584" s="10">
        <v>0.26604048071686698</v>
      </c>
      <c r="Q584" s="10">
        <v>7.0777537380061997E-2</v>
      </c>
    </row>
    <row r="585" spans="1:17" x14ac:dyDescent="0.2">
      <c r="A585" s="10">
        <v>1644</v>
      </c>
      <c r="B585" s="10" t="s">
        <v>2822</v>
      </c>
      <c r="C585" s="9" t="s">
        <v>611</v>
      </c>
      <c r="D585" s="10">
        <v>-0.42192310700000002</v>
      </c>
      <c r="E585" s="10">
        <v>0.20586464400000001</v>
      </c>
      <c r="F585" s="10">
        <v>0.57323475199999996</v>
      </c>
      <c r="G585" s="10">
        <v>0.50341566900000001</v>
      </c>
      <c r="H585" s="9">
        <v>0.21514798925</v>
      </c>
      <c r="I585" s="10">
        <v>0.45360413983319198</v>
      </c>
      <c r="J585" s="10">
        <v>0.20575671567380999</v>
      </c>
      <c r="K585" s="10">
        <v>0.40582853299999999</v>
      </c>
      <c r="L585" s="10">
        <v>3.5184970000000002E-3</v>
      </c>
      <c r="M585" s="10">
        <v>-0.72531674599999996</v>
      </c>
      <c r="N585" s="10">
        <v>-1.3500267999999999E-2</v>
      </c>
      <c r="O585" s="9">
        <v>-8.2367495999999998E-2</v>
      </c>
      <c r="P585" s="10">
        <v>0.47040344375614801</v>
      </c>
      <c r="Q585" s="10">
        <v>0.221279399897643</v>
      </c>
    </row>
    <row r="586" spans="1:17" x14ac:dyDescent="0.2">
      <c r="A586" s="10">
        <v>1644</v>
      </c>
      <c r="B586" s="10" t="s">
        <v>79</v>
      </c>
      <c r="C586" s="9" t="s">
        <v>612</v>
      </c>
      <c r="D586" s="10">
        <v>-1.1893381999999999</v>
      </c>
      <c r="E586" s="10">
        <v>-0.37977597800000001</v>
      </c>
      <c r="F586" s="10">
        <v>0.69229588200000003</v>
      </c>
      <c r="G586" s="10">
        <v>-5.3098836000000003E-2</v>
      </c>
      <c r="H586" s="9">
        <v>-0.23247928300000001</v>
      </c>
      <c r="I586" s="10">
        <v>0.77988498168363096</v>
      </c>
      <c r="J586" s="10">
        <v>0.60822058465567697</v>
      </c>
      <c r="K586" s="10">
        <v>1.881509484</v>
      </c>
      <c r="L586" s="10">
        <v>0.10477270800000001</v>
      </c>
      <c r="M586" s="10">
        <v>-0.83538069500000001</v>
      </c>
      <c r="N586" s="10">
        <v>-1.191518538</v>
      </c>
      <c r="O586" s="9">
        <v>-1.015426025E-2</v>
      </c>
      <c r="P586" s="10">
        <v>1.37455691705788</v>
      </c>
      <c r="Q586" s="10">
        <v>1.88940671823168</v>
      </c>
    </row>
    <row r="587" spans="1:17" x14ac:dyDescent="0.2">
      <c r="A587" s="10">
        <v>1644</v>
      </c>
      <c r="B587" s="10" t="s">
        <v>2824</v>
      </c>
      <c r="C587" s="9" t="s">
        <v>2532</v>
      </c>
      <c r="D587" s="10">
        <v>-0.12474824399999999</v>
      </c>
      <c r="E587" s="10">
        <v>-0.136395989</v>
      </c>
      <c r="F587" s="10">
        <v>0.46347566099999998</v>
      </c>
      <c r="G587" s="10">
        <v>-8.7604522000000004E-2</v>
      </c>
      <c r="H587" s="9">
        <v>2.8681726750000001E-2</v>
      </c>
      <c r="I587" s="10">
        <v>0.29060836479732399</v>
      </c>
      <c r="J587" s="10">
        <v>8.4453221690174607E-2</v>
      </c>
      <c r="K587" s="10">
        <v>-0.68239638499999999</v>
      </c>
      <c r="L587" s="10">
        <v>-0.19547220700000001</v>
      </c>
      <c r="M587" s="10">
        <v>-0.4158847</v>
      </c>
      <c r="N587" s="10">
        <v>0.117343471</v>
      </c>
      <c r="O587" s="9">
        <v>-0.29410245525000001</v>
      </c>
      <c r="P587" s="10">
        <v>0.33892908162555302</v>
      </c>
      <c r="Q587" s="10">
        <v>0.11487292237154099</v>
      </c>
    </row>
    <row r="588" spans="1:17" x14ac:dyDescent="0.2">
      <c r="A588" s="10">
        <v>1644</v>
      </c>
      <c r="B588" s="10" t="s">
        <v>2818</v>
      </c>
      <c r="C588" s="9" t="s">
        <v>613</v>
      </c>
      <c r="D588" s="10">
        <v>-0.81513786700000002</v>
      </c>
      <c r="E588" s="10">
        <v>0.295749239</v>
      </c>
      <c r="F588" s="10">
        <v>0.28771892100000002</v>
      </c>
      <c r="G588" s="10">
        <v>-1.280192392</v>
      </c>
      <c r="H588" s="9">
        <v>-0.37796552475</v>
      </c>
      <c r="I588" s="10">
        <v>0.79627473086121503</v>
      </c>
      <c r="J588" s="10">
        <v>0.63405344700810096</v>
      </c>
      <c r="K588" s="10">
        <v>-2.7531427000000001E-2</v>
      </c>
      <c r="L588" s="10">
        <v>-0.38650308700000002</v>
      </c>
      <c r="M588" s="10">
        <v>-0.57355380300000003</v>
      </c>
      <c r="N588" s="10">
        <v>-0.320337492</v>
      </c>
      <c r="O588" s="9">
        <v>-0.32698145225000003</v>
      </c>
      <c r="P588" s="10">
        <v>0.22660921501395501</v>
      </c>
      <c r="Q588" s="10">
        <v>5.1351736329240803E-2</v>
      </c>
    </row>
    <row r="589" spans="1:17" x14ac:dyDescent="0.2">
      <c r="A589" s="10">
        <v>1645</v>
      </c>
      <c r="B589" s="10" t="s">
        <v>96</v>
      </c>
      <c r="C589" s="9" t="s">
        <v>614</v>
      </c>
      <c r="D589" s="10">
        <v>0.109654684</v>
      </c>
      <c r="E589" s="10">
        <v>0.124885173</v>
      </c>
      <c r="F589" s="10">
        <v>9.204387E-2</v>
      </c>
      <c r="G589" s="10">
        <v>0.150083946</v>
      </c>
      <c r="H589" s="9">
        <v>0.11916691825</v>
      </c>
      <c r="I589" s="10">
        <v>2.4594737845583001E-2</v>
      </c>
      <c r="J589" s="10">
        <v>6.049011296929E-4</v>
      </c>
      <c r="K589" s="10">
        <v>-0.33374957599999999</v>
      </c>
      <c r="L589" s="10">
        <v>0.54163433900000002</v>
      </c>
      <c r="M589" s="10">
        <v>9.5858563999999993E-2</v>
      </c>
      <c r="N589" s="10">
        <v>-0.457810406</v>
      </c>
      <c r="O589" s="9">
        <v>-3.8516769749999999E-2</v>
      </c>
      <c r="P589" s="10">
        <v>0.45372590940282997</v>
      </c>
      <c r="Q589" s="10">
        <v>0.205867200863425</v>
      </c>
    </row>
    <row r="590" spans="1:17" x14ac:dyDescent="0.2">
      <c r="A590" s="10">
        <v>1645</v>
      </c>
      <c r="B590" s="10" t="s">
        <v>2823</v>
      </c>
      <c r="C590" s="9" t="s">
        <v>615</v>
      </c>
      <c r="D590" s="10">
        <v>0.74975415999999995</v>
      </c>
      <c r="E590" s="10">
        <v>-0.151006588</v>
      </c>
      <c r="F590" s="10">
        <v>-0.199107123</v>
      </c>
      <c r="G590" s="10">
        <v>0.180300656</v>
      </c>
      <c r="H590" s="9">
        <v>0.14498527624999999</v>
      </c>
      <c r="I590" s="10">
        <v>0.43703674205682003</v>
      </c>
      <c r="J590" s="10">
        <v>0.19100111390763899</v>
      </c>
      <c r="K590" s="10">
        <v>-0.3386904</v>
      </c>
      <c r="L590" s="10">
        <v>-0.56125448899999997</v>
      </c>
      <c r="M590" s="10">
        <v>-0.64937076800000004</v>
      </c>
      <c r="N590" s="10">
        <v>-0.22295421100000001</v>
      </c>
      <c r="O590" s="9">
        <v>-0.44306746699999999</v>
      </c>
      <c r="P590" s="10">
        <v>0.19653128822587701</v>
      </c>
      <c r="Q590" s="10">
        <v>3.8624547251722999E-2</v>
      </c>
    </row>
    <row r="591" spans="1:17" x14ac:dyDescent="0.2">
      <c r="A591" s="10">
        <v>1645</v>
      </c>
      <c r="B591" s="10" t="s">
        <v>2821</v>
      </c>
      <c r="C591" s="9" t="s">
        <v>616</v>
      </c>
      <c r="D591" s="10">
        <v>0.27419373600000002</v>
      </c>
      <c r="E591" s="10">
        <v>0.47632348899999999</v>
      </c>
      <c r="F591" s="10">
        <v>1.0799797710000001</v>
      </c>
      <c r="G591" s="10">
        <v>-3.7228460999999997E-2</v>
      </c>
      <c r="H591" s="9">
        <v>0.44831713400000001</v>
      </c>
      <c r="I591" s="10">
        <v>0.47111765178037002</v>
      </c>
      <c r="J591" s="10">
        <v>0.22195184181905001</v>
      </c>
      <c r="K591" s="10">
        <v>0.95269412099999995</v>
      </c>
      <c r="L591" s="10">
        <v>-0.122307683</v>
      </c>
      <c r="M591" s="10">
        <v>8.0170448000000005E-2</v>
      </c>
      <c r="N591" s="10">
        <v>-1.1790197600000001</v>
      </c>
      <c r="O591" s="9">
        <v>-6.7115718500000004E-2</v>
      </c>
      <c r="P591" s="10">
        <v>0.87580098082320901</v>
      </c>
      <c r="Q591" s="10">
        <v>0.76702735801089394</v>
      </c>
    </row>
    <row r="592" spans="1:17" x14ac:dyDescent="0.2">
      <c r="A592" s="10">
        <v>1645</v>
      </c>
      <c r="B592" s="10" t="s">
        <v>2820</v>
      </c>
      <c r="C592" s="9" t="s">
        <v>617</v>
      </c>
      <c r="D592" s="10">
        <v>-8.0088016999999997E-2</v>
      </c>
      <c r="E592" s="10">
        <v>9.2890266999999999E-2</v>
      </c>
      <c r="F592" s="10">
        <v>-0.29029908999999998</v>
      </c>
      <c r="G592" s="10">
        <v>0.200291197</v>
      </c>
      <c r="H592" s="9">
        <v>-1.9301410500000001E-2</v>
      </c>
      <c r="I592" s="10">
        <v>0.21443152721640801</v>
      </c>
      <c r="J592" s="10">
        <v>4.5980879864361203E-2</v>
      </c>
      <c r="K592" s="10">
        <v>-0.25625962200000002</v>
      </c>
      <c r="L592" s="10">
        <v>-5.3125535000000002E-2</v>
      </c>
      <c r="M592" s="10">
        <v>-0.26378622200000001</v>
      </c>
      <c r="N592" s="10">
        <v>-0.20629494200000001</v>
      </c>
      <c r="O592" s="9">
        <v>-0.19486658000000001</v>
      </c>
      <c r="P592" s="10">
        <v>9.7877736581780006E-2</v>
      </c>
      <c r="Q592" s="10">
        <v>9.5800513183722999E-3</v>
      </c>
    </row>
    <row r="593" spans="1:17" x14ac:dyDescent="0.2">
      <c r="A593" s="10">
        <v>1645</v>
      </c>
      <c r="B593" s="10" t="s">
        <v>2817</v>
      </c>
      <c r="C593" s="9" t="s">
        <v>618</v>
      </c>
      <c r="D593" s="10">
        <v>-0.988421302</v>
      </c>
      <c r="E593" s="10">
        <v>-0.75832336700000003</v>
      </c>
      <c r="F593" s="10">
        <v>-1.3715595650000001</v>
      </c>
      <c r="G593" s="10">
        <v>0.39524966299999997</v>
      </c>
      <c r="H593" s="9">
        <v>-0.68076364300000003</v>
      </c>
      <c r="I593" s="10">
        <v>0.76062964848630399</v>
      </c>
      <c r="J593" s="10">
        <v>0.57855746215639803</v>
      </c>
      <c r="K593" s="10">
        <v>-7.2561793999999999E-2</v>
      </c>
      <c r="L593" s="10">
        <v>-1.1467571700000001</v>
      </c>
      <c r="M593" s="10">
        <v>-1.492324475</v>
      </c>
      <c r="N593" s="10">
        <v>-0.15846637099999999</v>
      </c>
      <c r="O593" s="9">
        <v>-0.71752745274999996</v>
      </c>
      <c r="P593" s="10">
        <v>0.71018273938291898</v>
      </c>
      <c r="Q593" s="10">
        <v>0.50435952331742795</v>
      </c>
    </row>
    <row r="594" spans="1:17" x14ac:dyDescent="0.2">
      <c r="A594" s="10">
        <v>1645</v>
      </c>
      <c r="B594" s="10" t="s">
        <v>2814</v>
      </c>
      <c r="C594" s="9" t="s">
        <v>619</v>
      </c>
      <c r="D594" s="10">
        <v>-0.124797069</v>
      </c>
      <c r="E594" s="10">
        <v>-0.20489006700000001</v>
      </c>
      <c r="F594" s="10">
        <v>0.142971349</v>
      </c>
      <c r="G594" s="10">
        <v>-0.18719002800000001</v>
      </c>
      <c r="H594" s="9">
        <v>-9.3476453749999994E-2</v>
      </c>
      <c r="I594" s="10">
        <v>0.161331719944831</v>
      </c>
      <c r="J594" s="10">
        <v>2.6027923860357401E-2</v>
      </c>
      <c r="K594" s="10">
        <v>5.1023234000000001E-2</v>
      </c>
      <c r="L594" s="10">
        <v>-0.17352847699999999</v>
      </c>
      <c r="M594" s="10">
        <v>-0.13523670099999999</v>
      </c>
      <c r="N594" s="10">
        <v>-0.39102449500000003</v>
      </c>
      <c r="O594" s="9">
        <v>-0.16219160974999999</v>
      </c>
      <c r="P594" s="10">
        <v>0.18136533170366501</v>
      </c>
      <c r="Q594" s="10">
        <v>3.2893383543980498E-2</v>
      </c>
    </row>
    <row r="595" spans="1:17" x14ac:dyDescent="0.2">
      <c r="A595" s="10">
        <v>1645</v>
      </c>
      <c r="B595" s="10" t="s">
        <v>74</v>
      </c>
      <c r="C595" s="9" t="s">
        <v>620</v>
      </c>
      <c r="D595" s="10">
        <v>-0.61252507899999997</v>
      </c>
      <c r="E595" s="10">
        <v>0.24315904799999999</v>
      </c>
      <c r="F595" s="10">
        <v>-0.21125295699999999</v>
      </c>
      <c r="G595" s="10">
        <v>0.221433775</v>
      </c>
      <c r="H595" s="9">
        <v>-8.9796303250000001E-2</v>
      </c>
      <c r="I595" s="10">
        <v>0.40649744536743498</v>
      </c>
      <c r="J595" s="10">
        <v>0.16524017309025099</v>
      </c>
      <c r="K595" s="10">
        <v>1.1101010999999999E-2</v>
      </c>
      <c r="L595" s="10">
        <v>-0.190334536</v>
      </c>
      <c r="M595" s="10">
        <v>-0.28859071200000003</v>
      </c>
      <c r="N595" s="10">
        <v>-7.9409719000000004E-2</v>
      </c>
      <c r="O595" s="9">
        <v>-0.13680848900000001</v>
      </c>
      <c r="P595" s="10">
        <v>0.13047952574258601</v>
      </c>
      <c r="Q595" s="10">
        <v>1.70249066380102E-2</v>
      </c>
    </row>
    <row r="596" spans="1:17" x14ac:dyDescent="0.2">
      <c r="A596" s="10">
        <v>1645</v>
      </c>
      <c r="B596" s="10" t="s">
        <v>2818</v>
      </c>
      <c r="C596" s="9" t="s">
        <v>621</v>
      </c>
      <c r="D596" s="10">
        <v>-1.1110411000000001E-2</v>
      </c>
      <c r="E596" s="10">
        <v>0.200140971</v>
      </c>
      <c r="F596" s="10">
        <v>0.30733665300000002</v>
      </c>
      <c r="G596" s="10">
        <v>0.33861412099999999</v>
      </c>
      <c r="H596" s="9">
        <v>0.20874533375000001</v>
      </c>
      <c r="I596" s="10">
        <v>0.15811043997909799</v>
      </c>
      <c r="J596" s="10">
        <v>2.4998911230383902E-2</v>
      </c>
      <c r="K596" s="10">
        <v>0.134204143</v>
      </c>
      <c r="L596" s="10">
        <v>7.4237468000000001E-2</v>
      </c>
      <c r="M596" s="10">
        <v>-2.8041399999999999E-4</v>
      </c>
      <c r="N596" s="10">
        <v>-5.6127615999999998E-2</v>
      </c>
      <c r="O596" s="9">
        <v>3.800839525E-2</v>
      </c>
      <c r="P596" s="10">
        <v>8.3454157326741205E-2</v>
      </c>
      <c r="Q596" s="10">
        <v>6.9645963751163997E-3</v>
      </c>
    </row>
    <row r="597" spans="1:17" x14ac:dyDescent="0.2">
      <c r="A597" s="10">
        <v>1645</v>
      </c>
      <c r="B597" s="10" t="s">
        <v>2830</v>
      </c>
      <c r="C597" s="9" t="s">
        <v>2531</v>
      </c>
      <c r="D597" s="10">
        <v>0.86684188500000003</v>
      </c>
      <c r="E597" s="10">
        <v>0.44487946</v>
      </c>
      <c r="F597" s="10">
        <v>0.27509798099999999</v>
      </c>
      <c r="G597" s="10">
        <v>-0.164328319</v>
      </c>
      <c r="H597" s="9">
        <v>0.35562275175000002</v>
      </c>
      <c r="I597" s="10">
        <v>0.42667126957683199</v>
      </c>
      <c r="J597" s="10">
        <v>0.182048372282306</v>
      </c>
      <c r="K597" s="10">
        <v>0.68822831500000003</v>
      </c>
      <c r="L597" s="10">
        <v>0.18715433000000001</v>
      </c>
      <c r="M597" s="10">
        <v>1.2045797540000001</v>
      </c>
      <c r="N597" s="10">
        <v>0.201155422</v>
      </c>
      <c r="O597" s="9">
        <v>0.57027945525000001</v>
      </c>
      <c r="P597" s="10">
        <v>0.48279954985868201</v>
      </c>
      <c r="Q597" s="10">
        <v>0.23309540534374601</v>
      </c>
    </row>
    <row r="598" spans="1:17" x14ac:dyDescent="0.2">
      <c r="A598" s="10">
        <v>1646</v>
      </c>
      <c r="B598" s="10" t="s">
        <v>2822</v>
      </c>
      <c r="C598" s="9" t="s">
        <v>622</v>
      </c>
      <c r="D598" s="10">
        <v>0.16389284300000001</v>
      </c>
      <c r="E598" s="10">
        <v>0.38680814499999999</v>
      </c>
      <c r="F598" s="10">
        <v>5.6190126999999999E-2</v>
      </c>
      <c r="G598" s="10">
        <v>0.12563410899999999</v>
      </c>
      <c r="H598" s="9">
        <v>0.18313130575</v>
      </c>
      <c r="I598" s="10">
        <v>0.14291531734142501</v>
      </c>
      <c r="J598" s="10">
        <v>2.0424787930800301E-2</v>
      </c>
      <c r="K598" s="10">
        <v>0.17402550899999999</v>
      </c>
      <c r="L598" s="10">
        <v>-0.38765493299999998</v>
      </c>
      <c r="M598" s="10">
        <v>-5.4932085999999998E-2</v>
      </c>
      <c r="N598" s="10">
        <v>-0.40952799000000001</v>
      </c>
      <c r="O598" s="9">
        <v>-0.169522375</v>
      </c>
      <c r="P598" s="10">
        <v>0.28067810211767003</v>
      </c>
      <c r="Q598" s="10">
        <v>7.8780197008377503E-2</v>
      </c>
    </row>
    <row r="599" spans="1:17" x14ac:dyDescent="0.2">
      <c r="A599" s="10">
        <v>1646</v>
      </c>
      <c r="B599" s="10" t="s">
        <v>2823</v>
      </c>
      <c r="C599" s="9" t="s">
        <v>623</v>
      </c>
      <c r="D599" s="10">
        <v>0.66216888200000001</v>
      </c>
      <c r="E599" s="10">
        <v>-0.18616022900000001</v>
      </c>
      <c r="F599" s="10">
        <v>-2.9515046E-2</v>
      </c>
      <c r="G599" s="10">
        <v>0.66387169899999998</v>
      </c>
      <c r="H599" s="9">
        <v>0.27759132624999999</v>
      </c>
      <c r="I599" s="10">
        <v>0.44962660494825102</v>
      </c>
      <c r="J599" s="10">
        <v>0.20216408387729001</v>
      </c>
      <c r="K599" s="10">
        <v>4.301923E-3</v>
      </c>
      <c r="L599" s="10">
        <v>-0.620881083</v>
      </c>
      <c r="M599" s="10">
        <v>0.274421739</v>
      </c>
      <c r="N599" s="10">
        <v>2.5387080000000002E-3</v>
      </c>
      <c r="O599" s="9">
        <v>-8.4904678499999997E-2</v>
      </c>
      <c r="P599" s="10">
        <v>0.37946907826940701</v>
      </c>
      <c r="Q599" s="10">
        <v>0.143996781362633</v>
      </c>
    </row>
    <row r="600" spans="1:17" x14ac:dyDescent="0.2">
      <c r="A600" s="10">
        <v>1646</v>
      </c>
      <c r="B600" s="10" t="s">
        <v>2826</v>
      </c>
      <c r="C600" s="9" t="s">
        <v>624</v>
      </c>
      <c r="D600" s="10">
        <v>-0.18578113099999999</v>
      </c>
      <c r="E600" s="10">
        <v>-0.11924954</v>
      </c>
      <c r="F600" s="10">
        <v>-4.3202822000000002E-2</v>
      </c>
      <c r="G600" s="10">
        <v>0.156654182</v>
      </c>
      <c r="H600" s="9">
        <v>-4.7894828E-2</v>
      </c>
      <c r="I600" s="10">
        <v>0.14828625457977601</v>
      </c>
      <c r="J600" s="10">
        <v>2.1988813297298199E-2</v>
      </c>
      <c r="K600" s="10">
        <v>-0.13877810500000001</v>
      </c>
      <c r="L600" s="10">
        <v>-7.5435874E-2</v>
      </c>
      <c r="M600" s="10">
        <v>-6.89583E-2</v>
      </c>
      <c r="N600" s="10">
        <v>-0.124851116</v>
      </c>
      <c r="O600" s="9">
        <v>-0.10200584875</v>
      </c>
      <c r="P600" s="10">
        <v>3.49867074855525E-2</v>
      </c>
      <c r="Q600" s="10">
        <v>1.2240697006796E-3</v>
      </c>
    </row>
    <row r="601" spans="1:17" x14ac:dyDescent="0.2">
      <c r="A601" s="10">
        <v>1646</v>
      </c>
      <c r="B601" s="10" t="s">
        <v>2821</v>
      </c>
      <c r="C601" s="9" t="s">
        <v>625</v>
      </c>
      <c r="D601" s="10">
        <v>0.45246871</v>
      </c>
      <c r="E601" s="10">
        <v>4.1918456999999999E-2</v>
      </c>
      <c r="F601" s="10">
        <v>-0.69043285899999995</v>
      </c>
      <c r="G601" s="10">
        <v>0.25667000000000001</v>
      </c>
      <c r="H601" s="9">
        <v>1.5156076750000001E-2</v>
      </c>
      <c r="I601" s="10">
        <v>0.49938071167300702</v>
      </c>
      <c r="J601" s="10">
        <v>0.24938109519103899</v>
      </c>
      <c r="K601" s="10">
        <v>0.51066091700000005</v>
      </c>
      <c r="L601" s="10">
        <v>3.3639466999999999E-2</v>
      </c>
      <c r="M601" s="10">
        <v>0.145097487</v>
      </c>
      <c r="N601" s="10">
        <v>0.46626025100000001</v>
      </c>
      <c r="O601" s="9">
        <v>0.28891453075000001</v>
      </c>
      <c r="P601" s="10">
        <v>0.23556433272143201</v>
      </c>
      <c r="Q601" s="10">
        <v>5.5490554850493798E-2</v>
      </c>
    </row>
    <row r="602" spans="1:17" x14ac:dyDescent="0.2">
      <c r="A602" s="10">
        <v>1646</v>
      </c>
      <c r="B602" s="10" t="s">
        <v>2824</v>
      </c>
      <c r="C602" s="9" t="s">
        <v>626</v>
      </c>
      <c r="D602" s="10">
        <v>3.0858200000000001E-4</v>
      </c>
      <c r="E602" s="10">
        <v>-0.15755967500000001</v>
      </c>
      <c r="F602" s="10">
        <v>8.0747480999999996E-2</v>
      </c>
      <c r="G602" s="10">
        <v>-0.309668149</v>
      </c>
      <c r="H602" s="9">
        <v>-9.6542939999999994E-2</v>
      </c>
      <c r="I602" s="10">
        <v>0.17316418736123201</v>
      </c>
      <c r="J602" s="10">
        <v>2.9985835784475799E-2</v>
      </c>
      <c r="K602" s="10">
        <v>-0.37826092100000003</v>
      </c>
      <c r="L602" s="10">
        <v>-0.21456586599999999</v>
      </c>
      <c r="M602" s="10">
        <v>-0.25473582</v>
      </c>
      <c r="N602" s="10">
        <v>-0.13557111699999999</v>
      </c>
      <c r="O602" s="9">
        <v>-0.245783431</v>
      </c>
      <c r="P602" s="10">
        <v>0.10124511699710299</v>
      </c>
      <c r="Q602" s="10">
        <v>1.0250573715756999E-2</v>
      </c>
    </row>
    <row r="603" spans="1:17" x14ac:dyDescent="0.2">
      <c r="A603" s="10">
        <v>1646</v>
      </c>
      <c r="B603" s="10" t="s">
        <v>2814</v>
      </c>
      <c r="C603" s="9" t="s">
        <v>627</v>
      </c>
      <c r="D603" s="10">
        <v>0.385162479</v>
      </c>
      <c r="E603" s="10">
        <v>4.0833843000000002E-2</v>
      </c>
      <c r="F603" s="10">
        <v>-0.232663594</v>
      </c>
      <c r="G603" s="10">
        <v>0.111914364</v>
      </c>
      <c r="H603" s="9">
        <v>7.6311772999999999E-2</v>
      </c>
      <c r="I603" s="10">
        <v>0.25389024138557797</v>
      </c>
      <c r="J603" s="10">
        <v>6.4460254670827097E-2</v>
      </c>
      <c r="K603" s="10">
        <v>0.704940864</v>
      </c>
      <c r="L603" s="10">
        <v>-0.61630591999999995</v>
      </c>
      <c r="M603" s="10">
        <v>-0.70749055000000005</v>
      </c>
      <c r="N603" s="10">
        <v>-0.44244169799999999</v>
      </c>
      <c r="O603" s="9">
        <v>-0.265324326</v>
      </c>
      <c r="P603" s="10">
        <v>0.65612096226308803</v>
      </c>
      <c r="Q603" s="10">
        <v>0.43049471712103998</v>
      </c>
    </row>
    <row r="604" spans="1:17" x14ac:dyDescent="0.2">
      <c r="A604" s="10">
        <v>1646</v>
      </c>
      <c r="B604" s="10" t="s">
        <v>74</v>
      </c>
      <c r="C604" s="9" t="s">
        <v>628</v>
      </c>
      <c r="D604" s="10">
        <v>-0.38285778799999998</v>
      </c>
      <c r="E604" s="10">
        <v>-0.25243401500000001</v>
      </c>
      <c r="F604" s="10">
        <v>1.2898463000000001E-2</v>
      </c>
      <c r="G604" s="10">
        <v>-0.244957749</v>
      </c>
      <c r="H604" s="9">
        <v>-0.2168377725</v>
      </c>
      <c r="I604" s="10">
        <v>0.16572990979986099</v>
      </c>
      <c r="J604" s="10">
        <v>2.7466403002270299E-2</v>
      </c>
      <c r="K604" s="10">
        <v>0.33339173700000002</v>
      </c>
      <c r="L604" s="10">
        <v>3.2162540000000003E-2</v>
      </c>
      <c r="M604" s="10">
        <v>-0.27971860999999998</v>
      </c>
      <c r="N604" s="10">
        <v>-0.10290004899999999</v>
      </c>
      <c r="O604" s="9">
        <v>-4.2660954999999999E-3</v>
      </c>
      <c r="P604" s="10">
        <v>0.25880662141220601</v>
      </c>
      <c r="Q604" s="10">
        <v>6.6980867286800902E-2</v>
      </c>
    </row>
    <row r="605" spans="1:17" x14ac:dyDescent="0.2">
      <c r="A605" s="10">
        <v>1646</v>
      </c>
      <c r="B605" s="10" t="s">
        <v>2818</v>
      </c>
      <c r="C605" s="9" t="s">
        <v>629</v>
      </c>
      <c r="D605" s="10">
        <v>-0.26980948199999999</v>
      </c>
      <c r="E605" s="10">
        <v>0.30137071199999999</v>
      </c>
      <c r="F605" s="10">
        <v>0.137546059</v>
      </c>
      <c r="G605" s="10">
        <v>0.25429773999999999</v>
      </c>
      <c r="H605" s="9">
        <v>0.10585125725</v>
      </c>
      <c r="I605" s="10">
        <v>0.25973689694150798</v>
      </c>
      <c r="J605" s="10">
        <v>6.7463255632803795E-2</v>
      </c>
      <c r="K605" s="10">
        <v>0.21078143399999999</v>
      </c>
      <c r="L605" s="10">
        <v>-0.16295849100000001</v>
      </c>
      <c r="M605" s="10">
        <v>-0.36479417800000002</v>
      </c>
      <c r="N605" s="10">
        <v>-5.4613621000000001E-2</v>
      </c>
      <c r="O605" s="9">
        <v>-9.2896214249999998E-2</v>
      </c>
      <c r="P605" s="10">
        <v>0.23980748967132301</v>
      </c>
      <c r="Q605" s="10">
        <v>5.7507632102461799E-2</v>
      </c>
    </row>
    <row r="606" spans="1:17" x14ac:dyDescent="0.2">
      <c r="A606" s="10">
        <v>1647</v>
      </c>
      <c r="B606" s="10" t="s">
        <v>2826</v>
      </c>
      <c r="C606" s="9" t="s">
        <v>630</v>
      </c>
      <c r="D606" s="10">
        <v>-0.37244806600000002</v>
      </c>
      <c r="E606" s="10">
        <v>7.6223387000000004E-2</v>
      </c>
      <c r="F606" s="10">
        <v>-0.18795943400000001</v>
      </c>
      <c r="G606" s="10">
        <v>0.149483855</v>
      </c>
      <c r="H606" s="9">
        <v>-8.367506475E-2</v>
      </c>
      <c r="I606" s="10">
        <v>0.24096726793753301</v>
      </c>
      <c r="J606" s="10">
        <v>5.8065224217278902E-2</v>
      </c>
      <c r="K606" s="10">
        <v>-5.9829759000000003E-2</v>
      </c>
      <c r="L606" s="10">
        <v>0.11548752599999999</v>
      </c>
      <c r="M606" s="10">
        <v>-0.60370360000000001</v>
      </c>
      <c r="N606" s="10">
        <v>-0.15441855400000001</v>
      </c>
      <c r="O606" s="9">
        <v>-0.17561609650000001</v>
      </c>
      <c r="P606" s="10">
        <v>0.306515927506325</v>
      </c>
      <c r="Q606" s="10">
        <v>9.3952013815062699E-2</v>
      </c>
    </row>
    <row r="607" spans="1:17" x14ac:dyDescent="0.2">
      <c r="A607" s="10">
        <v>1647</v>
      </c>
      <c r="B607" s="10" t="s">
        <v>74</v>
      </c>
      <c r="C607" s="9" t="s">
        <v>2530</v>
      </c>
      <c r="D607" s="10">
        <v>-2.8368118000000001E-2</v>
      </c>
      <c r="E607" s="10">
        <v>-0.44301714399999997</v>
      </c>
      <c r="F607" s="10">
        <v>1.310462217</v>
      </c>
      <c r="G607" s="10">
        <v>0.26378928200000001</v>
      </c>
      <c r="H607" s="9">
        <v>0.27571655900000003</v>
      </c>
      <c r="I607" s="10">
        <v>0.74830619029484902</v>
      </c>
      <c r="J607" s="10">
        <v>0.55996215443359099</v>
      </c>
      <c r="K607" s="10">
        <v>0.53912169600000004</v>
      </c>
      <c r="L607" s="10">
        <v>-0.73064129700000002</v>
      </c>
      <c r="M607" s="10">
        <v>0.20801091399999999</v>
      </c>
      <c r="N607" s="10">
        <v>-1.231506349</v>
      </c>
      <c r="O607" s="9">
        <v>-0.30375375924999998</v>
      </c>
      <c r="P607" s="10">
        <v>0.81961372030236701</v>
      </c>
      <c r="Q607" s="10">
        <v>0.67176665050788698</v>
      </c>
    </row>
    <row r="608" spans="1:17" x14ac:dyDescent="0.2">
      <c r="A608" s="10">
        <v>1648</v>
      </c>
      <c r="B608" s="10" t="s">
        <v>2831</v>
      </c>
      <c r="C608" s="9" t="s">
        <v>631</v>
      </c>
      <c r="D608" s="10">
        <v>-1.566867944</v>
      </c>
      <c r="E608" s="10">
        <v>-1.0308533390000001</v>
      </c>
      <c r="F608" s="10">
        <v>-1.0851641869999999</v>
      </c>
      <c r="G608" s="10">
        <v>-1.251453814</v>
      </c>
      <c r="H608" s="9">
        <v>-1.233584821</v>
      </c>
      <c r="I608" s="10">
        <v>0.24119541135653499</v>
      </c>
      <c r="J608" s="10">
        <v>5.8175226459448399E-2</v>
      </c>
      <c r="K608" s="10">
        <v>-0.26427248399999997</v>
      </c>
      <c r="L608" s="10">
        <v>-0.85708130800000004</v>
      </c>
      <c r="M608" s="10">
        <v>-0.26794968899999999</v>
      </c>
      <c r="N608" s="10">
        <v>-9.8222005000000001E-2</v>
      </c>
      <c r="O608" s="9">
        <v>-0.37188137175000002</v>
      </c>
      <c r="P608" s="10">
        <v>0.33301145853611502</v>
      </c>
      <c r="Q608" s="10">
        <v>0.110896631516351</v>
      </c>
    </row>
    <row r="609" spans="1:17" x14ac:dyDescent="0.2">
      <c r="A609" s="10">
        <v>1648</v>
      </c>
      <c r="B609" s="10" t="s">
        <v>2821</v>
      </c>
      <c r="C609" s="9" t="s">
        <v>632</v>
      </c>
      <c r="D609" s="10">
        <v>-0.23619747999999999</v>
      </c>
      <c r="E609" s="10">
        <v>-0.15618874599999999</v>
      </c>
      <c r="F609" s="10">
        <v>4.4205742999999999E-2</v>
      </c>
      <c r="G609" s="10">
        <v>-0.35689715700000002</v>
      </c>
      <c r="H609" s="9">
        <v>-0.17626941025000001</v>
      </c>
      <c r="I609" s="10">
        <v>0.168552941947305</v>
      </c>
      <c r="J609" s="10">
        <v>2.8410094239091702E-2</v>
      </c>
      <c r="K609" s="10">
        <v>-0.37821023500000001</v>
      </c>
      <c r="L609" s="10">
        <v>-0.16641288300000001</v>
      </c>
      <c r="M609" s="10">
        <v>-6.2224275000000003E-2</v>
      </c>
      <c r="N609" s="10">
        <v>6.0909368999999998E-2</v>
      </c>
      <c r="O609" s="9">
        <v>-0.13648450575000001</v>
      </c>
      <c r="P609" s="10">
        <v>0.186016092140908</v>
      </c>
      <c r="Q609" s="10">
        <v>3.4601986535374801E-2</v>
      </c>
    </row>
    <row r="610" spans="1:17" x14ac:dyDescent="0.2">
      <c r="A610" s="10">
        <v>1648</v>
      </c>
      <c r="B610" s="10" t="s">
        <v>2834</v>
      </c>
      <c r="C610" s="9" t="s">
        <v>633</v>
      </c>
      <c r="D610" s="10">
        <v>0.148964286</v>
      </c>
      <c r="E610" s="10">
        <v>0.85511467900000004</v>
      </c>
      <c r="F610" s="10">
        <v>-9.6126324999999999E-2</v>
      </c>
      <c r="G610" s="10">
        <v>-0.362174628</v>
      </c>
      <c r="H610" s="9">
        <v>0.13644450299999999</v>
      </c>
      <c r="I610" s="10">
        <v>0.52260686137670698</v>
      </c>
      <c r="J610" s="10">
        <v>0.27311793155801201</v>
      </c>
      <c r="K610" s="10">
        <v>0.13190376100000001</v>
      </c>
      <c r="L610" s="10">
        <v>0.27682844299999998</v>
      </c>
      <c r="M610" s="10">
        <v>-0.38089047700000001</v>
      </c>
      <c r="N610" s="10">
        <v>-9.5438729999999996E-3</v>
      </c>
      <c r="O610" s="9">
        <v>4.5744634999999997E-3</v>
      </c>
      <c r="P610" s="10">
        <v>0.28232223146352098</v>
      </c>
      <c r="Q610" s="10">
        <v>7.9705842378541905E-2</v>
      </c>
    </row>
    <row r="611" spans="1:17" x14ac:dyDescent="0.2">
      <c r="A611" s="10">
        <v>1648</v>
      </c>
      <c r="B611" s="10" t="s">
        <v>2833</v>
      </c>
      <c r="C611" s="9" t="s">
        <v>634</v>
      </c>
      <c r="D611" s="10">
        <v>-0.38868427900000002</v>
      </c>
      <c r="E611" s="10">
        <v>5.2996763000000002E-2</v>
      </c>
      <c r="F611" s="10">
        <v>-6.1664096000000002E-2</v>
      </c>
      <c r="G611" s="10">
        <v>0.220966045</v>
      </c>
      <c r="H611" s="9">
        <v>-4.4096391749999998E-2</v>
      </c>
      <c r="I611" s="10">
        <v>0.257380789458724</v>
      </c>
      <c r="J611" s="10">
        <v>6.6244870782396395E-2</v>
      </c>
      <c r="K611" s="10">
        <v>0.48712926200000001</v>
      </c>
      <c r="L611" s="10">
        <v>0.16212089800000001</v>
      </c>
      <c r="M611" s="10">
        <v>0.171354853</v>
      </c>
      <c r="N611" s="10">
        <v>-0.240281682</v>
      </c>
      <c r="O611" s="9">
        <v>0.14508083275</v>
      </c>
      <c r="P611" s="10">
        <v>0.298039194117517</v>
      </c>
      <c r="Q611" s="10">
        <v>8.8827361230219296E-2</v>
      </c>
    </row>
    <row r="612" spans="1:17" x14ac:dyDescent="0.2">
      <c r="A612" s="10">
        <v>1648</v>
      </c>
      <c r="B612" s="10" t="s">
        <v>74</v>
      </c>
      <c r="C612" s="9" t="s">
        <v>635</v>
      </c>
      <c r="D612" s="10">
        <v>-0.49074810400000002</v>
      </c>
      <c r="E612" s="10">
        <v>-6.8677106000000002E-2</v>
      </c>
      <c r="F612" s="10">
        <v>9.2328099999999997E-4</v>
      </c>
      <c r="G612" s="10">
        <v>-0.16940096299999999</v>
      </c>
      <c r="H612" s="9">
        <v>-0.18197572300000001</v>
      </c>
      <c r="I612" s="10">
        <v>0.21739911847089799</v>
      </c>
      <c r="J612" s="10">
        <v>4.7262376711923799E-2</v>
      </c>
      <c r="K612" s="10">
        <v>-0.16563119400000001</v>
      </c>
      <c r="L612" s="10">
        <v>-0.33523184900000003</v>
      </c>
      <c r="M612" s="10">
        <v>-0.492709281</v>
      </c>
      <c r="N612" s="10">
        <v>0.28082919699999997</v>
      </c>
      <c r="O612" s="9">
        <v>-0.17818578174999999</v>
      </c>
      <c r="P612" s="10">
        <v>0.33388664104732202</v>
      </c>
      <c r="Q612" s="10">
        <v>0.111480289069863</v>
      </c>
    </row>
    <row r="613" spans="1:17" x14ac:dyDescent="0.2">
      <c r="A613" s="10">
        <v>1648</v>
      </c>
      <c r="B613" s="10" t="s">
        <v>2818</v>
      </c>
      <c r="C613" s="9" t="s">
        <v>636</v>
      </c>
      <c r="D613" s="10">
        <v>-7.0989633999999996E-2</v>
      </c>
      <c r="E613" s="10">
        <v>-7.8991718000000002E-2</v>
      </c>
      <c r="F613" s="10">
        <v>0.36546052099999998</v>
      </c>
      <c r="G613" s="10">
        <v>0.64165373599999997</v>
      </c>
      <c r="H613" s="9">
        <v>0.21428322624999999</v>
      </c>
      <c r="I613" s="10">
        <v>0.35255776111721898</v>
      </c>
      <c r="J613" s="10">
        <v>0.124296974923986</v>
      </c>
      <c r="K613" s="10">
        <v>-0.44842005499999998</v>
      </c>
      <c r="L613" s="10">
        <v>-9.8433110000000004E-3</v>
      </c>
      <c r="M613" s="10">
        <v>-0.19330335200000001</v>
      </c>
      <c r="N613" s="10">
        <v>-4.5213598000000001E-2</v>
      </c>
      <c r="O613" s="9">
        <v>-0.174195079</v>
      </c>
      <c r="P613" s="10">
        <v>0.199342410310268</v>
      </c>
      <c r="Q613" s="10">
        <v>3.9737396548307401E-2</v>
      </c>
    </row>
    <row r="614" spans="1:17" x14ac:dyDescent="0.2">
      <c r="A614" s="10">
        <v>1648</v>
      </c>
      <c r="B614" s="10" t="s">
        <v>2832</v>
      </c>
      <c r="C614" s="9" t="s">
        <v>637</v>
      </c>
      <c r="D614" s="10">
        <v>-7.4263885000000002E-2</v>
      </c>
      <c r="E614" s="10">
        <v>-0.37079817300000001</v>
      </c>
      <c r="F614" s="10">
        <v>-0.447136533</v>
      </c>
      <c r="G614" s="10">
        <v>-5.6330390000000003E-3</v>
      </c>
      <c r="H614" s="9">
        <v>-0.22445790725</v>
      </c>
      <c r="I614" s="10">
        <v>0.217135757096762</v>
      </c>
      <c r="J614" s="10">
        <v>4.7147937009984098E-2</v>
      </c>
      <c r="K614" s="10">
        <v>0.22730616000000001</v>
      </c>
      <c r="L614" s="10">
        <v>-0.44170417499999998</v>
      </c>
      <c r="M614" s="10">
        <v>-0.13645037400000001</v>
      </c>
      <c r="N614" s="10">
        <v>6.4418745999999999E-2</v>
      </c>
      <c r="O614" s="9">
        <v>-7.1607410750000003E-2</v>
      </c>
      <c r="P614" s="10">
        <v>0.28811378706456198</v>
      </c>
      <c r="Q614" s="10">
        <v>8.3009554296683899E-2</v>
      </c>
    </row>
    <row r="615" spans="1:17" x14ac:dyDescent="0.2">
      <c r="A615" s="10">
        <v>1649</v>
      </c>
      <c r="B615" s="10" t="s">
        <v>2831</v>
      </c>
      <c r="C615" s="9" t="s">
        <v>638</v>
      </c>
      <c r="D615" s="10">
        <v>-1.3489073380000001</v>
      </c>
      <c r="E615" s="10">
        <v>-1.867212576</v>
      </c>
      <c r="F615" s="10">
        <v>-1.560089885</v>
      </c>
      <c r="G615" s="10">
        <v>-1.7566238709999999</v>
      </c>
      <c r="H615" s="9">
        <v>-1.6332084174999999</v>
      </c>
      <c r="I615" s="10">
        <v>0.22815400059150201</v>
      </c>
      <c r="J615" s="10">
        <v>5.2054247985907499E-2</v>
      </c>
      <c r="K615" s="10">
        <v>0.34662828499999998</v>
      </c>
      <c r="L615" s="10">
        <v>-0.85671584199999995</v>
      </c>
      <c r="M615" s="10">
        <v>-0.99824282900000005</v>
      </c>
      <c r="N615" s="10">
        <v>-0.746679961</v>
      </c>
      <c r="O615" s="9">
        <v>-0.56375258650000004</v>
      </c>
      <c r="P615" s="10">
        <v>0.61559320860327604</v>
      </c>
      <c r="Q615" s="10">
        <v>0.37895499847847602</v>
      </c>
    </row>
    <row r="616" spans="1:17" x14ac:dyDescent="0.2">
      <c r="A616" s="10">
        <v>1649</v>
      </c>
      <c r="B616" s="10" t="s">
        <v>2822</v>
      </c>
      <c r="C616" s="9" t="s">
        <v>639</v>
      </c>
      <c r="D616" s="10">
        <v>3.9503333000000002E-2</v>
      </c>
      <c r="E616" s="10">
        <v>0.48694052700000001</v>
      </c>
      <c r="F616" s="10">
        <v>0.239215752</v>
      </c>
      <c r="G616" s="10">
        <v>0.119472169</v>
      </c>
      <c r="H616" s="9">
        <v>0.22128294525</v>
      </c>
      <c r="I616" s="10">
        <v>0.195196309638594</v>
      </c>
      <c r="J616" s="10">
        <v>3.8101599296526199E-2</v>
      </c>
      <c r="K616" s="10">
        <v>-0.47003888399999999</v>
      </c>
      <c r="L616" s="10">
        <v>-0.73595301999999996</v>
      </c>
      <c r="M616" s="10">
        <v>0.13800110700000001</v>
      </c>
      <c r="N616" s="10">
        <v>0.50329534899999995</v>
      </c>
      <c r="O616" s="9">
        <v>-0.14117386200000001</v>
      </c>
      <c r="P616" s="10">
        <v>0.56426757149699902</v>
      </c>
      <c r="Q616" s="10">
        <v>0.31839789224311998</v>
      </c>
    </row>
    <row r="617" spans="1:17" x14ac:dyDescent="0.2">
      <c r="A617" s="10">
        <v>1649</v>
      </c>
      <c r="B617" s="10" t="s">
        <v>2823</v>
      </c>
      <c r="C617" s="9" t="s">
        <v>640</v>
      </c>
      <c r="D617" s="10">
        <v>0.23126348799999999</v>
      </c>
      <c r="E617" s="10">
        <v>1.1246776999999999E-2</v>
      </c>
      <c r="F617" s="10">
        <v>0.31534514699999999</v>
      </c>
      <c r="G617" s="10">
        <v>-1.9787206000000002E-2</v>
      </c>
      <c r="H617" s="9">
        <v>0.13451705150000001</v>
      </c>
      <c r="I617" s="10">
        <v>0.164381707777495</v>
      </c>
      <c r="J617" s="10">
        <v>2.70213458518457E-2</v>
      </c>
      <c r="K617" s="10">
        <v>0.36201291800000002</v>
      </c>
      <c r="L617" s="10">
        <v>-0.14893411400000001</v>
      </c>
      <c r="M617" s="10">
        <v>-8.6904389999999995E-3</v>
      </c>
      <c r="N617" s="10">
        <v>0.10821411</v>
      </c>
      <c r="O617" s="9">
        <v>7.8150619000000004E-2</v>
      </c>
      <c r="P617" s="10">
        <v>0.216479763181159</v>
      </c>
      <c r="Q617" s="10">
        <v>4.6863487866970997E-2</v>
      </c>
    </row>
    <row r="618" spans="1:17" x14ac:dyDescent="0.2">
      <c r="A618" s="10">
        <v>1649</v>
      </c>
      <c r="B618" s="10" t="s">
        <v>2821</v>
      </c>
      <c r="C618" s="9" t="s">
        <v>641</v>
      </c>
      <c r="D618" s="10">
        <v>-1.1388893000000001E-2</v>
      </c>
      <c r="E618" s="10">
        <v>0.15898790400000001</v>
      </c>
      <c r="F618" s="10">
        <v>-3.7342554999999999E-2</v>
      </c>
      <c r="G618" s="10">
        <v>0.25367630800000002</v>
      </c>
      <c r="H618" s="9">
        <v>9.0983191000000005E-2</v>
      </c>
      <c r="I618" s="10">
        <v>0.13909377170137999</v>
      </c>
      <c r="J618" s="10">
        <v>1.9347077326115798E-2</v>
      </c>
      <c r="K618" s="10">
        <v>0.167425095</v>
      </c>
      <c r="L618" s="10">
        <v>0.233713431</v>
      </c>
      <c r="M618" s="10">
        <v>-0.34844803299999999</v>
      </c>
      <c r="N618" s="10">
        <v>8.0333725999999994E-2</v>
      </c>
      <c r="O618" s="9">
        <v>3.325605475E-2</v>
      </c>
      <c r="P618" s="10">
        <v>0.262106090982273</v>
      </c>
      <c r="Q618" s="10">
        <v>6.8699602930007597E-2</v>
      </c>
    </row>
    <row r="619" spans="1:17" x14ac:dyDescent="0.2">
      <c r="A619" s="10">
        <v>1649</v>
      </c>
      <c r="B619" s="10" t="s">
        <v>79</v>
      </c>
      <c r="C619" s="9" t="s">
        <v>642</v>
      </c>
      <c r="D619" s="10">
        <v>-2.4786799240000001</v>
      </c>
      <c r="E619" s="10">
        <v>-1.5907975759999999</v>
      </c>
      <c r="F619" s="10">
        <v>6.9799678000000004E-2</v>
      </c>
      <c r="G619" s="10">
        <v>-0.98202171299999996</v>
      </c>
      <c r="H619" s="9">
        <v>-1.2454248837499999</v>
      </c>
      <c r="I619" s="10">
        <v>1.0707313962965801</v>
      </c>
      <c r="J619" s="10">
        <v>1.14646572301522</v>
      </c>
      <c r="K619" s="10">
        <v>-0.96749124200000003</v>
      </c>
      <c r="L619" s="10">
        <v>-0.77843754200000004</v>
      </c>
      <c r="M619" s="10">
        <v>1.8876701999999999E-2</v>
      </c>
      <c r="N619" s="10">
        <v>-0.70540268399999995</v>
      </c>
      <c r="O619" s="9">
        <v>-0.60811369150000005</v>
      </c>
      <c r="P619" s="10">
        <v>0.43233649682296998</v>
      </c>
      <c r="Q619" s="10">
        <v>0.18691484648515799</v>
      </c>
    </row>
    <row r="620" spans="1:17" x14ac:dyDescent="0.2">
      <c r="A620" s="10">
        <v>1649</v>
      </c>
      <c r="B620" s="10" t="s">
        <v>2824</v>
      </c>
      <c r="C620" s="9" t="s">
        <v>643</v>
      </c>
      <c r="D620" s="10">
        <v>-0.25292471599999999</v>
      </c>
      <c r="E620" s="10">
        <v>0.24832685600000001</v>
      </c>
      <c r="F620" s="10">
        <v>-0.21365613899999999</v>
      </c>
      <c r="G620" s="10">
        <v>-0.14298666199999999</v>
      </c>
      <c r="H620" s="9">
        <v>-9.0310165250000005E-2</v>
      </c>
      <c r="I620" s="10">
        <v>0.23029514890453401</v>
      </c>
      <c r="J620" s="10">
        <v>5.3035855608961902E-2</v>
      </c>
      <c r="K620" s="10">
        <v>1.2664893999999999E-2</v>
      </c>
      <c r="L620" s="10">
        <v>0.22077881199999999</v>
      </c>
      <c r="M620" s="10">
        <v>-0.11534768099999999</v>
      </c>
      <c r="N620" s="10">
        <v>-0.190421227</v>
      </c>
      <c r="O620" s="9">
        <v>-1.8081300250000001E-2</v>
      </c>
      <c r="P620" s="10">
        <v>0.17996414537470201</v>
      </c>
      <c r="Q620" s="10">
        <v>3.2387093620446797E-2</v>
      </c>
    </row>
    <row r="621" spans="1:17" x14ac:dyDescent="0.2">
      <c r="A621" s="10">
        <v>1649</v>
      </c>
      <c r="B621" s="10" t="s">
        <v>82</v>
      </c>
      <c r="C621" s="9" t="s">
        <v>2529</v>
      </c>
      <c r="D621" s="10">
        <v>-1.717386232</v>
      </c>
      <c r="E621" s="10">
        <v>1.4736197129999999</v>
      </c>
      <c r="F621" s="10">
        <v>-1.2573720209999999</v>
      </c>
      <c r="G621" s="10">
        <v>0.54783881099999998</v>
      </c>
      <c r="H621" s="9">
        <v>-0.23832493225000001</v>
      </c>
      <c r="I621" s="10">
        <v>1.50276269995288</v>
      </c>
      <c r="J621" s="10">
        <v>2.25829573236966</v>
      </c>
      <c r="K621" s="10">
        <v>-0.25364389399999998</v>
      </c>
      <c r="L621" s="10">
        <v>-0.41153642600000001</v>
      </c>
      <c r="M621" s="10">
        <v>-0.99530199200000002</v>
      </c>
      <c r="N621" s="10">
        <v>-0.452084176</v>
      </c>
      <c r="O621" s="9">
        <v>-0.52814162200000003</v>
      </c>
      <c r="P621" s="10">
        <v>0.32299087747795602</v>
      </c>
      <c r="Q621" s="10">
        <v>0.10432310693398</v>
      </c>
    </row>
    <row r="622" spans="1:17" x14ac:dyDescent="0.2">
      <c r="A622" s="10">
        <v>1650</v>
      </c>
      <c r="B622" s="10" t="s">
        <v>2831</v>
      </c>
      <c r="C622" s="9" t="s">
        <v>644</v>
      </c>
      <c r="D622" s="10">
        <v>-1.3679083249999999</v>
      </c>
      <c r="E622" s="10">
        <v>-0.225656519</v>
      </c>
      <c r="F622" s="10">
        <v>-1.0390691780000001</v>
      </c>
      <c r="G622" s="10">
        <v>-0.65389841999999998</v>
      </c>
      <c r="H622" s="9">
        <v>-0.82163311049999999</v>
      </c>
      <c r="I622" s="10">
        <v>0.49295641370543503</v>
      </c>
      <c r="J622" s="10">
        <v>0.24300602581332401</v>
      </c>
      <c r="K622" s="10">
        <v>-0.16847155</v>
      </c>
      <c r="L622" s="10">
        <v>0.92513782099999997</v>
      </c>
      <c r="M622" s="10">
        <v>2.550301905</v>
      </c>
      <c r="N622" s="10">
        <v>3.4567606199999998</v>
      </c>
      <c r="O622" s="9">
        <v>1.6909321989999999</v>
      </c>
      <c r="P622" s="10">
        <v>1.6228051469778599</v>
      </c>
      <c r="Q622" s="10">
        <v>2.6334965450578398</v>
      </c>
    </row>
    <row r="623" spans="1:17" x14ac:dyDescent="0.2">
      <c r="A623" s="10">
        <v>1650</v>
      </c>
      <c r="B623" s="10" t="s">
        <v>2821</v>
      </c>
      <c r="C623" s="9" t="s">
        <v>645</v>
      </c>
      <c r="D623" s="10">
        <v>-0.52300495999999996</v>
      </c>
      <c r="E623" s="10">
        <v>-0.241771179</v>
      </c>
      <c r="F623" s="10">
        <v>0.16228947899999999</v>
      </c>
      <c r="G623" s="10">
        <v>-0.116587578</v>
      </c>
      <c r="H623" s="9">
        <v>-0.17976855975</v>
      </c>
      <c r="I623" s="10">
        <v>0.284400591641923</v>
      </c>
      <c r="J623" s="10">
        <v>8.0883696526276305E-2</v>
      </c>
      <c r="K623" s="10">
        <v>-9.2394236000000005E-2</v>
      </c>
      <c r="L623" s="10">
        <v>-6.8562064000000006E-2</v>
      </c>
      <c r="M623" s="10">
        <v>-0.34869817600000003</v>
      </c>
      <c r="N623" s="10">
        <v>0.15744518399999999</v>
      </c>
      <c r="O623" s="9">
        <v>-8.8052323000000002E-2</v>
      </c>
      <c r="P623" s="10">
        <v>0.207045895905311</v>
      </c>
      <c r="Q623" s="10">
        <v>4.2868003011233002E-2</v>
      </c>
    </row>
    <row r="624" spans="1:17" x14ac:dyDescent="0.2">
      <c r="A624" s="10">
        <v>1650</v>
      </c>
      <c r="B624" s="10" t="s">
        <v>2834</v>
      </c>
      <c r="C624" s="9" t="s">
        <v>2528</v>
      </c>
      <c r="D624" s="10">
        <v>-0.357759143</v>
      </c>
      <c r="E624" s="10">
        <v>-0.10158420899999999</v>
      </c>
      <c r="F624" s="10">
        <v>-7.8582472E-2</v>
      </c>
      <c r="G624" s="10">
        <v>0.47353072800000001</v>
      </c>
      <c r="H624" s="9">
        <v>-1.6098774E-2</v>
      </c>
      <c r="I624" s="10">
        <v>0.35008609849905897</v>
      </c>
      <c r="J624" s="10">
        <v>0.122560276362292</v>
      </c>
      <c r="K624" s="10">
        <v>-1.7594795139999999</v>
      </c>
      <c r="L624" s="10">
        <v>0.45342448000000002</v>
      </c>
      <c r="M624" s="10">
        <v>-0.43715370100000001</v>
      </c>
      <c r="N624" s="10">
        <v>-0.62969758099999995</v>
      </c>
      <c r="O624" s="9">
        <v>-0.59322657925</v>
      </c>
      <c r="P624" s="10">
        <v>0.90945280708347198</v>
      </c>
      <c r="Q624" s="10">
        <v>0.82710440831200704</v>
      </c>
    </row>
    <row r="625" spans="1:17" x14ac:dyDescent="0.2">
      <c r="A625" s="10">
        <v>1650</v>
      </c>
      <c r="B625" s="10" t="s">
        <v>2820</v>
      </c>
      <c r="C625" s="9" t="s">
        <v>2527</v>
      </c>
      <c r="D625" s="10">
        <v>0.35079955800000001</v>
      </c>
      <c r="E625" s="10">
        <v>-0.10052789199999999</v>
      </c>
      <c r="F625" s="10">
        <v>-1.285988949</v>
      </c>
      <c r="G625" s="10">
        <v>0.79861885899999996</v>
      </c>
      <c r="H625" s="9">
        <v>-5.9274606000000001E-2</v>
      </c>
      <c r="I625" s="10">
        <v>0.89641358204006905</v>
      </c>
      <c r="J625" s="10">
        <v>0.80355731006590803</v>
      </c>
      <c r="K625" s="10">
        <v>-1.2566482809999999</v>
      </c>
      <c r="L625" s="10">
        <v>0.673108704</v>
      </c>
      <c r="M625" s="10">
        <v>1.803677215</v>
      </c>
      <c r="N625" s="10">
        <v>-0.49052020299999999</v>
      </c>
      <c r="O625" s="9">
        <v>0.18240435875</v>
      </c>
      <c r="P625" s="10">
        <v>1.3407729604769201</v>
      </c>
      <c r="Q625" s="10">
        <v>1.79767213154604</v>
      </c>
    </row>
    <row r="626" spans="1:17" x14ac:dyDescent="0.2">
      <c r="A626" s="10">
        <v>1650</v>
      </c>
      <c r="B626" s="10" t="s">
        <v>2824</v>
      </c>
      <c r="C626" s="9" t="s">
        <v>646</v>
      </c>
      <c r="D626" s="10">
        <v>0.46959868799999999</v>
      </c>
      <c r="E626" s="10">
        <v>-0.40586502400000002</v>
      </c>
      <c r="F626" s="10">
        <v>-0.93105678300000005</v>
      </c>
      <c r="G626" s="10">
        <v>-2.8196176E-2</v>
      </c>
      <c r="H626" s="9">
        <v>-0.22387982400000001</v>
      </c>
      <c r="I626" s="10">
        <v>0.59229001934858705</v>
      </c>
      <c r="J626" s="10">
        <v>0.35080746701994903</v>
      </c>
      <c r="K626" s="10">
        <v>-0.70049384800000003</v>
      </c>
      <c r="L626" s="10">
        <v>9.5009377000000006E-2</v>
      </c>
      <c r="M626" s="10">
        <v>1.0065662790000001</v>
      </c>
      <c r="N626" s="10">
        <v>-0.385508144</v>
      </c>
      <c r="O626" s="9">
        <v>3.8934159999999998E-3</v>
      </c>
      <c r="P626" s="10">
        <v>0.74418859194906795</v>
      </c>
      <c r="Q626" s="10">
        <v>0.55381666038713595</v>
      </c>
    </row>
    <row r="627" spans="1:17" x14ac:dyDescent="0.2">
      <c r="A627" s="10">
        <v>1650</v>
      </c>
      <c r="B627" s="10" t="s">
        <v>2814</v>
      </c>
      <c r="C627" s="9" t="s">
        <v>647</v>
      </c>
      <c r="D627" s="10">
        <v>-0.51495360199999995</v>
      </c>
      <c r="E627" s="10">
        <v>-0.97734515099999997</v>
      </c>
      <c r="F627" s="10">
        <v>-4.6655519999999999E-2</v>
      </c>
      <c r="G627" s="10">
        <v>0.229466113</v>
      </c>
      <c r="H627" s="9">
        <v>-0.32737203999999998</v>
      </c>
      <c r="I627" s="10">
        <v>0.53120064654288501</v>
      </c>
      <c r="J627" s="10">
        <v>0.28217412688757998</v>
      </c>
      <c r="K627" s="10">
        <v>-0.67610451199999999</v>
      </c>
      <c r="L627" s="10">
        <v>-0.20744309499999999</v>
      </c>
      <c r="M627" s="10">
        <v>1.4217472419999999</v>
      </c>
      <c r="N627" s="10">
        <v>-6.6868102999999998E-2</v>
      </c>
      <c r="O627" s="9">
        <v>0.11783288325000001</v>
      </c>
      <c r="P627" s="10">
        <v>0.90745948649310604</v>
      </c>
      <c r="Q627" s="10">
        <v>0.82348271962633102</v>
      </c>
    </row>
    <row r="628" spans="1:17" x14ac:dyDescent="0.2">
      <c r="A628" s="10">
        <v>1650</v>
      </c>
      <c r="B628" s="10" t="s">
        <v>2825</v>
      </c>
      <c r="C628" s="9" t="s">
        <v>648</v>
      </c>
      <c r="D628" s="10">
        <v>-0.28426768099999999</v>
      </c>
      <c r="E628" s="10">
        <v>-0.30231121399999999</v>
      </c>
      <c r="F628" s="10">
        <v>-0.455359505</v>
      </c>
      <c r="G628" s="10">
        <v>-0.24241756</v>
      </c>
      <c r="H628" s="9">
        <v>-0.32108899000000002</v>
      </c>
      <c r="I628" s="10">
        <v>9.2962678469354507E-2</v>
      </c>
      <c r="J628" s="10">
        <v>8.6420595881965007E-3</v>
      </c>
      <c r="K628" s="10">
        <v>-0.20947903100000001</v>
      </c>
      <c r="L628" s="10">
        <v>9.5443855999999994E-2</v>
      </c>
      <c r="M628" s="10">
        <v>-4.4471318000000003E-2</v>
      </c>
      <c r="N628" s="10">
        <v>7.2764524999999997E-2</v>
      </c>
      <c r="O628" s="9">
        <v>-2.1435492E-2</v>
      </c>
      <c r="P628" s="10">
        <v>0.139553391253255</v>
      </c>
      <c r="Q628" s="10">
        <v>1.9475149010284E-2</v>
      </c>
    </row>
    <row r="629" spans="1:17" x14ac:dyDescent="0.2">
      <c r="A629" s="10">
        <v>1651</v>
      </c>
      <c r="B629" s="10" t="s">
        <v>2834</v>
      </c>
      <c r="C629" s="9" t="s">
        <v>2526</v>
      </c>
      <c r="D629" s="10">
        <v>-0.39564184699999999</v>
      </c>
      <c r="E629" s="10">
        <v>1.1101400400000001</v>
      </c>
      <c r="F629" s="10">
        <v>-0.74734472900000004</v>
      </c>
      <c r="G629" s="10">
        <v>0.42951338300000003</v>
      </c>
      <c r="H629" s="9">
        <v>9.9166711749999997E-2</v>
      </c>
      <c r="I629" s="10">
        <v>0.83518722906338605</v>
      </c>
      <c r="J629" s="10">
        <v>0.69753770759057698</v>
      </c>
      <c r="K629" s="10">
        <v>0.47113589900000002</v>
      </c>
      <c r="L629" s="10">
        <v>-6.8128023999999995E-2</v>
      </c>
      <c r="M629" s="10">
        <v>1.1790768700000001</v>
      </c>
      <c r="N629" s="10">
        <v>0.36138634200000003</v>
      </c>
      <c r="O629" s="9">
        <v>0.48586777199999998</v>
      </c>
      <c r="P629" s="10">
        <v>0.51741757798789501</v>
      </c>
      <c r="Q629" s="10">
        <v>0.26772095001085999</v>
      </c>
    </row>
    <row r="630" spans="1:17" x14ac:dyDescent="0.2">
      <c r="A630" s="10">
        <v>1651</v>
      </c>
      <c r="B630" s="10" t="s">
        <v>2824</v>
      </c>
      <c r="C630" s="9" t="s">
        <v>649</v>
      </c>
      <c r="D630" s="10">
        <v>-0.61526657699999998</v>
      </c>
      <c r="E630" s="10">
        <v>0.28065842899999999</v>
      </c>
      <c r="F630" s="10">
        <v>-0.33494981299999999</v>
      </c>
      <c r="G630" s="10">
        <v>-0.122941711</v>
      </c>
      <c r="H630" s="9">
        <v>-0.19812491774999999</v>
      </c>
      <c r="I630" s="10">
        <v>0.37754214932214702</v>
      </c>
      <c r="J630" s="10">
        <v>0.14253807451478601</v>
      </c>
      <c r="K630" s="10">
        <v>0.24848672899999999</v>
      </c>
      <c r="L630" s="10">
        <v>-0.39286505700000002</v>
      </c>
      <c r="M630" s="10">
        <v>-0.18501568800000001</v>
      </c>
      <c r="N630" s="10">
        <v>0.27503180100000002</v>
      </c>
      <c r="O630" s="9">
        <v>-1.359055375E-2</v>
      </c>
      <c r="P630" s="10">
        <v>0.32925324157514502</v>
      </c>
      <c r="Q630" s="10">
        <v>0.10840769708774101</v>
      </c>
    </row>
    <row r="631" spans="1:17" x14ac:dyDescent="0.2">
      <c r="A631" s="10">
        <v>1651</v>
      </c>
      <c r="B631" s="10" t="s">
        <v>2814</v>
      </c>
      <c r="C631" s="9" t="s">
        <v>650</v>
      </c>
      <c r="D631" s="10">
        <v>-1.382148596</v>
      </c>
      <c r="E631" s="10">
        <v>-0.96595046900000003</v>
      </c>
      <c r="F631" s="10">
        <v>-0.83739520899999997</v>
      </c>
      <c r="G631" s="10">
        <v>-0.81352911900000002</v>
      </c>
      <c r="H631" s="9">
        <v>-0.99975584824999997</v>
      </c>
      <c r="I631" s="10">
        <v>0.26357060348405797</v>
      </c>
      <c r="J631" s="10">
        <v>6.9469463020950903E-2</v>
      </c>
      <c r="K631" s="10">
        <v>-0.63401436200000005</v>
      </c>
      <c r="L631" s="10">
        <v>-0.29551041500000003</v>
      </c>
      <c r="M631" s="10">
        <v>-0.18840933100000001</v>
      </c>
      <c r="N631" s="10">
        <v>-0.45522423099999998</v>
      </c>
      <c r="O631" s="9">
        <v>-0.39328958474999998</v>
      </c>
      <c r="P631" s="10">
        <v>0.19435448987339099</v>
      </c>
      <c r="Q631" s="10">
        <v>3.7773667733946102E-2</v>
      </c>
    </row>
    <row r="632" spans="1:17" x14ac:dyDescent="0.2">
      <c r="A632" s="10">
        <v>1652</v>
      </c>
      <c r="B632" s="10" t="s">
        <v>2822</v>
      </c>
      <c r="C632" s="9" t="s">
        <v>651</v>
      </c>
      <c r="D632" s="10">
        <v>0.65472345099999996</v>
      </c>
      <c r="E632" s="10">
        <v>0.39488908</v>
      </c>
      <c r="F632" s="10">
        <v>-1.194411026</v>
      </c>
      <c r="G632" s="10">
        <v>0.55559856799999996</v>
      </c>
      <c r="H632" s="9">
        <v>0.1027000185</v>
      </c>
      <c r="I632" s="10">
        <v>0.87134349820500701</v>
      </c>
      <c r="J632" s="10">
        <v>0.75923949186413897</v>
      </c>
      <c r="K632" s="10">
        <v>0.60226469999999999</v>
      </c>
      <c r="L632" s="10">
        <v>0.34396354400000001</v>
      </c>
      <c r="M632" s="10">
        <v>-2.9325919999999998E-2</v>
      </c>
      <c r="N632" s="10">
        <v>-0.49155028099999998</v>
      </c>
      <c r="O632" s="9">
        <v>0.10633801075</v>
      </c>
      <c r="P632" s="10">
        <v>0.47549422943609798</v>
      </c>
      <c r="Q632" s="10">
        <v>0.22609476222702801</v>
      </c>
    </row>
    <row r="633" spans="1:17" x14ac:dyDescent="0.2">
      <c r="A633" s="10">
        <v>1652</v>
      </c>
      <c r="B633" s="10" t="s">
        <v>2826</v>
      </c>
      <c r="C633" s="9" t="s">
        <v>652</v>
      </c>
      <c r="D633" s="10">
        <v>0.56006610000000001</v>
      </c>
      <c r="E633" s="10">
        <v>-0.22433345499999999</v>
      </c>
      <c r="F633" s="10">
        <v>0.31315231199999999</v>
      </c>
      <c r="G633" s="10">
        <v>-0.56348042799999998</v>
      </c>
      <c r="H633" s="9">
        <v>2.1351131999999998E-2</v>
      </c>
      <c r="I633" s="10">
        <v>0.50916618611805797</v>
      </c>
      <c r="J633" s="10">
        <v>0.25925020508600899</v>
      </c>
      <c r="K633" s="10">
        <v>0.82756948200000002</v>
      </c>
      <c r="L633" s="10">
        <v>-0.101840785</v>
      </c>
      <c r="M633" s="10">
        <v>-2.4452992999999999E-2</v>
      </c>
      <c r="N633" s="10">
        <v>0.197015948</v>
      </c>
      <c r="O633" s="9">
        <v>0.22457291300000001</v>
      </c>
      <c r="P633" s="10">
        <v>0.42147520790944798</v>
      </c>
      <c r="Q633" s="10">
        <v>0.177641350882313</v>
      </c>
    </row>
    <row r="634" spans="1:17" x14ac:dyDescent="0.2">
      <c r="A634" s="10">
        <v>1652</v>
      </c>
      <c r="B634" s="10" t="s">
        <v>2821</v>
      </c>
      <c r="C634" s="9" t="s">
        <v>653</v>
      </c>
      <c r="D634" s="10">
        <v>-0.87411223699999996</v>
      </c>
      <c r="E634" s="10">
        <v>-0.435413086</v>
      </c>
      <c r="F634" s="10">
        <v>-0.52357741899999999</v>
      </c>
      <c r="G634" s="10">
        <v>-0.49223908300000002</v>
      </c>
      <c r="H634" s="9">
        <v>-0.58133545600000003</v>
      </c>
      <c r="I634" s="10">
        <v>0.198566308050977</v>
      </c>
      <c r="J634" s="10">
        <v>3.9428578692995701E-2</v>
      </c>
      <c r="K634" s="10">
        <v>6.1182429999999998E-3</v>
      </c>
      <c r="L634" s="10">
        <v>-0.29565548400000002</v>
      </c>
      <c r="M634" s="10">
        <v>-0.37246010099999999</v>
      </c>
      <c r="N634" s="10">
        <v>-0.151155028</v>
      </c>
      <c r="O634" s="9">
        <v>-0.20328809225</v>
      </c>
      <c r="P634" s="10">
        <v>0.167052659595847</v>
      </c>
      <c r="Q634" s="10">
        <v>2.7906591078046002E-2</v>
      </c>
    </row>
    <row r="635" spans="1:17" x14ac:dyDescent="0.2">
      <c r="A635" s="10">
        <v>1652</v>
      </c>
      <c r="B635" s="10" t="s">
        <v>79</v>
      </c>
      <c r="C635" s="9" t="s">
        <v>654</v>
      </c>
      <c r="D635" s="10">
        <v>-0.26129357600000003</v>
      </c>
      <c r="E635" s="10">
        <v>1.865823778</v>
      </c>
      <c r="F635" s="10">
        <v>0.38745125400000002</v>
      </c>
      <c r="G635" s="10">
        <v>0.30444877399999998</v>
      </c>
      <c r="H635" s="9">
        <v>0.57410755724999996</v>
      </c>
      <c r="I635" s="10">
        <v>0.90810834216167402</v>
      </c>
      <c r="J635" s="10">
        <v>0.82466076110362396</v>
      </c>
      <c r="K635" s="10">
        <v>0.57382003599999998</v>
      </c>
      <c r="L635" s="10">
        <v>-0.36763416300000001</v>
      </c>
      <c r="M635" s="10">
        <v>-0.1138521</v>
      </c>
      <c r="N635" s="10">
        <v>5.1378086000000003E-2</v>
      </c>
      <c r="O635" s="9">
        <v>3.5927964499999999E-2</v>
      </c>
      <c r="P635" s="10">
        <v>0.39785384473483698</v>
      </c>
      <c r="Q635" s="10">
        <v>0.15828768177029201</v>
      </c>
    </row>
    <row r="636" spans="1:17" x14ac:dyDescent="0.2">
      <c r="A636" s="10">
        <v>1652</v>
      </c>
      <c r="B636" s="10" t="s">
        <v>2820</v>
      </c>
      <c r="C636" s="9" t="s">
        <v>655</v>
      </c>
      <c r="D636" s="10">
        <v>-1.0614260980000001</v>
      </c>
      <c r="E636" s="10">
        <v>-1.0804603070000001</v>
      </c>
      <c r="F636" s="10">
        <v>-1.1326642010000001</v>
      </c>
      <c r="G636" s="10">
        <v>-1.2053159330000001</v>
      </c>
      <c r="H636" s="9">
        <v>-1.1199666344999999</v>
      </c>
      <c r="I636" s="10">
        <v>6.4377727193259099E-2</v>
      </c>
      <c r="J636" s="10">
        <v>4.1444917585697003E-3</v>
      </c>
      <c r="K636" s="10">
        <v>-0.52000223499999998</v>
      </c>
      <c r="L636" s="10">
        <v>-0.21714393300000001</v>
      </c>
      <c r="M636" s="10">
        <v>-0.15458486199999999</v>
      </c>
      <c r="N636" s="10">
        <v>-0.18917709799999999</v>
      </c>
      <c r="O636" s="9">
        <v>-0.27022703199999998</v>
      </c>
      <c r="P636" s="10">
        <v>0.168471234653326</v>
      </c>
      <c r="Q636" s="10">
        <v>2.8382556905615999E-2</v>
      </c>
    </row>
    <row r="637" spans="1:17" x14ac:dyDescent="0.2">
      <c r="A637" s="10">
        <v>1652</v>
      </c>
      <c r="B637" s="10" t="s">
        <v>2814</v>
      </c>
      <c r="C637" s="9" t="s">
        <v>656</v>
      </c>
      <c r="D637" s="10">
        <v>-0.83235120900000004</v>
      </c>
      <c r="E637" s="10">
        <v>-3.0661332400000001</v>
      </c>
      <c r="F637" s="10">
        <v>7.1065835999999993E-2</v>
      </c>
      <c r="G637" s="10">
        <v>-1.693078482</v>
      </c>
      <c r="H637" s="9">
        <v>-1.3801242735000001</v>
      </c>
      <c r="I637" s="10">
        <v>1.33498747008334</v>
      </c>
      <c r="J637" s="10">
        <v>1.7821915452795301</v>
      </c>
      <c r="K637" s="10">
        <v>0.11902101800000001</v>
      </c>
      <c r="L637" s="10">
        <v>0.222096563</v>
      </c>
      <c r="M637" s="10">
        <v>-0.89276323199999996</v>
      </c>
      <c r="N637" s="10">
        <v>-1.82826982</v>
      </c>
      <c r="O637" s="9">
        <v>-0.59497886774999997</v>
      </c>
      <c r="P637" s="10">
        <v>0.96386205736432995</v>
      </c>
      <c r="Q637" s="10">
        <v>0.92903006562659896</v>
      </c>
    </row>
    <row r="638" spans="1:17" x14ac:dyDescent="0.2">
      <c r="A638" s="10">
        <v>1652</v>
      </c>
      <c r="B638" s="10" t="s">
        <v>2825</v>
      </c>
      <c r="C638" s="9" t="s">
        <v>657</v>
      </c>
      <c r="D638" s="10">
        <v>-1.310606328</v>
      </c>
      <c r="E638" s="10">
        <v>-1.4356199780000001</v>
      </c>
      <c r="F638" s="10">
        <v>-1.2125133539999999</v>
      </c>
      <c r="G638" s="10">
        <v>-1.519952293</v>
      </c>
      <c r="H638" s="9">
        <v>-1.3696729885000001</v>
      </c>
      <c r="I638" s="10">
        <v>0.13554937093658601</v>
      </c>
      <c r="J638" s="10">
        <v>1.8373631961304201E-2</v>
      </c>
      <c r="K638" s="10">
        <v>9.6261357000000006E-2</v>
      </c>
      <c r="L638" s="10">
        <v>-0.353122039</v>
      </c>
      <c r="M638" s="10">
        <v>-0.44210904099999998</v>
      </c>
      <c r="N638" s="10">
        <v>-0.37320051700000001</v>
      </c>
      <c r="O638" s="9">
        <v>-0.26804255975000002</v>
      </c>
      <c r="P638" s="10">
        <v>0.245840868189561</v>
      </c>
      <c r="Q638" s="10">
        <v>6.0437732472197102E-2</v>
      </c>
    </row>
    <row r="639" spans="1:17" x14ac:dyDescent="0.2">
      <c r="A639" s="10">
        <v>1652</v>
      </c>
      <c r="B639" s="10" t="s">
        <v>74</v>
      </c>
      <c r="C639" s="9" t="s">
        <v>658</v>
      </c>
      <c r="D639" s="10">
        <v>-0.730958424</v>
      </c>
      <c r="E639" s="10">
        <v>-0.28451562800000002</v>
      </c>
      <c r="F639" s="10">
        <v>0.19836794499999999</v>
      </c>
      <c r="G639" s="10">
        <v>-0.99184301399999997</v>
      </c>
      <c r="H639" s="9">
        <v>-0.45223728024999998</v>
      </c>
      <c r="I639" s="10">
        <v>0.522901372352778</v>
      </c>
      <c r="J639" s="10">
        <v>0.273425845208419</v>
      </c>
      <c r="K639" s="10">
        <v>-6.0993799999999997E-3</v>
      </c>
      <c r="L639" s="10">
        <v>-0.11587434000000001</v>
      </c>
      <c r="M639" s="10">
        <v>-0.49291634400000001</v>
      </c>
      <c r="N639" s="10">
        <v>6.2419225000000002E-2</v>
      </c>
      <c r="O639" s="9">
        <v>-0.13811770975000001</v>
      </c>
      <c r="P639" s="10">
        <v>0.24766963207224599</v>
      </c>
      <c r="Q639" s="10">
        <v>6.1340246650801997E-2</v>
      </c>
    </row>
    <row r="640" spans="1:17" x14ac:dyDescent="0.2">
      <c r="A640" s="10">
        <v>1652</v>
      </c>
      <c r="B640" s="10" t="s">
        <v>2818</v>
      </c>
      <c r="C640" s="9" t="s">
        <v>659</v>
      </c>
      <c r="D640" s="10">
        <v>-0.20788643400000001</v>
      </c>
      <c r="E640" s="10">
        <v>-0.52294331000000005</v>
      </c>
      <c r="F640" s="10">
        <v>-0.36591643200000001</v>
      </c>
      <c r="G640" s="10">
        <v>-0.67123640299999998</v>
      </c>
      <c r="H640" s="9">
        <v>-0.44199564475000003</v>
      </c>
      <c r="I640" s="10">
        <v>0.199749024964753</v>
      </c>
      <c r="J640" s="10">
        <v>3.9899672974369499E-2</v>
      </c>
      <c r="K640" s="10">
        <v>0.19837949999999999</v>
      </c>
      <c r="L640" s="10">
        <v>-0.18419737899999999</v>
      </c>
      <c r="M640" s="10">
        <v>-0.120182652</v>
      </c>
      <c r="N640" s="10">
        <v>8.7758430999999998E-2</v>
      </c>
      <c r="O640" s="9">
        <v>-4.5605250000000002E-3</v>
      </c>
      <c r="P640" s="10">
        <v>0.178274431659872</v>
      </c>
      <c r="Q640" s="10">
        <v>3.1781772983650598E-2</v>
      </c>
    </row>
    <row r="641" spans="1:17" x14ac:dyDescent="0.2">
      <c r="A641" s="10">
        <v>1652</v>
      </c>
      <c r="B641" s="10" t="s">
        <v>2832</v>
      </c>
      <c r="C641" s="9" t="s">
        <v>660</v>
      </c>
      <c r="D641" s="10">
        <v>-0.29893229300000002</v>
      </c>
      <c r="E641" s="10">
        <v>-0.420517264</v>
      </c>
      <c r="F641" s="10">
        <v>-1.007079802</v>
      </c>
      <c r="G641" s="10">
        <v>-0.12755059899999999</v>
      </c>
      <c r="H641" s="9">
        <v>-0.46351998950000001</v>
      </c>
      <c r="I641" s="10">
        <v>0.38178137083832903</v>
      </c>
      <c r="J641" s="10">
        <v>0.14575701511919301</v>
      </c>
      <c r="K641" s="10">
        <v>-0.32900491900000001</v>
      </c>
      <c r="L641" s="10">
        <v>0.36691474299999999</v>
      </c>
      <c r="M641" s="10">
        <v>-0.35378103700000002</v>
      </c>
      <c r="N641" s="10">
        <v>-0.17273551200000001</v>
      </c>
      <c r="O641" s="9">
        <v>-0.12215168125</v>
      </c>
      <c r="P641" s="10">
        <v>0.335750458761088</v>
      </c>
      <c r="Q641" s="10">
        <v>0.112728370558281</v>
      </c>
    </row>
    <row r="642" spans="1:17" x14ac:dyDescent="0.2">
      <c r="A642" s="10">
        <v>1653</v>
      </c>
      <c r="B642" s="10" t="s">
        <v>2822</v>
      </c>
      <c r="C642" s="9" t="s">
        <v>661</v>
      </c>
      <c r="D642" s="10">
        <v>-0.13202803099999999</v>
      </c>
      <c r="E642" s="10">
        <v>0.25845110599999999</v>
      </c>
      <c r="F642" s="10">
        <v>-1.538790528</v>
      </c>
      <c r="G642" s="10">
        <v>5.7813440610000004</v>
      </c>
      <c r="H642" s="9">
        <v>1.0922441519999999</v>
      </c>
      <c r="I642" s="10">
        <v>3.21994071713398</v>
      </c>
      <c r="J642" s="10">
        <v>10.3680182218573</v>
      </c>
      <c r="K642" s="10">
        <v>0.64151435999999995</v>
      </c>
      <c r="L642" s="10">
        <v>-0.41999582800000002</v>
      </c>
      <c r="M642" s="10">
        <v>-1.0064492860000001</v>
      </c>
      <c r="N642" s="10">
        <v>-4.3107466739999998</v>
      </c>
      <c r="O642" s="9">
        <v>-1.273919357</v>
      </c>
      <c r="P642" s="10">
        <v>2.1363467344790799</v>
      </c>
      <c r="Q642" s="10">
        <v>4.5639773699194697</v>
      </c>
    </row>
    <row r="643" spans="1:17" x14ac:dyDescent="0.2">
      <c r="A643" s="10">
        <v>1653</v>
      </c>
      <c r="B643" s="10" t="s">
        <v>2821</v>
      </c>
      <c r="C643" s="9" t="s">
        <v>662</v>
      </c>
      <c r="D643" s="10">
        <v>-0.56637058699999998</v>
      </c>
      <c r="E643" s="10">
        <v>-0.72165123099999995</v>
      </c>
      <c r="F643" s="10">
        <v>-0.62865458100000005</v>
      </c>
      <c r="G643" s="10">
        <v>0.29737846600000001</v>
      </c>
      <c r="H643" s="9">
        <v>-0.40482448324999998</v>
      </c>
      <c r="I643" s="10">
        <v>0.47246348229989099</v>
      </c>
      <c r="J643" s="10">
        <v>0.22322174210694001</v>
      </c>
      <c r="K643" s="10">
        <v>-0.46421284400000001</v>
      </c>
      <c r="L643" s="10">
        <v>6.8343376999999997E-2</v>
      </c>
      <c r="M643" s="10">
        <v>0.35114848199999998</v>
      </c>
      <c r="N643" s="10">
        <v>0.68949471399999995</v>
      </c>
      <c r="O643" s="9">
        <v>0.16119343224999999</v>
      </c>
      <c r="P643" s="10">
        <v>0.48817323030424198</v>
      </c>
      <c r="Q643" s="10">
        <v>0.23831310278567899</v>
      </c>
    </row>
    <row r="644" spans="1:17" x14ac:dyDescent="0.2">
      <c r="A644" s="10">
        <v>1653</v>
      </c>
      <c r="B644" s="10" t="s">
        <v>2834</v>
      </c>
      <c r="C644" s="9" t="s">
        <v>663</v>
      </c>
      <c r="D644" s="10">
        <v>-1.0748891920000001</v>
      </c>
      <c r="E644" s="10">
        <v>-1.0732348789999999</v>
      </c>
      <c r="F644" s="10">
        <v>-0.69136505800000003</v>
      </c>
      <c r="G644" s="10">
        <v>-0.88888219999999996</v>
      </c>
      <c r="H644" s="9">
        <v>-0.93209283224999995</v>
      </c>
      <c r="I644" s="10">
        <v>0.18269181495388501</v>
      </c>
      <c r="J644" s="10">
        <v>3.33762992511447E-2</v>
      </c>
      <c r="K644" s="10">
        <v>1.4714549290000001</v>
      </c>
      <c r="L644" s="10">
        <v>-0.31116258499999999</v>
      </c>
      <c r="M644" s="10">
        <v>-0.27177352199999999</v>
      </c>
      <c r="N644" s="10">
        <v>0.56698026700000004</v>
      </c>
      <c r="O644" s="9">
        <v>0.3638747725</v>
      </c>
      <c r="P644" s="10">
        <v>0.84216186751518496</v>
      </c>
      <c r="Q644" s="10">
        <v>0.70923661109666503</v>
      </c>
    </row>
    <row r="645" spans="1:17" x14ac:dyDescent="0.2">
      <c r="A645" s="10">
        <v>1653</v>
      </c>
      <c r="B645" s="10" t="s">
        <v>79</v>
      </c>
      <c r="C645" s="9" t="s">
        <v>664</v>
      </c>
      <c r="D645" s="10">
        <v>0.223636005</v>
      </c>
      <c r="E645" s="10">
        <v>4.5968396000000002E-2</v>
      </c>
      <c r="F645" s="10">
        <v>-0.88852573599999995</v>
      </c>
      <c r="G645" s="10">
        <v>0.38596804899999998</v>
      </c>
      <c r="H645" s="9">
        <v>-5.8238321250000002E-2</v>
      </c>
      <c r="I645" s="10">
        <v>0.57067464933527901</v>
      </c>
      <c r="J645" s="10">
        <v>0.32566955539394299</v>
      </c>
      <c r="K645" s="10">
        <v>0.849888639</v>
      </c>
      <c r="L645" s="10">
        <v>0.47434393200000002</v>
      </c>
      <c r="M645" s="10">
        <v>-0.62641007400000004</v>
      </c>
      <c r="N645" s="10">
        <v>1.640479813</v>
      </c>
      <c r="O645" s="9">
        <v>0.5845755775</v>
      </c>
      <c r="P645" s="10">
        <v>0.94233080514184897</v>
      </c>
      <c r="Q645" s="10">
        <v>0.887987346319286</v>
      </c>
    </row>
    <row r="646" spans="1:17" x14ac:dyDescent="0.2">
      <c r="A646" s="10">
        <v>1653</v>
      </c>
      <c r="B646" s="10" t="s">
        <v>2824</v>
      </c>
      <c r="C646" s="9" t="s">
        <v>665</v>
      </c>
      <c r="D646" s="10">
        <v>-0.76589959100000005</v>
      </c>
      <c r="E646" s="10">
        <v>-0.86516248299999998</v>
      </c>
      <c r="F646" s="10">
        <v>-0.49377061500000002</v>
      </c>
      <c r="G646" s="10">
        <v>-1.3242910349999999</v>
      </c>
      <c r="H646" s="9">
        <v>-0.86228093100000003</v>
      </c>
      <c r="I646" s="10">
        <v>0.34571223835179898</v>
      </c>
      <c r="J646" s="10">
        <v>0.11951695174621101</v>
      </c>
      <c r="K646" s="10">
        <v>-0.10303752100000001</v>
      </c>
      <c r="L646" s="10">
        <v>6.8702737E-2</v>
      </c>
      <c r="M646" s="10">
        <v>-0.381086535</v>
      </c>
      <c r="N646" s="10">
        <v>-0.33448863099999998</v>
      </c>
      <c r="O646" s="9">
        <v>-0.18747748750000001</v>
      </c>
      <c r="P646" s="10">
        <v>0.209646651101662</v>
      </c>
      <c r="Q646" s="10">
        <v>4.3951718318142097E-2</v>
      </c>
    </row>
    <row r="647" spans="1:17" x14ac:dyDescent="0.2">
      <c r="A647" s="10">
        <v>1653</v>
      </c>
      <c r="B647" s="10" t="s">
        <v>74</v>
      </c>
      <c r="C647" s="9" t="s">
        <v>666</v>
      </c>
      <c r="D647" s="10">
        <v>-1.1660506749999999</v>
      </c>
      <c r="E647" s="10">
        <v>-0.85051295900000001</v>
      </c>
      <c r="F647" s="10">
        <v>-0.43720308800000002</v>
      </c>
      <c r="G647" s="10">
        <v>-0.64866160299999998</v>
      </c>
      <c r="H647" s="9">
        <v>-0.77560708150000002</v>
      </c>
      <c r="I647" s="10">
        <v>0.31020934195989802</v>
      </c>
      <c r="J647" s="10">
        <v>9.6229835839193298E-2</v>
      </c>
      <c r="K647" s="10">
        <v>-0.246889894</v>
      </c>
      <c r="L647" s="10">
        <v>-0.60756247699999999</v>
      </c>
      <c r="M647" s="10">
        <v>-0.19440753199999999</v>
      </c>
      <c r="N647" s="10">
        <v>-5.4882721000000002E-2</v>
      </c>
      <c r="O647" s="9">
        <v>-0.27593565624999999</v>
      </c>
      <c r="P647" s="10">
        <v>0.23546495830717501</v>
      </c>
      <c r="Q647" s="10">
        <v>5.5443746590600002E-2</v>
      </c>
    </row>
    <row r="648" spans="1:17" x14ac:dyDescent="0.2">
      <c r="A648" s="10">
        <v>1654</v>
      </c>
      <c r="B648" s="10" t="s">
        <v>2831</v>
      </c>
      <c r="C648" s="9" t="s">
        <v>667</v>
      </c>
      <c r="D648" s="10">
        <v>-1.309702607</v>
      </c>
      <c r="E648" s="10">
        <v>-2.1050747940000001</v>
      </c>
      <c r="F648" s="10">
        <v>-1.801748205</v>
      </c>
      <c r="G648" s="10">
        <v>-0.85944769499999996</v>
      </c>
      <c r="H648" s="9">
        <v>-1.5189933252500001</v>
      </c>
      <c r="I648" s="10">
        <v>0.54840521914671303</v>
      </c>
      <c r="J648" s="10">
        <v>0.30074828438735401</v>
      </c>
      <c r="K648" s="10">
        <v>-0.44907296800000002</v>
      </c>
      <c r="L648" s="10">
        <v>-0.17524158500000001</v>
      </c>
      <c r="M648" s="10">
        <v>-0.35372521499999998</v>
      </c>
      <c r="N648" s="10">
        <v>-0.345974903</v>
      </c>
      <c r="O648" s="9">
        <v>-0.33100366749999999</v>
      </c>
      <c r="P648" s="10">
        <v>0.11393359568697201</v>
      </c>
      <c r="Q648" s="10">
        <v>1.29808642261624E-2</v>
      </c>
    </row>
    <row r="649" spans="1:17" x14ac:dyDescent="0.2">
      <c r="A649" s="10">
        <v>1654</v>
      </c>
      <c r="B649" s="10" t="s">
        <v>2823</v>
      </c>
      <c r="C649" s="9" t="s">
        <v>668</v>
      </c>
      <c r="D649" s="10">
        <v>-0.92547379299999999</v>
      </c>
      <c r="E649" s="10">
        <v>-0.41634041500000002</v>
      </c>
      <c r="F649" s="10">
        <v>-0.48486724399999998</v>
      </c>
      <c r="G649" s="10">
        <v>-0.52807810899999996</v>
      </c>
      <c r="H649" s="9">
        <v>-0.58868989024999996</v>
      </c>
      <c r="I649" s="10">
        <v>0.22918745506035099</v>
      </c>
      <c r="J649" s="10">
        <v>5.2526889557040699E-2</v>
      </c>
      <c r="K649" s="10">
        <v>-0.114409992</v>
      </c>
      <c r="L649" s="10">
        <v>-0.14199653200000001</v>
      </c>
      <c r="M649" s="10">
        <v>-0.14307663300000001</v>
      </c>
      <c r="N649" s="10">
        <v>-0.11418776999999999</v>
      </c>
      <c r="O649" s="9">
        <v>-0.12841773175000001</v>
      </c>
      <c r="P649" s="10">
        <v>1.6309258989878901E-2</v>
      </c>
      <c r="Q649" s="10">
        <v>2.6599192879890002E-4</v>
      </c>
    </row>
    <row r="650" spans="1:17" x14ac:dyDescent="0.2">
      <c r="A650" s="10">
        <v>1654</v>
      </c>
      <c r="B650" s="10" t="s">
        <v>2821</v>
      </c>
      <c r="C650" s="9" t="s">
        <v>669</v>
      </c>
      <c r="D650" s="10">
        <v>-0.171036676</v>
      </c>
      <c r="E650" s="10">
        <v>0.52044330400000005</v>
      </c>
      <c r="F650" s="10">
        <v>-4.9803115000000002E-2</v>
      </c>
      <c r="G650" s="10">
        <v>-6.6131569000000001E-2</v>
      </c>
      <c r="H650" s="9">
        <v>5.8367985999999997E-2</v>
      </c>
      <c r="I650" s="10">
        <v>0.31269859009323198</v>
      </c>
      <c r="J650" s="10">
        <v>9.7780408246295206E-2</v>
      </c>
      <c r="K650" s="10">
        <v>0.51261907799999995</v>
      </c>
      <c r="L650" s="10">
        <v>0.117023423</v>
      </c>
      <c r="M650" s="10">
        <v>-0.62012985399999998</v>
      </c>
      <c r="N650" s="10">
        <v>-0.361625156</v>
      </c>
      <c r="O650" s="9">
        <v>-8.8028127250000004E-2</v>
      </c>
      <c r="P650" s="10">
        <v>0.50359070192161803</v>
      </c>
      <c r="Q650" s="10">
        <v>0.25360359506190699</v>
      </c>
    </row>
    <row r="651" spans="1:17" x14ac:dyDescent="0.2">
      <c r="A651" s="10">
        <v>1654</v>
      </c>
      <c r="B651" s="10" t="s">
        <v>82</v>
      </c>
      <c r="C651" s="9" t="s">
        <v>670</v>
      </c>
      <c r="D651" s="10">
        <v>0.54249650699999996</v>
      </c>
      <c r="E651" s="10">
        <v>0.40910815499999997</v>
      </c>
      <c r="F651" s="10">
        <v>-0.22741118399999999</v>
      </c>
      <c r="G651" s="10">
        <v>-0.283796879</v>
      </c>
      <c r="H651" s="9">
        <v>0.11009915000000001</v>
      </c>
      <c r="I651" s="10">
        <v>0.42639620332519901</v>
      </c>
      <c r="J651" s="10">
        <v>0.181813722210145</v>
      </c>
      <c r="K651" s="10">
        <v>1.1391620229999999</v>
      </c>
      <c r="L651" s="10">
        <v>-0.46912474799999998</v>
      </c>
      <c r="M651" s="10">
        <v>-0.63837769</v>
      </c>
      <c r="N651" s="10">
        <v>4.2792585000000001E-2</v>
      </c>
      <c r="O651" s="9">
        <v>1.86130425E-2</v>
      </c>
      <c r="P651" s="10">
        <v>0.80119486661024097</v>
      </c>
      <c r="Q651" s="10">
        <v>0.64191321428260195</v>
      </c>
    </row>
    <row r="652" spans="1:17" x14ac:dyDescent="0.2">
      <c r="A652" s="10">
        <v>1654</v>
      </c>
      <c r="B652" s="10" t="s">
        <v>2825</v>
      </c>
      <c r="C652" s="9" t="s">
        <v>671</v>
      </c>
      <c r="D652" s="10">
        <v>0.37782299699999999</v>
      </c>
      <c r="E652" s="10">
        <v>-0.91785568100000003</v>
      </c>
      <c r="F652" s="10">
        <v>-0.59817498400000002</v>
      </c>
      <c r="G652" s="10">
        <v>-9.1070045000000002E-2</v>
      </c>
      <c r="H652" s="9">
        <v>-0.30731942825000003</v>
      </c>
      <c r="I652" s="10">
        <v>0.56965937449968296</v>
      </c>
      <c r="J652" s="10">
        <v>0.32451180295537002</v>
      </c>
      <c r="K652" s="10">
        <v>-0.43912507200000001</v>
      </c>
      <c r="L652" s="10">
        <v>0.25509219100000002</v>
      </c>
      <c r="M652" s="10">
        <v>-0.35869340100000002</v>
      </c>
      <c r="N652" s="10">
        <v>0.58606025900000003</v>
      </c>
      <c r="O652" s="9">
        <v>1.0833494250000001E-2</v>
      </c>
      <c r="P652" s="10">
        <v>0.49313993263495298</v>
      </c>
      <c r="Q652" s="10">
        <v>0.243186993159206</v>
      </c>
    </row>
    <row r="653" spans="1:17" x14ac:dyDescent="0.2">
      <c r="A653" s="10">
        <v>1654</v>
      </c>
      <c r="B653" s="10" t="s">
        <v>74</v>
      </c>
      <c r="C653" s="9" t="s">
        <v>672</v>
      </c>
      <c r="D653" s="10">
        <v>9.5688458000000004E-2</v>
      </c>
      <c r="E653" s="10">
        <v>-0.31338612100000002</v>
      </c>
      <c r="F653" s="10">
        <v>-0.30348453199999997</v>
      </c>
      <c r="G653" s="10">
        <v>-0.472101453</v>
      </c>
      <c r="H653" s="9">
        <v>-0.248320912</v>
      </c>
      <c r="I653" s="10">
        <v>0.242003225578894</v>
      </c>
      <c r="J653" s="10">
        <v>5.8565561190589199E-2</v>
      </c>
      <c r="K653" s="10">
        <v>-0.51736618599999995</v>
      </c>
      <c r="L653" s="10">
        <v>0.24066069600000001</v>
      </c>
      <c r="M653" s="10">
        <v>-0.78033506900000005</v>
      </c>
      <c r="N653" s="10">
        <v>-0.30846102800000003</v>
      </c>
      <c r="O653" s="9">
        <v>-0.34137539700000002</v>
      </c>
      <c r="P653" s="10">
        <v>0.433400400206153</v>
      </c>
      <c r="Q653" s="10">
        <v>0.18783590689885399</v>
      </c>
    </row>
    <row r="654" spans="1:17" x14ac:dyDescent="0.2">
      <c r="A654" s="10">
        <v>1654</v>
      </c>
      <c r="B654" s="10" t="s">
        <v>2818</v>
      </c>
      <c r="C654" s="9" t="s">
        <v>673</v>
      </c>
      <c r="D654" s="10">
        <v>-0.44179576700000001</v>
      </c>
      <c r="E654" s="10">
        <v>0.34310431400000002</v>
      </c>
      <c r="F654" s="10">
        <v>7.7561489999999997E-2</v>
      </c>
      <c r="G654" s="10">
        <v>-0.38954138199999999</v>
      </c>
      <c r="H654" s="9">
        <v>-0.10266783625000001</v>
      </c>
      <c r="I654" s="10">
        <v>0.37793280030758097</v>
      </c>
      <c r="J654" s="10">
        <v>0.14283320154833001</v>
      </c>
      <c r="K654" s="10">
        <v>-0.14614781499999999</v>
      </c>
      <c r="L654" s="10">
        <v>-5.6071687000000002E-2</v>
      </c>
      <c r="M654" s="10">
        <v>-0.21780337799999999</v>
      </c>
      <c r="N654" s="10">
        <v>-8.8518568000000006E-2</v>
      </c>
      <c r="O654" s="9">
        <v>-0.127135362</v>
      </c>
      <c r="P654" s="10">
        <v>7.1001091958263804E-2</v>
      </c>
      <c r="Q654" s="10">
        <v>5.0411550592658E-3</v>
      </c>
    </row>
    <row r="655" spans="1:17" x14ac:dyDescent="0.2">
      <c r="A655" s="10">
        <v>1655</v>
      </c>
      <c r="B655" s="10" t="s">
        <v>2831</v>
      </c>
      <c r="C655" s="9" t="s">
        <v>674</v>
      </c>
      <c r="D655" s="10">
        <v>-1.4207919760000001</v>
      </c>
      <c r="E655" s="10">
        <v>0.484491636</v>
      </c>
      <c r="F655" s="10">
        <v>-1.378018623</v>
      </c>
      <c r="G655" s="10">
        <v>-0.40508745499999999</v>
      </c>
      <c r="H655" s="9">
        <v>-0.67985160450000004</v>
      </c>
      <c r="I655" s="10">
        <v>0.90693997217534295</v>
      </c>
      <c r="J655" s="10">
        <v>0.822540113129412</v>
      </c>
      <c r="K655" s="10">
        <v>-1.9041746589999999</v>
      </c>
      <c r="L655" s="10">
        <v>0.87495823100000003</v>
      </c>
      <c r="M655" s="10">
        <v>0.160799886</v>
      </c>
      <c r="N655" s="10">
        <v>4.9753774000000001E-2</v>
      </c>
      <c r="O655" s="9">
        <v>-0.20466569200000001</v>
      </c>
      <c r="P655" s="10">
        <v>1.19054789871581</v>
      </c>
      <c r="Q655" s="10">
        <v>1.41740429913663</v>
      </c>
    </row>
    <row r="656" spans="1:17" x14ac:dyDescent="0.2">
      <c r="A656" s="10">
        <v>1655</v>
      </c>
      <c r="B656" s="10" t="s">
        <v>2822</v>
      </c>
      <c r="C656" s="9" t="s">
        <v>675</v>
      </c>
      <c r="D656" s="10">
        <v>-1.7155797290000001</v>
      </c>
      <c r="E656" s="10">
        <v>-0.30531178399999997</v>
      </c>
      <c r="F656" s="10">
        <v>-1.3176851890000001</v>
      </c>
      <c r="G656" s="10">
        <v>-1.703595695</v>
      </c>
      <c r="H656" s="9">
        <v>-1.2605430995</v>
      </c>
      <c r="I656" s="10">
        <v>0.663095272458464</v>
      </c>
      <c r="J656" s="10">
        <v>0.439695340356764</v>
      </c>
      <c r="K656" s="10">
        <v>-0.214441141</v>
      </c>
      <c r="L656" s="10">
        <v>0.14652799999999999</v>
      </c>
      <c r="M656" s="10">
        <v>0.44614811900000001</v>
      </c>
      <c r="N656" s="10">
        <v>-0.67731451600000003</v>
      </c>
      <c r="O656" s="9">
        <v>-7.4769884499999995E-2</v>
      </c>
      <c r="P656" s="10">
        <v>0.48404421729712499</v>
      </c>
      <c r="Q656" s="10">
        <v>0.23429880429878699</v>
      </c>
    </row>
    <row r="657" spans="1:17" x14ac:dyDescent="0.2">
      <c r="A657" s="10">
        <v>1655</v>
      </c>
      <c r="B657" s="10" t="s">
        <v>2821</v>
      </c>
      <c r="C657" s="9" t="s">
        <v>676</v>
      </c>
      <c r="D657" s="10">
        <v>-0.93680790700000005</v>
      </c>
      <c r="E657" s="10">
        <v>-0.83963362100000005</v>
      </c>
      <c r="F657" s="10">
        <v>7.7497970000000001E-3</v>
      </c>
      <c r="G657" s="10">
        <v>-0.23196086699999999</v>
      </c>
      <c r="H657" s="9">
        <v>-0.50016314925000005</v>
      </c>
      <c r="I657" s="10">
        <v>0.460364663729811</v>
      </c>
      <c r="J657" s="10">
        <v>0.211935623611062</v>
      </c>
      <c r="K657" s="10">
        <v>-0.43181241799999998</v>
      </c>
      <c r="L657" s="10">
        <v>-0.107266098</v>
      </c>
      <c r="M657" s="10">
        <v>-2.6555030049999999</v>
      </c>
      <c r="N657" s="10">
        <v>-0.71206528999999996</v>
      </c>
      <c r="O657" s="9">
        <v>-0.97666170274999997</v>
      </c>
      <c r="P657" s="10">
        <v>1.14618626183121</v>
      </c>
      <c r="Q657" s="10">
        <v>1.3137429468106101</v>
      </c>
    </row>
    <row r="658" spans="1:17" x14ac:dyDescent="0.2">
      <c r="A658" s="10">
        <v>1655</v>
      </c>
      <c r="B658" s="10" t="s">
        <v>82</v>
      </c>
      <c r="C658" s="9" t="s">
        <v>677</v>
      </c>
      <c r="D658" s="10">
        <v>-1.267777814</v>
      </c>
      <c r="E658" s="10">
        <v>-0.243496295</v>
      </c>
      <c r="F658" s="10">
        <v>-0.77242924300000004</v>
      </c>
      <c r="G658" s="10">
        <v>-1.2161231990000001</v>
      </c>
      <c r="H658" s="9">
        <v>-0.87495663749999997</v>
      </c>
      <c r="I658" s="10">
        <v>0.47608022088920798</v>
      </c>
      <c r="J658" s="10">
        <v>0.22665237672191699</v>
      </c>
      <c r="K658" s="10">
        <v>-8.9045666999999995E-2</v>
      </c>
      <c r="L658" s="10">
        <v>-0.17930486200000001</v>
      </c>
      <c r="M658" s="10">
        <v>-0.37581842700000001</v>
      </c>
      <c r="N658" s="10">
        <v>-9.5733732000000002E-2</v>
      </c>
      <c r="O658" s="9">
        <v>-0.18497567174999999</v>
      </c>
      <c r="P658" s="10">
        <v>0.13369094326880601</v>
      </c>
      <c r="Q658" s="10">
        <v>1.7873268312103199E-2</v>
      </c>
    </row>
    <row r="659" spans="1:17" x14ac:dyDescent="0.2">
      <c r="A659" s="10">
        <v>1655</v>
      </c>
      <c r="B659" s="10" t="s">
        <v>2814</v>
      </c>
      <c r="C659" s="9" t="s">
        <v>678</v>
      </c>
      <c r="D659" s="10">
        <v>-0.59426319900000002</v>
      </c>
      <c r="E659" s="10">
        <v>-1.1488157670000001</v>
      </c>
      <c r="F659" s="10">
        <v>-0.85940422900000002</v>
      </c>
      <c r="G659" s="10">
        <v>-1.313936596</v>
      </c>
      <c r="H659" s="9">
        <v>-0.97910494775000001</v>
      </c>
      <c r="I659" s="10">
        <v>0.31798607332740297</v>
      </c>
      <c r="J659" s="10">
        <v>0.10111514283018</v>
      </c>
      <c r="K659" s="10">
        <v>-0.52218797900000002</v>
      </c>
      <c r="L659" s="10">
        <v>0.26248981999999998</v>
      </c>
      <c r="M659" s="10">
        <v>-0.369855341</v>
      </c>
      <c r="N659" s="10">
        <v>-0.23380394199999999</v>
      </c>
      <c r="O659" s="9">
        <v>-0.21583936049999999</v>
      </c>
      <c r="P659" s="10">
        <v>0.33994702009406602</v>
      </c>
      <c r="Q659" s="10">
        <v>0.11556397647083499</v>
      </c>
    </row>
    <row r="660" spans="1:17" x14ac:dyDescent="0.2">
      <c r="A660" s="10">
        <v>1655</v>
      </c>
      <c r="B660" s="10" t="s">
        <v>2818</v>
      </c>
      <c r="C660" s="9" t="s">
        <v>679</v>
      </c>
      <c r="D660" s="10">
        <v>0.14322405899999999</v>
      </c>
      <c r="E660" s="10">
        <v>-0.50853148000000004</v>
      </c>
      <c r="F660" s="10">
        <v>-0.61066710800000001</v>
      </c>
      <c r="G660" s="10">
        <v>-0.86695482199999996</v>
      </c>
      <c r="H660" s="9">
        <v>-0.46073233749999998</v>
      </c>
      <c r="I660" s="10">
        <v>0.42994000713868602</v>
      </c>
      <c r="J660" s="10">
        <v>0.18484840973841299</v>
      </c>
      <c r="K660" s="10">
        <v>0.380106426</v>
      </c>
      <c r="L660" s="10">
        <v>0.48438194000000001</v>
      </c>
      <c r="M660" s="10">
        <v>-1.1076257899999999</v>
      </c>
      <c r="N660" s="10">
        <v>-4.2156786000000002E-2</v>
      </c>
      <c r="O660" s="9">
        <v>-7.1323552250000005E-2</v>
      </c>
      <c r="P660" s="10">
        <v>0.72740879098316003</v>
      </c>
      <c r="Q660" s="10">
        <v>0.52912354919958304</v>
      </c>
    </row>
    <row r="661" spans="1:17" x14ac:dyDescent="0.2">
      <c r="A661" s="10">
        <v>1655</v>
      </c>
      <c r="B661" s="10" t="s">
        <v>2832</v>
      </c>
      <c r="C661" s="9" t="s">
        <v>2525</v>
      </c>
      <c r="D661" s="10">
        <v>-1.059256263</v>
      </c>
      <c r="E661" s="10">
        <v>-0.40792031200000001</v>
      </c>
      <c r="F661" s="10">
        <v>-0.84230965899999999</v>
      </c>
      <c r="G661" s="10">
        <v>-0.129923919</v>
      </c>
      <c r="H661" s="9">
        <v>-0.60985253800000006</v>
      </c>
      <c r="I661" s="10">
        <v>0.419169068666429</v>
      </c>
      <c r="J661" s="10">
        <v>0.17570270812668201</v>
      </c>
      <c r="K661" s="10">
        <v>-1.323193761</v>
      </c>
      <c r="L661" s="10">
        <v>-1.1585693859999999</v>
      </c>
      <c r="M661" s="10">
        <v>-0.23166120800000001</v>
      </c>
      <c r="N661" s="10">
        <v>-0.94444003700000001</v>
      </c>
      <c r="O661" s="9">
        <v>-0.91446609825000003</v>
      </c>
      <c r="P661" s="10">
        <v>0.48089003335514502</v>
      </c>
      <c r="Q661" s="10">
        <v>0.231255224180313</v>
      </c>
    </row>
    <row r="662" spans="1:17" x14ac:dyDescent="0.2">
      <c r="A662" s="10">
        <v>1656</v>
      </c>
      <c r="B662" s="10" t="s">
        <v>2831</v>
      </c>
      <c r="C662" s="9" t="s">
        <v>680</v>
      </c>
      <c r="D662" s="10">
        <v>-0.83520246099999995</v>
      </c>
      <c r="E662" s="10">
        <v>-0.46199566399999997</v>
      </c>
      <c r="F662" s="10">
        <v>0.26005478999999998</v>
      </c>
      <c r="G662" s="10">
        <v>-0.87395086399999999</v>
      </c>
      <c r="H662" s="9">
        <v>-0.47777354950000001</v>
      </c>
      <c r="I662" s="10">
        <v>0.52578560001223695</v>
      </c>
      <c r="J662" s="10">
        <v>0.27645049718022802</v>
      </c>
      <c r="K662" s="10">
        <v>-0.66817615900000005</v>
      </c>
      <c r="L662" s="10">
        <v>-0.67022868099999999</v>
      </c>
      <c r="M662" s="10">
        <v>-2.0121761349999998</v>
      </c>
      <c r="N662" s="10">
        <v>0.318515889</v>
      </c>
      <c r="O662" s="9">
        <v>-0.75801627174999997</v>
      </c>
      <c r="P662" s="10">
        <v>0.95701207980271297</v>
      </c>
      <c r="Q662" s="10">
        <v>0.91587212088831405</v>
      </c>
    </row>
    <row r="663" spans="1:17" x14ac:dyDescent="0.2">
      <c r="A663" s="10">
        <v>1656</v>
      </c>
      <c r="B663" s="10" t="s">
        <v>2822</v>
      </c>
      <c r="C663" s="9" t="s">
        <v>681</v>
      </c>
      <c r="D663" s="10">
        <v>-3.7696108999999998E-2</v>
      </c>
      <c r="E663" s="10">
        <v>-4.0429608999999998E-2</v>
      </c>
      <c r="F663" s="10">
        <v>0.105846554</v>
      </c>
      <c r="G663" s="10">
        <v>-6.2485048000000001E-2</v>
      </c>
      <c r="H663" s="9">
        <v>-8.6910530000000007E-3</v>
      </c>
      <c r="I663" s="10">
        <v>7.71606258093568E-2</v>
      </c>
      <c r="J663" s="10">
        <v>5.9537621752914997E-3</v>
      </c>
      <c r="K663" s="10">
        <v>1.3999282E-2</v>
      </c>
      <c r="L663" s="10">
        <v>-0.102195413</v>
      </c>
      <c r="M663" s="10">
        <v>-0.200610804</v>
      </c>
      <c r="N663" s="10">
        <v>-0.121641291</v>
      </c>
      <c r="O663" s="9">
        <v>-0.10261205675</v>
      </c>
      <c r="P663" s="10">
        <v>8.8627016452457297E-2</v>
      </c>
      <c r="Q663" s="10">
        <v>7.8547480452640997E-3</v>
      </c>
    </row>
    <row r="664" spans="1:17" x14ac:dyDescent="0.2">
      <c r="A664" s="10">
        <v>1656</v>
      </c>
      <c r="B664" s="10" t="s">
        <v>96</v>
      </c>
      <c r="C664" s="9" t="s">
        <v>682</v>
      </c>
      <c r="D664" s="10">
        <v>-0.38187397200000001</v>
      </c>
      <c r="E664" s="10">
        <v>4.5841606999999999E-2</v>
      </c>
      <c r="F664" s="10">
        <v>-0.43621048699999998</v>
      </c>
      <c r="G664" s="10">
        <v>-0.10398783</v>
      </c>
      <c r="H664" s="9">
        <v>-0.2190576705</v>
      </c>
      <c r="I664" s="10">
        <v>0.22882102843396901</v>
      </c>
      <c r="J664" s="10">
        <v>5.2359063053579603E-2</v>
      </c>
      <c r="K664" s="10">
        <v>-0.42080402</v>
      </c>
      <c r="L664" s="10">
        <v>0.234715173</v>
      </c>
      <c r="M664" s="10">
        <v>-0.710855232</v>
      </c>
      <c r="N664" s="10">
        <v>-1.8289768000000001E-2</v>
      </c>
      <c r="O664" s="9">
        <v>-0.22880846175</v>
      </c>
      <c r="P664" s="10">
        <v>0.41968387447627098</v>
      </c>
      <c r="Q664" s="10">
        <v>0.17613455449541399</v>
      </c>
    </row>
    <row r="665" spans="1:17" x14ac:dyDescent="0.2">
      <c r="A665" s="10">
        <v>1656</v>
      </c>
      <c r="B665" s="10" t="s">
        <v>2823</v>
      </c>
      <c r="C665" s="9" t="s">
        <v>683</v>
      </c>
      <c r="D665" s="10">
        <v>-0.73763814699999997</v>
      </c>
      <c r="E665" s="10">
        <v>-0.68931121100000003</v>
      </c>
      <c r="F665" s="10">
        <v>-9.3358829000000004E-2</v>
      </c>
      <c r="G665" s="10">
        <v>-1.9031026069999999</v>
      </c>
      <c r="H665" s="9">
        <v>-0.85585269824999999</v>
      </c>
      <c r="I665" s="10">
        <v>0.75715256479422</v>
      </c>
      <c r="J665" s="10">
        <v>0.57328000637446597</v>
      </c>
      <c r="K665" s="10">
        <v>-0.29517880299999999</v>
      </c>
      <c r="L665" s="10">
        <v>-0.124122669</v>
      </c>
      <c r="M665" s="10">
        <v>-1.064937837</v>
      </c>
      <c r="N665" s="10">
        <v>-0.35163470699999999</v>
      </c>
      <c r="O665" s="9">
        <v>-0.458968504</v>
      </c>
      <c r="P665" s="10">
        <v>0.41539867432199701</v>
      </c>
      <c r="Q665" s="10">
        <v>0.17255605862847201</v>
      </c>
    </row>
    <row r="666" spans="1:17" x14ac:dyDescent="0.2">
      <c r="A666" s="10">
        <v>1656</v>
      </c>
      <c r="B666" s="10" t="s">
        <v>2819</v>
      </c>
      <c r="C666" s="9" t="s">
        <v>684</v>
      </c>
      <c r="D666" s="10">
        <v>-2.6036361289999999</v>
      </c>
      <c r="E666" s="10">
        <v>0.24071989899999999</v>
      </c>
      <c r="F666" s="10">
        <v>-0.26669675799999998</v>
      </c>
      <c r="G666" s="10">
        <v>-1.9189846749999999</v>
      </c>
      <c r="H666" s="9">
        <v>-1.1371494157499999</v>
      </c>
      <c r="I666" s="10">
        <v>1.3438826003609801</v>
      </c>
      <c r="J666" s="10">
        <v>1.8060204435529901</v>
      </c>
      <c r="K666" s="10">
        <v>-0.124742267</v>
      </c>
      <c r="L666" s="10">
        <v>0.279149863</v>
      </c>
      <c r="M666" s="10">
        <v>-0.10698713</v>
      </c>
      <c r="N666" s="10">
        <v>0.36465923700000002</v>
      </c>
      <c r="O666" s="9">
        <v>0.1030199255</v>
      </c>
      <c r="P666" s="10">
        <v>0.25524854808476</v>
      </c>
      <c r="Q666" s="10">
        <v>6.5151821299378299E-2</v>
      </c>
    </row>
    <row r="667" spans="1:17" x14ac:dyDescent="0.2">
      <c r="A667" s="10">
        <v>1656</v>
      </c>
      <c r="B667" s="10" t="s">
        <v>2834</v>
      </c>
      <c r="C667" s="9" t="s">
        <v>685</v>
      </c>
      <c r="D667" s="10">
        <v>7.4992324999999999E-2</v>
      </c>
      <c r="E667" s="10">
        <v>0.37085071800000002</v>
      </c>
      <c r="F667" s="10">
        <v>-0.620047562</v>
      </c>
      <c r="G667" s="10">
        <v>-0.20276137699999999</v>
      </c>
      <c r="H667" s="9">
        <v>-9.4241474000000006E-2</v>
      </c>
      <c r="I667" s="10">
        <v>0.42158409098238397</v>
      </c>
      <c r="J667" s="10">
        <v>0.17773314576944299</v>
      </c>
      <c r="K667" s="10">
        <v>0.22199321899999999</v>
      </c>
      <c r="L667" s="10">
        <v>-0.277841375</v>
      </c>
      <c r="M667" s="10">
        <v>-0.79684317000000005</v>
      </c>
      <c r="N667" s="10">
        <v>-0.33841030799999999</v>
      </c>
      <c r="O667" s="9">
        <v>-0.29777540824999998</v>
      </c>
      <c r="P667" s="10">
        <v>0.416843942601548</v>
      </c>
      <c r="Q667" s="10">
        <v>0.173758872483602</v>
      </c>
    </row>
    <row r="668" spans="1:17" x14ac:dyDescent="0.2">
      <c r="A668" s="10">
        <v>1656</v>
      </c>
      <c r="B668" s="10" t="s">
        <v>2820</v>
      </c>
      <c r="C668" s="9" t="s">
        <v>686</v>
      </c>
      <c r="D668" s="10">
        <v>-0.91273247999999996</v>
      </c>
      <c r="E668" s="10">
        <v>-0.42518146699999998</v>
      </c>
      <c r="F668" s="10">
        <v>6.3729272000000003E-2</v>
      </c>
      <c r="G668" s="10">
        <v>-0.44695853000000002</v>
      </c>
      <c r="H668" s="9">
        <v>-0.43028580100000002</v>
      </c>
      <c r="I668" s="10">
        <v>0.398793900215476</v>
      </c>
      <c r="J668" s="10">
        <v>0.15903657484907099</v>
      </c>
      <c r="K668" s="10">
        <v>8.0262542000000006E-2</v>
      </c>
      <c r="L668" s="10">
        <v>0.15410726399999999</v>
      </c>
      <c r="M668" s="10">
        <v>-0.411089382</v>
      </c>
      <c r="N668" s="10">
        <v>-0.61430251800000002</v>
      </c>
      <c r="O668" s="9">
        <v>-0.1977555235</v>
      </c>
      <c r="P668" s="10">
        <v>0.37422105756763302</v>
      </c>
      <c r="Q668" s="10">
        <v>0.14004139992703701</v>
      </c>
    </row>
    <row r="669" spans="1:17" x14ac:dyDescent="0.2">
      <c r="A669" s="10">
        <v>1656</v>
      </c>
      <c r="B669" s="10" t="s">
        <v>2824</v>
      </c>
      <c r="C669" s="9" t="s">
        <v>687</v>
      </c>
      <c r="D669" s="10">
        <v>0.156916952</v>
      </c>
      <c r="E669" s="10">
        <v>-0.242209692</v>
      </c>
      <c r="F669" s="10">
        <v>-0.16934954299999999</v>
      </c>
      <c r="G669" s="10">
        <v>6.1160996000000002E-2</v>
      </c>
      <c r="H669" s="9">
        <v>-4.837032175E-2</v>
      </c>
      <c r="I669" s="10">
        <v>0.188281392039443</v>
      </c>
      <c r="J669" s="10">
        <v>3.5449882588310597E-2</v>
      </c>
      <c r="K669" s="10">
        <v>-0.20121783500000001</v>
      </c>
      <c r="L669" s="10">
        <v>-0.16103916200000001</v>
      </c>
      <c r="M669" s="10">
        <v>0.119765949</v>
      </c>
      <c r="N669" s="10">
        <v>0.216654444</v>
      </c>
      <c r="O669" s="9">
        <v>-6.4591512499999996E-3</v>
      </c>
      <c r="P669" s="10">
        <v>0.206186304862055</v>
      </c>
      <c r="Q669" s="10">
        <v>4.25127923126686E-2</v>
      </c>
    </row>
    <row r="670" spans="1:17" x14ac:dyDescent="0.2">
      <c r="A670" s="10">
        <v>1656</v>
      </c>
      <c r="B670" s="10" t="s">
        <v>2817</v>
      </c>
      <c r="C670" s="9" t="s">
        <v>688</v>
      </c>
      <c r="D670" s="10">
        <v>-0.31728225500000001</v>
      </c>
      <c r="E670" s="10">
        <v>6.656609E-3</v>
      </c>
      <c r="F670" s="10">
        <v>8.5899200999999994E-2</v>
      </c>
      <c r="G670" s="10">
        <v>-0.37988829000000002</v>
      </c>
      <c r="H670" s="9">
        <v>-0.15115368374999999</v>
      </c>
      <c r="I670" s="10">
        <v>0.231672456245195</v>
      </c>
      <c r="J670" s="10">
        <v>5.3672126982682103E-2</v>
      </c>
      <c r="K670" s="10">
        <v>5.2162390000000001E-3</v>
      </c>
      <c r="L670" s="10">
        <v>-7.1651621999999998E-2</v>
      </c>
      <c r="M670" s="10">
        <v>-0.11171531</v>
      </c>
      <c r="N670" s="10">
        <v>0.320426247</v>
      </c>
      <c r="O670" s="9">
        <v>3.55688885E-2</v>
      </c>
      <c r="P670" s="10">
        <v>0.196004992302862</v>
      </c>
      <c r="Q670" s="10">
        <v>3.8417957007645102E-2</v>
      </c>
    </row>
    <row r="671" spans="1:17" x14ac:dyDescent="0.2">
      <c r="A671" s="10">
        <v>1656</v>
      </c>
      <c r="B671" s="10" t="s">
        <v>2814</v>
      </c>
      <c r="C671" s="9" t="s">
        <v>689</v>
      </c>
      <c r="D671" s="10">
        <v>0.207586523</v>
      </c>
      <c r="E671" s="10">
        <v>-0.83977222500000004</v>
      </c>
      <c r="F671" s="10">
        <v>-0.96166785700000001</v>
      </c>
      <c r="G671" s="10">
        <v>-1.1883951740000001</v>
      </c>
      <c r="H671" s="9">
        <v>-0.69556218324999997</v>
      </c>
      <c r="I671" s="10">
        <v>0.61918513874180203</v>
      </c>
      <c r="J671" s="10">
        <v>0.38339023603870498</v>
      </c>
      <c r="K671" s="10">
        <v>0.79249587700000002</v>
      </c>
      <c r="L671" s="10">
        <v>-0.92797532999999999</v>
      </c>
      <c r="M671" s="10">
        <v>-6.0786323000000003E-2</v>
      </c>
      <c r="N671" s="10">
        <v>0.74090199899999998</v>
      </c>
      <c r="O671" s="9">
        <v>0.13615905575000001</v>
      </c>
      <c r="P671" s="10">
        <v>0.80986861557615997</v>
      </c>
      <c r="Q671" s="10">
        <v>0.65588717449524603</v>
      </c>
    </row>
    <row r="672" spans="1:17" x14ac:dyDescent="0.2">
      <c r="A672" s="10">
        <v>1656</v>
      </c>
      <c r="B672" s="10" t="s">
        <v>74</v>
      </c>
      <c r="C672" s="9" t="s">
        <v>690</v>
      </c>
      <c r="D672" s="10">
        <v>-0.152999206</v>
      </c>
      <c r="E672" s="10">
        <v>-0.174857975</v>
      </c>
      <c r="F672" s="10">
        <v>-0.160079529</v>
      </c>
      <c r="G672" s="10">
        <v>-0.14505209099999999</v>
      </c>
      <c r="H672" s="9">
        <v>-0.15824720025</v>
      </c>
      <c r="I672" s="10">
        <v>1.26613271843934E-2</v>
      </c>
      <c r="J672" s="10">
        <v>1.6030920607019999E-4</v>
      </c>
      <c r="K672" s="10">
        <v>-0.211977369</v>
      </c>
      <c r="L672" s="10">
        <v>-8.8695166000000006E-2</v>
      </c>
      <c r="M672" s="10">
        <v>3.1285379000000002E-2</v>
      </c>
      <c r="N672" s="10">
        <v>-0.213426223</v>
      </c>
      <c r="O672" s="9">
        <v>-0.1207033445</v>
      </c>
      <c r="P672" s="10">
        <v>0.116980874943726</v>
      </c>
      <c r="Q672" s="10">
        <v>1.36845251025998E-2</v>
      </c>
    </row>
    <row r="673" spans="1:17" x14ac:dyDescent="0.2">
      <c r="A673" s="10">
        <v>1656</v>
      </c>
      <c r="B673" s="10" t="s">
        <v>2830</v>
      </c>
      <c r="C673" s="9" t="s">
        <v>691</v>
      </c>
      <c r="D673" s="10">
        <v>0.51229264399999996</v>
      </c>
      <c r="E673" s="10">
        <v>0.792852632</v>
      </c>
      <c r="F673" s="10">
        <v>-0.448171869</v>
      </c>
      <c r="G673" s="10">
        <v>0.281655983</v>
      </c>
      <c r="H673" s="9">
        <v>0.28465734749999999</v>
      </c>
      <c r="I673" s="10">
        <v>0.53139061092744899</v>
      </c>
      <c r="J673" s="10">
        <v>0.282375981381848</v>
      </c>
      <c r="K673" s="10">
        <v>-0.30849628800000001</v>
      </c>
      <c r="L673" s="10">
        <v>-0.79966045600000002</v>
      </c>
      <c r="M673" s="10">
        <v>0.393180892</v>
      </c>
      <c r="N673" s="10">
        <v>-0.13541458200000001</v>
      </c>
      <c r="O673" s="9">
        <v>-0.21259760850000001</v>
      </c>
      <c r="P673" s="10">
        <v>0.49219378124622798</v>
      </c>
      <c r="Q673" s="10">
        <v>0.24225471829746001</v>
      </c>
    </row>
    <row r="674" spans="1:17" x14ac:dyDescent="0.2">
      <c r="A674" s="10">
        <v>1656</v>
      </c>
      <c r="B674" s="10" t="s">
        <v>2832</v>
      </c>
      <c r="C674" s="9" t="s">
        <v>2524</v>
      </c>
      <c r="D674" s="10">
        <v>1.3374091029999999</v>
      </c>
      <c r="E674" s="10">
        <v>0.59120848000000004</v>
      </c>
      <c r="F674" s="10">
        <v>-1.2211676659999999</v>
      </c>
      <c r="G674" s="10">
        <v>8.5894076999999999E-2</v>
      </c>
      <c r="H674" s="9">
        <v>0.1983359985</v>
      </c>
      <c r="I674" s="10">
        <v>1.07695096814336</v>
      </c>
      <c r="J674" s="10">
        <v>1.15982338778492</v>
      </c>
      <c r="K674" s="10">
        <v>-0.31486191299999999</v>
      </c>
      <c r="L674" s="10">
        <v>-0.15464398700000001</v>
      </c>
      <c r="M674" s="10">
        <v>1.5905077590000001</v>
      </c>
      <c r="N674" s="10">
        <v>-0.63190684799999997</v>
      </c>
      <c r="O674" s="9">
        <v>0.122273753</v>
      </c>
      <c r="P674" s="10">
        <v>0.99871091922128996</v>
      </c>
      <c r="Q674" s="10">
        <v>0.99742350017183301</v>
      </c>
    </row>
    <row r="675" spans="1:17" x14ac:dyDescent="0.2">
      <c r="A675" s="10">
        <v>1657</v>
      </c>
      <c r="B675" s="10" t="s">
        <v>2831</v>
      </c>
      <c r="C675" s="9" t="s">
        <v>692</v>
      </c>
      <c r="D675" s="10">
        <v>-1.848785388</v>
      </c>
      <c r="E675" s="10">
        <v>-1.051449042</v>
      </c>
      <c r="F675" s="10">
        <v>-0.87047047200000005</v>
      </c>
      <c r="G675" s="10">
        <v>-1.78163352</v>
      </c>
      <c r="H675" s="9">
        <v>-1.3880846055</v>
      </c>
      <c r="I675" s="10">
        <v>0.49945765683461002</v>
      </c>
      <c r="J675" s="10">
        <v>0.24945795097071899</v>
      </c>
      <c r="K675" s="10">
        <v>-0.244657718</v>
      </c>
      <c r="L675" s="10">
        <v>-0.322777435</v>
      </c>
      <c r="M675" s="10">
        <v>-0.24400001800000001</v>
      </c>
      <c r="N675" s="10">
        <v>-0.46570845399999999</v>
      </c>
      <c r="O675" s="9">
        <v>-0.31928590649999999</v>
      </c>
      <c r="P675" s="10">
        <v>0.104385638721173</v>
      </c>
      <c r="Q675" s="10">
        <v>1.08963615712273E-2</v>
      </c>
    </row>
    <row r="676" spans="1:17" x14ac:dyDescent="0.2">
      <c r="A676" s="10">
        <v>1657</v>
      </c>
      <c r="B676" s="10" t="s">
        <v>2822</v>
      </c>
      <c r="C676" s="9" t="s">
        <v>2523</v>
      </c>
      <c r="D676" s="10">
        <v>-6.1515181710000002</v>
      </c>
      <c r="E676" s="10">
        <v>0.15659271699999999</v>
      </c>
      <c r="F676" s="10">
        <v>-0.23558272699999999</v>
      </c>
      <c r="G676" s="10">
        <v>-0.64368083099999995</v>
      </c>
      <c r="H676" s="9">
        <v>-1.7185472530000001</v>
      </c>
      <c r="I676" s="10">
        <v>2.9733204041633798</v>
      </c>
      <c r="J676" s="10">
        <v>8.8406342258142807</v>
      </c>
      <c r="K676" s="10">
        <v>0.31678497900000002</v>
      </c>
      <c r="L676" s="10">
        <v>5.1380163310000002</v>
      </c>
      <c r="M676" s="10">
        <v>0.25551337899999998</v>
      </c>
      <c r="N676" s="10">
        <v>-1.499686415</v>
      </c>
      <c r="O676" s="9">
        <v>1.0526570685000001</v>
      </c>
      <c r="P676" s="10">
        <v>2.8508222998095398</v>
      </c>
      <c r="Q676" s="10">
        <v>8.1271877850914098</v>
      </c>
    </row>
    <row r="677" spans="1:17" x14ac:dyDescent="0.2">
      <c r="A677" s="10">
        <v>1657</v>
      </c>
      <c r="B677" s="10" t="s">
        <v>2823</v>
      </c>
      <c r="C677" s="9" t="s">
        <v>693</v>
      </c>
      <c r="D677" s="10">
        <v>-1.183746822</v>
      </c>
      <c r="E677" s="10">
        <v>-0.91550811099999996</v>
      </c>
      <c r="F677" s="10">
        <v>-0.55921434199999998</v>
      </c>
      <c r="G677" s="10">
        <v>-1.2121524210000001</v>
      </c>
      <c r="H677" s="9">
        <v>-0.96765542400000004</v>
      </c>
      <c r="I677" s="10">
        <v>0.30332476190273999</v>
      </c>
      <c r="J677" s="10">
        <v>9.2005911183354397E-2</v>
      </c>
      <c r="K677" s="10">
        <v>-7.2034298999999996E-2</v>
      </c>
      <c r="L677" s="10">
        <v>-0.19991197699999999</v>
      </c>
      <c r="M677" s="10">
        <v>2.5102870999999999E-2</v>
      </c>
      <c r="N677" s="10">
        <v>-0.23129133800000001</v>
      </c>
      <c r="O677" s="9">
        <v>-0.11953368574999999</v>
      </c>
      <c r="P677" s="10">
        <v>0.118499462489391</v>
      </c>
      <c r="Q677" s="10">
        <v>1.4042122610274601E-2</v>
      </c>
    </row>
    <row r="678" spans="1:17" x14ac:dyDescent="0.2">
      <c r="A678" s="10">
        <v>1657</v>
      </c>
      <c r="B678" s="10" t="s">
        <v>2819</v>
      </c>
      <c r="C678" s="9" t="s">
        <v>694</v>
      </c>
      <c r="D678" s="10">
        <v>-1.6100106279999999</v>
      </c>
      <c r="E678" s="10">
        <v>-1.260622788</v>
      </c>
      <c r="F678" s="10">
        <v>-1.107705484</v>
      </c>
      <c r="G678" s="10">
        <v>-0.83487943899999995</v>
      </c>
      <c r="H678" s="9">
        <v>-1.2033045849999999</v>
      </c>
      <c r="I678" s="10">
        <v>0.32330143732281602</v>
      </c>
      <c r="J678" s="10">
        <v>0.10452381937499799</v>
      </c>
      <c r="K678" s="10">
        <v>-0.31699206800000002</v>
      </c>
      <c r="L678" s="10">
        <v>-0.29202806399999998</v>
      </c>
      <c r="M678" s="10">
        <v>-0.14265636400000001</v>
      </c>
      <c r="N678" s="10">
        <v>-0.40531517500000003</v>
      </c>
      <c r="O678" s="9">
        <v>-0.28924791750000001</v>
      </c>
      <c r="P678" s="10">
        <v>0.10914540595408</v>
      </c>
      <c r="Q678" s="10">
        <v>1.1912719640880901E-2</v>
      </c>
    </row>
    <row r="679" spans="1:17" x14ac:dyDescent="0.2">
      <c r="A679" s="10">
        <v>1657</v>
      </c>
      <c r="B679" s="10" t="s">
        <v>2826</v>
      </c>
      <c r="C679" s="9" t="s">
        <v>695</v>
      </c>
      <c r="D679" s="10">
        <v>0.27521957600000002</v>
      </c>
      <c r="E679" s="10">
        <v>4.2283381000000002E-2</v>
      </c>
      <c r="F679" s="10">
        <v>-0.54856828300000005</v>
      </c>
      <c r="G679" s="10">
        <v>-0.319730238</v>
      </c>
      <c r="H679" s="9">
        <v>-0.13769889099999999</v>
      </c>
      <c r="I679" s="10">
        <v>0.367352849086994</v>
      </c>
      <c r="J679" s="10">
        <v>0.13494811573233201</v>
      </c>
      <c r="K679" s="10">
        <v>-0.35591914400000002</v>
      </c>
      <c r="L679" s="10">
        <v>-0.22822429</v>
      </c>
      <c r="M679" s="10">
        <v>0.112038411</v>
      </c>
      <c r="N679" s="10">
        <v>0.102546886</v>
      </c>
      <c r="O679" s="9">
        <v>-9.2389534250000002E-2</v>
      </c>
      <c r="P679" s="10">
        <v>0.23642470882127201</v>
      </c>
      <c r="Q679" s="10">
        <v>5.5896642941223602E-2</v>
      </c>
    </row>
    <row r="680" spans="1:17" x14ac:dyDescent="0.2">
      <c r="A680" s="10">
        <v>1657</v>
      </c>
      <c r="B680" s="10" t="s">
        <v>2821</v>
      </c>
      <c r="C680" s="9" t="s">
        <v>696</v>
      </c>
      <c r="D680" s="10">
        <v>-0.54725876100000004</v>
      </c>
      <c r="E680" s="10">
        <v>-0.36247920900000002</v>
      </c>
      <c r="F680" s="10">
        <v>-0.26100242800000001</v>
      </c>
      <c r="G680" s="10">
        <v>-0.53812090199999996</v>
      </c>
      <c r="H680" s="9">
        <v>-0.42721532499999998</v>
      </c>
      <c r="I680" s="10">
        <v>0.13967577382434301</v>
      </c>
      <c r="J680" s="10">
        <v>1.9509321793428999E-2</v>
      </c>
      <c r="K680" s="10">
        <v>-0.70974186100000003</v>
      </c>
      <c r="L680" s="10">
        <v>-0.24156782199999999</v>
      </c>
      <c r="M680" s="10">
        <v>7.0548904999999995E-2</v>
      </c>
      <c r="N680" s="10">
        <v>-0.193083115</v>
      </c>
      <c r="O680" s="9">
        <v>-0.26846097325000001</v>
      </c>
      <c r="P680" s="10">
        <v>0.32458259480088097</v>
      </c>
      <c r="Q680" s="10">
        <v>0.10535386084767299</v>
      </c>
    </row>
    <row r="681" spans="1:17" x14ac:dyDescent="0.2">
      <c r="A681" s="10">
        <v>1657</v>
      </c>
      <c r="B681" s="10" t="s">
        <v>79</v>
      </c>
      <c r="C681" s="9" t="s">
        <v>697</v>
      </c>
      <c r="D681" s="10">
        <v>-0.57510441599999995</v>
      </c>
      <c r="E681" s="10">
        <v>-0.13281622700000001</v>
      </c>
      <c r="F681" s="10">
        <v>0.57278269599999998</v>
      </c>
      <c r="G681" s="10">
        <v>-0.38156340900000002</v>
      </c>
      <c r="H681" s="9">
        <v>-0.129175339</v>
      </c>
      <c r="I681" s="10">
        <v>0.50176715003371997</v>
      </c>
      <c r="J681" s="10">
        <v>0.251770272852962</v>
      </c>
      <c r="K681" s="10">
        <v>-0.79336433900000003</v>
      </c>
      <c r="L681" s="10">
        <v>-0.14809576299999999</v>
      </c>
      <c r="M681" s="10">
        <v>-1.4135572350000001</v>
      </c>
      <c r="N681" s="10">
        <v>2.4631551909999998</v>
      </c>
      <c r="O681" s="9">
        <v>2.7034463750000001E-2</v>
      </c>
      <c r="P681" s="10">
        <v>1.7042802422254</v>
      </c>
      <c r="Q681" s="10">
        <v>2.90457114403987</v>
      </c>
    </row>
    <row r="682" spans="1:17" x14ac:dyDescent="0.2">
      <c r="A682" s="10">
        <v>1657</v>
      </c>
      <c r="B682" s="10" t="s">
        <v>2820</v>
      </c>
      <c r="C682" s="9" t="s">
        <v>698</v>
      </c>
      <c r="D682" s="10">
        <v>-1.0093393829999999</v>
      </c>
      <c r="E682" s="10">
        <v>-1.42574567</v>
      </c>
      <c r="F682" s="10">
        <v>-0.66207916700000002</v>
      </c>
      <c r="G682" s="10">
        <v>-0.72762682199999995</v>
      </c>
      <c r="H682" s="9">
        <v>-0.95619776050000005</v>
      </c>
      <c r="I682" s="10">
        <v>0.34739492048049098</v>
      </c>
      <c r="J682" s="10">
        <v>0.12068323077564699</v>
      </c>
      <c r="K682" s="10">
        <v>-0.78064925600000001</v>
      </c>
      <c r="L682" s="10">
        <v>-0.83512980400000003</v>
      </c>
      <c r="M682" s="10">
        <v>0.12737322700000001</v>
      </c>
      <c r="N682" s="10">
        <v>-0.55333678100000006</v>
      </c>
      <c r="O682" s="9">
        <v>-0.51043565375</v>
      </c>
      <c r="P682" s="10">
        <v>0.44237328020966599</v>
      </c>
      <c r="Q682" s="10">
        <v>0.19569411904345901</v>
      </c>
    </row>
    <row r="683" spans="1:17" x14ac:dyDescent="0.2">
      <c r="A683" s="10">
        <v>1657</v>
      </c>
      <c r="B683" s="10" t="s">
        <v>2817</v>
      </c>
      <c r="C683" s="9" t="s">
        <v>699</v>
      </c>
      <c r="D683" s="10">
        <v>-0.53672225399999995</v>
      </c>
      <c r="E683" s="10">
        <v>-0.316533499</v>
      </c>
      <c r="F683" s="10">
        <v>-0.27739873700000001</v>
      </c>
      <c r="G683" s="10">
        <v>0.17269161499999999</v>
      </c>
      <c r="H683" s="9">
        <v>-0.23949071899999999</v>
      </c>
      <c r="I683" s="10">
        <v>0.29755305949189398</v>
      </c>
      <c r="J683" s="10">
        <v>8.8537823212986796E-2</v>
      </c>
      <c r="K683" s="10">
        <v>-0.17128226099999999</v>
      </c>
      <c r="L683" s="10">
        <v>-0.20221942000000001</v>
      </c>
      <c r="M683" s="10">
        <v>-0.25882073300000003</v>
      </c>
      <c r="N683" s="10">
        <v>-0.84209263700000003</v>
      </c>
      <c r="O683" s="9">
        <v>-0.36860376299999997</v>
      </c>
      <c r="P683" s="10">
        <v>0.31773340618871299</v>
      </c>
      <c r="Q683" s="10">
        <v>0.100954517408282</v>
      </c>
    </row>
    <row r="684" spans="1:17" x14ac:dyDescent="0.2">
      <c r="A684" s="10">
        <v>1657</v>
      </c>
      <c r="B684" s="10" t="s">
        <v>2814</v>
      </c>
      <c r="C684" s="9" t="s">
        <v>700</v>
      </c>
      <c r="D684" s="10">
        <v>-0.432455384</v>
      </c>
      <c r="E684" s="10">
        <v>-0.59637596999999998</v>
      </c>
      <c r="F684" s="10">
        <v>-0.82756304000000003</v>
      </c>
      <c r="G684" s="10">
        <v>-8.0552673000000005E-2</v>
      </c>
      <c r="H684" s="9">
        <v>-0.48423676674999999</v>
      </c>
      <c r="I684" s="10">
        <v>0.31416041017052498</v>
      </c>
      <c r="J684" s="10">
        <v>9.8696763318513001E-2</v>
      </c>
      <c r="K684" s="10">
        <v>2.3397332E-2</v>
      </c>
      <c r="L684" s="10">
        <v>-0.10133453100000001</v>
      </c>
      <c r="M684" s="10">
        <v>-0.49838375299999998</v>
      </c>
      <c r="N684" s="10">
        <v>8.498182E-3</v>
      </c>
      <c r="O684" s="9">
        <v>-0.14195569250000001</v>
      </c>
      <c r="P684" s="10">
        <v>0.24404168505725901</v>
      </c>
      <c r="Q684" s="10">
        <v>5.9556344045586601E-2</v>
      </c>
    </row>
    <row r="685" spans="1:17" x14ac:dyDescent="0.2">
      <c r="A685" s="10">
        <v>1657</v>
      </c>
      <c r="B685" s="10" t="s">
        <v>2833</v>
      </c>
      <c r="C685" s="9" t="s">
        <v>701</v>
      </c>
      <c r="D685" s="10">
        <v>-0.63874909499999999</v>
      </c>
      <c r="E685" s="10">
        <v>-0.156217575</v>
      </c>
      <c r="F685" s="10">
        <v>0.50092548299999995</v>
      </c>
      <c r="G685" s="10">
        <v>-6.2053924000000003E-2</v>
      </c>
      <c r="H685" s="9">
        <v>-8.9023777750000005E-2</v>
      </c>
      <c r="I685" s="10">
        <v>0.46743285938027301</v>
      </c>
      <c r="J685" s="10">
        <v>0.21849347802841801</v>
      </c>
      <c r="K685" s="10">
        <v>-0.36965087400000002</v>
      </c>
      <c r="L685" s="10">
        <v>-0.77509236199999998</v>
      </c>
      <c r="M685" s="10">
        <v>-0.32378691100000001</v>
      </c>
      <c r="N685" s="10">
        <v>0.30611165499999998</v>
      </c>
      <c r="O685" s="9">
        <v>-0.29060462300000001</v>
      </c>
      <c r="P685" s="10">
        <v>0.44652288470863899</v>
      </c>
      <c r="Q685" s="10">
        <v>0.19938268656852501</v>
      </c>
    </row>
    <row r="686" spans="1:17" x14ac:dyDescent="0.2">
      <c r="A686" s="10">
        <v>1657</v>
      </c>
      <c r="B686" s="10" t="s">
        <v>2825</v>
      </c>
      <c r="C686" s="9" t="s">
        <v>702</v>
      </c>
      <c r="D686" s="10">
        <v>-1.5815135170000001</v>
      </c>
      <c r="E686" s="10">
        <v>-1.156960255</v>
      </c>
      <c r="F686" s="10">
        <v>-0.68176390899999995</v>
      </c>
      <c r="G686" s="10">
        <v>-1.3274842529999999</v>
      </c>
      <c r="H686" s="9">
        <v>-1.1869304837500001</v>
      </c>
      <c r="I686" s="10">
        <v>0.379272380150522</v>
      </c>
      <c r="J686" s="10">
        <v>0.14384753834504199</v>
      </c>
      <c r="K686" s="10">
        <v>0.13884331999999999</v>
      </c>
      <c r="L686" s="10">
        <v>5.8397998E-2</v>
      </c>
      <c r="M686" s="10">
        <v>-0.61436144999999998</v>
      </c>
      <c r="N686" s="10">
        <v>-0.162069887</v>
      </c>
      <c r="O686" s="9">
        <v>-0.14479750499999999</v>
      </c>
      <c r="P686" s="10">
        <v>0.33789996728322802</v>
      </c>
      <c r="Q686" s="10">
        <v>0.114176387890006</v>
      </c>
    </row>
    <row r="687" spans="1:17" x14ac:dyDescent="0.2">
      <c r="A687" s="10">
        <v>1657</v>
      </c>
      <c r="B687" s="10" t="s">
        <v>74</v>
      </c>
      <c r="C687" s="9" t="s">
        <v>703</v>
      </c>
      <c r="D687" s="10">
        <v>-0.18270346300000001</v>
      </c>
      <c r="E687" s="10">
        <v>0.143036567</v>
      </c>
      <c r="F687" s="10">
        <v>-0.32386772600000002</v>
      </c>
      <c r="G687" s="10">
        <v>-0.23549779200000001</v>
      </c>
      <c r="H687" s="9">
        <v>-0.14975810349999999</v>
      </c>
      <c r="I687" s="10">
        <v>0.20369877320605601</v>
      </c>
      <c r="J687" s="10">
        <v>4.1493190205652397E-2</v>
      </c>
      <c r="K687" s="10">
        <v>0.176364825</v>
      </c>
      <c r="L687" s="10">
        <v>-0.121816628</v>
      </c>
      <c r="M687" s="10">
        <v>-0.45786021300000002</v>
      </c>
      <c r="N687" s="10">
        <v>-0.26129778599999998</v>
      </c>
      <c r="O687" s="9">
        <v>-0.16615245049999999</v>
      </c>
      <c r="P687" s="10">
        <v>0.26672695323298801</v>
      </c>
      <c r="Q687" s="10">
        <v>7.1143267580952796E-2</v>
      </c>
    </row>
    <row r="688" spans="1:17" x14ac:dyDescent="0.2">
      <c r="A688" s="10">
        <v>1657</v>
      </c>
      <c r="B688" s="10" t="s">
        <v>2818</v>
      </c>
      <c r="C688" s="9" t="s">
        <v>704</v>
      </c>
      <c r="D688" s="10">
        <v>-0.17624094700000001</v>
      </c>
      <c r="E688" s="10">
        <v>-0.85731291600000004</v>
      </c>
      <c r="F688" s="10">
        <v>-1.21357666</v>
      </c>
      <c r="G688" s="10">
        <v>-0.33219859000000002</v>
      </c>
      <c r="H688" s="9">
        <v>-0.64483227799999998</v>
      </c>
      <c r="I688" s="10">
        <v>0.47816867733129498</v>
      </c>
      <c r="J688" s="10">
        <v>0.22864528398076001</v>
      </c>
      <c r="K688" s="10">
        <v>0.416880692</v>
      </c>
      <c r="L688" s="10">
        <v>1.073423451</v>
      </c>
      <c r="M688" s="10">
        <v>-0.54067891800000001</v>
      </c>
      <c r="N688" s="10">
        <v>0.38830699000000002</v>
      </c>
      <c r="O688" s="9">
        <v>0.33448305374999998</v>
      </c>
      <c r="P688" s="10">
        <v>0.66373382576350004</v>
      </c>
      <c r="Q688" s="10">
        <v>0.44054259146265201</v>
      </c>
    </row>
    <row r="689" spans="1:17" x14ac:dyDescent="0.2">
      <c r="A689" s="10">
        <v>1657</v>
      </c>
      <c r="B689" s="10" t="s">
        <v>2830</v>
      </c>
      <c r="C689" s="9" t="s">
        <v>705</v>
      </c>
      <c r="D689" s="10">
        <v>0.28919792300000002</v>
      </c>
      <c r="E689" s="10">
        <v>0.114662665</v>
      </c>
      <c r="F689" s="10">
        <v>0.235206622</v>
      </c>
      <c r="G689" s="10">
        <v>0.18524226999999999</v>
      </c>
      <c r="H689" s="9">
        <v>0.20607737025</v>
      </c>
      <c r="I689" s="10">
        <v>7.4270427796784902E-2</v>
      </c>
      <c r="J689" s="10">
        <v>5.5160964451174003E-3</v>
      </c>
      <c r="K689" s="10">
        <v>0.193446752</v>
      </c>
      <c r="L689" s="10">
        <v>-8.3118332000000003E-2</v>
      </c>
      <c r="M689" s="10">
        <v>0.30995629299999999</v>
      </c>
      <c r="N689" s="10">
        <v>0.29643533500000002</v>
      </c>
      <c r="O689" s="9">
        <v>0.179180012</v>
      </c>
      <c r="P689" s="10">
        <v>0.18244196116335601</v>
      </c>
      <c r="Q689" s="10">
        <v>3.3285069193131699E-2</v>
      </c>
    </row>
    <row r="690" spans="1:17" x14ac:dyDescent="0.2">
      <c r="A690" s="10">
        <v>1658</v>
      </c>
      <c r="B690" s="10" t="s">
        <v>2822</v>
      </c>
      <c r="C690" s="9" t="s">
        <v>706</v>
      </c>
      <c r="D690" s="10">
        <v>8.7594419999999992E-3</v>
      </c>
      <c r="E690" s="10">
        <v>3.2907813000000001E-2</v>
      </c>
      <c r="F690" s="10">
        <v>3.6888241000000002E-2</v>
      </c>
      <c r="G690" s="10">
        <v>-0.29300531699999999</v>
      </c>
      <c r="H690" s="9">
        <v>-5.3612455250000003E-2</v>
      </c>
      <c r="I690" s="10">
        <v>0.16007844812591701</v>
      </c>
      <c r="J690" s="10">
        <v>2.5625109554401899E-2</v>
      </c>
      <c r="K690" s="10">
        <v>2.4238984000000002E-2</v>
      </c>
      <c r="L690" s="10">
        <v>-0.26588879799999998</v>
      </c>
      <c r="M690" s="10">
        <v>-0.22961315099999999</v>
      </c>
      <c r="N690" s="10">
        <v>-0.461432762</v>
      </c>
      <c r="O690" s="9">
        <v>-0.23317393149999999</v>
      </c>
      <c r="P690" s="10">
        <v>0.19953817046312999</v>
      </c>
      <c r="Q690" s="10">
        <v>3.9815481471773197E-2</v>
      </c>
    </row>
    <row r="691" spans="1:17" x14ac:dyDescent="0.2">
      <c r="A691" s="10">
        <v>1658</v>
      </c>
      <c r="B691" s="10" t="s">
        <v>2826</v>
      </c>
      <c r="C691" s="9" t="s">
        <v>707</v>
      </c>
      <c r="D691" s="10">
        <v>-0.52607684899999996</v>
      </c>
      <c r="E691" s="10">
        <v>-0.170466695</v>
      </c>
      <c r="F691" s="10">
        <v>-0.39220487599999998</v>
      </c>
      <c r="G691" s="10">
        <v>-0.36361394400000002</v>
      </c>
      <c r="H691" s="9">
        <v>-0.36309059124999998</v>
      </c>
      <c r="I691" s="10">
        <v>0.14664742422613999</v>
      </c>
      <c r="J691" s="10">
        <v>2.1505467032161701E-2</v>
      </c>
      <c r="K691" s="10">
        <v>9.0386385999999999E-2</v>
      </c>
      <c r="L691" s="10">
        <v>-0.32470009399999999</v>
      </c>
      <c r="M691" s="10">
        <v>-0.27891191500000001</v>
      </c>
      <c r="N691" s="10">
        <v>-0.48837504399999998</v>
      </c>
      <c r="O691" s="9">
        <v>-0.25040016674999999</v>
      </c>
      <c r="P691" s="10">
        <v>0.24433645908528601</v>
      </c>
      <c r="Q691" s="10">
        <v>5.9700305238335902E-2</v>
      </c>
    </row>
    <row r="692" spans="1:17" x14ac:dyDescent="0.2">
      <c r="A692" s="10">
        <v>1658</v>
      </c>
      <c r="B692" s="10" t="s">
        <v>2821</v>
      </c>
      <c r="C692" s="9" t="s">
        <v>708</v>
      </c>
      <c r="D692" s="10">
        <v>-0.25202667899999998</v>
      </c>
      <c r="E692" s="10">
        <v>-0.22773749099999999</v>
      </c>
      <c r="F692" s="10">
        <v>2.5009503999999998E-2</v>
      </c>
      <c r="G692" s="10">
        <v>-0.159230117</v>
      </c>
      <c r="H692" s="9">
        <v>-0.153496196</v>
      </c>
      <c r="I692" s="10">
        <v>0.12532250229709199</v>
      </c>
      <c r="J692" s="10">
        <v>1.57057295820048E-2</v>
      </c>
      <c r="K692" s="10">
        <v>-9.5408409999999996E-3</v>
      </c>
      <c r="L692" s="10">
        <v>-0.27842213399999999</v>
      </c>
      <c r="M692" s="10">
        <v>-0.99497246699999997</v>
      </c>
      <c r="N692" s="10">
        <v>-0.57570676600000004</v>
      </c>
      <c r="O692" s="9">
        <v>-0.46466055174999998</v>
      </c>
      <c r="P692" s="10">
        <v>0.422445534364911</v>
      </c>
      <c r="Q692" s="10">
        <v>0.17846022950485499</v>
      </c>
    </row>
    <row r="693" spans="1:17" x14ac:dyDescent="0.2">
      <c r="A693" s="10">
        <v>1658</v>
      </c>
      <c r="B693" s="10" t="s">
        <v>2834</v>
      </c>
      <c r="C693" s="9" t="s">
        <v>709</v>
      </c>
      <c r="D693" s="10">
        <v>-0.68117340999999998</v>
      </c>
      <c r="E693" s="10">
        <v>-0.77946447299999999</v>
      </c>
      <c r="F693" s="10">
        <v>1.1065249740000001</v>
      </c>
      <c r="G693" s="10">
        <v>-0.492261104</v>
      </c>
      <c r="H693" s="9">
        <v>-0.21159350325000001</v>
      </c>
      <c r="I693" s="10">
        <v>0.88679072113751101</v>
      </c>
      <c r="J693" s="10">
        <v>0.78639778309558805</v>
      </c>
      <c r="K693" s="10">
        <v>-5.6768858709999996</v>
      </c>
      <c r="L693" s="10">
        <v>-0.79675610799999996</v>
      </c>
      <c r="M693" s="10">
        <v>-1.234262263</v>
      </c>
      <c r="N693" s="10">
        <v>0.47225876700000002</v>
      </c>
      <c r="O693" s="9">
        <v>-1.8089113685</v>
      </c>
      <c r="P693" s="10">
        <v>2.6782857580236499</v>
      </c>
      <c r="Q693" s="10">
        <v>7.1732146016323197</v>
      </c>
    </row>
    <row r="694" spans="1:17" x14ac:dyDescent="0.2">
      <c r="A694" s="10">
        <v>1658</v>
      </c>
      <c r="B694" s="10" t="s">
        <v>79</v>
      </c>
      <c r="C694" s="9" t="s">
        <v>710</v>
      </c>
      <c r="D694" s="10">
        <v>0.30233533400000001</v>
      </c>
      <c r="E694" s="10">
        <v>0.463015656</v>
      </c>
      <c r="F694" s="10">
        <v>-0.408795884</v>
      </c>
      <c r="G694" s="10">
        <v>0.15931463800000001</v>
      </c>
      <c r="H694" s="9">
        <v>0.12896743599999999</v>
      </c>
      <c r="I694" s="10">
        <v>0.37936569092313199</v>
      </c>
      <c r="J694" s="10">
        <v>0.14391832744958599</v>
      </c>
      <c r="K694" s="10">
        <v>0.25185681999999998</v>
      </c>
      <c r="L694" s="10">
        <v>-2.7311258000000001E-2</v>
      </c>
      <c r="M694" s="10">
        <v>-0.14992084999999999</v>
      </c>
      <c r="N694" s="10">
        <v>-0.243469825</v>
      </c>
      <c r="O694" s="9">
        <v>-4.2211278249999998E-2</v>
      </c>
      <c r="P694" s="10">
        <v>0.21510029559743499</v>
      </c>
      <c r="Q694" s="10">
        <v>4.6268137166104097E-2</v>
      </c>
    </row>
    <row r="695" spans="1:17" x14ac:dyDescent="0.2">
      <c r="A695" s="10">
        <v>1658</v>
      </c>
      <c r="B695" s="10" t="s">
        <v>2824</v>
      </c>
      <c r="C695" s="9" t="s">
        <v>711</v>
      </c>
      <c r="D695" s="10">
        <v>-0.49550002599999998</v>
      </c>
      <c r="E695" s="10">
        <v>-0.25627881200000002</v>
      </c>
      <c r="F695" s="10">
        <v>-0.25857081900000001</v>
      </c>
      <c r="G695" s="10">
        <v>2.8800783999999999E-2</v>
      </c>
      <c r="H695" s="9">
        <v>-0.24538721825000001</v>
      </c>
      <c r="I695" s="10">
        <v>0.214497794333325</v>
      </c>
      <c r="J695" s="10">
        <v>4.6009303773861601E-2</v>
      </c>
      <c r="K695" s="10">
        <v>-0.30100300200000002</v>
      </c>
      <c r="L695" s="10">
        <v>-7.8834116999999995E-2</v>
      </c>
      <c r="M695" s="10">
        <v>-0.23023033000000001</v>
      </c>
      <c r="N695" s="10">
        <v>-0.38865089600000002</v>
      </c>
      <c r="O695" s="9">
        <v>-0.24967958625</v>
      </c>
      <c r="P695" s="10">
        <v>0.13103888210477599</v>
      </c>
      <c r="Q695" s="10">
        <v>1.7171188623269499E-2</v>
      </c>
    </row>
    <row r="696" spans="1:17" x14ac:dyDescent="0.2">
      <c r="A696" s="10">
        <v>1658</v>
      </c>
      <c r="B696" s="10" t="s">
        <v>2825</v>
      </c>
      <c r="C696" s="9" t="s">
        <v>712</v>
      </c>
      <c r="D696" s="10">
        <v>-0.11521567000000001</v>
      </c>
      <c r="E696" s="10">
        <v>-9.1398115000000002E-2</v>
      </c>
      <c r="F696" s="10">
        <v>-0.34628148399999997</v>
      </c>
      <c r="G696" s="10">
        <v>-0.72105153</v>
      </c>
      <c r="H696" s="9">
        <v>-0.31848669950000003</v>
      </c>
      <c r="I696" s="10">
        <v>0.29195851842633302</v>
      </c>
      <c r="J696" s="10">
        <v>8.5239776481699503E-2</v>
      </c>
      <c r="K696" s="10">
        <v>0.92492327500000004</v>
      </c>
      <c r="L696" s="10">
        <v>1.0804284230000001</v>
      </c>
      <c r="M696" s="10">
        <v>-0.16658978699999999</v>
      </c>
      <c r="N696" s="10">
        <v>-0.27154288700000001</v>
      </c>
      <c r="O696" s="9">
        <v>0.39180475575000001</v>
      </c>
      <c r="P696" s="10">
        <v>0.70951919663462104</v>
      </c>
      <c r="Q696" s="10">
        <v>0.50341749039303796</v>
      </c>
    </row>
    <row r="697" spans="1:17" x14ac:dyDescent="0.2">
      <c r="A697" s="10">
        <v>1658</v>
      </c>
      <c r="B697" s="10" t="s">
        <v>2832</v>
      </c>
      <c r="C697" s="9" t="s">
        <v>713</v>
      </c>
      <c r="D697" s="10">
        <v>-0.27015429400000002</v>
      </c>
      <c r="E697" s="10">
        <v>-0.412055742</v>
      </c>
      <c r="F697" s="10">
        <v>-0.37888952100000001</v>
      </c>
      <c r="G697" s="10">
        <v>-0.23780402</v>
      </c>
      <c r="H697" s="9">
        <v>-0.32472589424999998</v>
      </c>
      <c r="I697" s="10">
        <v>8.3852395210731401E-2</v>
      </c>
      <c r="J697" s="10">
        <v>7.0312241825767003E-3</v>
      </c>
      <c r="K697" s="10">
        <v>-0.59706747599999999</v>
      </c>
      <c r="L697" s="10">
        <v>-0.81873918000000001</v>
      </c>
      <c r="M697" s="10">
        <v>-0.67770386800000004</v>
      </c>
      <c r="N697" s="10">
        <v>-0.15541223800000001</v>
      </c>
      <c r="O697" s="9">
        <v>-0.56223069074999998</v>
      </c>
      <c r="P697" s="10">
        <v>0.286266492873328</v>
      </c>
      <c r="Q697" s="10">
        <v>8.1948504941995196E-2</v>
      </c>
    </row>
    <row r="698" spans="1:17" x14ac:dyDescent="0.2">
      <c r="A698" s="10">
        <v>1659</v>
      </c>
      <c r="B698" s="10" t="s">
        <v>2831</v>
      </c>
      <c r="C698" s="9" t="s">
        <v>714</v>
      </c>
      <c r="D698" s="10">
        <v>-0.66201577499999997</v>
      </c>
      <c r="E698" s="10">
        <v>-0.816686311</v>
      </c>
      <c r="F698" s="10">
        <v>-1.453183186</v>
      </c>
      <c r="G698" s="10">
        <v>-0.87632681300000004</v>
      </c>
      <c r="H698" s="9">
        <v>-0.95205302125000002</v>
      </c>
      <c r="I698" s="10">
        <v>0.346078821029003</v>
      </c>
      <c r="J698" s="10">
        <v>0.11977055036482501</v>
      </c>
      <c r="K698" s="10">
        <v>0.137758887</v>
      </c>
      <c r="L698" s="10">
        <v>-0.90365620000000002</v>
      </c>
      <c r="M698" s="10">
        <v>-1.022518032</v>
      </c>
      <c r="N698" s="10">
        <v>-0.643659643</v>
      </c>
      <c r="O698" s="9">
        <v>-0.60801874700000003</v>
      </c>
      <c r="P698" s="10">
        <v>0.52174889034354399</v>
      </c>
      <c r="Q698" s="10">
        <v>0.27222190457471901</v>
      </c>
    </row>
    <row r="699" spans="1:17" x14ac:dyDescent="0.2">
      <c r="A699" s="10">
        <v>1659</v>
      </c>
      <c r="B699" s="10" t="s">
        <v>2822</v>
      </c>
      <c r="C699" s="9" t="s">
        <v>715</v>
      </c>
      <c r="D699" s="10">
        <v>-0.29362000100000002</v>
      </c>
      <c r="E699" s="10">
        <v>4.7226404E-2</v>
      </c>
      <c r="F699" s="10">
        <v>-0.285581101</v>
      </c>
      <c r="G699" s="10">
        <v>-7.8758970999999997E-2</v>
      </c>
      <c r="H699" s="9">
        <v>-0.15268341725000001</v>
      </c>
      <c r="I699" s="10">
        <v>0.16628657529579399</v>
      </c>
      <c r="J699" s="10">
        <v>2.7651225123603899E-2</v>
      </c>
      <c r="K699" s="10">
        <v>5.5458502E-2</v>
      </c>
      <c r="L699" s="10">
        <v>2.0835774000000001E-2</v>
      </c>
      <c r="M699" s="10">
        <v>-0.35908958499999999</v>
      </c>
      <c r="N699" s="10">
        <v>-0.26299540799999999</v>
      </c>
      <c r="O699" s="9">
        <v>-0.13644767925000001</v>
      </c>
      <c r="P699" s="10">
        <v>0.20587197714111699</v>
      </c>
      <c r="Q699" s="10">
        <v>4.2383270971992702E-2</v>
      </c>
    </row>
    <row r="700" spans="1:17" x14ac:dyDescent="0.2">
      <c r="A700" s="10">
        <v>1659</v>
      </c>
      <c r="B700" s="10" t="s">
        <v>2826</v>
      </c>
      <c r="C700" s="9" t="s">
        <v>716</v>
      </c>
      <c r="D700" s="10">
        <v>-0.47707724600000001</v>
      </c>
      <c r="E700" s="10">
        <v>-9.8770762999999998E-2</v>
      </c>
      <c r="F700" s="10">
        <v>-0.10097863999999999</v>
      </c>
      <c r="G700" s="10">
        <v>8.0218249999999998E-3</v>
      </c>
      <c r="H700" s="9">
        <v>-0.16720120575</v>
      </c>
      <c r="I700" s="10">
        <v>0.21275527767500699</v>
      </c>
      <c r="J700" s="10">
        <v>4.5264808178569697E-2</v>
      </c>
      <c r="K700" s="10">
        <v>-3.8697711000000003E-2</v>
      </c>
      <c r="L700" s="10">
        <v>-0.225105051</v>
      </c>
      <c r="M700" s="10">
        <v>-0.28712179399999999</v>
      </c>
      <c r="N700" s="10">
        <v>-0.13516315200000001</v>
      </c>
      <c r="O700" s="9">
        <v>-0.17152192699999999</v>
      </c>
      <c r="P700" s="10">
        <v>0.10831853227638701</v>
      </c>
      <c r="Q700" s="10">
        <v>1.1732904434510701E-2</v>
      </c>
    </row>
    <row r="701" spans="1:17" x14ac:dyDescent="0.2">
      <c r="A701" s="10">
        <v>1659</v>
      </c>
      <c r="B701" s="10" t="s">
        <v>2824</v>
      </c>
      <c r="C701" s="9" t="s">
        <v>717</v>
      </c>
      <c r="D701" s="10">
        <v>-0.66043640000000003</v>
      </c>
      <c r="E701" s="10">
        <v>-0.14145067</v>
      </c>
      <c r="F701" s="10">
        <v>-0.23019235399999999</v>
      </c>
      <c r="G701" s="10">
        <v>-0.19864330799999999</v>
      </c>
      <c r="H701" s="9">
        <v>-0.30768068300000001</v>
      </c>
      <c r="I701" s="10">
        <v>0.23802142997096301</v>
      </c>
      <c r="J701" s="10">
        <v>5.6654201125422299E-2</v>
      </c>
      <c r="K701" s="10">
        <v>-0.25662986999999998</v>
      </c>
      <c r="L701" s="10">
        <v>-0.13784253099999999</v>
      </c>
      <c r="M701" s="10">
        <v>-0.28914296900000003</v>
      </c>
      <c r="N701" s="10">
        <v>-3.5090939999999999E-3</v>
      </c>
      <c r="O701" s="9">
        <v>-0.17178111600000001</v>
      </c>
      <c r="P701" s="10">
        <v>0.12966677360927401</v>
      </c>
      <c r="Q701" s="10">
        <v>1.6813472178238899E-2</v>
      </c>
    </row>
    <row r="702" spans="1:17" x14ac:dyDescent="0.2">
      <c r="A702" s="10">
        <v>1659</v>
      </c>
      <c r="B702" s="10" t="s">
        <v>2825</v>
      </c>
      <c r="C702" s="9" t="s">
        <v>718</v>
      </c>
      <c r="D702" s="10">
        <v>-0.23945129500000001</v>
      </c>
      <c r="E702" s="10">
        <v>-0.22671466600000001</v>
      </c>
      <c r="F702" s="10">
        <v>-0.412069466</v>
      </c>
      <c r="G702" s="10">
        <v>-0.27793869199999999</v>
      </c>
      <c r="H702" s="9">
        <v>-0.28904352974999997</v>
      </c>
      <c r="I702" s="10">
        <v>8.48586578091437E-2</v>
      </c>
      <c r="J702" s="10">
        <v>7.2009918051692996E-3</v>
      </c>
      <c r="K702" s="10">
        <v>-0.139423664</v>
      </c>
      <c r="L702" s="10">
        <v>-0.45264180100000001</v>
      </c>
      <c r="M702" s="10">
        <v>-0.57718454200000002</v>
      </c>
      <c r="N702" s="10">
        <v>-0.72501275300000001</v>
      </c>
      <c r="O702" s="9">
        <v>-0.47356569025</v>
      </c>
      <c r="P702" s="10">
        <v>0.249032256713457</v>
      </c>
      <c r="Q702" s="10">
        <v>6.2017064883797601E-2</v>
      </c>
    </row>
    <row r="703" spans="1:17" x14ac:dyDescent="0.2">
      <c r="A703" s="10">
        <v>1659</v>
      </c>
      <c r="B703" s="10" t="s">
        <v>74</v>
      </c>
      <c r="C703" s="9" t="s">
        <v>719</v>
      </c>
      <c r="D703" s="10">
        <v>0.31095066199999999</v>
      </c>
      <c r="E703" s="10">
        <v>-1.4928046E-2</v>
      </c>
      <c r="F703" s="10">
        <v>0.11526407800000001</v>
      </c>
      <c r="G703" s="10">
        <v>0.174057717</v>
      </c>
      <c r="H703" s="9">
        <v>0.146336103</v>
      </c>
      <c r="I703" s="10">
        <v>0.135201130922075</v>
      </c>
      <c r="J703" s="10">
        <v>1.8279345802608E-2</v>
      </c>
      <c r="K703" s="10">
        <v>5.8827830999999997E-2</v>
      </c>
      <c r="L703" s="10">
        <v>-7.3500697000000004E-2</v>
      </c>
      <c r="M703" s="10">
        <v>-0.51198733600000002</v>
      </c>
      <c r="N703" s="10">
        <v>-0.74991231300000005</v>
      </c>
      <c r="O703" s="9">
        <v>-0.31914312875</v>
      </c>
      <c r="P703" s="10">
        <v>0.376808186862441</v>
      </c>
      <c r="Q703" s="10">
        <v>0.14198440968656001</v>
      </c>
    </row>
    <row r="704" spans="1:17" x14ac:dyDescent="0.2">
      <c r="A704" s="10">
        <v>1659</v>
      </c>
      <c r="B704" s="10" t="s">
        <v>2818</v>
      </c>
      <c r="C704" s="9" t="s">
        <v>720</v>
      </c>
      <c r="D704" s="10">
        <v>-0.183300877</v>
      </c>
      <c r="E704" s="10">
        <v>-0.113433218</v>
      </c>
      <c r="F704" s="10">
        <v>4.8455748E-2</v>
      </c>
      <c r="G704" s="10">
        <v>0.181017656</v>
      </c>
      <c r="H704" s="9">
        <v>-1.6815172749999999E-2</v>
      </c>
      <c r="I704" s="10">
        <v>0.163758620754582</v>
      </c>
      <c r="J704" s="10">
        <v>2.6816885871443E-2</v>
      </c>
      <c r="K704" s="10">
        <v>-0.11411818899999999</v>
      </c>
      <c r="L704" s="10">
        <v>-0.65672582400000001</v>
      </c>
      <c r="M704" s="10">
        <v>-0.23100607200000001</v>
      </c>
      <c r="N704" s="10">
        <v>-0.12838514100000001</v>
      </c>
      <c r="O704" s="9">
        <v>-0.28255880649999998</v>
      </c>
      <c r="P704" s="10">
        <v>0.25482046109418499</v>
      </c>
      <c r="Q704" s="10">
        <v>6.4933467392253294E-2</v>
      </c>
    </row>
    <row r="705" spans="1:17" x14ac:dyDescent="0.2">
      <c r="A705" s="10">
        <v>1659</v>
      </c>
      <c r="B705" s="10" t="s">
        <v>2835</v>
      </c>
      <c r="C705" s="9" t="s">
        <v>721</v>
      </c>
      <c r="D705" s="10">
        <v>-0.92600501099999999</v>
      </c>
      <c r="E705" s="10">
        <v>2.7953068000000001E-2</v>
      </c>
      <c r="F705" s="10">
        <v>-0.14575259400000001</v>
      </c>
      <c r="G705" s="10">
        <v>-1.3059866120000001</v>
      </c>
      <c r="H705" s="9">
        <v>-0.587447787</v>
      </c>
      <c r="I705" s="10">
        <v>0.63370126842464303</v>
      </c>
      <c r="J705" s="10">
        <v>0.40157729760300098</v>
      </c>
      <c r="K705" s="10">
        <v>0.26716148899999997</v>
      </c>
      <c r="L705" s="10">
        <v>0.17518937600000001</v>
      </c>
      <c r="M705" s="10">
        <v>-0.593701594</v>
      </c>
      <c r="N705" s="10">
        <v>-0.38184252899999999</v>
      </c>
      <c r="O705" s="9">
        <v>-0.13329831449999999</v>
      </c>
      <c r="P705" s="10">
        <v>0.42003099716769199</v>
      </c>
      <c r="Q705" s="10">
        <v>0.17642603858168601</v>
      </c>
    </row>
    <row r="706" spans="1:17" x14ac:dyDescent="0.2">
      <c r="A706" s="10">
        <v>1659</v>
      </c>
      <c r="B706" s="10" t="s">
        <v>2832</v>
      </c>
      <c r="C706" s="9" t="s">
        <v>722</v>
      </c>
      <c r="D706" s="10">
        <v>-0.54326522700000002</v>
      </c>
      <c r="E706" s="10">
        <v>0.23723925500000001</v>
      </c>
      <c r="F706" s="10">
        <v>-0.14056511599999999</v>
      </c>
      <c r="G706" s="10">
        <v>-8.5021953999999997E-2</v>
      </c>
      <c r="H706" s="9">
        <v>-0.13290326050000001</v>
      </c>
      <c r="I706" s="10">
        <v>0.320288281017931</v>
      </c>
      <c r="J706" s="10">
        <v>0.102584582957421</v>
      </c>
      <c r="K706" s="10">
        <v>0.50863074600000002</v>
      </c>
      <c r="L706" s="10">
        <v>0.20962161200000001</v>
      </c>
      <c r="M706" s="10">
        <v>-0.69807722699999997</v>
      </c>
      <c r="N706" s="10">
        <v>0.39034183</v>
      </c>
      <c r="O706" s="9">
        <v>0.10262924025</v>
      </c>
      <c r="P706" s="10">
        <v>0.54778157790631099</v>
      </c>
      <c r="Q706" s="10">
        <v>0.30006465709352798</v>
      </c>
    </row>
    <row r="707" spans="1:17" x14ac:dyDescent="0.2">
      <c r="A707" s="10">
        <v>1660</v>
      </c>
      <c r="B707" s="10" t="s">
        <v>2822</v>
      </c>
      <c r="C707" s="9" t="s">
        <v>2522</v>
      </c>
      <c r="D707" s="10">
        <v>-1.125301624</v>
      </c>
      <c r="E707" s="10">
        <v>-0.77745802600000002</v>
      </c>
      <c r="F707" s="10">
        <v>-0.51403928700000001</v>
      </c>
      <c r="G707" s="10">
        <v>0.90029554099999998</v>
      </c>
      <c r="H707" s="9">
        <v>-0.37912584900000001</v>
      </c>
      <c r="I707" s="10">
        <v>0.88892585730811802</v>
      </c>
      <c r="J707" s="10">
        <v>0.79018917979097303</v>
      </c>
      <c r="K707" s="10">
        <v>-1.191020027</v>
      </c>
      <c r="L707" s="10">
        <v>9.8802118999999994E-2</v>
      </c>
      <c r="M707" s="10">
        <v>-0.61476421599999997</v>
      </c>
      <c r="N707" s="10">
        <v>-1.3531485990000001</v>
      </c>
      <c r="O707" s="9">
        <v>-0.76503268099999999</v>
      </c>
      <c r="P707" s="10">
        <v>0.657301738225198</v>
      </c>
      <c r="Q707" s="10">
        <v>0.43204557507386698</v>
      </c>
    </row>
    <row r="708" spans="1:17" x14ac:dyDescent="0.2">
      <c r="A708" s="10">
        <v>1660</v>
      </c>
      <c r="B708" s="10" t="s">
        <v>79</v>
      </c>
      <c r="C708" s="9" t="s">
        <v>723</v>
      </c>
      <c r="D708" s="10">
        <v>-0.58395443899999999</v>
      </c>
      <c r="E708" s="10">
        <v>0.27555075899999998</v>
      </c>
      <c r="F708" s="10">
        <v>1.8285209920000001</v>
      </c>
      <c r="G708" s="10">
        <v>-0.57589576899999995</v>
      </c>
      <c r="H708" s="9">
        <v>0.23605538575000001</v>
      </c>
      <c r="I708" s="10">
        <v>1.13566241785484</v>
      </c>
      <c r="J708" s="10">
        <v>1.2897291273278999</v>
      </c>
      <c r="K708" s="10">
        <v>0.78921552900000003</v>
      </c>
      <c r="L708" s="10">
        <v>0.51514301100000004</v>
      </c>
      <c r="M708" s="10">
        <v>-0.58065924899999999</v>
      </c>
      <c r="N708" s="10">
        <v>-0.66744404099999999</v>
      </c>
      <c r="O708" s="9">
        <v>1.40638125E-2</v>
      </c>
      <c r="P708" s="10">
        <v>0.74612086175194803</v>
      </c>
      <c r="Q708" s="10">
        <v>0.55669634034146898</v>
      </c>
    </row>
    <row r="709" spans="1:17" x14ac:dyDescent="0.2">
      <c r="A709" s="10">
        <v>1660</v>
      </c>
      <c r="B709" s="10" t="s">
        <v>2825</v>
      </c>
      <c r="C709" s="9" t="s">
        <v>724</v>
      </c>
      <c r="D709" s="10">
        <v>0.106291178</v>
      </c>
      <c r="E709" s="10">
        <v>-0.15078128700000001</v>
      </c>
      <c r="F709" s="10">
        <v>-0.25147225499999998</v>
      </c>
      <c r="G709" s="10">
        <v>-0.16421217199999999</v>
      </c>
      <c r="H709" s="9">
        <v>-0.11504363400000001</v>
      </c>
      <c r="I709" s="10">
        <v>0.15416073062666599</v>
      </c>
      <c r="J709" s="10">
        <v>2.37655308673476E-2</v>
      </c>
      <c r="K709" s="10">
        <v>0.36706161300000001</v>
      </c>
      <c r="L709" s="10">
        <v>-0.19437273799999999</v>
      </c>
      <c r="M709" s="10">
        <v>-0.45098524000000001</v>
      </c>
      <c r="N709" s="10">
        <v>-0.20231932699999999</v>
      </c>
      <c r="O709" s="9">
        <v>-0.120153923</v>
      </c>
      <c r="P709" s="10">
        <v>0.34597106090067098</v>
      </c>
      <c r="Q709" s="10">
        <v>0.119695974980736</v>
      </c>
    </row>
    <row r="710" spans="1:17" x14ac:dyDescent="0.2">
      <c r="A710" s="10">
        <v>1660</v>
      </c>
      <c r="B710" s="10" t="s">
        <v>74</v>
      </c>
      <c r="C710" s="9" t="s">
        <v>725</v>
      </c>
      <c r="D710" s="10">
        <v>0.185241506</v>
      </c>
      <c r="E710" s="10">
        <v>0.52584955200000005</v>
      </c>
      <c r="F710" s="10">
        <v>0.49159354500000002</v>
      </c>
      <c r="G710" s="10">
        <v>7.7864316000000003E-2</v>
      </c>
      <c r="H710" s="9">
        <v>0.32013722999999999</v>
      </c>
      <c r="I710" s="10">
        <v>0.22256673050836201</v>
      </c>
      <c r="J710" s="10">
        <v>4.9535949529182097E-2</v>
      </c>
      <c r="K710" s="10">
        <v>-0.106155664</v>
      </c>
      <c r="L710" s="10">
        <v>0.29878378999999999</v>
      </c>
      <c r="M710" s="10">
        <v>-1.1596738440000001</v>
      </c>
      <c r="N710" s="10">
        <v>-0.63949255699999996</v>
      </c>
      <c r="O710" s="9">
        <v>-0.40163456874999998</v>
      </c>
      <c r="P710" s="10">
        <v>0.63484739001384805</v>
      </c>
      <c r="Q710" s="10">
        <v>0.403031208607395</v>
      </c>
    </row>
    <row r="711" spans="1:17" x14ac:dyDescent="0.2">
      <c r="A711" s="10">
        <v>1660</v>
      </c>
      <c r="B711" s="10" t="s">
        <v>2818</v>
      </c>
      <c r="C711" s="9" t="s">
        <v>726</v>
      </c>
      <c r="D711" s="10">
        <v>-0.35946959299999998</v>
      </c>
      <c r="E711" s="10">
        <v>-0.65534657799999996</v>
      </c>
      <c r="F711" s="10">
        <v>-0.335165086</v>
      </c>
      <c r="G711" s="10">
        <v>-0.48785928699999997</v>
      </c>
      <c r="H711" s="9">
        <v>-0.45946013624999998</v>
      </c>
      <c r="I711" s="10">
        <v>0.146771225700495</v>
      </c>
      <c r="J711" s="10">
        <v>2.15417926936258E-2</v>
      </c>
      <c r="K711" s="10">
        <v>-1.464613443</v>
      </c>
      <c r="L711" s="10">
        <v>0.17507114100000001</v>
      </c>
      <c r="M711" s="10">
        <v>-0.49961337500000003</v>
      </c>
      <c r="N711" s="10">
        <v>1.8590062000000001E-2</v>
      </c>
      <c r="O711" s="9">
        <v>-0.44264140349999997</v>
      </c>
      <c r="P711" s="10">
        <v>0.73981437028854902</v>
      </c>
      <c r="Q711" s="10">
        <v>0.54732530248544198</v>
      </c>
    </row>
    <row r="712" spans="1:17" x14ac:dyDescent="0.2">
      <c r="A712" s="10">
        <v>1660</v>
      </c>
      <c r="B712" s="10" t="s">
        <v>2832</v>
      </c>
      <c r="C712" s="9" t="s">
        <v>727</v>
      </c>
      <c r="D712" s="10">
        <v>0.21683892799999999</v>
      </c>
      <c r="E712" s="10">
        <v>0.30432136500000001</v>
      </c>
      <c r="F712" s="10">
        <v>-0.38536838099999998</v>
      </c>
      <c r="G712" s="10">
        <v>-0.104866348</v>
      </c>
      <c r="H712" s="9">
        <v>7.7313909999999998E-3</v>
      </c>
      <c r="I712" s="10">
        <v>0.31564603396942897</v>
      </c>
      <c r="J712" s="10">
        <v>9.9632418760630295E-2</v>
      </c>
      <c r="K712" s="10">
        <v>0.30018355200000002</v>
      </c>
      <c r="L712" s="10">
        <v>0.151103765</v>
      </c>
      <c r="M712" s="10">
        <v>-1.243941505</v>
      </c>
      <c r="N712" s="10">
        <v>-0.87664470000000005</v>
      </c>
      <c r="O712" s="9">
        <v>-0.41732472199999998</v>
      </c>
      <c r="P712" s="10">
        <v>0.75986823774887802</v>
      </c>
      <c r="Q712" s="10">
        <v>0.57739973873958494</v>
      </c>
    </row>
    <row r="713" spans="1:17" x14ac:dyDescent="0.2">
      <c r="A713" s="10">
        <v>1661</v>
      </c>
      <c r="B713" s="10" t="s">
        <v>79</v>
      </c>
      <c r="C713" s="9" t="s">
        <v>728</v>
      </c>
      <c r="D713" s="10">
        <v>-0.32842144200000001</v>
      </c>
      <c r="E713" s="10">
        <v>0.31347949000000003</v>
      </c>
      <c r="F713" s="10">
        <v>-1.194348599</v>
      </c>
      <c r="G713" s="10">
        <v>0.102551252</v>
      </c>
      <c r="H713" s="9">
        <v>-0.27668482475</v>
      </c>
      <c r="I713" s="10">
        <v>0.66755708880671605</v>
      </c>
      <c r="J713" s="10">
        <v>0.44563246681609803</v>
      </c>
      <c r="K713" s="10">
        <v>0.24091727199999999</v>
      </c>
      <c r="L713" s="10">
        <v>-1.0085254340000001</v>
      </c>
      <c r="M713" s="10">
        <v>-1.2005115559999999</v>
      </c>
      <c r="N713" s="10">
        <v>-1.4617874850000001</v>
      </c>
      <c r="O713" s="9">
        <v>-0.85747680074999999</v>
      </c>
      <c r="P713" s="10">
        <v>0.75545780271902097</v>
      </c>
      <c r="Q713" s="10">
        <v>0.57071649168905203</v>
      </c>
    </row>
    <row r="714" spans="1:17" x14ac:dyDescent="0.2">
      <c r="A714" s="10">
        <v>1661</v>
      </c>
      <c r="B714" s="10" t="s">
        <v>2824</v>
      </c>
      <c r="C714" s="9" t="s">
        <v>729</v>
      </c>
      <c r="D714" s="10">
        <v>-2.1056971330000001</v>
      </c>
      <c r="E714" s="10">
        <v>-0.63825194699999999</v>
      </c>
      <c r="F714" s="10">
        <v>0.39830799</v>
      </c>
      <c r="G714" s="10">
        <v>0.32770897999999998</v>
      </c>
      <c r="H714" s="9">
        <v>-0.50448302725000005</v>
      </c>
      <c r="I714" s="10">
        <v>1.16752671548333</v>
      </c>
      <c r="J714" s="10">
        <v>1.3631186313673</v>
      </c>
      <c r="K714" s="10">
        <v>0.31535324999999997</v>
      </c>
      <c r="L714" s="10">
        <v>-0.112927106</v>
      </c>
      <c r="M714" s="10">
        <v>0.220109893</v>
      </c>
      <c r="N714" s="10">
        <v>0.32039134600000002</v>
      </c>
      <c r="O714" s="9">
        <v>0.18573184575000001</v>
      </c>
      <c r="P714" s="10">
        <v>0.204380290178589</v>
      </c>
      <c r="Q714" s="10">
        <v>4.1771303013484501E-2</v>
      </c>
    </row>
    <row r="715" spans="1:17" x14ac:dyDescent="0.2">
      <c r="A715" s="10">
        <v>1661</v>
      </c>
      <c r="B715" s="10" t="s">
        <v>74</v>
      </c>
      <c r="C715" s="9" t="s">
        <v>730</v>
      </c>
      <c r="D715" s="10">
        <v>-0.16076942299999999</v>
      </c>
      <c r="E715" s="10">
        <v>8.6493362000000004E-2</v>
      </c>
      <c r="F715" s="10">
        <v>0.79804450699999996</v>
      </c>
      <c r="G715" s="10">
        <v>0.346166949</v>
      </c>
      <c r="H715" s="9">
        <v>0.26748384874999998</v>
      </c>
      <c r="I715" s="10">
        <v>0.40981461801087798</v>
      </c>
      <c r="J715" s="10">
        <v>0.167948021135402</v>
      </c>
      <c r="K715" s="10">
        <v>-0.18274209399999999</v>
      </c>
      <c r="L715" s="10">
        <v>0.40589060100000002</v>
      </c>
      <c r="M715" s="10">
        <v>0.30369592400000001</v>
      </c>
      <c r="N715" s="10">
        <v>-0.26082878199999998</v>
      </c>
      <c r="O715" s="9">
        <v>6.6503912250000005E-2</v>
      </c>
      <c r="P715" s="10">
        <v>0.33700328351280701</v>
      </c>
      <c r="Q715" s="10">
        <v>0.113571213098413</v>
      </c>
    </row>
    <row r="716" spans="1:17" x14ac:dyDescent="0.2">
      <c r="A716" s="10">
        <v>1661</v>
      </c>
      <c r="B716" s="10" t="s">
        <v>2832</v>
      </c>
      <c r="C716" s="9" t="s">
        <v>731</v>
      </c>
      <c r="D716" s="10">
        <v>0.16607147799999999</v>
      </c>
      <c r="E716" s="10">
        <v>0.46002842700000002</v>
      </c>
      <c r="F716" s="10">
        <v>6.0514330999999998E-2</v>
      </c>
      <c r="G716" s="10">
        <v>0.12821764199999999</v>
      </c>
      <c r="H716" s="9">
        <v>0.2037079695</v>
      </c>
      <c r="I716" s="10">
        <v>0.17637071759824899</v>
      </c>
      <c r="J716" s="10">
        <v>3.1106630026121601E-2</v>
      </c>
      <c r="K716" s="10">
        <v>0.56994418499999999</v>
      </c>
      <c r="L716" s="10">
        <v>0.30738092700000003</v>
      </c>
      <c r="M716" s="10">
        <v>-1.6751339160000001</v>
      </c>
      <c r="N716" s="10">
        <v>1.140770163</v>
      </c>
      <c r="O716" s="9">
        <v>8.5740339999999998E-2</v>
      </c>
      <c r="P716" s="10">
        <v>1.2243833803431301</v>
      </c>
      <c r="Q716" s="10">
        <v>1.4991146620604801</v>
      </c>
    </row>
    <row r="717" spans="1:17" x14ac:dyDescent="0.2">
      <c r="A717" s="10">
        <v>1662</v>
      </c>
      <c r="B717" s="10" t="s">
        <v>2822</v>
      </c>
      <c r="C717" s="9" t="s">
        <v>732</v>
      </c>
      <c r="D717" s="10">
        <v>-0.67081948400000002</v>
      </c>
      <c r="E717" s="10">
        <v>-0.106208237</v>
      </c>
      <c r="F717" s="10">
        <v>-6.6347585000000001E-2</v>
      </c>
      <c r="G717" s="10">
        <v>-0.10842449699999999</v>
      </c>
      <c r="H717" s="9">
        <v>-0.23794995099999999</v>
      </c>
      <c r="I717" s="10">
        <v>0.28922662801454901</v>
      </c>
      <c r="J717" s="10">
        <v>8.36520423526666E-2</v>
      </c>
      <c r="K717" s="10">
        <v>-0.1716096</v>
      </c>
      <c r="L717" s="10">
        <v>-0.249424957</v>
      </c>
      <c r="M717" s="10">
        <v>7.0407444999999999E-2</v>
      </c>
      <c r="N717" s="10">
        <v>-0.20932235299999999</v>
      </c>
      <c r="O717" s="9">
        <v>-0.13998736649999999</v>
      </c>
      <c r="P717" s="10">
        <v>0.14381686146514</v>
      </c>
      <c r="Q717" s="10">
        <v>2.0683289641683301E-2</v>
      </c>
    </row>
    <row r="718" spans="1:17" x14ac:dyDescent="0.2">
      <c r="A718" s="10">
        <v>1662</v>
      </c>
      <c r="B718" s="10" t="s">
        <v>2819</v>
      </c>
      <c r="C718" s="9" t="s">
        <v>733</v>
      </c>
      <c r="D718" s="10">
        <v>-0.15901896800000001</v>
      </c>
      <c r="E718" s="10">
        <v>-0.38684743900000002</v>
      </c>
      <c r="F718" s="10">
        <v>-0.51213993400000002</v>
      </c>
      <c r="G718" s="10">
        <v>-0.502566654</v>
      </c>
      <c r="H718" s="9">
        <v>-0.39014324875</v>
      </c>
      <c r="I718" s="10">
        <v>0.16426757518766499</v>
      </c>
      <c r="J718" s="10">
        <v>2.6983836258035399E-2</v>
      </c>
      <c r="K718" s="10">
        <v>-0.30078644300000001</v>
      </c>
      <c r="L718" s="10">
        <v>-0.19276194899999999</v>
      </c>
      <c r="M718" s="10">
        <v>-0.52825459699999999</v>
      </c>
      <c r="N718" s="10">
        <v>-0.48428377099999997</v>
      </c>
      <c r="O718" s="9">
        <v>-0.37652168975</v>
      </c>
      <c r="P718" s="10">
        <v>0.157203701418106</v>
      </c>
      <c r="Q718" s="10">
        <v>2.4713003739552999E-2</v>
      </c>
    </row>
    <row r="719" spans="1:17" x14ac:dyDescent="0.2">
      <c r="A719" s="10">
        <v>1662</v>
      </c>
      <c r="B719" s="10" t="s">
        <v>2834</v>
      </c>
      <c r="C719" s="9" t="s">
        <v>734</v>
      </c>
      <c r="D719" s="10">
        <v>-2.9248247000000002E-2</v>
      </c>
      <c r="E719" s="10">
        <v>-0.89849789599999996</v>
      </c>
      <c r="F719" s="10">
        <v>-0.877082103</v>
      </c>
      <c r="G719" s="10">
        <v>-0.69762186599999998</v>
      </c>
      <c r="H719" s="9">
        <v>-0.625612528</v>
      </c>
      <c r="I719" s="10">
        <v>0.407651432652546</v>
      </c>
      <c r="J719" s="10">
        <v>0.16617969054367299</v>
      </c>
      <c r="K719" s="10">
        <v>-5.5876176E-2</v>
      </c>
      <c r="L719" s="10">
        <v>0.46138514800000002</v>
      </c>
      <c r="M719" s="10">
        <v>-4.1000048999999997E-2</v>
      </c>
      <c r="N719" s="10">
        <v>0.21630257899999999</v>
      </c>
      <c r="O719" s="9">
        <v>0.14520287549999999</v>
      </c>
      <c r="P719" s="10">
        <v>0.24503789593009501</v>
      </c>
      <c r="Q719" s="10">
        <v>6.0043570441848097E-2</v>
      </c>
    </row>
    <row r="720" spans="1:17" x14ac:dyDescent="0.2">
      <c r="A720" s="10">
        <v>1662</v>
      </c>
      <c r="B720" s="10" t="s">
        <v>79</v>
      </c>
      <c r="C720" s="9" t="s">
        <v>735</v>
      </c>
      <c r="D720" s="10">
        <v>-0.48436026100000001</v>
      </c>
      <c r="E720" s="10">
        <v>-0.30916978899999997</v>
      </c>
      <c r="F720" s="10">
        <v>-0.213092067</v>
      </c>
      <c r="G720" s="10">
        <v>-9.6779534E-2</v>
      </c>
      <c r="H720" s="9">
        <v>-0.27585041275</v>
      </c>
      <c r="I720" s="10">
        <v>0.16390192924276401</v>
      </c>
      <c r="J720" s="10">
        <v>2.68638424095002E-2</v>
      </c>
      <c r="K720" s="10">
        <v>0.15001752099999999</v>
      </c>
      <c r="L720" s="10">
        <v>-0.23752050299999999</v>
      </c>
      <c r="M720" s="10">
        <v>-0.233916338</v>
      </c>
      <c r="N720" s="10">
        <v>-0.10775889800000001</v>
      </c>
      <c r="O720" s="9">
        <v>-0.1072945545</v>
      </c>
      <c r="P720" s="10">
        <v>0.18184388316396399</v>
      </c>
      <c r="Q720" s="10">
        <v>3.3067197844149701E-2</v>
      </c>
    </row>
    <row r="721" spans="1:17" x14ac:dyDescent="0.2">
      <c r="A721" s="10">
        <v>1662</v>
      </c>
      <c r="B721" s="10" t="s">
        <v>2820</v>
      </c>
      <c r="C721" s="9" t="s">
        <v>736</v>
      </c>
      <c r="D721" s="10">
        <v>-0.38181304900000002</v>
      </c>
      <c r="E721" s="10">
        <v>-0.27666590800000002</v>
      </c>
      <c r="F721" s="10">
        <v>-0.45490597799999999</v>
      </c>
      <c r="G721" s="10">
        <v>9.1230546999999995E-2</v>
      </c>
      <c r="H721" s="9">
        <v>-0.25553859675000001</v>
      </c>
      <c r="I721" s="10">
        <v>0.24247872232100601</v>
      </c>
      <c r="J721" s="10">
        <v>5.8795930778427603E-2</v>
      </c>
      <c r="K721" s="10">
        <v>-9.0739724999999993E-2</v>
      </c>
      <c r="L721" s="10">
        <v>-0.340422642</v>
      </c>
      <c r="M721" s="10">
        <v>-0.47569850899999999</v>
      </c>
      <c r="N721" s="10">
        <v>-0.10138751999999999</v>
      </c>
      <c r="O721" s="9">
        <v>-0.25206209899999998</v>
      </c>
      <c r="P721" s="10">
        <v>0.18845739266190101</v>
      </c>
      <c r="Q721" s="10">
        <v>3.5516188848921999E-2</v>
      </c>
    </row>
    <row r="722" spans="1:17" x14ac:dyDescent="0.2">
      <c r="A722" s="10">
        <v>1662</v>
      </c>
      <c r="B722" s="10" t="s">
        <v>82</v>
      </c>
      <c r="C722" s="9" t="s">
        <v>737</v>
      </c>
      <c r="D722" s="10">
        <v>-0.26529175500000002</v>
      </c>
      <c r="E722" s="10">
        <v>0.18224771100000001</v>
      </c>
      <c r="F722" s="10">
        <v>2.4332320000000001E-2</v>
      </c>
      <c r="G722" s="10">
        <v>1.5021408E-2</v>
      </c>
      <c r="H722" s="9">
        <v>-1.0922579E-2</v>
      </c>
      <c r="I722" s="10">
        <v>0.18613116970079499</v>
      </c>
      <c r="J722" s="10">
        <v>3.4644812334186398E-2</v>
      </c>
      <c r="K722" s="10">
        <v>9.1443489999999995E-3</v>
      </c>
      <c r="L722" s="10">
        <v>-2.5158691E-2</v>
      </c>
      <c r="M722" s="10">
        <v>-0.24341170500000001</v>
      </c>
      <c r="N722" s="10">
        <v>2.4607999999999997E-4</v>
      </c>
      <c r="O722" s="9">
        <v>-6.4794991750000003E-2</v>
      </c>
      <c r="P722" s="10">
        <v>0.11996156844910801</v>
      </c>
      <c r="Q722" s="10">
        <v>1.43907779047701E-2</v>
      </c>
    </row>
    <row r="723" spans="1:17" x14ac:dyDescent="0.2">
      <c r="A723" s="10">
        <v>1662</v>
      </c>
      <c r="B723" s="10" t="s">
        <v>2814</v>
      </c>
      <c r="C723" s="9" t="s">
        <v>738</v>
      </c>
      <c r="D723" s="10">
        <v>-0.55131363</v>
      </c>
      <c r="E723" s="10">
        <v>-0.49013733599999998</v>
      </c>
      <c r="F723" s="10">
        <v>-1.071875476</v>
      </c>
      <c r="G723" s="10">
        <v>-0.67254687999999996</v>
      </c>
      <c r="H723" s="9">
        <v>-0.69646833024999999</v>
      </c>
      <c r="I723" s="10">
        <v>0.26149896561623698</v>
      </c>
      <c r="J723" s="10">
        <v>6.8381709018361894E-2</v>
      </c>
      <c r="K723" s="10">
        <v>-0.20336726999999999</v>
      </c>
      <c r="L723" s="10">
        <v>-4.2756935000000003E-2</v>
      </c>
      <c r="M723" s="10">
        <v>-0.44120010799999998</v>
      </c>
      <c r="N723" s="10">
        <v>0.24745902</v>
      </c>
      <c r="O723" s="9">
        <v>-0.10996632325</v>
      </c>
      <c r="P723" s="10">
        <v>0.28908449449940199</v>
      </c>
      <c r="Q723" s="10">
        <v>8.3569844959975007E-2</v>
      </c>
    </row>
    <row r="724" spans="1:17" x14ac:dyDescent="0.2">
      <c r="A724" s="10">
        <v>1662</v>
      </c>
      <c r="B724" s="10" t="s">
        <v>74</v>
      </c>
      <c r="C724" s="9" t="s">
        <v>739</v>
      </c>
      <c r="D724" s="10">
        <v>-0.26785758500000001</v>
      </c>
      <c r="E724" s="10">
        <v>-0.25651947000000003</v>
      </c>
      <c r="F724" s="10">
        <v>-0.25048060700000002</v>
      </c>
      <c r="G724" s="10">
        <v>-0.45683845699999998</v>
      </c>
      <c r="H724" s="9">
        <v>-0.30792402949999997</v>
      </c>
      <c r="I724" s="10">
        <v>9.9537266418875905E-2</v>
      </c>
      <c r="J724" s="10">
        <v>9.9076674061421999E-3</v>
      </c>
      <c r="K724" s="10">
        <v>-2.6516092000000002E-2</v>
      </c>
      <c r="L724" s="10">
        <v>0.415877212</v>
      </c>
      <c r="M724" s="10">
        <v>0.47639838000000001</v>
      </c>
      <c r="N724" s="10">
        <v>1.2539531939999999</v>
      </c>
      <c r="O724" s="9">
        <v>0.52992817349999999</v>
      </c>
      <c r="P724" s="10">
        <v>0.53220156317228995</v>
      </c>
      <c r="Q724" s="10">
        <v>0.28323850384302901</v>
      </c>
    </row>
    <row r="725" spans="1:17" x14ac:dyDescent="0.2">
      <c r="A725" s="10">
        <v>1662</v>
      </c>
      <c r="B725" s="10" t="s">
        <v>2818</v>
      </c>
      <c r="C725" s="9" t="s">
        <v>740</v>
      </c>
      <c r="D725" s="10">
        <v>-0.18269696399999999</v>
      </c>
      <c r="E725" s="10">
        <v>-0.375703277</v>
      </c>
      <c r="F725" s="10">
        <v>-0.400182541</v>
      </c>
      <c r="G725" s="10">
        <v>-0.34477311100000002</v>
      </c>
      <c r="H725" s="9">
        <v>-0.32583897299999998</v>
      </c>
      <c r="I725" s="10">
        <v>9.8084234612796195E-2</v>
      </c>
      <c r="J725" s="10">
        <v>9.6205170795780007E-3</v>
      </c>
      <c r="K725" s="10">
        <v>-2.5323267E-2</v>
      </c>
      <c r="L725" s="10">
        <v>-5.1778295000000002E-2</v>
      </c>
      <c r="M725" s="10">
        <v>-5.7887976000000001E-2</v>
      </c>
      <c r="N725" s="10">
        <v>-6.270705E-2</v>
      </c>
      <c r="O725" s="9">
        <v>-4.9424147000000002E-2</v>
      </c>
      <c r="P725" s="10">
        <v>1.6677992915105699E-2</v>
      </c>
      <c r="Q725" s="10">
        <v>2.7815544767629998E-4</v>
      </c>
    </row>
    <row r="726" spans="1:17" x14ac:dyDescent="0.2">
      <c r="A726" s="10">
        <v>1662</v>
      </c>
      <c r="B726" s="10" t="s">
        <v>2830</v>
      </c>
      <c r="C726" s="9" t="s">
        <v>741</v>
      </c>
      <c r="D726" s="10">
        <v>-0.371647328</v>
      </c>
      <c r="E726" s="10">
        <v>-0.11518095</v>
      </c>
      <c r="F726" s="10">
        <v>1.3503894000000001E-2</v>
      </c>
      <c r="G726" s="10">
        <v>0.38721233500000002</v>
      </c>
      <c r="H726" s="9">
        <v>-2.1528012249999999E-2</v>
      </c>
      <c r="I726" s="10">
        <v>0.31604341154131099</v>
      </c>
      <c r="J726" s="10">
        <v>9.98834379786709E-2</v>
      </c>
      <c r="K726" s="10">
        <v>5.2828310000000003E-2</v>
      </c>
      <c r="L726" s="10">
        <v>-0.30544862299999997</v>
      </c>
      <c r="M726" s="10">
        <v>-0.83801022599999997</v>
      </c>
      <c r="N726" s="10">
        <v>0.38073921399999999</v>
      </c>
      <c r="O726" s="9">
        <v>-0.17747283124999999</v>
      </c>
      <c r="P726" s="10">
        <v>0.521960010045596</v>
      </c>
      <c r="Q726" s="10">
        <v>0.27244225208679901</v>
      </c>
    </row>
    <row r="727" spans="1:17" x14ac:dyDescent="0.2">
      <c r="A727" s="10">
        <v>1663</v>
      </c>
      <c r="B727" s="10" t="s">
        <v>2831</v>
      </c>
      <c r="C727" s="9" t="s">
        <v>742</v>
      </c>
      <c r="D727" s="10">
        <v>-2.0411156209999999</v>
      </c>
      <c r="E727" s="10">
        <v>-1.4464004020000001</v>
      </c>
      <c r="F727" s="10">
        <v>-1.0832237179999999</v>
      </c>
      <c r="G727" s="10">
        <v>-1.316662274</v>
      </c>
      <c r="H727" s="9">
        <v>-1.47185050375</v>
      </c>
      <c r="I727" s="10">
        <v>0.40817669648166499</v>
      </c>
      <c r="J727" s="10">
        <v>0.166608215550685</v>
      </c>
      <c r="K727" s="10">
        <v>0.193791396</v>
      </c>
      <c r="L727" s="10">
        <v>0.25896762800000001</v>
      </c>
      <c r="M727" s="10">
        <v>-1.4311414840000001</v>
      </c>
      <c r="N727" s="10">
        <v>-0.20527018</v>
      </c>
      <c r="O727" s="9">
        <v>-0.29591316000000001</v>
      </c>
      <c r="P727" s="10">
        <v>0.78414767709783395</v>
      </c>
      <c r="Q727" s="10">
        <v>0.61488757949792905</v>
      </c>
    </row>
    <row r="728" spans="1:17" x14ac:dyDescent="0.2">
      <c r="A728" s="10">
        <v>1663</v>
      </c>
      <c r="B728" s="10" t="s">
        <v>2822</v>
      </c>
      <c r="C728" s="9" t="s">
        <v>743</v>
      </c>
      <c r="D728" s="10">
        <v>-1.393949466</v>
      </c>
      <c r="E728" s="10">
        <v>-0.31587046899999999</v>
      </c>
      <c r="F728" s="10">
        <v>-0.64982637099999996</v>
      </c>
      <c r="G728" s="10">
        <v>-1.3697364329999999</v>
      </c>
      <c r="H728" s="9">
        <v>-0.93234568475000001</v>
      </c>
      <c r="I728" s="10">
        <v>0.53673319622657101</v>
      </c>
      <c r="J728" s="10">
        <v>0.28808252393159001</v>
      </c>
      <c r="K728" s="10">
        <v>-0.146242338</v>
      </c>
      <c r="L728" s="10">
        <v>5.2504914E-2</v>
      </c>
      <c r="M728" s="10">
        <v>0.66228402099999995</v>
      </c>
      <c r="N728" s="10">
        <v>-6.5435354000000001E-2</v>
      </c>
      <c r="O728" s="9">
        <v>0.12577781075</v>
      </c>
      <c r="P728" s="10">
        <v>0.36686294749521697</v>
      </c>
      <c r="Q728" s="10">
        <v>0.13458842224487799</v>
      </c>
    </row>
    <row r="729" spans="1:17" x14ac:dyDescent="0.2">
      <c r="A729" s="10">
        <v>1663</v>
      </c>
      <c r="B729" s="10" t="s">
        <v>2819</v>
      </c>
      <c r="C729" s="9" t="s">
        <v>744</v>
      </c>
      <c r="D729" s="10">
        <v>0.45700123300000001</v>
      </c>
      <c r="E729" s="10">
        <v>0.41170900799999999</v>
      </c>
      <c r="F729" s="10">
        <v>-6.4189040000000003E-2</v>
      </c>
      <c r="G729" s="10">
        <v>-0.10021282400000001</v>
      </c>
      <c r="H729" s="9">
        <v>0.17607709425000001</v>
      </c>
      <c r="I729" s="10">
        <v>0.29916812703670298</v>
      </c>
      <c r="J729" s="10">
        <v>8.9501568234649095E-2</v>
      </c>
      <c r="K729" s="10">
        <v>4.9225287E-2</v>
      </c>
      <c r="L729" s="10">
        <v>-0.34468439699999998</v>
      </c>
      <c r="M729" s="10">
        <v>1.2236306000000001E-2</v>
      </c>
      <c r="N729" s="10">
        <v>-9.2239686000000001E-2</v>
      </c>
      <c r="O729" s="9">
        <v>-9.3865622499999996E-2</v>
      </c>
      <c r="P729" s="10">
        <v>0.177618813684568</v>
      </c>
      <c r="Q729" s="10">
        <v>3.1548442974713299E-2</v>
      </c>
    </row>
    <row r="730" spans="1:17" x14ac:dyDescent="0.2">
      <c r="A730" s="10">
        <v>1663</v>
      </c>
      <c r="B730" s="10" t="s">
        <v>2826</v>
      </c>
      <c r="C730" s="9" t="s">
        <v>745</v>
      </c>
      <c r="D730" s="10">
        <v>-0.82004614899999995</v>
      </c>
      <c r="E730" s="10">
        <v>0.20491337800000001</v>
      </c>
      <c r="F730" s="10">
        <v>0.182387878</v>
      </c>
      <c r="G730" s="10">
        <v>2.1984149000000001E-2</v>
      </c>
      <c r="H730" s="9">
        <v>-0.10269018625</v>
      </c>
      <c r="I730" s="10">
        <v>0.48512291316010397</v>
      </c>
      <c r="J730" s="10">
        <v>0.235344240872946</v>
      </c>
      <c r="K730" s="10">
        <v>0.114553524</v>
      </c>
      <c r="L730" s="10">
        <v>0.22292520399999999</v>
      </c>
      <c r="M730" s="10">
        <v>-0.82731175999999995</v>
      </c>
      <c r="N730" s="10">
        <v>0.27040103599999998</v>
      </c>
      <c r="O730" s="9">
        <v>-5.4857998999999998E-2</v>
      </c>
      <c r="P730" s="10">
        <v>0.51908317404384396</v>
      </c>
      <c r="Q730" s="10">
        <v>0.26944734157543099</v>
      </c>
    </row>
    <row r="731" spans="1:17" x14ac:dyDescent="0.2">
      <c r="A731" s="10">
        <v>1663</v>
      </c>
      <c r="B731" s="10" t="s">
        <v>82</v>
      </c>
      <c r="C731" s="9" t="s">
        <v>746</v>
      </c>
      <c r="D731" s="10">
        <v>0.15268757599999999</v>
      </c>
      <c r="E731" s="10">
        <v>3.3317910999999999E-2</v>
      </c>
      <c r="F731" s="10">
        <v>-0.15856104700000001</v>
      </c>
      <c r="G731" s="10">
        <v>1.0979150000000001E-3</v>
      </c>
      <c r="H731" s="9">
        <v>7.1355884999999997E-3</v>
      </c>
      <c r="I731" s="10">
        <v>0.12827408622945699</v>
      </c>
      <c r="J731" s="10">
        <v>1.6454241198002199E-2</v>
      </c>
      <c r="K731" s="10">
        <v>-0.23686991399999999</v>
      </c>
      <c r="L731" s="10">
        <v>-0.39771479999999998</v>
      </c>
      <c r="M731" s="10">
        <v>-0.63577427900000005</v>
      </c>
      <c r="N731" s="10">
        <v>-0.56032534899999997</v>
      </c>
      <c r="O731" s="9">
        <v>-0.45767108550000002</v>
      </c>
      <c r="P731" s="10">
        <v>0.177582430490139</v>
      </c>
      <c r="Q731" s="10">
        <v>3.1535519618785202E-2</v>
      </c>
    </row>
    <row r="732" spans="1:17" x14ac:dyDescent="0.2">
      <c r="A732" s="10">
        <v>1663</v>
      </c>
      <c r="B732" s="10" t="s">
        <v>2830</v>
      </c>
      <c r="C732" s="9" t="s">
        <v>747</v>
      </c>
      <c r="D732" s="10">
        <v>-0.14125370100000001</v>
      </c>
      <c r="E732" s="10">
        <v>0.36298566399999999</v>
      </c>
      <c r="F732" s="10">
        <v>6.5653023000000005E-2</v>
      </c>
      <c r="G732" s="10">
        <v>0.417970336</v>
      </c>
      <c r="H732" s="9">
        <v>0.17633883049999999</v>
      </c>
      <c r="I732" s="10">
        <v>0.26225889813457098</v>
      </c>
      <c r="J732" s="10">
        <v>6.8779729650759597E-2</v>
      </c>
      <c r="K732" s="10">
        <v>0.89385144599999999</v>
      </c>
      <c r="L732" s="10">
        <v>0.35488416900000003</v>
      </c>
      <c r="M732" s="10">
        <v>0.12736451900000001</v>
      </c>
      <c r="N732" s="10">
        <v>0.320827896</v>
      </c>
      <c r="O732" s="9">
        <v>0.42423200750000001</v>
      </c>
      <c r="P732" s="10">
        <v>0.32872189650477002</v>
      </c>
      <c r="Q732" s="10">
        <v>0.108058085241693</v>
      </c>
    </row>
    <row r="733" spans="1:17" x14ac:dyDescent="0.2">
      <c r="A733" s="10">
        <v>1664</v>
      </c>
      <c r="B733" s="10" t="s">
        <v>2831</v>
      </c>
      <c r="C733" s="9" t="s">
        <v>748</v>
      </c>
      <c r="D733" s="10">
        <v>-2.486162583</v>
      </c>
      <c r="E733" s="10">
        <v>-1.9152966069999999</v>
      </c>
      <c r="F733" s="10">
        <v>-2.324992387</v>
      </c>
      <c r="G733" s="10">
        <v>-0.98154099100000003</v>
      </c>
      <c r="H733" s="9">
        <v>-1.926998142</v>
      </c>
      <c r="I733" s="10">
        <v>0.67455922434094095</v>
      </c>
      <c r="J733" s="10">
        <v>0.45503014714345102</v>
      </c>
      <c r="K733" s="10">
        <v>-0.49155027699999998</v>
      </c>
      <c r="L733" s="10">
        <v>-0.25709590599999999</v>
      </c>
      <c r="M733" s="10">
        <v>-0.55921184800000001</v>
      </c>
      <c r="N733" s="10">
        <v>0.22612708400000001</v>
      </c>
      <c r="O733" s="9">
        <v>-0.27043273675000001</v>
      </c>
      <c r="P733" s="10">
        <v>0.35545082563709401</v>
      </c>
      <c r="Q733" s="10">
        <v>0.126345289446092</v>
      </c>
    </row>
    <row r="734" spans="1:17" x14ac:dyDescent="0.2">
      <c r="A734" s="10">
        <v>1664</v>
      </c>
      <c r="B734" s="10" t="s">
        <v>2819</v>
      </c>
      <c r="C734" s="9" t="s">
        <v>749</v>
      </c>
      <c r="D734" s="10">
        <v>-2.8374619999999998E-3</v>
      </c>
      <c r="E734" s="10">
        <v>-0.15007504199999999</v>
      </c>
      <c r="F734" s="10">
        <v>0.42143892199999999</v>
      </c>
      <c r="G734" s="10">
        <v>-0.66537603899999997</v>
      </c>
      <c r="H734" s="9">
        <v>-9.9212405249999996E-2</v>
      </c>
      <c r="I734" s="10">
        <v>0.44851391738042101</v>
      </c>
      <c r="J734" s="10">
        <v>0.20116473408393101</v>
      </c>
      <c r="K734" s="10">
        <v>3.0445598000000001E-2</v>
      </c>
      <c r="L734" s="10">
        <v>-3.9572522999999998E-2</v>
      </c>
      <c r="M734" s="10">
        <v>-0.82717565500000001</v>
      </c>
      <c r="N734" s="10">
        <v>0.71213721699999999</v>
      </c>
      <c r="O734" s="9">
        <v>-3.104134075E-2</v>
      </c>
      <c r="P734" s="10">
        <v>0.62981416299654502</v>
      </c>
      <c r="Q734" s="10">
        <v>0.39666587991103802</v>
      </c>
    </row>
    <row r="735" spans="1:17" x14ac:dyDescent="0.2">
      <c r="A735" s="10">
        <v>1664</v>
      </c>
      <c r="B735" s="10" t="s">
        <v>2817</v>
      </c>
      <c r="C735" s="9" t="s">
        <v>750</v>
      </c>
      <c r="D735" s="10">
        <v>-0.31134040899999998</v>
      </c>
      <c r="E735" s="10">
        <v>0.49242335399999998</v>
      </c>
      <c r="F735" s="10">
        <v>-0.11199753699999999</v>
      </c>
      <c r="G735" s="10">
        <v>-0.40160115699999999</v>
      </c>
      <c r="H735" s="9">
        <v>-8.3128937250000007E-2</v>
      </c>
      <c r="I735" s="10">
        <v>0.40232609767262301</v>
      </c>
      <c r="J735" s="10">
        <v>0.16186628886848101</v>
      </c>
      <c r="K735" s="10">
        <v>-0.418606437</v>
      </c>
      <c r="L735" s="10">
        <v>-0.43522705</v>
      </c>
      <c r="M735" s="10">
        <v>-4.4185179999999998E-2</v>
      </c>
      <c r="N735" s="10">
        <v>-0.51128329699999997</v>
      </c>
      <c r="O735" s="9">
        <v>-0.35232549099999999</v>
      </c>
      <c r="P735" s="10">
        <v>0.209351273890555</v>
      </c>
      <c r="Q735" s="10">
        <v>4.38279558795985E-2</v>
      </c>
    </row>
    <row r="736" spans="1:17" x14ac:dyDescent="0.2">
      <c r="A736" s="10">
        <v>1664</v>
      </c>
      <c r="B736" s="10" t="s">
        <v>74</v>
      </c>
      <c r="C736" s="9" t="s">
        <v>751</v>
      </c>
      <c r="D736" s="10">
        <v>-2.0133053510000001</v>
      </c>
      <c r="E736" s="10">
        <v>-0.59702523399999996</v>
      </c>
      <c r="F736" s="10">
        <v>-0.52871221800000001</v>
      </c>
      <c r="G736" s="10">
        <v>-0.44835423499999999</v>
      </c>
      <c r="H736" s="9">
        <v>-0.89684925950000005</v>
      </c>
      <c r="I736" s="10">
        <v>0.74678004768028505</v>
      </c>
      <c r="J736" s="10">
        <v>0.55768043961336899</v>
      </c>
      <c r="K736" s="10">
        <v>-6.7971438999999995E-2</v>
      </c>
      <c r="L736" s="10">
        <v>-0.53851861899999998</v>
      </c>
      <c r="M736" s="10">
        <v>1.5520409000000001E-2</v>
      </c>
      <c r="N736" s="10">
        <v>0.62822933999999997</v>
      </c>
      <c r="O736" s="9">
        <v>9.3149227499999994E-3</v>
      </c>
      <c r="P736" s="10">
        <v>0.479300996284661</v>
      </c>
      <c r="Q736" s="10">
        <v>0.22972944503946799</v>
      </c>
    </row>
    <row r="737" spans="1:17" x14ac:dyDescent="0.2">
      <c r="A737" s="10">
        <v>1665</v>
      </c>
      <c r="B737" s="10" t="s">
        <v>96</v>
      </c>
      <c r="C737" s="9" t="s">
        <v>752</v>
      </c>
      <c r="D737" s="10">
        <v>-9.1901865999999999E-2</v>
      </c>
      <c r="E737" s="10">
        <v>-0.55226476899999999</v>
      </c>
      <c r="F737" s="10">
        <v>0.57526168099999997</v>
      </c>
      <c r="G737" s="10">
        <v>-0.55746329100000003</v>
      </c>
      <c r="H737" s="9">
        <v>-0.15659206125</v>
      </c>
      <c r="I737" s="10">
        <v>0.53449332889703605</v>
      </c>
      <c r="J737" s="10">
        <v>0.285683118635435</v>
      </c>
      <c r="K737" s="10">
        <v>7.4708190999999993E-2</v>
      </c>
      <c r="L737" s="10">
        <v>-0.175216185</v>
      </c>
      <c r="M737" s="10">
        <v>-0.72708050999999996</v>
      </c>
      <c r="N737" s="10">
        <v>0.14408370600000001</v>
      </c>
      <c r="O737" s="9">
        <v>-0.17087619949999999</v>
      </c>
      <c r="P737" s="10">
        <v>0.39534521008975798</v>
      </c>
      <c r="Q737" s="10">
        <v>0.156297835140915</v>
      </c>
    </row>
    <row r="738" spans="1:17" x14ac:dyDescent="0.2">
      <c r="A738" s="10">
        <v>1665</v>
      </c>
      <c r="B738" s="10" t="s">
        <v>2826</v>
      </c>
      <c r="C738" s="9" t="s">
        <v>753</v>
      </c>
      <c r="D738" s="10">
        <v>-0.44816656399999999</v>
      </c>
      <c r="E738" s="10">
        <v>-0.45343612799999999</v>
      </c>
      <c r="F738" s="10">
        <v>-0.248808317</v>
      </c>
      <c r="G738" s="10">
        <v>0.27264117500000001</v>
      </c>
      <c r="H738" s="9">
        <v>-0.21944245849999999</v>
      </c>
      <c r="I738" s="10">
        <v>0.341602307665338</v>
      </c>
      <c r="J738" s="10">
        <v>0.116692136602284</v>
      </c>
      <c r="K738" s="10">
        <v>-0.19134492</v>
      </c>
      <c r="L738" s="10">
        <v>-0.153459504</v>
      </c>
      <c r="M738" s="10">
        <v>-0.21088764700000001</v>
      </c>
      <c r="N738" s="10">
        <v>0.283069874</v>
      </c>
      <c r="O738" s="9">
        <v>-6.8155549250000003E-2</v>
      </c>
      <c r="P738" s="10">
        <v>0.23536081196539299</v>
      </c>
      <c r="Q738" s="10">
        <v>5.53947118090094E-2</v>
      </c>
    </row>
    <row r="739" spans="1:17" x14ac:dyDescent="0.2">
      <c r="A739" s="10">
        <v>1665</v>
      </c>
      <c r="B739" s="10" t="s">
        <v>2820</v>
      </c>
      <c r="C739" s="9" t="s">
        <v>754</v>
      </c>
      <c r="D739" s="10">
        <v>-1.0124092469999999</v>
      </c>
      <c r="E739" s="10">
        <v>-1.1993192539999999</v>
      </c>
      <c r="F739" s="10">
        <v>-0.61753085100000005</v>
      </c>
      <c r="G739" s="10">
        <v>-1.296226321</v>
      </c>
      <c r="H739" s="9">
        <v>-1.031371418</v>
      </c>
      <c r="I739" s="10">
        <v>0.29998787424612999</v>
      </c>
      <c r="J739" s="10">
        <v>8.9992724694712298E-2</v>
      </c>
      <c r="K739" s="10">
        <v>-0.11433600300000001</v>
      </c>
      <c r="L739" s="10">
        <v>-0.189823774</v>
      </c>
      <c r="M739" s="10">
        <v>-0.91315898699999998</v>
      </c>
      <c r="N739" s="10">
        <v>-0.469831569</v>
      </c>
      <c r="O739" s="9">
        <v>-0.42178758324999999</v>
      </c>
      <c r="P739" s="10">
        <v>0.36151890867559699</v>
      </c>
      <c r="Q739" s="10">
        <v>0.130695921329994</v>
      </c>
    </row>
    <row r="740" spans="1:17" x14ac:dyDescent="0.2">
      <c r="A740" s="10">
        <v>1665</v>
      </c>
      <c r="B740" s="10" t="s">
        <v>2824</v>
      </c>
      <c r="C740" s="9" t="s">
        <v>2521</v>
      </c>
      <c r="D740" s="10">
        <v>1.68399E-3</v>
      </c>
      <c r="E740" s="10">
        <v>0.49708619199999998</v>
      </c>
      <c r="F740" s="10">
        <v>-0.39789778599999998</v>
      </c>
      <c r="G740" s="10">
        <v>-0.63535022200000002</v>
      </c>
      <c r="H740" s="9">
        <v>-0.13361945624999999</v>
      </c>
      <c r="I740" s="10">
        <v>0.49587412185523799</v>
      </c>
      <c r="J740" s="10">
        <v>0.245891144725703</v>
      </c>
      <c r="K740" s="10">
        <v>-0.37440531399999999</v>
      </c>
      <c r="L740" s="10">
        <v>0.377431709</v>
      </c>
      <c r="M740" s="10">
        <v>-0.90446578200000005</v>
      </c>
      <c r="N740" s="10">
        <v>-1.8801720280000001</v>
      </c>
      <c r="O740" s="9">
        <v>-0.69540285374999999</v>
      </c>
      <c r="P740" s="10">
        <v>0.94892899695358801</v>
      </c>
      <c r="Q740" s="10">
        <v>0.90046624125934205</v>
      </c>
    </row>
    <row r="741" spans="1:17" x14ac:dyDescent="0.2">
      <c r="A741" s="10">
        <v>1665</v>
      </c>
      <c r="B741" s="10" t="s">
        <v>2814</v>
      </c>
      <c r="C741" s="9" t="s">
        <v>755</v>
      </c>
      <c r="D741" s="10">
        <v>-0.54572710899999999</v>
      </c>
      <c r="E741" s="10">
        <v>-0.103627359</v>
      </c>
      <c r="F741" s="10">
        <v>-0.30490105200000001</v>
      </c>
      <c r="G741" s="10">
        <v>-7.3906326999999994E-2</v>
      </c>
      <c r="H741" s="9">
        <v>-0.25704046175</v>
      </c>
      <c r="I741" s="10">
        <v>0.218101129299794</v>
      </c>
      <c r="J741" s="10">
        <v>4.7568102601845803E-2</v>
      </c>
      <c r="K741" s="10">
        <v>5.7663950999999998E-2</v>
      </c>
      <c r="L741" s="10">
        <v>-0.241389417</v>
      </c>
      <c r="M741" s="10">
        <v>0.18547702199999999</v>
      </c>
      <c r="N741" s="10">
        <v>5.4439293999999999E-2</v>
      </c>
      <c r="O741" s="9">
        <v>1.40477125E-2</v>
      </c>
      <c r="P741" s="10">
        <v>0.18089591058562399</v>
      </c>
      <c r="Q741" s="10">
        <v>3.2723330466602099E-2</v>
      </c>
    </row>
    <row r="742" spans="1:17" x14ac:dyDescent="0.2">
      <c r="A742" s="10">
        <v>1665</v>
      </c>
      <c r="B742" s="10" t="s">
        <v>74</v>
      </c>
      <c r="C742" s="9" t="s">
        <v>756</v>
      </c>
      <c r="D742" s="10">
        <v>9.4232893999999998E-2</v>
      </c>
      <c r="E742" s="10">
        <v>-0.82726908399999999</v>
      </c>
      <c r="F742" s="10">
        <v>0.53027661999999998</v>
      </c>
      <c r="G742" s="10">
        <v>0.112524287</v>
      </c>
      <c r="H742" s="9">
        <v>-2.255882075E-2</v>
      </c>
      <c r="I742" s="10">
        <v>0.57302512538362904</v>
      </c>
      <c r="J742" s="10">
        <v>0.32835779432092399</v>
      </c>
      <c r="K742" s="10">
        <v>0.25191824800000001</v>
      </c>
      <c r="L742" s="10">
        <v>-0.15377889</v>
      </c>
      <c r="M742" s="10">
        <v>0.191847086</v>
      </c>
      <c r="N742" s="10">
        <v>0.60483998100000003</v>
      </c>
      <c r="O742" s="9">
        <v>0.223706606</v>
      </c>
      <c r="P742" s="10">
        <v>0.31068144188124203</v>
      </c>
      <c r="Q742" s="10">
        <v>9.6522958329407701E-2</v>
      </c>
    </row>
    <row r="743" spans="1:17" x14ac:dyDescent="0.2">
      <c r="A743" s="10">
        <v>1665</v>
      </c>
      <c r="B743" s="10" t="s">
        <v>2818</v>
      </c>
      <c r="C743" s="9" t="s">
        <v>757</v>
      </c>
      <c r="D743" s="10">
        <v>-0.275349609</v>
      </c>
      <c r="E743" s="10">
        <v>0.49234139599999999</v>
      </c>
      <c r="F743" s="10">
        <v>-0.12461099</v>
      </c>
      <c r="G743" s="10">
        <v>-0.234820047</v>
      </c>
      <c r="H743" s="9">
        <v>-3.5609812499999997E-2</v>
      </c>
      <c r="I743" s="10">
        <v>0.35768402056769</v>
      </c>
      <c r="J743" s="10">
        <v>0.12793785856946699</v>
      </c>
      <c r="K743" s="10">
        <v>0.36312839600000002</v>
      </c>
      <c r="L743" s="10">
        <v>-6.0469145000000002E-2</v>
      </c>
      <c r="M743" s="10">
        <v>0.112751979</v>
      </c>
      <c r="N743" s="10">
        <v>-9.1886369999999995E-3</v>
      </c>
      <c r="O743" s="9">
        <v>0.101555648</v>
      </c>
      <c r="P743" s="10">
        <v>0.18891090539456801</v>
      </c>
      <c r="Q743" s="10">
        <v>3.5687330176995699E-2</v>
      </c>
    </row>
    <row r="744" spans="1:17" x14ac:dyDescent="0.2">
      <c r="A744" s="10">
        <v>1665</v>
      </c>
      <c r="B744" s="10" t="s">
        <v>2832</v>
      </c>
      <c r="C744" s="9" t="s">
        <v>758</v>
      </c>
      <c r="D744" s="10">
        <v>-1.072932896</v>
      </c>
      <c r="E744" s="10">
        <v>-1.094724754</v>
      </c>
      <c r="F744" s="10">
        <v>-8.8757203000000007E-2</v>
      </c>
      <c r="G744" s="10">
        <v>-0.74508911799999999</v>
      </c>
      <c r="H744" s="9">
        <v>-0.75037599275</v>
      </c>
      <c r="I744" s="10">
        <v>0.46917885687070898</v>
      </c>
      <c r="J744" s="10">
        <v>0.220128799734505</v>
      </c>
      <c r="K744" s="10">
        <v>-0.59260382899999997</v>
      </c>
      <c r="L744" s="10">
        <v>-0.57371711999999997</v>
      </c>
      <c r="M744" s="10">
        <v>-0.43701635100000003</v>
      </c>
      <c r="N744" s="10">
        <v>0.150675643</v>
      </c>
      <c r="O744" s="9">
        <v>-0.36316541424999998</v>
      </c>
      <c r="P744" s="10">
        <v>0.349504697122407</v>
      </c>
      <c r="Q744" s="10">
        <v>0.12215353331062501</v>
      </c>
    </row>
    <row r="745" spans="1:17" x14ac:dyDescent="0.2">
      <c r="A745" s="10">
        <v>1666</v>
      </c>
      <c r="B745" s="10" t="s">
        <v>2822</v>
      </c>
      <c r="C745" s="9" t="s">
        <v>2520</v>
      </c>
      <c r="D745" s="10">
        <v>-0.160723226</v>
      </c>
      <c r="E745" s="10">
        <v>1.298055315</v>
      </c>
      <c r="F745" s="10">
        <v>-1.6161596119999999</v>
      </c>
      <c r="G745" s="10">
        <v>0.14245957000000001</v>
      </c>
      <c r="H745" s="9">
        <v>-8.4091988249999999E-2</v>
      </c>
      <c r="I745" s="10">
        <v>1.1992720468085101</v>
      </c>
      <c r="J745" s="10">
        <v>1.4382534422562701</v>
      </c>
      <c r="K745" s="10">
        <v>-5.7728157000000002E-2</v>
      </c>
      <c r="L745" s="10">
        <v>1.3927815160000001</v>
      </c>
      <c r="M745" s="10">
        <v>-0.256502446</v>
      </c>
      <c r="N745" s="10">
        <v>-0.588613567</v>
      </c>
      <c r="O745" s="9">
        <v>0.1224843365</v>
      </c>
      <c r="P745" s="10">
        <v>0.874723323253499</v>
      </c>
      <c r="Q745" s="10">
        <v>0.76514089224364601</v>
      </c>
    </row>
    <row r="746" spans="1:17" x14ac:dyDescent="0.2">
      <c r="A746" s="10">
        <v>1666</v>
      </c>
      <c r="B746" s="10" t="s">
        <v>2823</v>
      </c>
      <c r="C746" s="9" t="s">
        <v>2519</v>
      </c>
      <c r="D746" s="10">
        <v>0.29149016599999999</v>
      </c>
      <c r="E746" s="10">
        <v>0.30962780899999998</v>
      </c>
      <c r="F746" s="10">
        <v>-1.8913972569999999</v>
      </c>
      <c r="G746" s="10">
        <v>0.59128689700000003</v>
      </c>
      <c r="H746" s="9">
        <v>-0.17474809625000001</v>
      </c>
      <c r="I746" s="10">
        <v>1.1526335189122101</v>
      </c>
      <c r="J746" s="10">
        <v>1.3285640289199501</v>
      </c>
      <c r="K746" s="10">
        <v>-0.38644833899999997</v>
      </c>
      <c r="L746" s="10">
        <v>-5.9578236E-2</v>
      </c>
      <c r="M746" s="10">
        <v>-0.98563014900000001</v>
      </c>
      <c r="N746" s="10">
        <v>-1.5860792399999999</v>
      </c>
      <c r="O746" s="9">
        <v>-0.75443399124999999</v>
      </c>
      <c r="P746" s="10">
        <v>0.67412250221867798</v>
      </c>
      <c r="Q746" s="10">
        <v>0.45444114799757201</v>
      </c>
    </row>
    <row r="747" spans="1:17" x14ac:dyDescent="0.2">
      <c r="A747" s="10">
        <v>1666</v>
      </c>
      <c r="B747" s="10" t="s">
        <v>2826</v>
      </c>
      <c r="C747" s="9" t="s">
        <v>759</v>
      </c>
      <c r="D747" s="10">
        <v>1.6076790000000001E-2</v>
      </c>
      <c r="E747" s="10">
        <v>-0.307092961</v>
      </c>
      <c r="F747" s="10">
        <v>-0.13137304</v>
      </c>
      <c r="G747" s="10">
        <v>0.100749224</v>
      </c>
      <c r="H747" s="9">
        <v>-8.0409996750000004E-2</v>
      </c>
      <c r="I747" s="10">
        <v>0.178988604235535</v>
      </c>
      <c r="J747" s="10">
        <v>3.2036920446185099E-2</v>
      </c>
      <c r="K747" s="10">
        <v>-0.12156230799999999</v>
      </c>
      <c r="L747" s="10">
        <v>-0.20731580199999999</v>
      </c>
      <c r="M747" s="10">
        <v>0.22569064</v>
      </c>
      <c r="N747" s="10">
        <v>-0.13860140300000001</v>
      </c>
      <c r="O747" s="9">
        <v>-6.0447218249999997E-2</v>
      </c>
      <c r="P747" s="10">
        <v>0.194326516980841</v>
      </c>
      <c r="Q747" s="10">
        <v>3.7762795201905099E-2</v>
      </c>
    </row>
    <row r="748" spans="1:17" x14ac:dyDescent="0.2">
      <c r="A748" s="10">
        <v>1666</v>
      </c>
      <c r="B748" s="10" t="s">
        <v>2834</v>
      </c>
      <c r="C748" s="9" t="s">
        <v>760</v>
      </c>
      <c r="D748" s="10">
        <v>-0.19150608299999999</v>
      </c>
      <c r="E748" s="10">
        <v>0.21861905600000001</v>
      </c>
      <c r="F748" s="10">
        <v>-9.1253612999999997E-2</v>
      </c>
      <c r="G748" s="10">
        <v>0.13820846000000001</v>
      </c>
      <c r="H748" s="9">
        <v>1.8516954749999998E-2</v>
      </c>
      <c r="I748" s="10">
        <v>0.19194283982787799</v>
      </c>
      <c r="J748" s="10">
        <v>3.6842053761190402E-2</v>
      </c>
      <c r="K748" s="10">
        <v>0.11308574</v>
      </c>
      <c r="L748" s="10">
        <v>-0.227221743</v>
      </c>
      <c r="M748" s="10">
        <v>-7.0906211999999996E-2</v>
      </c>
      <c r="N748" s="10">
        <v>-7.7205205999999998E-2</v>
      </c>
      <c r="O748" s="9">
        <v>-6.5561855249999995E-2</v>
      </c>
      <c r="P748" s="10">
        <v>0.13929945245370801</v>
      </c>
      <c r="Q748" s="10">
        <v>1.9404337453902999E-2</v>
      </c>
    </row>
    <row r="749" spans="1:17" x14ac:dyDescent="0.2">
      <c r="A749" s="10">
        <v>1666</v>
      </c>
      <c r="B749" s="10" t="s">
        <v>2824</v>
      </c>
      <c r="C749" s="9" t="s">
        <v>761</v>
      </c>
      <c r="D749" s="10">
        <v>0.50263242299999999</v>
      </c>
      <c r="E749" s="10">
        <v>-0.1146609</v>
      </c>
      <c r="F749" s="10">
        <v>-0.34666090100000002</v>
      </c>
      <c r="G749" s="10">
        <v>-0.42210483100000001</v>
      </c>
      <c r="H749" s="9">
        <v>-9.5198552500000005E-2</v>
      </c>
      <c r="I749" s="10">
        <v>0.41947653326232898</v>
      </c>
      <c r="J749" s="10">
        <v>0.17596056195778201</v>
      </c>
      <c r="K749" s="10">
        <v>0.27266517699999998</v>
      </c>
      <c r="L749" s="10">
        <v>-0.22862422199999999</v>
      </c>
      <c r="M749" s="10">
        <v>-7.1146028E-2</v>
      </c>
      <c r="N749" s="10">
        <v>-0.12054131899999999</v>
      </c>
      <c r="O749" s="9">
        <v>-3.6911597999999997E-2</v>
      </c>
      <c r="P749" s="10">
        <v>0.21660827642877101</v>
      </c>
      <c r="Q749" s="10">
        <v>4.6919145417442902E-2</v>
      </c>
    </row>
    <row r="750" spans="1:17" x14ac:dyDescent="0.2">
      <c r="A750" s="10">
        <v>1666</v>
      </c>
      <c r="B750" s="10" t="s">
        <v>2814</v>
      </c>
      <c r="C750" s="9" t="s">
        <v>762</v>
      </c>
      <c r="D750" s="10">
        <v>-0.34867203499999999</v>
      </c>
      <c r="E750" s="10">
        <v>4.9108562000000001E-2</v>
      </c>
      <c r="F750" s="10">
        <v>-0.50749236600000003</v>
      </c>
      <c r="G750" s="10">
        <v>-1.5511298E-2</v>
      </c>
      <c r="H750" s="9">
        <v>-0.20564178424999999</v>
      </c>
      <c r="I750" s="10">
        <v>0.266219688132801</v>
      </c>
      <c r="J750" s="10">
        <v>7.0872922349525802E-2</v>
      </c>
      <c r="K750" s="10">
        <v>0.282715039</v>
      </c>
      <c r="L750" s="10">
        <v>-1.5974552E-2</v>
      </c>
      <c r="M750" s="10">
        <v>-2.7771838E-2</v>
      </c>
      <c r="N750" s="10">
        <v>-0.32452478800000001</v>
      </c>
      <c r="O750" s="9">
        <v>-2.1389035000000001E-2</v>
      </c>
      <c r="P750" s="10">
        <v>0.24795203122819801</v>
      </c>
      <c r="Q750" s="10">
        <v>6.1480209790189498E-2</v>
      </c>
    </row>
    <row r="751" spans="1:17" x14ac:dyDescent="0.2">
      <c r="A751" s="10">
        <v>1666</v>
      </c>
      <c r="B751" s="10" t="s">
        <v>2825</v>
      </c>
      <c r="C751" s="9" t="s">
        <v>763</v>
      </c>
      <c r="D751" s="10">
        <v>-0.23209623800000001</v>
      </c>
      <c r="E751" s="10">
        <v>-0.96743316000000001</v>
      </c>
      <c r="F751" s="10">
        <v>-0.23931856500000001</v>
      </c>
      <c r="G751" s="10">
        <v>-0.121062633</v>
      </c>
      <c r="H751" s="9">
        <v>-0.38997764925</v>
      </c>
      <c r="I751" s="10">
        <v>0.38875650157290798</v>
      </c>
      <c r="J751" s="10">
        <v>0.15113161751520701</v>
      </c>
      <c r="K751" s="10">
        <v>-0.58900298500000003</v>
      </c>
      <c r="L751" s="10">
        <v>-0.23805657799999999</v>
      </c>
      <c r="M751" s="10">
        <v>-0.40623101900000003</v>
      </c>
      <c r="N751" s="10">
        <v>-0.46640610799999999</v>
      </c>
      <c r="O751" s="9">
        <v>-0.42492417249999997</v>
      </c>
      <c r="P751" s="10">
        <v>0.14595837254302699</v>
      </c>
      <c r="Q751" s="10">
        <v>2.1303846515409099E-2</v>
      </c>
    </row>
    <row r="752" spans="1:17" x14ac:dyDescent="0.2">
      <c r="A752" s="10">
        <v>1666</v>
      </c>
      <c r="B752" s="10" t="s">
        <v>74</v>
      </c>
      <c r="C752" s="9" t="s">
        <v>764</v>
      </c>
      <c r="D752" s="10">
        <v>0.27444027100000001</v>
      </c>
      <c r="E752" s="10">
        <v>-9.6413958999999994E-2</v>
      </c>
      <c r="F752" s="10">
        <v>-0.131416585</v>
      </c>
      <c r="G752" s="10">
        <v>-6.2728003000000004E-2</v>
      </c>
      <c r="H752" s="9">
        <v>-4.0295692500000001E-3</v>
      </c>
      <c r="I752" s="10">
        <v>0.187752749917486</v>
      </c>
      <c r="J752" s="10">
        <v>3.5251095101578103E-2</v>
      </c>
      <c r="K752" s="10">
        <v>0.92277404100000004</v>
      </c>
      <c r="L752" s="10">
        <v>-3.0634746000000001E-2</v>
      </c>
      <c r="M752" s="10">
        <v>0.30277467299999999</v>
      </c>
      <c r="N752" s="10">
        <v>-0.90765967199999997</v>
      </c>
      <c r="O752" s="9">
        <v>7.1813574000000005E-2</v>
      </c>
      <c r="P752" s="10">
        <v>0.76318198868263498</v>
      </c>
      <c r="Q752" s="10">
        <v>0.58244674784958095</v>
      </c>
    </row>
    <row r="753" spans="1:17" x14ac:dyDescent="0.2">
      <c r="A753" s="10">
        <v>1666</v>
      </c>
      <c r="B753" s="10" t="s">
        <v>2818</v>
      </c>
      <c r="C753" s="9" t="s">
        <v>2518</v>
      </c>
      <c r="D753" s="10">
        <v>0.345082628</v>
      </c>
      <c r="E753" s="10">
        <v>0.25999019200000001</v>
      </c>
      <c r="F753" s="10">
        <v>0.25790795500000002</v>
      </c>
      <c r="G753" s="10">
        <v>1.132760507</v>
      </c>
      <c r="H753" s="9">
        <v>0.4989353205</v>
      </c>
      <c r="I753" s="10">
        <v>0.42449734329165101</v>
      </c>
      <c r="J753" s="10">
        <v>0.18019799446167001</v>
      </c>
      <c r="K753" s="10">
        <v>0.8709211</v>
      </c>
      <c r="L753" s="10">
        <v>0.22528157900000001</v>
      </c>
      <c r="M753" s="10">
        <v>-0.36879442200000001</v>
      </c>
      <c r="N753" s="10">
        <v>-1.063643372</v>
      </c>
      <c r="O753" s="9">
        <v>-8.4058779E-2</v>
      </c>
      <c r="P753" s="10">
        <v>0.82630470320578897</v>
      </c>
      <c r="Q753" s="10">
        <v>0.68277946254000699</v>
      </c>
    </row>
    <row r="754" spans="1:17" x14ac:dyDescent="0.2">
      <c r="A754" s="10">
        <v>1666</v>
      </c>
      <c r="B754" s="10" t="s">
        <v>2830</v>
      </c>
      <c r="C754" s="9" t="s">
        <v>765</v>
      </c>
      <c r="D754" s="10">
        <v>1.4051485000000001E-2</v>
      </c>
      <c r="E754" s="10">
        <v>-0.11699595</v>
      </c>
      <c r="F754" s="10">
        <v>0.22393168199999999</v>
      </c>
      <c r="G754" s="10">
        <v>-0.61316773899999999</v>
      </c>
      <c r="H754" s="9">
        <v>-0.1230451305</v>
      </c>
      <c r="I754" s="10">
        <v>0.35564268320032499</v>
      </c>
      <c r="J754" s="10">
        <v>0.126481718113926</v>
      </c>
      <c r="K754" s="10">
        <v>0.182917143</v>
      </c>
      <c r="L754" s="10">
        <v>0.144277298</v>
      </c>
      <c r="M754" s="10">
        <v>0.13073239</v>
      </c>
      <c r="N754" s="10">
        <v>0.40814496900000002</v>
      </c>
      <c r="O754" s="9">
        <v>0.21651794999999999</v>
      </c>
      <c r="P754" s="10">
        <v>0.129650559515152</v>
      </c>
      <c r="Q754" s="10">
        <v>1.6809267582592099E-2</v>
      </c>
    </row>
    <row r="755" spans="1:17" x14ac:dyDescent="0.2">
      <c r="A755" s="10">
        <v>1667</v>
      </c>
      <c r="B755" s="10" t="s">
        <v>2822</v>
      </c>
      <c r="C755" s="9" t="s">
        <v>2517</v>
      </c>
      <c r="D755" s="10">
        <v>-0.12638427799999999</v>
      </c>
      <c r="E755" s="10">
        <v>-1.1220124300000001</v>
      </c>
      <c r="F755" s="10">
        <v>3.8925042E-2</v>
      </c>
      <c r="G755" s="10">
        <v>1.895743245</v>
      </c>
      <c r="H755" s="9">
        <v>0.17156789475000001</v>
      </c>
      <c r="I755" s="10">
        <v>1.2586368709338001</v>
      </c>
      <c r="J755" s="10">
        <v>1.5841667728740401</v>
      </c>
      <c r="K755" s="10">
        <v>0.52052035699999999</v>
      </c>
      <c r="L755" s="10">
        <v>-0.59502062700000002</v>
      </c>
      <c r="M755" s="10">
        <v>5.2666388319999999</v>
      </c>
      <c r="N755" s="10">
        <v>-0.23895027199999999</v>
      </c>
      <c r="O755" s="9">
        <v>1.23829707225</v>
      </c>
      <c r="P755" s="10">
        <v>2.7255613641216301</v>
      </c>
      <c r="Q755" s="10">
        <v>7.4286847495925903</v>
      </c>
    </row>
    <row r="756" spans="1:17" x14ac:dyDescent="0.2">
      <c r="A756" s="10">
        <v>1667</v>
      </c>
      <c r="B756" s="10" t="s">
        <v>96</v>
      </c>
      <c r="C756" s="9" t="s">
        <v>766</v>
      </c>
      <c r="D756" s="10">
        <v>-0.25840764500000002</v>
      </c>
      <c r="E756" s="10">
        <v>0.17354955599999999</v>
      </c>
      <c r="F756" s="10">
        <v>-0.43360399799999999</v>
      </c>
      <c r="G756" s="10">
        <v>-0.42492716699999999</v>
      </c>
      <c r="H756" s="9">
        <v>-0.23584731325</v>
      </c>
      <c r="I756" s="10">
        <v>0.28458956561909898</v>
      </c>
      <c r="J756" s="10">
        <v>8.0991220859267896E-2</v>
      </c>
      <c r="K756" s="10">
        <v>-0.12560600899999999</v>
      </c>
      <c r="L756" s="10">
        <v>-0.33506608599999999</v>
      </c>
      <c r="M756" s="10">
        <v>3.7685785999999999E-2</v>
      </c>
      <c r="N756" s="10">
        <v>-0.150722625</v>
      </c>
      <c r="O756" s="9">
        <v>-0.14342723325000001</v>
      </c>
      <c r="P756" s="10">
        <v>0.15264140373190699</v>
      </c>
      <c r="Q756" s="10">
        <v>2.32993981332472E-2</v>
      </c>
    </row>
    <row r="757" spans="1:17" x14ac:dyDescent="0.2">
      <c r="A757" s="10">
        <v>1667</v>
      </c>
      <c r="B757" s="10" t="s">
        <v>2819</v>
      </c>
      <c r="C757" s="9" t="s">
        <v>767</v>
      </c>
      <c r="D757" s="10">
        <v>7.3316057000000004E-2</v>
      </c>
      <c r="E757" s="10">
        <v>0.35832304999999998</v>
      </c>
      <c r="F757" s="10">
        <v>-0.11616393899999999</v>
      </c>
      <c r="G757" s="10">
        <v>0.16133408499999999</v>
      </c>
      <c r="H757" s="9">
        <v>0.1192023135</v>
      </c>
      <c r="I757" s="10">
        <v>0.19702506959395399</v>
      </c>
      <c r="J757" s="10">
        <v>3.8818878048502703E-2</v>
      </c>
      <c r="K757" s="10">
        <v>0.34584118400000002</v>
      </c>
      <c r="L757" s="10">
        <v>0.17711661200000001</v>
      </c>
      <c r="M757" s="10">
        <v>-0.56381314699999996</v>
      </c>
      <c r="N757" s="10">
        <v>-0.12508867100000001</v>
      </c>
      <c r="O757" s="9">
        <v>-4.1486005499999999E-2</v>
      </c>
      <c r="P757" s="10">
        <v>0.39900898257645101</v>
      </c>
      <c r="Q757" s="10">
        <v>0.159208168176695</v>
      </c>
    </row>
    <row r="758" spans="1:17" x14ac:dyDescent="0.2">
      <c r="A758" s="10">
        <v>1667</v>
      </c>
      <c r="B758" s="10" t="s">
        <v>2826</v>
      </c>
      <c r="C758" s="9" t="s">
        <v>768</v>
      </c>
      <c r="D758" s="10">
        <v>-1.18589988</v>
      </c>
      <c r="E758" s="10">
        <v>0.30878443300000002</v>
      </c>
      <c r="F758" s="10">
        <v>-0.53293802000000001</v>
      </c>
      <c r="G758" s="10">
        <v>-0.13734355500000001</v>
      </c>
      <c r="H758" s="9">
        <v>-0.38684925549999999</v>
      </c>
      <c r="I758" s="10">
        <v>0.63403027025137304</v>
      </c>
      <c r="J758" s="10">
        <v>0.40199438359502898</v>
      </c>
      <c r="K758" s="10">
        <v>0.53824502500000004</v>
      </c>
      <c r="L758" s="10">
        <v>-0.38089656399999999</v>
      </c>
      <c r="M758" s="10">
        <v>0.65399545599999998</v>
      </c>
      <c r="N758" s="10">
        <v>-0.59182084899999998</v>
      </c>
      <c r="O758" s="9">
        <v>5.4880766999999997E-2</v>
      </c>
      <c r="P758" s="10">
        <v>0.63264109858011097</v>
      </c>
      <c r="Q758" s="10">
        <v>0.40023475961264998</v>
      </c>
    </row>
    <row r="759" spans="1:17" x14ac:dyDescent="0.2">
      <c r="A759" s="10">
        <v>1667</v>
      </c>
      <c r="B759" s="10" t="s">
        <v>2821</v>
      </c>
      <c r="C759" s="9" t="s">
        <v>769</v>
      </c>
      <c r="D759" s="10">
        <v>-0.54188276999999996</v>
      </c>
      <c r="E759" s="10">
        <v>-5.8591210999999997E-2</v>
      </c>
      <c r="F759" s="10">
        <v>0.27580405400000002</v>
      </c>
      <c r="G759" s="10">
        <v>-0.15091590999999999</v>
      </c>
      <c r="H759" s="9">
        <v>-0.1188964595</v>
      </c>
      <c r="I759" s="10">
        <v>0.33633707419518599</v>
      </c>
      <c r="J759" s="10">
        <v>0.113122627478178</v>
      </c>
      <c r="K759" s="10">
        <v>0.328010095</v>
      </c>
      <c r="L759" s="10">
        <v>-0.13671870799999999</v>
      </c>
      <c r="M759" s="10">
        <v>-0.58019587100000003</v>
      </c>
      <c r="N759" s="10">
        <v>-0.63372510699999995</v>
      </c>
      <c r="O759" s="9">
        <v>-0.25565739799999998</v>
      </c>
      <c r="P759" s="10">
        <v>0.44835795499039199</v>
      </c>
      <c r="Q759" s="10">
        <v>0.20102485580316701</v>
      </c>
    </row>
    <row r="760" spans="1:17" x14ac:dyDescent="0.2">
      <c r="A760" s="10">
        <v>1667</v>
      </c>
      <c r="B760" s="10" t="s">
        <v>2834</v>
      </c>
      <c r="C760" s="9" t="s">
        <v>770</v>
      </c>
      <c r="D760" s="10">
        <v>-4.5556221000000001E-2</v>
      </c>
      <c r="E760" s="10">
        <v>1.9927817E-2</v>
      </c>
      <c r="F760" s="10">
        <v>-0.22473438700000001</v>
      </c>
      <c r="G760" s="10">
        <v>7.8463392000000007E-2</v>
      </c>
      <c r="H760" s="9">
        <v>-4.2974849750000002E-2</v>
      </c>
      <c r="I760" s="10">
        <v>0.131335683019324</v>
      </c>
      <c r="J760" s="10">
        <v>1.72490616341524E-2</v>
      </c>
      <c r="K760" s="10">
        <v>-0.15025906999999999</v>
      </c>
      <c r="L760" s="10">
        <v>-0.221679876</v>
      </c>
      <c r="M760" s="10">
        <v>-0.13523658399999999</v>
      </c>
      <c r="N760" s="10">
        <v>-0.145859971</v>
      </c>
      <c r="O760" s="9">
        <v>-0.163258875</v>
      </c>
      <c r="P760" s="10">
        <v>3.9454526318999698E-2</v>
      </c>
      <c r="Q760" s="10">
        <v>1.5566596470566001E-3</v>
      </c>
    </row>
    <row r="761" spans="1:17" x14ac:dyDescent="0.2">
      <c r="A761" s="10">
        <v>1667</v>
      </c>
      <c r="B761" s="10" t="s">
        <v>79</v>
      </c>
      <c r="C761" s="9" t="s">
        <v>771</v>
      </c>
      <c r="D761" s="10">
        <v>-0.14468178000000001</v>
      </c>
      <c r="E761" s="10">
        <v>8.1990278999999999E-2</v>
      </c>
      <c r="F761" s="10">
        <v>0.217081261</v>
      </c>
      <c r="G761" s="10">
        <v>0.117208327</v>
      </c>
      <c r="H761" s="9">
        <v>6.7899521749999997E-2</v>
      </c>
      <c r="I761" s="10">
        <v>0.152835324117648</v>
      </c>
      <c r="J761" s="10">
        <v>2.3358636298146801E-2</v>
      </c>
      <c r="K761" s="10">
        <v>5.9847230000000001E-2</v>
      </c>
      <c r="L761" s="10">
        <v>5.2462343000000002E-2</v>
      </c>
      <c r="M761" s="10">
        <v>-0.30043837200000001</v>
      </c>
      <c r="N761" s="10">
        <v>-0.14631496599999999</v>
      </c>
      <c r="O761" s="9">
        <v>-8.3610941499999994E-2</v>
      </c>
      <c r="P761" s="10">
        <v>0.17324560122407101</v>
      </c>
      <c r="Q761" s="10">
        <v>3.001403834349E-2</v>
      </c>
    </row>
    <row r="762" spans="1:17" x14ac:dyDescent="0.2">
      <c r="A762" s="10">
        <v>1667</v>
      </c>
      <c r="B762" s="10" t="s">
        <v>2824</v>
      </c>
      <c r="C762" s="9" t="s">
        <v>772</v>
      </c>
      <c r="D762" s="10">
        <v>-4.2131999000000003E-2</v>
      </c>
      <c r="E762" s="10">
        <v>-0.42298576500000001</v>
      </c>
      <c r="F762" s="10">
        <v>-0.32022852200000002</v>
      </c>
      <c r="G762" s="10">
        <v>-0.54645384600000002</v>
      </c>
      <c r="H762" s="9">
        <v>-0.33295003275000001</v>
      </c>
      <c r="I762" s="10">
        <v>0.214807880786578</v>
      </c>
      <c r="J762" s="10">
        <v>4.6142425648020999E-2</v>
      </c>
      <c r="K762" s="10">
        <v>0.72980042899999997</v>
      </c>
      <c r="L762" s="10">
        <v>-0.863877585</v>
      </c>
      <c r="M762" s="10">
        <v>0.33136413599999998</v>
      </c>
      <c r="N762" s="10">
        <v>-0.47279488800000002</v>
      </c>
      <c r="O762" s="9">
        <v>-6.8876977000000006E-2</v>
      </c>
      <c r="P762" s="10">
        <v>0.72875560442381004</v>
      </c>
      <c r="Q762" s="10">
        <v>0.53108473097911302</v>
      </c>
    </row>
    <row r="763" spans="1:17" x14ac:dyDescent="0.2">
      <c r="A763" s="10">
        <v>1667</v>
      </c>
      <c r="B763" s="10" t="s">
        <v>2817</v>
      </c>
      <c r="C763" s="9" t="s">
        <v>773</v>
      </c>
      <c r="D763" s="10">
        <v>-0.17364824700000001</v>
      </c>
      <c r="E763" s="10">
        <v>-1.527969E-2</v>
      </c>
      <c r="F763" s="10">
        <v>-8.2893568000000001E-2</v>
      </c>
      <c r="G763" s="10">
        <v>-0.15016948099999999</v>
      </c>
      <c r="H763" s="9">
        <v>-0.10549774675</v>
      </c>
      <c r="I763" s="10">
        <v>7.1391645603520598E-2</v>
      </c>
      <c r="J763" s="10">
        <v>5.0967670619785996E-3</v>
      </c>
      <c r="K763" s="10">
        <v>0.19079360200000001</v>
      </c>
      <c r="L763" s="10">
        <v>-0.26398037200000002</v>
      </c>
      <c r="M763" s="10">
        <v>-0.34748742999999999</v>
      </c>
      <c r="N763" s="10">
        <v>-2.4659825E-2</v>
      </c>
      <c r="O763" s="9">
        <v>-0.1113335065</v>
      </c>
      <c r="P763" s="10">
        <v>0.24349049118103999</v>
      </c>
      <c r="Q763" s="10">
        <v>5.92876192955843E-2</v>
      </c>
    </row>
    <row r="764" spans="1:17" x14ac:dyDescent="0.2">
      <c r="A764" s="10">
        <v>1667</v>
      </c>
      <c r="B764" s="10" t="s">
        <v>2814</v>
      </c>
      <c r="C764" s="9" t="s">
        <v>774</v>
      </c>
      <c r="D764" s="10">
        <v>0.173825068</v>
      </c>
      <c r="E764" s="10">
        <v>0.34321674899999999</v>
      </c>
      <c r="F764" s="10">
        <v>-0.169728831</v>
      </c>
      <c r="G764" s="10">
        <v>-0.32812538899999999</v>
      </c>
      <c r="H764" s="9">
        <v>4.7968995E-3</v>
      </c>
      <c r="I764" s="10">
        <v>0.30789337822732399</v>
      </c>
      <c r="J764" s="10">
        <v>9.4798332356234194E-2</v>
      </c>
      <c r="K764" s="10">
        <v>7.5427598999999998E-2</v>
      </c>
      <c r="L764" s="10">
        <v>-0.19576742</v>
      </c>
      <c r="M764" s="10">
        <v>0.47229670899999998</v>
      </c>
      <c r="N764" s="10">
        <v>5.1668182999999999E-2</v>
      </c>
      <c r="O764" s="9">
        <v>0.10090626749999999</v>
      </c>
      <c r="P764" s="10">
        <v>0.27629675375471102</v>
      </c>
      <c r="Q764" s="10">
        <v>7.6339896135391494E-2</v>
      </c>
    </row>
    <row r="765" spans="1:17" x14ac:dyDescent="0.2">
      <c r="A765" s="10">
        <v>1667</v>
      </c>
      <c r="B765" s="10" t="s">
        <v>2825</v>
      </c>
      <c r="C765" s="9" t="s">
        <v>775</v>
      </c>
      <c r="D765" s="10">
        <v>0.21896338000000001</v>
      </c>
      <c r="E765" s="10">
        <v>-0.57625622700000001</v>
      </c>
      <c r="F765" s="10">
        <v>-2.761676161</v>
      </c>
      <c r="G765" s="10">
        <v>0.14655046999999999</v>
      </c>
      <c r="H765" s="9">
        <v>-0.74310463449999997</v>
      </c>
      <c r="I765" s="10">
        <v>1.39278264255036</v>
      </c>
      <c r="J765" s="10">
        <v>1.93984348938956</v>
      </c>
      <c r="K765" s="10">
        <v>0.22850510099999999</v>
      </c>
      <c r="L765" s="10">
        <v>0.111636366</v>
      </c>
      <c r="M765" s="10">
        <v>-0.22795854400000001</v>
      </c>
      <c r="N765" s="10">
        <v>-0.10927771999999999</v>
      </c>
      <c r="O765" s="9">
        <v>7.2630074999999997E-4</v>
      </c>
      <c r="P765" s="10">
        <v>0.207028071539897</v>
      </c>
      <c r="Q765" s="10">
        <v>4.2860622405528799E-2</v>
      </c>
    </row>
    <row r="766" spans="1:17" x14ac:dyDescent="0.2">
      <c r="A766" s="10">
        <v>1667</v>
      </c>
      <c r="B766" s="10" t="s">
        <v>74</v>
      </c>
      <c r="C766" s="9" t="s">
        <v>776</v>
      </c>
      <c r="D766" s="10">
        <v>0.41906150199999997</v>
      </c>
      <c r="E766" s="10">
        <v>-8.6407858000000004E-2</v>
      </c>
      <c r="F766" s="10">
        <v>-0.221838229</v>
      </c>
      <c r="G766" s="10">
        <v>-0.313555629</v>
      </c>
      <c r="H766" s="9">
        <v>-5.06850535E-2</v>
      </c>
      <c r="I766" s="10">
        <v>0.32676816150133797</v>
      </c>
      <c r="J766" s="10">
        <v>0.106777431370964</v>
      </c>
      <c r="K766" s="10">
        <v>-0.19005033900000001</v>
      </c>
      <c r="L766" s="10">
        <v>-0.16122198700000001</v>
      </c>
      <c r="M766" s="10">
        <v>-0.46298995700000001</v>
      </c>
      <c r="N766" s="10">
        <v>-2.6638749999999999E-2</v>
      </c>
      <c r="O766" s="9">
        <v>-0.21022525824999999</v>
      </c>
      <c r="P766" s="10">
        <v>0.182941107924153</v>
      </c>
      <c r="Q766" s="10">
        <v>3.3467448968516798E-2</v>
      </c>
    </row>
    <row r="767" spans="1:17" x14ac:dyDescent="0.2">
      <c r="A767" s="10">
        <v>1667</v>
      </c>
      <c r="B767" s="10" t="s">
        <v>2830</v>
      </c>
      <c r="C767" s="9" t="s">
        <v>777</v>
      </c>
      <c r="D767" s="10">
        <v>0.192593133</v>
      </c>
      <c r="E767" s="10">
        <v>8.7500017999999999E-2</v>
      </c>
      <c r="F767" s="10">
        <v>0.20004735200000001</v>
      </c>
      <c r="G767" s="10">
        <v>9.7052749999999993E-2</v>
      </c>
      <c r="H767" s="9">
        <v>0.14429831325</v>
      </c>
      <c r="I767" s="10">
        <v>6.0273085553310103E-2</v>
      </c>
      <c r="J767" s="10">
        <v>3.6328448421166001E-3</v>
      </c>
      <c r="K767" s="10">
        <v>-8.5019425999999995E-2</v>
      </c>
      <c r="L767" s="10">
        <v>-3.7305207E-2</v>
      </c>
      <c r="M767" s="10">
        <v>-9.8999945000000006E-2</v>
      </c>
      <c r="N767" s="10">
        <v>8.1681100000000006E-2</v>
      </c>
      <c r="O767" s="9">
        <v>-3.4910869499999997E-2</v>
      </c>
      <c r="P767" s="10">
        <v>8.2092828019893094E-2</v>
      </c>
      <c r="Q767" s="10">
        <v>6.7392324123037002E-3</v>
      </c>
    </row>
    <row r="768" spans="1:17" x14ac:dyDescent="0.2">
      <c r="A768" s="10">
        <v>1668</v>
      </c>
      <c r="B768" s="10" t="s">
        <v>2824</v>
      </c>
      <c r="C768" s="9" t="s">
        <v>778</v>
      </c>
      <c r="D768" s="10">
        <v>-0.10160125</v>
      </c>
      <c r="E768" s="10">
        <v>0.58181471600000001</v>
      </c>
      <c r="F768" s="10">
        <v>0.28092352999999998</v>
      </c>
      <c r="G768" s="10">
        <v>-0.47944740800000002</v>
      </c>
      <c r="H768" s="9">
        <v>7.0422396999999998E-2</v>
      </c>
      <c r="I768" s="10">
        <v>0.46107908522812002</v>
      </c>
      <c r="J768" s="10">
        <v>0.2125939228348</v>
      </c>
      <c r="K768" s="10">
        <v>3.8951236E-2</v>
      </c>
      <c r="L768" s="10">
        <v>0.17806506599999999</v>
      </c>
      <c r="M768" s="10">
        <v>4.7740023999999999E-2</v>
      </c>
      <c r="N768" s="10">
        <v>-7.7907410999999996E-2</v>
      </c>
      <c r="O768" s="9">
        <v>4.6712228750000001E-2</v>
      </c>
      <c r="P768" s="10">
        <v>0.10463414330670801</v>
      </c>
      <c r="Q768" s="10">
        <v>1.09483039455287E-2</v>
      </c>
    </row>
    <row r="769" spans="1:17" x14ac:dyDescent="0.2">
      <c r="A769" s="10">
        <v>1668</v>
      </c>
      <c r="B769" s="10" t="s">
        <v>2814</v>
      </c>
      <c r="C769" s="9" t="s">
        <v>779</v>
      </c>
      <c r="D769" s="10">
        <v>-1.1650076810000001</v>
      </c>
      <c r="E769" s="10">
        <v>-1.591285901</v>
      </c>
      <c r="F769" s="10">
        <v>-1.2268272309999999</v>
      </c>
      <c r="G769" s="10">
        <v>-1.0886937029999999</v>
      </c>
      <c r="H769" s="9">
        <v>-1.267953629</v>
      </c>
      <c r="I769" s="10">
        <v>0.22283561056548701</v>
      </c>
      <c r="J769" s="10">
        <v>4.96557093360935E-2</v>
      </c>
      <c r="K769" s="10">
        <v>-0.32385914599999999</v>
      </c>
      <c r="L769" s="10">
        <v>-0.21398614099999999</v>
      </c>
      <c r="M769" s="10">
        <v>-0.32098359199999998</v>
      </c>
      <c r="N769" s="10">
        <v>-0.48602979200000002</v>
      </c>
      <c r="O769" s="9">
        <v>-0.33621466750000001</v>
      </c>
      <c r="P769" s="10">
        <v>0.112203726604385</v>
      </c>
      <c r="Q769" s="10">
        <v>1.2589676263911701E-2</v>
      </c>
    </row>
    <row r="770" spans="1:17" x14ac:dyDescent="0.2">
      <c r="A770" s="10">
        <v>1668</v>
      </c>
      <c r="B770" s="10" t="s">
        <v>2818</v>
      </c>
      <c r="C770" s="9" t="s">
        <v>780</v>
      </c>
      <c r="D770" s="10">
        <v>-1.0194951940000001</v>
      </c>
      <c r="E770" s="10">
        <v>0.301346065</v>
      </c>
      <c r="F770" s="10">
        <v>-0.62375425200000001</v>
      </c>
      <c r="G770" s="10">
        <v>-0.36189755200000001</v>
      </c>
      <c r="H770" s="9">
        <v>-0.42595023324999998</v>
      </c>
      <c r="I770" s="10">
        <v>0.55512301990604895</v>
      </c>
      <c r="J770" s="10">
        <v>0.30816156722961202</v>
      </c>
      <c r="K770" s="10">
        <v>0.21989046700000001</v>
      </c>
      <c r="L770" s="10">
        <v>-0.55632736299999996</v>
      </c>
      <c r="M770" s="10">
        <v>-0.25991658699999998</v>
      </c>
      <c r="N770" s="10">
        <v>-0.65068561300000005</v>
      </c>
      <c r="O770" s="9">
        <v>-0.31175977399999999</v>
      </c>
      <c r="P770" s="10">
        <v>0.39158810193228999</v>
      </c>
      <c r="Q770" s="10">
        <v>0.15334124157493301</v>
      </c>
    </row>
    <row r="771" spans="1:17" x14ac:dyDescent="0.2">
      <c r="A771" s="10">
        <v>1668</v>
      </c>
      <c r="B771" s="10" t="s">
        <v>2830</v>
      </c>
      <c r="C771" s="9" t="s">
        <v>781</v>
      </c>
      <c r="D771" s="10">
        <v>-0.32179859300000002</v>
      </c>
      <c r="E771" s="10">
        <v>0.178847319</v>
      </c>
      <c r="F771" s="10">
        <v>-0.42384041099999997</v>
      </c>
      <c r="G771" s="10">
        <v>-0.61782419700000002</v>
      </c>
      <c r="H771" s="9">
        <v>-0.29615397049999997</v>
      </c>
      <c r="I771" s="10">
        <v>0.33963678314436202</v>
      </c>
      <c r="J771" s="10">
        <v>0.11535314446465</v>
      </c>
      <c r="K771" s="10">
        <v>0.63222108499999996</v>
      </c>
      <c r="L771" s="10">
        <v>-8.4705495000000006E-2</v>
      </c>
      <c r="M771" s="10">
        <v>-0.89415363800000003</v>
      </c>
      <c r="N771" s="10">
        <v>0.71404258099999995</v>
      </c>
      <c r="O771" s="9">
        <v>9.1851133249999994E-2</v>
      </c>
      <c r="P771" s="10">
        <v>0.74888796098266297</v>
      </c>
      <c r="Q771" s="10">
        <v>0.56083317810476996</v>
      </c>
    </row>
    <row r="772" spans="1:17" x14ac:dyDescent="0.2">
      <c r="A772" s="10">
        <v>1668</v>
      </c>
      <c r="B772" s="10" t="s">
        <v>2832</v>
      </c>
      <c r="C772" s="9" t="s">
        <v>782</v>
      </c>
      <c r="D772" s="10">
        <v>-0.242002772</v>
      </c>
      <c r="E772" s="10">
        <v>0.145760266</v>
      </c>
      <c r="F772" s="10">
        <v>0.56145304799999995</v>
      </c>
      <c r="G772" s="10">
        <v>0.23300690600000001</v>
      </c>
      <c r="H772" s="9">
        <v>0.17455436175</v>
      </c>
      <c r="I772" s="10">
        <v>0.33038171810768102</v>
      </c>
      <c r="J772" s="10">
        <v>0.10915207965978301</v>
      </c>
      <c r="K772" s="10">
        <v>-2.4241483000000001E-2</v>
      </c>
      <c r="L772" s="10">
        <v>-0.30915497199999997</v>
      </c>
      <c r="M772" s="10">
        <v>-0.19996367300000001</v>
      </c>
      <c r="N772" s="10">
        <v>-1.1771824390000001</v>
      </c>
      <c r="O772" s="9">
        <v>-0.42763564175000002</v>
      </c>
      <c r="P772" s="10">
        <v>0.51329635463354595</v>
      </c>
      <c r="Q772" s="10">
        <v>0.26347314768008701</v>
      </c>
    </row>
    <row r="773" spans="1:17" x14ac:dyDescent="0.2">
      <c r="A773" s="10">
        <v>1669</v>
      </c>
      <c r="B773" s="10" t="s">
        <v>2831</v>
      </c>
      <c r="C773" s="9" t="s">
        <v>783</v>
      </c>
      <c r="D773" s="10">
        <v>-0.56487632799999998</v>
      </c>
      <c r="E773" s="10">
        <v>-0.71806351300000004</v>
      </c>
      <c r="F773" s="10">
        <v>0.217656656</v>
      </c>
      <c r="G773" s="10">
        <v>-1.3241303639999999</v>
      </c>
      <c r="H773" s="9">
        <v>-0.59735338724999998</v>
      </c>
      <c r="I773" s="10">
        <v>0.63457908316414602</v>
      </c>
      <c r="J773" s="10">
        <v>0.40269061278944801</v>
      </c>
      <c r="K773" s="10">
        <v>1.129140912</v>
      </c>
      <c r="L773" s="10">
        <v>-0.64738848100000002</v>
      </c>
      <c r="M773" s="10">
        <v>-2.8385831160000001</v>
      </c>
      <c r="N773" s="10">
        <v>0.67978827399999997</v>
      </c>
      <c r="O773" s="9">
        <v>-0.41926060300000001</v>
      </c>
      <c r="P773" s="10">
        <v>1.7805073655486201</v>
      </c>
      <c r="Q773" s="10">
        <v>3.1702064787728901</v>
      </c>
    </row>
    <row r="774" spans="1:17" x14ac:dyDescent="0.2">
      <c r="A774" s="10">
        <v>1669</v>
      </c>
      <c r="B774" s="10" t="s">
        <v>96</v>
      </c>
      <c r="C774" s="9" t="s">
        <v>784</v>
      </c>
      <c r="D774" s="10">
        <v>-0.16354322399999999</v>
      </c>
      <c r="E774" s="10">
        <v>-0.61214352599999999</v>
      </c>
      <c r="F774" s="10">
        <v>-2.5032013999999998E-2</v>
      </c>
      <c r="G774" s="10">
        <v>0.94624307900000004</v>
      </c>
      <c r="H774" s="9">
        <v>3.6381078999999997E-2</v>
      </c>
      <c r="I774" s="10">
        <v>0.65629625354618304</v>
      </c>
      <c r="J774" s="10">
        <v>0.43072477241875601</v>
      </c>
      <c r="K774" s="10">
        <v>-0.696882063</v>
      </c>
      <c r="L774" s="10">
        <v>-0.65197868199999998</v>
      </c>
      <c r="M774" s="10">
        <v>0.93080303799999997</v>
      </c>
      <c r="N774" s="10">
        <v>0.17003918300000001</v>
      </c>
      <c r="O774" s="9">
        <v>-6.2004630999999998E-2</v>
      </c>
      <c r="P774" s="10">
        <v>0.77258227906097299</v>
      </c>
      <c r="Q774" s="10">
        <v>0.596883377919048</v>
      </c>
    </row>
    <row r="775" spans="1:17" x14ac:dyDescent="0.2">
      <c r="A775" s="10">
        <v>1669</v>
      </c>
      <c r="B775" s="10" t="s">
        <v>2826</v>
      </c>
      <c r="C775" s="9" t="s">
        <v>785</v>
      </c>
      <c r="D775" s="10">
        <v>-1.000665557</v>
      </c>
      <c r="E775" s="10">
        <v>-0.16292405300000001</v>
      </c>
      <c r="F775" s="10">
        <v>-0.700929994</v>
      </c>
      <c r="G775" s="10">
        <v>-0.200661545</v>
      </c>
      <c r="H775" s="9">
        <v>-0.51629528749999998</v>
      </c>
      <c r="I775" s="10">
        <v>0.40546287195272401</v>
      </c>
      <c r="J775" s="10">
        <v>0.16440014053215099</v>
      </c>
      <c r="K775" s="10">
        <v>-1.0972602E-2</v>
      </c>
      <c r="L775" s="10">
        <v>-0.20635161399999999</v>
      </c>
      <c r="M775" s="10">
        <v>-0.52532760499999998</v>
      </c>
      <c r="N775" s="10">
        <v>-0.213640786</v>
      </c>
      <c r="O775" s="9">
        <v>-0.23907315200000001</v>
      </c>
      <c r="P775" s="10">
        <v>0.212672656965327</v>
      </c>
      <c r="Q775" s="10">
        <v>4.5229659020691697E-2</v>
      </c>
    </row>
    <row r="776" spans="1:17" x14ac:dyDescent="0.2">
      <c r="A776" s="10">
        <v>1669</v>
      </c>
      <c r="B776" s="10" t="s">
        <v>2821</v>
      </c>
      <c r="C776" s="9" t="s">
        <v>786</v>
      </c>
      <c r="D776" s="10">
        <v>-1.3243978839999999</v>
      </c>
      <c r="E776" s="10">
        <v>-0.36392392299999998</v>
      </c>
      <c r="F776" s="10">
        <v>0.43864220199999998</v>
      </c>
      <c r="G776" s="10">
        <v>-0.114879036</v>
      </c>
      <c r="H776" s="9">
        <v>-0.3411396605</v>
      </c>
      <c r="I776" s="10">
        <v>0.73633540364454897</v>
      </c>
      <c r="J776" s="10">
        <v>0.54218982666038096</v>
      </c>
      <c r="K776" s="10">
        <v>0.67121834400000002</v>
      </c>
      <c r="L776" s="10">
        <v>-0.31453790599999998</v>
      </c>
      <c r="M776" s="10">
        <v>-3.0159139349999999</v>
      </c>
      <c r="N776" s="10">
        <v>0.84253246500000001</v>
      </c>
      <c r="O776" s="9">
        <v>-0.45417525800000003</v>
      </c>
      <c r="P776" s="10">
        <v>1.78231734151746</v>
      </c>
      <c r="Q776" s="10">
        <v>3.1766551058738801</v>
      </c>
    </row>
    <row r="777" spans="1:17" x14ac:dyDescent="0.2">
      <c r="A777" s="10">
        <v>1669</v>
      </c>
      <c r="B777" s="10" t="s">
        <v>2824</v>
      </c>
      <c r="C777" s="9" t="s">
        <v>787</v>
      </c>
      <c r="D777" s="10">
        <v>-0.32054069400000001</v>
      </c>
      <c r="E777" s="10">
        <v>0.41965926399999998</v>
      </c>
      <c r="F777" s="10">
        <v>-0.50040232699999998</v>
      </c>
      <c r="G777" s="10">
        <v>-0.30815311299999998</v>
      </c>
      <c r="H777" s="9">
        <v>-0.1773592175</v>
      </c>
      <c r="I777" s="10">
        <v>0.40759289172767299</v>
      </c>
      <c r="J777" s="10">
        <v>0.16613196538692601</v>
      </c>
      <c r="K777" s="10">
        <v>-0.19081709999999999</v>
      </c>
      <c r="L777" s="10">
        <v>-0.30260922600000001</v>
      </c>
      <c r="M777" s="10">
        <v>-0.24891047099999999</v>
      </c>
      <c r="N777" s="10">
        <v>-0.221112261</v>
      </c>
      <c r="O777" s="9">
        <v>-0.24086226425000001</v>
      </c>
      <c r="P777" s="10">
        <v>4.7511549509676003E-2</v>
      </c>
      <c r="Q777" s="10">
        <v>2.2573473368103E-3</v>
      </c>
    </row>
    <row r="778" spans="1:17" x14ac:dyDescent="0.2">
      <c r="A778" s="10">
        <v>1669</v>
      </c>
      <c r="B778" s="10" t="s">
        <v>2817</v>
      </c>
      <c r="C778" s="9" t="s">
        <v>788</v>
      </c>
      <c r="D778" s="10">
        <v>3.0686257000000002E-2</v>
      </c>
      <c r="E778" s="10">
        <v>-0.452411699</v>
      </c>
      <c r="F778" s="10">
        <v>7.8596545000000004E-2</v>
      </c>
      <c r="G778" s="10">
        <v>6.3404058999999999E-2</v>
      </c>
      <c r="H778" s="9">
        <v>-6.9931209499999994E-2</v>
      </c>
      <c r="I778" s="10">
        <v>0.25576941900588002</v>
      </c>
      <c r="J778" s="10">
        <v>6.5417995698605805E-2</v>
      </c>
      <c r="K778" s="10">
        <v>2.0010783000000001E-2</v>
      </c>
      <c r="L778" s="10">
        <v>-9.0545005999999997E-2</v>
      </c>
      <c r="M778" s="10">
        <v>-0.61652966799999998</v>
      </c>
      <c r="N778" s="10">
        <v>-0.27472395700000002</v>
      </c>
      <c r="O778" s="9">
        <v>-0.24044696199999999</v>
      </c>
      <c r="P778" s="10">
        <v>0.27864071698253401</v>
      </c>
      <c r="Q778" s="10">
        <v>7.76406491605411E-2</v>
      </c>
    </row>
    <row r="779" spans="1:17" x14ac:dyDescent="0.2">
      <c r="A779" s="10">
        <v>1669</v>
      </c>
      <c r="B779" s="10" t="s">
        <v>82</v>
      </c>
      <c r="C779" s="9" t="s">
        <v>789</v>
      </c>
      <c r="D779" s="10">
        <v>-0.55293379399999998</v>
      </c>
      <c r="E779" s="10">
        <v>-6.2489995E-2</v>
      </c>
      <c r="F779" s="10">
        <v>-0.37149747599999999</v>
      </c>
      <c r="G779" s="10">
        <v>2.9267768E-2</v>
      </c>
      <c r="H779" s="9">
        <v>-0.23941337425000001</v>
      </c>
      <c r="I779" s="10">
        <v>0.270328628315811</v>
      </c>
      <c r="J779" s="10">
        <v>7.3077567287108097E-2</v>
      </c>
      <c r="K779" s="10">
        <v>0.232516838</v>
      </c>
      <c r="L779" s="10">
        <v>-0.173502034</v>
      </c>
      <c r="M779" s="10">
        <v>-0.45121556400000001</v>
      </c>
      <c r="N779" s="10">
        <v>0.305312896</v>
      </c>
      <c r="O779" s="9">
        <v>-2.1721965999999999E-2</v>
      </c>
      <c r="P779" s="10">
        <v>0.35547672693993099</v>
      </c>
      <c r="Q779" s="10">
        <v>0.12636370339592601</v>
      </c>
    </row>
    <row r="780" spans="1:17" x14ac:dyDescent="0.2">
      <c r="A780" s="10">
        <v>1669</v>
      </c>
      <c r="B780" s="10" t="s">
        <v>2814</v>
      </c>
      <c r="C780" s="9" t="s">
        <v>790</v>
      </c>
      <c r="D780" s="10">
        <v>-1.1131728169999999</v>
      </c>
      <c r="E780" s="10">
        <v>-1.550696925</v>
      </c>
      <c r="F780" s="10">
        <v>-0.53417082199999999</v>
      </c>
      <c r="G780" s="10">
        <v>-1.099641461</v>
      </c>
      <c r="H780" s="9">
        <v>-1.0744205062500001</v>
      </c>
      <c r="I780" s="10">
        <v>0.41667204791319001</v>
      </c>
      <c r="J780" s="10">
        <v>0.17361559551217201</v>
      </c>
      <c r="K780" s="10">
        <v>-0.104535693</v>
      </c>
      <c r="L780" s="10">
        <v>-0.17106302300000001</v>
      </c>
      <c r="M780" s="10">
        <v>-0.74854359299999995</v>
      </c>
      <c r="N780" s="10">
        <v>-0.34050680100000003</v>
      </c>
      <c r="O780" s="9">
        <v>-0.34116227724999998</v>
      </c>
      <c r="P780" s="10">
        <v>0.289186135410825</v>
      </c>
      <c r="Q780" s="10">
        <v>8.3628620913847998E-2</v>
      </c>
    </row>
    <row r="781" spans="1:17" x14ac:dyDescent="0.2">
      <c r="A781" s="10">
        <v>1669</v>
      </c>
      <c r="B781" s="10" t="s">
        <v>2825</v>
      </c>
      <c r="C781" s="9" t="s">
        <v>791</v>
      </c>
      <c r="D781" s="10">
        <v>-0.335605812</v>
      </c>
      <c r="E781" s="10">
        <v>-0.63237678900000005</v>
      </c>
      <c r="F781" s="10">
        <v>-0.170857535</v>
      </c>
      <c r="G781" s="10">
        <v>-0.28348756000000003</v>
      </c>
      <c r="H781" s="9">
        <v>-0.35558192399999999</v>
      </c>
      <c r="I781" s="10">
        <v>0.19692226855030201</v>
      </c>
      <c r="J781" s="10">
        <v>3.8778379850997503E-2</v>
      </c>
      <c r="K781" s="10">
        <v>-0.35596111699999999</v>
      </c>
      <c r="L781" s="10">
        <v>-0.10148209399999999</v>
      </c>
      <c r="M781" s="10">
        <v>-2.289063E-3</v>
      </c>
      <c r="N781" s="10">
        <v>-0.39681492000000002</v>
      </c>
      <c r="O781" s="9">
        <v>-0.21413679825000001</v>
      </c>
      <c r="P781" s="10">
        <v>0.19240233788879099</v>
      </c>
      <c r="Q781" s="10">
        <v>3.7018659625072801E-2</v>
      </c>
    </row>
    <row r="782" spans="1:17" x14ac:dyDescent="0.2">
      <c r="A782" s="10">
        <v>1669</v>
      </c>
      <c r="B782" s="10" t="s">
        <v>74</v>
      </c>
      <c r="C782" s="9" t="s">
        <v>25</v>
      </c>
      <c r="D782" s="10">
        <v>-0.42579594999999998</v>
      </c>
      <c r="E782" s="10">
        <v>-9.1675832999999998E-2</v>
      </c>
      <c r="F782" s="10">
        <v>-0.86939861600000001</v>
      </c>
      <c r="G782" s="10">
        <v>2.7955154999999999E-2</v>
      </c>
      <c r="H782" s="9">
        <v>-0.33972881100000002</v>
      </c>
      <c r="I782" s="10">
        <v>0.40194503500376799</v>
      </c>
      <c r="J782" s="10">
        <v>0.16155981116418</v>
      </c>
      <c r="K782" s="10">
        <v>-0.25339806999999998</v>
      </c>
      <c r="L782" s="10">
        <v>7.9172674999999998E-2</v>
      </c>
      <c r="M782" s="10">
        <v>0.630811491</v>
      </c>
      <c r="N782" s="10">
        <v>0.388807193</v>
      </c>
      <c r="O782" s="9">
        <v>0.21134832225</v>
      </c>
      <c r="P782" s="10">
        <v>0.38336258362939002</v>
      </c>
      <c r="Q782" s="10">
        <v>0.146966870527001</v>
      </c>
    </row>
    <row r="783" spans="1:17" x14ac:dyDescent="0.2">
      <c r="A783" s="10">
        <v>1669</v>
      </c>
      <c r="B783" s="10" t="s">
        <v>2818</v>
      </c>
      <c r="C783" s="9" t="s">
        <v>792</v>
      </c>
      <c r="D783" s="10">
        <v>0.20631002800000001</v>
      </c>
      <c r="E783" s="10">
        <v>-0.56058503699999995</v>
      </c>
      <c r="F783" s="10">
        <v>0.81162672800000002</v>
      </c>
      <c r="G783" s="10">
        <v>0.26912599399999998</v>
      </c>
      <c r="H783" s="9">
        <v>0.18161942824999999</v>
      </c>
      <c r="I783" s="10">
        <v>0.56451858272947797</v>
      </c>
      <c r="J783" s="10">
        <v>0.31868123024689898</v>
      </c>
      <c r="K783" s="10">
        <v>0.14041421000000001</v>
      </c>
      <c r="L783" s="10">
        <v>1.025767739</v>
      </c>
      <c r="M783" s="10">
        <v>-1.3115611700000001</v>
      </c>
      <c r="N783" s="10">
        <v>-1.026159265</v>
      </c>
      <c r="O783" s="9">
        <v>-0.2928846215</v>
      </c>
      <c r="P783" s="10">
        <v>1.08042978153686</v>
      </c>
      <c r="Q783" s="10">
        <v>1.1673285128318001</v>
      </c>
    </row>
    <row r="784" spans="1:17" x14ac:dyDescent="0.2">
      <c r="A784" s="10">
        <v>1669</v>
      </c>
      <c r="B784" s="10" t="s">
        <v>2830</v>
      </c>
      <c r="C784" s="9" t="s">
        <v>793</v>
      </c>
      <c r="D784" s="10">
        <v>0.13038278</v>
      </c>
      <c r="E784" s="10">
        <v>0.50075019499999995</v>
      </c>
      <c r="F784" s="10">
        <v>-5.7541476000000001E-2</v>
      </c>
      <c r="G784" s="10">
        <v>8.3431699999999998E-2</v>
      </c>
      <c r="H784" s="9">
        <v>0.16425579974999999</v>
      </c>
      <c r="I784" s="10">
        <v>0.23811931612265699</v>
      </c>
      <c r="J784" s="10">
        <v>5.6700808710722098E-2</v>
      </c>
      <c r="K784" s="10">
        <v>0.39451686800000002</v>
      </c>
      <c r="L784" s="10">
        <v>7.6512366999999998E-2</v>
      </c>
      <c r="M784" s="10">
        <v>5.3608534999999999E-2</v>
      </c>
      <c r="N784" s="10">
        <v>-0.113237135</v>
      </c>
      <c r="O784" s="9">
        <v>0.10285015875</v>
      </c>
      <c r="P784" s="10">
        <v>0.212038993732069</v>
      </c>
      <c r="Q784" s="10">
        <v>4.4960534862908498E-2</v>
      </c>
    </row>
    <row r="785" spans="1:17" x14ac:dyDescent="0.2">
      <c r="A785" s="10">
        <v>1670</v>
      </c>
      <c r="B785" s="10" t="s">
        <v>79</v>
      </c>
      <c r="C785" s="9" t="s">
        <v>794</v>
      </c>
      <c r="D785" s="10">
        <v>7.4255615999999997E-2</v>
      </c>
      <c r="E785" s="10">
        <v>5.3214685999999997E-2</v>
      </c>
      <c r="F785" s="10">
        <v>8.9362980999999994E-2</v>
      </c>
      <c r="G785" s="10">
        <v>0.120697208</v>
      </c>
      <c r="H785" s="9">
        <v>8.4382622500000004E-2</v>
      </c>
      <c r="I785" s="10">
        <v>2.8387495000113502E-2</v>
      </c>
      <c r="J785" s="10">
        <v>8.0584987238139995E-4</v>
      </c>
      <c r="K785" s="10">
        <v>-0.61661037100000005</v>
      </c>
      <c r="L785" s="10">
        <v>-0.122432386</v>
      </c>
      <c r="M785" s="10">
        <v>-0.16876586399999999</v>
      </c>
      <c r="N785" s="10">
        <v>-0.17869052199999999</v>
      </c>
      <c r="O785" s="9">
        <v>-0.27162478574999999</v>
      </c>
      <c r="P785" s="10">
        <v>0.23129358063996999</v>
      </c>
      <c r="Q785" s="10">
        <v>5.3496720445258598E-2</v>
      </c>
    </row>
    <row r="786" spans="1:17" x14ac:dyDescent="0.2">
      <c r="A786" s="10">
        <v>1670</v>
      </c>
      <c r="B786" s="10" t="s">
        <v>2820</v>
      </c>
      <c r="C786" s="9" t="s">
        <v>2516</v>
      </c>
      <c r="D786" s="10">
        <v>-6.4830437000000005E-2</v>
      </c>
      <c r="E786" s="10">
        <v>4.5876396E-2</v>
      </c>
      <c r="F786" s="10">
        <v>0.10568498</v>
      </c>
      <c r="G786" s="10">
        <v>-1.016697478</v>
      </c>
      <c r="H786" s="9">
        <v>-0.23249163449999999</v>
      </c>
      <c r="I786" s="10">
        <v>0.52755450433290496</v>
      </c>
      <c r="J786" s="10">
        <v>0.27831375504193701</v>
      </c>
      <c r="K786" s="10">
        <v>2.2763624550000001</v>
      </c>
      <c r="L786" s="10">
        <v>2.2141142970000001</v>
      </c>
      <c r="M786" s="10">
        <v>-0.91909276500000003</v>
      </c>
      <c r="N786" s="10">
        <v>5.3390231650000004</v>
      </c>
      <c r="O786" s="9">
        <v>2.2276017879999999</v>
      </c>
      <c r="P786" s="10">
        <v>2.5550726741257401</v>
      </c>
      <c r="Q786" s="10">
        <v>6.5283963700640699</v>
      </c>
    </row>
    <row r="787" spans="1:17" x14ac:dyDescent="0.2">
      <c r="A787" s="10">
        <v>1670</v>
      </c>
      <c r="B787" s="10" t="s">
        <v>2824</v>
      </c>
      <c r="C787" s="9" t="s">
        <v>795</v>
      </c>
      <c r="D787" s="10">
        <v>-8.8942727999999999E-2</v>
      </c>
      <c r="E787" s="10">
        <v>0.23406394699999999</v>
      </c>
      <c r="F787" s="10">
        <v>0.39692534000000002</v>
      </c>
      <c r="G787" s="10">
        <v>0.235831926</v>
      </c>
      <c r="H787" s="9">
        <v>0.19446962125</v>
      </c>
      <c r="I787" s="10">
        <v>0.20378863940188299</v>
      </c>
      <c r="J787" s="10">
        <v>4.1529809549270602E-2</v>
      </c>
      <c r="K787" s="10">
        <v>-0.31640996900000001</v>
      </c>
      <c r="L787" s="10">
        <v>-0.26525479400000002</v>
      </c>
      <c r="M787" s="10">
        <v>2.1091346E-2</v>
      </c>
      <c r="N787" s="10">
        <v>-0.70178026100000002</v>
      </c>
      <c r="O787" s="9">
        <v>-0.31558841949999999</v>
      </c>
      <c r="P787" s="10">
        <v>0.29722693447815801</v>
      </c>
      <c r="Q787" s="10">
        <v>8.8343850579283706E-2</v>
      </c>
    </row>
    <row r="788" spans="1:17" x14ac:dyDescent="0.2">
      <c r="A788" s="10">
        <v>1670</v>
      </c>
      <c r="B788" s="10" t="s">
        <v>2818</v>
      </c>
      <c r="C788" s="9" t="s">
        <v>796</v>
      </c>
      <c r="D788" s="10">
        <v>-0.22155887599999999</v>
      </c>
      <c r="E788" s="10">
        <v>-0.100256529</v>
      </c>
      <c r="F788" s="10">
        <v>-0.11293392200000001</v>
      </c>
      <c r="G788" s="10">
        <v>0.76341749000000003</v>
      </c>
      <c r="H788" s="9">
        <v>8.2167040499999996E-2</v>
      </c>
      <c r="I788" s="10">
        <v>0.45741824463513497</v>
      </c>
      <c r="J788" s="10">
        <v>0.20923145052508799</v>
      </c>
      <c r="K788" s="10">
        <v>0.34755333199999999</v>
      </c>
      <c r="L788" s="10">
        <v>-0.29204237999999999</v>
      </c>
      <c r="M788" s="10">
        <v>-0.42058574599999998</v>
      </c>
      <c r="N788" s="10">
        <v>0.71036919799999998</v>
      </c>
      <c r="O788" s="9">
        <v>8.6323601E-2</v>
      </c>
      <c r="P788" s="10">
        <v>0.53472478315094496</v>
      </c>
      <c r="Q788" s="10">
        <v>0.28593059371582502</v>
      </c>
    </row>
    <row r="789" spans="1:17" x14ac:dyDescent="0.2">
      <c r="A789" s="10">
        <v>1670</v>
      </c>
      <c r="B789" s="10" t="s">
        <v>2832</v>
      </c>
      <c r="C789" s="9" t="s">
        <v>797</v>
      </c>
      <c r="D789" s="10">
        <v>-0.99978953299999995</v>
      </c>
      <c r="E789" s="10">
        <v>4.3459032789999998</v>
      </c>
      <c r="F789" s="10">
        <v>0.89083861099999995</v>
      </c>
      <c r="G789" s="10">
        <v>-0.54835633699999997</v>
      </c>
      <c r="H789" s="9">
        <v>0.92214900499999997</v>
      </c>
      <c r="I789" s="10">
        <v>2.4206960000659401</v>
      </c>
      <c r="J789" s="10">
        <v>5.8597691247352701</v>
      </c>
      <c r="K789" s="10">
        <v>-0.94256283200000002</v>
      </c>
      <c r="L789" s="10">
        <v>-0.70947150599999997</v>
      </c>
      <c r="M789" s="10">
        <v>-1.2800881660000001</v>
      </c>
      <c r="N789" s="10">
        <v>0.216399022</v>
      </c>
      <c r="O789" s="9">
        <v>-0.67893087024999998</v>
      </c>
      <c r="P789" s="10">
        <v>0.64120726027237496</v>
      </c>
      <c r="Q789" s="10">
        <v>0.41114675062600498</v>
      </c>
    </row>
    <row r="790" spans="1:17" x14ac:dyDescent="0.2">
      <c r="A790" s="10">
        <v>1671</v>
      </c>
      <c r="B790" s="10" t="s">
        <v>2831</v>
      </c>
      <c r="C790" s="9" t="s">
        <v>798</v>
      </c>
      <c r="D790" s="10">
        <v>-1.087153512</v>
      </c>
      <c r="E790" s="10">
        <v>-0.48540792799999999</v>
      </c>
      <c r="F790" s="10">
        <v>-0.87954879200000002</v>
      </c>
      <c r="G790" s="10">
        <v>-0.941453239</v>
      </c>
      <c r="H790" s="9">
        <v>-0.84839086799999996</v>
      </c>
      <c r="I790" s="10">
        <v>0.25716119200807702</v>
      </c>
      <c r="J790" s="10">
        <v>6.6131878675015202E-2</v>
      </c>
      <c r="K790" s="10">
        <v>-0.38232690800000002</v>
      </c>
      <c r="L790" s="10">
        <v>-0.49480000600000001</v>
      </c>
      <c r="M790" s="10">
        <v>-0.46116632899999999</v>
      </c>
      <c r="N790" s="10">
        <v>-8.6756193999999995E-2</v>
      </c>
      <c r="O790" s="9">
        <v>-0.35626235924999999</v>
      </c>
      <c r="P790" s="10">
        <v>0.185751138395469</v>
      </c>
      <c r="Q790" s="10">
        <v>3.4503485415212698E-2</v>
      </c>
    </row>
    <row r="791" spans="1:17" x14ac:dyDescent="0.2">
      <c r="A791" s="10">
        <v>1671</v>
      </c>
      <c r="B791" s="10" t="s">
        <v>2824</v>
      </c>
      <c r="C791" s="9" t="s">
        <v>799</v>
      </c>
      <c r="D791" s="10">
        <v>-5.0162245000000001E-2</v>
      </c>
      <c r="E791" s="10">
        <v>-0.20620871099999999</v>
      </c>
      <c r="F791" s="10">
        <v>0.97728175699999997</v>
      </c>
      <c r="G791" s="10">
        <v>-0.35818561700000001</v>
      </c>
      <c r="H791" s="9">
        <v>9.0681296250000001E-2</v>
      </c>
      <c r="I791" s="10">
        <v>0.60429641245816901</v>
      </c>
      <c r="J791" s="10">
        <v>0.36517415410981302</v>
      </c>
      <c r="K791" s="10">
        <v>-0.244211335</v>
      </c>
      <c r="L791" s="10">
        <v>-0.46925719100000002</v>
      </c>
      <c r="M791" s="10">
        <v>-0.53381235299999996</v>
      </c>
      <c r="N791" s="10">
        <v>-1.052587097</v>
      </c>
      <c r="O791" s="9">
        <v>-0.57496699399999995</v>
      </c>
      <c r="P791" s="10">
        <v>0.341754558943692</v>
      </c>
      <c r="Q791" s="10">
        <v>0.116796178558797</v>
      </c>
    </row>
    <row r="792" spans="1:17" x14ac:dyDescent="0.2">
      <c r="A792" s="10">
        <v>1671</v>
      </c>
      <c r="B792" s="10" t="s">
        <v>74</v>
      </c>
      <c r="C792" s="9" t="s">
        <v>800</v>
      </c>
      <c r="D792" s="10">
        <v>3.7109669999999999E-3</v>
      </c>
      <c r="E792" s="10">
        <v>-7.3614146000000005E-2</v>
      </c>
      <c r="F792" s="10">
        <v>-0.37727491800000001</v>
      </c>
      <c r="G792" s="10">
        <v>-9.3885518000000001E-2</v>
      </c>
      <c r="H792" s="9">
        <v>-0.13526590375</v>
      </c>
      <c r="I792" s="10">
        <v>0.16672953061790599</v>
      </c>
      <c r="J792" s="10">
        <v>2.7798736380067399E-2</v>
      </c>
      <c r="K792" s="10">
        <v>0.105449137</v>
      </c>
      <c r="L792" s="10">
        <v>-0.34869485900000002</v>
      </c>
      <c r="M792" s="10">
        <v>6.0438407999999999E-2</v>
      </c>
      <c r="N792" s="10">
        <v>0.78973041799999999</v>
      </c>
      <c r="O792" s="9">
        <v>0.15173077600000001</v>
      </c>
      <c r="P792" s="10">
        <v>0.47185649157374598</v>
      </c>
      <c r="Q792" s="10">
        <v>0.22264854864028499</v>
      </c>
    </row>
    <row r="793" spans="1:17" x14ac:dyDescent="0.2">
      <c r="A793" s="10">
        <v>1671</v>
      </c>
      <c r="B793" s="10" t="s">
        <v>2832</v>
      </c>
      <c r="C793" s="9" t="s">
        <v>801</v>
      </c>
      <c r="D793" s="10">
        <v>1.2143531590000001</v>
      </c>
      <c r="E793" s="10">
        <v>-0.54837994400000001</v>
      </c>
      <c r="F793" s="10">
        <v>-0.18154684700000001</v>
      </c>
      <c r="G793" s="10">
        <v>0.51535869099999998</v>
      </c>
      <c r="H793" s="9">
        <v>0.24994626475000001</v>
      </c>
      <c r="I793" s="10">
        <v>0.77975112584073603</v>
      </c>
      <c r="J793" s="10">
        <v>0.60801181824989603</v>
      </c>
      <c r="K793" s="10">
        <v>-0.95024137099999995</v>
      </c>
      <c r="L793" s="10">
        <v>-0.15049580700000001</v>
      </c>
      <c r="M793" s="10">
        <v>-0.51873506899999999</v>
      </c>
      <c r="N793" s="10">
        <v>-3.9476947999999998E-2</v>
      </c>
      <c r="O793" s="9">
        <v>-0.41473729874999998</v>
      </c>
      <c r="P793" s="10">
        <v>0.41159204900831198</v>
      </c>
      <c r="Q793" s="10">
        <v>0.16940801480686099</v>
      </c>
    </row>
    <row r="794" spans="1:17" x14ac:dyDescent="0.2">
      <c r="A794" s="10">
        <v>1672</v>
      </c>
      <c r="B794" s="10" t="s">
        <v>2831</v>
      </c>
      <c r="C794" s="9" t="s">
        <v>802</v>
      </c>
      <c r="D794" s="10">
        <v>-1.787329451</v>
      </c>
      <c r="E794" s="10">
        <v>-0.89196695400000003</v>
      </c>
      <c r="F794" s="10">
        <v>-0.92410156300000001</v>
      </c>
      <c r="G794" s="10">
        <v>-0.72008351999999998</v>
      </c>
      <c r="H794" s="9">
        <v>-1.0808703719999999</v>
      </c>
      <c r="I794" s="10">
        <v>0.47941371962184498</v>
      </c>
      <c r="J794" s="10">
        <v>0.22983751456165299</v>
      </c>
      <c r="K794" s="10">
        <v>-0.93737625499999999</v>
      </c>
      <c r="L794" s="10">
        <v>0.668132438</v>
      </c>
      <c r="M794" s="10">
        <v>-0.52115852600000001</v>
      </c>
      <c r="N794" s="10">
        <v>-0.25290647700000002</v>
      </c>
      <c r="O794" s="9">
        <v>-0.26082720525000003</v>
      </c>
      <c r="P794" s="10">
        <v>0.68032339613947401</v>
      </c>
      <c r="Q794" s="10">
        <v>0.46283992333474799</v>
      </c>
    </row>
    <row r="795" spans="1:17" x14ac:dyDescent="0.2">
      <c r="A795" s="10">
        <v>1673</v>
      </c>
      <c r="B795" s="10" t="s">
        <v>2831</v>
      </c>
      <c r="C795" s="9" t="s">
        <v>803</v>
      </c>
      <c r="D795" s="10">
        <v>-6.4562903250000003</v>
      </c>
      <c r="E795" s="10">
        <v>-1.1761802139999999</v>
      </c>
      <c r="F795" s="10">
        <v>-2.1902819020000002</v>
      </c>
      <c r="G795" s="10">
        <v>-1.365766628</v>
      </c>
      <c r="H795" s="9">
        <v>-2.7971297675</v>
      </c>
      <c r="I795" s="10">
        <v>2.4788436961304301</v>
      </c>
      <c r="J795" s="10">
        <v>6.1446660698455799</v>
      </c>
      <c r="K795" s="10">
        <v>-0.18608106199999999</v>
      </c>
      <c r="L795" s="10">
        <v>0.56777204800000003</v>
      </c>
      <c r="M795" s="10">
        <v>-0.65015360200000005</v>
      </c>
      <c r="N795" s="10">
        <v>1.1770259540000001</v>
      </c>
      <c r="O795" s="9">
        <v>0.2271408345</v>
      </c>
      <c r="P795" s="10">
        <v>0.80802418031453305</v>
      </c>
      <c r="Q795" s="10">
        <v>0.65290307597297303</v>
      </c>
    </row>
    <row r="796" spans="1:17" x14ac:dyDescent="0.2">
      <c r="A796" s="10">
        <v>1673</v>
      </c>
      <c r="B796" s="10" t="s">
        <v>2822</v>
      </c>
      <c r="C796" s="9" t="s">
        <v>2515</v>
      </c>
      <c r="D796" s="10">
        <v>0.67855851599999994</v>
      </c>
      <c r="E796" s="10">
        <v>-0.28290037800000001</v>
      </c>
      <c r="F796" s="10">
        <v>0.101216767</v>
      </c>
      <c r="G796" s="10">
        <v>0.105655953</v>
      </c>
      <c r="H796" s="9">
        <v>0.15063271449999999</v>
      </c>
      <c r="I796" s="10">
        <v>0.39628333261459098</v>
      </c>
      <c r="J796" s="10">
        <v>0.15704047970812701</v>
      </c>
      <c r="K796" s="10">
        <v>-0.23736589799999999</v>
      </c>
      <c r="L796" s="10">
        <v>0.61179174599999997</v>
      </c>
      <c r="M796" s="10">
        <v>0.97802369600000005</v>
      </c>
      <c r="N796" s="10">
        <v>-0.35687811000000003</v>
      </c>
      <c r="O796" s="9">
        <v>0.24889285850000001</v>
      </c>
      <c r="P796" s="10">
        <v>0.64980341265456099</v>
      </c>
      <c r="Q796" s="10">
        <v>0.422244475097514</v>
      </c>
    </row>
    <row r="797" spans="1:17" x14ac:dyDescent="0.2">
      <c r="A797" s="10">
        <v>1673</v>
      </c>
      <c r="B797" s="10" t="s">
        <v>2819</v>
      </c>
      <c r="C797" s="9" t="s">
        <v>804</v>
      </c>
      <c r="D797" s="10">
        <v>0.72610479800000005</v>
      </c>
      <c r="E797" s="10">
        <v>0.181020493</v>
      </c>
      <c r="F797" s="10">
        <v>9.2786402000000004E-2</v>
      </c>
      <c r="G797" s="10">
        <v>-1.247672941</v>
      </c>
      <c r="H797" s="9">
        <v>-6.1940311999999997E-2</v>
      </c>
      <c r="I797" s="10">
        <v>0.83863922947865299</v>
      </c>
      <c r="J797" s="10">
        <v>0.70331575722054995</v>
      </c>
      <c r="K797" s="10">
        <v>1.0961238999999999E-2</v>
      </c>
      <c r="L797" s="10">
        <v>-0.78143857900000002</v>
      </c>
      <c r="M797" s="10">
        <v>0.45070256600000003</v>
      </c>
      <c r="N797" s="10">
        <v>0.205495698</v>
      </c>
      <c r="O797" s="9">
        <v>-2.8569768999999998E-2</v>
      </c>
      <c r="P797" s="10">
        <v>0.53318625876348003</v>
      </c>
      <c r="Q797" s="10">
        <v>0.284287586534197</v>
      </c>
    </row>
    <row r="798" spans="1:17" x14ac:dyDescent="0.2">
      <c r="A798" s="10">
        <v>1673</v>
      </c>
      <c r="B798" s="10" t="s">
        <v>2826</v>
      </c>
      <c r="C798" s="9" t="s">
        <v>805</v>
      </c>
      <c r="D798" s="10">
        <v>0.237899108</v>
      </c>
      <c r="E798" s="10">
        <v>-0.181569866</v>
      </c>
      <c r="F798" s="10">
        <v>-0.37114450399999999</v>
      </c>
      <c r="G798" s="10">
        <v>0.251564185</v>
      </c>
      <c r="H798" s="9">
        <v>-1.5812769250000001E-2</v>
      </c>
      <c r="I798" s="10">
        <v>0.31069610509583001</v>
      </c>
      <c r="J798" s="10">
        <v>9.6532069721719599E-2</v>
      </c>
      <c r="K798" s="10">
        <v>-9.4170591999999997E-2</v>
      </c>
      <c r="L798" s="10">
        <v>-3.9151045000000002E-2</v>
      </c>
      <c r="M798" s="10">
        <v>0.24769961700000001</v>
      </c>
      <c r="N798" s="10">
        <v>-0.29123576600000001</v>
      </c>
      <c r="O798" s="9">
        <v>-4.4214446249999997E-2</v>
      </c>
      <c r="P798" s="10">
        <v>0.22267660202228201</v>
      </c>
      <c r="Q798" s="10">
        <v>4.9584869088190098E-2</v>
      </c>
    </row>
    <row r="799" spans="1:17" x14ac:dyDescent="0.2">
      <c r="A799" s="10">
        <v>1673</v>
      </c>
      <c r="B799" s="10" t="s">
        <v>2824</v>
      </c>
      <c r="C799" s="9" t="s">
        <v>806</v>
      </c>
      <c r="D799" s="10">
        <v>-0.22208344299999999</v>
      </c>
      <c r="E799" s="10">
        <v>0.37756943900000001</v>
      </c>
      <c r="F799" s="10">
        <v>-0.231018117</v>
      </c>
      <c r="G799" s="10">
        <v>-4.6178792000000003E-2</v>
      </c>
      <c r="H799" s="9">
        <v>-3.0427728250000001E-2</v>
      </c>
      <c r="I799" s="10">
        <v>0.28500187224442902</v>
      </c>
      <c r="J799" s="10">
        <v>8.1226067182830097E-2</v>
      </c>
      <c r="K799" s="10">
        <v>0.50326010799999998</v>
      </c>
      <c r="L799" s="10">
        <v>0.79869480900000001</v>
      </c>
      <c r="M799" s="10">
        <v>0.15075567200000001</v>
      </c>
      <c r="N799" s="10">
        <v>0.44449730999999998</v>
      </c>
      <c r="O799" s="9">
        <v>0.4743019745</v>
      </c>
      <c r="P799" s="10">
        <v>0.26560610714497701</v>
      </c>
      <c r="Q799" s="10">
        <v>7.0546604152709094E-2</v>
      </c>
    </row>
    <row r="800" spans="1:17" x14ac:dyDescent="0.2">
      <c r="A800" s="10">
        <v>1673</v>
      </c>
      <c r="B800" s="10" t="s">
        <v>2814</v>
      </c>
      <c r="C800" s="9" t="s">
        <v>807</v>
      </c>
      <c r="D800" s="10">
        <v>-0.16476798400000001</v>
      </c>
      <c r="E800" s="10">
        <v>0.47010821000000003</v>
      </c>
      <c r="F800" s="10">
        <v>0.122361315</v>
      </c>
      <c r="G800" s="10">
        <v>-0.38228492400000003</v>
      </c>
      <c r="H800" s="9">
        <v>1.1354154E-2</v>
      </c>
      <c r="I800" s="10">
        <v>0.36911994659013497</v>
      </c>
      <c r="J800" s="10">
        <v>0.13624953497070399</v>
      </c>
      <c r="K800" s="10">
        <v>-3.9372361310000001</v>
      </c>
      <c r="L800" s="10">
        <v>-0.382413948</v>
      </c>
      <c r="M800" s="10">
        <v>0.64913377000000005</v>
      </c>
      <c r="N800" s="10">
        <v>-0.51166731899999995</v>
      </c>
      <c r="O800" s="9">
        <v>-1.0455459069999999</v>
      </c>
      <c r="P800" s="10">
        <v>1.99654550837073</v>
      </c>
      <c r="Q800" s="10">
        <v>3.9861939669953399</v>
      </c>
    </row>
    <row r="801" spans="1:17" x14ac:dyDescent="0.2">
      <c r="A801" s="10">
        <v>1673</v>
      </c>
      <c r="B801" s="10" t="s">
        <v>2825</v>
      </c>
      <c r="C801" s="9" t="s">
        <v>808</v>
      </c>
      <c r="D801" s="10">
        <v>-6.1197842000000002E-2</v>
      </c>
      <c r="E801" s="10">
        <v>-9.7464299999999997E-4</v>
      </c>
      <c r="F801" s="10">
        <v>0.11966093</v>
      </c>
      <c r="G801" s="10">
        <v>0.16626771700000001</v>
      </c>
      <c r="H801" s="9">
        <v>5.5939040500000002E-2</v>
      </c>
      <c r="I801" s="10">
        <v>0.10518731335265399</v>
      </c>
      <c r="J801" s="10">
        <v>1.10643708903496E-2</v>
      </c>
      <c r="K801" s="10">
        <v>-1.6038011000000001E-2</v>
      </c>
      <c r="L801" s="10">
        <v>0.12539661399999999</v>
      </c>
      <c r="M801" s="10">
        <v>0.36046431000000001</v>
      </c>
      <c r="N801" s="10">
        <v>0.39378339600000001</v>
      </c>
      <c r="O801" s="9">
        <v>0.21590157725</v>
      </c>
      <c r="P801" s="10">
        <v>0.19538632339753501</v>
      </c>
      <c r="Q801" s="10">
        <v>3.8175815370806297E-2</v>
      </c>
    </row>
    <row r="802" spans="1:17" x14ac:dyDescent="0.2">
      <c r="A802" s="10">
        <v>1673</v>
      </c>
      <c r="B802" s="10" t="s">
        <v>74</v>
      </c>
      <c r="C802" s="9" t="s">
        <v>809</v>
      </c>
      <c r="D802" s="10">
        <v>1.9101872999999998E-2</v>
      </c>
      <c r="E802" s="10">
        <v>-0.10792210200000001</v>
      </c>
      <c r="F802" s="10">
        <v>-0.174767276</v>
      </c>
      <c r="G802" s="10">
        <v>0.31052190699999999</v>
      </c>
      <c r="H802" s="9">
        <v>1.17336005E-2</v>
      </c>
      <c r="I802" s="10">
        <v>0.21480906841255401</v>
      </c>
      <c r="J802" s="10">
        <v>4.61429358722696E-2</v>
      </c>
      <c r="K802" s="10">
        <v>-0.21406639799999999</v>
      </c>
      <c r="L802" s="10">
        <v>-0.37224663800000002</v>
      </c>
      <c r="M802" s="10">
        <v>-0.240045176</v>
      </c>
      <c r="N802" s="10">
        <v>0.21677270200000001</v>
      </c>
      <c r="O802" s="9">
        <v>-0.15239637775000001</v>
      </c>
      <c r="P802" s="10">
        <v>0.25567260941013298</v>
      </c>
      <c r="Q802" s="10">
        <v>6.5368483202586397E-2</v>
      </c>
    </row>
    <row r="803" spans="1:17" x14ac:dyDescent="0.2">
      <c r="A803" s="10">
        <v>1673</v>
      </c>
      <c r="B803" s="10" t="s">
        <v>2818</v>
      </c>
      <c r="C803" s="9" t="s">
        <v>2514</v>
      </c>
      <c r="D803" s="10">
        <v>0.28626864699999999</v>
      </c>
      <c r="E803" s="10">
        <v>-1.8058472590000001</v>
      </c>
      <c r="F803" s="10">
        <v>0.57332524299999998</v>
      </c>
      <c r="G803" s="10">
        <v>0.237059296</v>
      </c>
      <c r="H803" s="9">
        <v>-0.17729851825000001</v>
      </c>
      <c r="I803" s="10">
        <v>1.0957788625568901</v>
      </c>
      <c r="J803" s="10">
        <v>1.2007313156264801</v>
      </c>
      <c r="K803" s="10">
        <v>-5.707452E-3</v>
      </c>
      <c r="L803" s="10">
        <v>-0.27963398900000003</v>
      </c>
      <c r="M803" s="10">
        <v>0.98575607600000004</v>
      </c>
      <c r="N803" s="10">
        <v>0.219374237</v>
      </c>
      <c r="O803" s="9">
        <v>0.22994721825</v>
      </c>
      <c r="P803" s="10">
        <v>0.54361902952308905</v>
      </c>
      <c r="Q803" s="10">
        <v>0.29552164925962499</v>
      </c>
    </row>
    <row r="804" spans="1:17" x14ac:dyDescent="0.2">
      <c r="A804" s="10">
        <v>1673</v>
      </c>
      <c r="B804" s="10" t="s">
        <v>2830</v>
      </c>
      <c r="C804" s="9" t="s">
        <v>810</v>
      </c>
      <c r="D804" s="10">
        <v>2.1674446E-2</v>
      </c>
      <c r="E804" s="10">
        <v>-0.138584754</v>
      </c>
      <c r="F804" s="10">
        <v>0.204401799</v>
      </c>
      <c r="G804" s="10">
        <v>-3.3966729000000001E-2</v>
      </c>
      <c r="H804" s="9">
        <v>1.3381190249999999E-2</v>
      </c>
      <c r="I804" s="10">
        <v>0.143635098690227</v>
      </c>
      <c r="J804" s="10">
        <v>2.06310415757513E-2</v>
      </c>
      <c r="K804" s="10">
        <v>0.14562446200000001</v>
      </c>
      <c r="L804" s="10">
        <v>-8.2404498000000007E-2</v>
      </c>
      <c r="M804" s="10">
        <v>0.67969561000000001</v>
      </c>
      <c r="N804" s="10">
        <v>-0.137426411</v>
      </c>
      <c r="O804" s="9">
        <v>0.15137229075</v>
      </c>
      <c r="P804" s="10">
        <v>0.37292306815634402</v>
      </c>
      <c r="Q804" s="10">
        <v>0.139071614763141</v>
      </c>
    </row>
    <row r="805" spans="1:17" x14ac:dyDescent="0.2">
      <c r="A805" s="10">
        <v>1673</v>
      </c>
      <c r="B805" s="10" t="s">
        <v>2835</v>
      </c>
      <c r="C805" s="9" t="s">
        <v>2513</v>
      </c>
      <c r="D805" s="10">
        <v>-7.5840058000000002E-2</v>
      </c>
      <c r="E805" s="10">
        <v>-7.6340371000000004E-2</v>
      </c>
      <c r="F805" s="10">
        <v>-0.267662444</v>
      </c>
      <c r="G805" s="10">
        <v>-0.36703873100000001</v>
      </c>
      <c r="H805" s="9">
        <v>-0.19672040099999999</v>
      </c>
      <c r="I805" s="10">
        <v>0.14507988138217801</v>
      </c>
      <c r="J805" s="10">
        <v>2.1048171981867099E-2</v>
      </c>
      <c r="K805" s="10">
        <v>0.43885517699999999</v>
      </c>
      <c r="L805" s="10">
        <v>-2.1848604000000001E-2</v>
      </c>
      <c r="M805" s="10">
        <v>-0.13795094899999999</v>
      </c>
      <c r="N805" s="10">
        <v>-0.13572163000000001</v>
      </c>
      <c r="O805" s="9">
        <v>3.5833498249999998E-2</v>
      </c>
      <c r="P805" s="10">
        <v>0.27409602611573203</v>
      </c>
      <c r="Q805" s="10">
        <v>7.5128631532436499E-2</v>
      </c>
    </row>
    <row r="806" spans="1:17" x14ac:dyDescent="0.2">
      <c r="A806" s="10">
        <v>1673</v>
      </c>
      <c r="B806" s="10" t="s">
        <v>2832</v>
      </c>
      <c r="C806" s="9" t="s">
        <v>811</v>
      </c>
      <c r="D806" s="10">
        <v>4.1290572999999997E-2</v>
      </c>
      <c r="E806" s="10">
        <v>-0.247666153</v>
      </c>
      <c r="F806" s="10">
        <v>5.6724621000000003E-2</v>
      </c>
      <c r="G806" s="10">
        <v>-0.14572168599999999</v>
      </c>
      <c r="H806" s="9">
        <v>-7.3843161500000004E-2</v>
      </c>
      <c r="I806" s="10">
        <v>0.147969228000497</v>
      </c>
      <c r="J806" s="10">
        <v>2.18948924350633E-2</v>
      </c>
      <c r="K806" s="10">
        <v>0.114594216</v>
      </c>
      <c r="L806" s="10">
        <v>-0.13814258099999999</v>
      </c>
      <c r="M806" s="10">
        <v>-1.1054546E-2</v>
      </c>
      <c r="N806" s="10">
        <v>-6.9713421999999997E-2</v>
      </c>
      <c r="O806" s="9">
        <v>-2.6079083499999999E-2</v>
      </c>
      <c r="P806" s="10">
        <v>0.107202140662038</v>
      </c>
      <c r="Q806" s="10">
        <v>1.14922989625235E-2</v>
      </c>
    </row>
    <row r="807" spans="1:17" x14ac:dyDescent="0.2">
      <c r="A807" s="10">
        <v>1674</v>
      </c>
      <c r="B807" s="10" t="s">
        <v>2831</v>
      </c>
      <c r="C807" s="9" t="s">
        <v>2512</v>
      </c>
      <c r="D807" s="10">
        <v>-1.994550169</v>
      </c>
      <c r="E807" s="10">
        <v>-1.3683294479999999</v>
      </c>
      <c r="F807" s="10">
        <v>-2.2265714019999998</v>
      </c>
      <c r="G807" s="10">
        <v>-1.111892536</v>
      </c>
      <c r="H807" s="9">
        <v>-1.6753358890000001</v>
      </c>
      <c r="I807" s="10">
        <v>0.52200884864902997</v>
      </c>
      <c r="J807" s="10">
        <v>0.272493238067886</v>
      </c>
      <c r="K807" s="10">
        <v>4.5742085000000002E-2</v>
      </c>
      <c r="L807" s="10">
        <v>-0.32679922300000003</v>
      </c>
      <c r="M807" s="10">
        <v>-0.60581955799999998</v>
      </c>
      <c r="N807" s="10">
        <v>-3.9360378000000001E-2</v>
      </c>
      <c r="O807" s="9">
        <v>-0.23155926825000001</v>
      </c>
      <c r="P807" s="10">
        <v>0.29607311450166501</v>
      </c>
      <c r="Q807" s="10">
        <v>8.7659289130716203E-2</v>
      </c>
    </row>
    <row r="808" spans="1:17" x14ac:dyDescent="0.2">
      <c r="A808" s="10">
        <v>1674</v>
      </c>
      <c r="B808" s="10" t="s">
        <v>2822</v>
      </c>
      <c r="C808" s="9" t="s">
        <v>812</v>
      </c>
      <c r="D808" s="10">
        <v>0.43406441699999998</v>
      </c>
      <c r="E808" s="10">
        <v>4.0495267000000001E-2</v>
      </c>
      <c r="F808" s="10">
        <v>-0.70130907799999997</v>
      </c>
      <c r="G808" s="10">
        <v>0.35430433700000002</v>
      </c>
      <c r="H808" s="9">
        <v>3.1888736000000001E-2</v>
      </c>
      <c r="I808" s="10">
        <v>0.51747792384031099</v>
      </c>
      <c r="J808" s="10">
        <v>0.26778340166207898</v>
      </c>
      <c r="K808" s="10">
        <v>0.127084434</v>
      </c>
      <c r="L808" s="10">
        <v>0.14251114200000001</v>
      </c>
      <c r="M808" s="10">
        <v>-0.53109774799999998</v>
      </c>
      <c r="N808" s="10">
        <v>8.0030206000000007E-2</v>
      </c>
      <c r="O808" s="9">
        <v>-4.5367991500000003E-2</v>
      </c>
      <c r="P808" s="10">
        <v>0.32490845487682701</v>
      </c>
      <c r="Q808" s="10">
        <v>0.105565504050447</v>
      </c>
    </row>
    <row r="809" spans="1:17" x14ac:dyDescent="0.2">
      <c r="A809" s="10">
        <v>1674</v>
      </c>
      <c r="B809" s="10" t="s">
        <v>96</v>
      </c>
      <c r="C809" s="9" t="s">
        <v>813</v>
      </c>
      <c r="D809" s="10">
        <v>-0.20486089099999999</v>
      </c>
      <c r="E809" s="10">
        <v>-0.42355043599999997</v>
      </c>
      <c r="F809" s="10">
        <v>3.8847262E-2</v>
      </c>
      <c r="G809" s="10">
        <v>-0.12584119899999999</v>
      </c>
      <c r="H809" s="9">
        <v>-0.17885131600000001</v>
      </c>
      <c r="I809" s="10">
        <v>0.192143089638972</v>
      </c>
      <c r="J809" s="10">
        <v>3.6918966896010201E-2</v>
      </c>
      <c r="K809" s="10">
        <v>0.29870970899999999</v>
      </c>
      <c r="L809" s="10">
        <v>-0.37347780800000002</v>
      </c>
      <c r="M809" s="10">
        <v>-6.9825659999999998E-2</v>
      </c>
      <c r="N809" s="10">
        <v>0.119359274</v>
      </c>
      <c r="O809" s="9">
        <v>-6.3086210000000004E-3</v>
      </c>
      <c r="P809" s="10">
        <v>0.28733037175307902</v>
      </c>
      <c r="Q809" s="10">
        <v>8.2558742531762805E-2</v>
      </c>
    </row>
    <row r="810" spans="1:17" x14ac:dyDescent="0.2">
      <c r="A810" s="10">
        <v>1674</v>
      </c>
      <c r="B810" s="10" t="s">
        <v>2823</v>
      </c>
      <c r="C810" s="9" t="s">
        <v>814</v>
      </c>
      <c r="D810" s="10">
        <v>-0.98246228300000005</v>
      </c>
      <c r="E810" s="10">
        <v>-0.82307235899999998</v>
      </c>
      <c r="F810" s="10">
        <v>-1.2672173790000001</v>
      </c>
      <c r="G810" s="10">
        <v>-0.64418668800000001</v>
      </c>
      <c r="H810" s="9">
        <v>-0.92923467724999997</v>
      </c>
      <c r="I810" s="10">
        <v>0.26431564380981398</v>
      </c>
      <c r="J810" s="10">
        <v>6.9862759562596397E-2</v>
      </c>
      <c r="K810" s="10">
        <v>-7.6684095999999993E-2</v>
      </c>
      <c r="L810" s="10">
        <v>2.6323183999999999E-2</v>
      </c>
      <c r="M810" s="10">
        <v>0.128850258</v>
      </c>
      <c r="N810" s="10">
        <v>-9.6279681000000006E-2</v>
      </c>
      <c r="O810" s="9">
        <v>-4.4475837500000002E-3</v>
      </c>
      <c r="P810" s="10">
        <v>0.103869152543814</v>
      </c>
      <c r="Q810" s="10">
        <v>1.07888008501701E-2</v>
      </c>
    </row>
    <row r="811" spans="1:17" x14ac:dyDescent="0.2">
      <c r="A811" s="10">
        <v>1674</v>
      </c>
      <c r="B811" s="10" t="s">
        <v>2819</v>
      </c>
      <c r="C811" s="9" t="s">
        <v>2511</v>
      </c>
      <c r="D811" s="10">
        <v>-1.873689779</v>
      </c>
      <c r="E811" s="10">
        <v>-0.162083857</v>
      </c>
      <c r="F811" s="10">
        <v>-0.137817737</v>
      </c>
      <c r="G811" s="10">
        <v>-0.53558998300000005</v>
      </c>
      <c r="H811" s="9">
        <v>-0.67729533900000005</v>
      </c>
      <c r="I811" s="10">
        <v>0.81811144681441095</v>
      </c>
      <c r="J811" s="10">
        <v>0.66930633940876905</v>
      </c>
      <c r="K811" s="10">
        <v>0.46062415499999998</v>
      </c>
      <c r="L811" s="10">
        <v>-1.1415518229999999</v>
      </c>
      <c r="M811" s="10">
        <v>-0.15390831599999999</v>
      </c>
      <c r="N811" s="10">
        <v>0.777289071</v>
      </c>
      <c r="O811" s="9">
        <v>-1.438672825E-2</v>
      </c>
      <c r="P811" s="10">
        <v>0.84505489655902</v>
      </c>
      <c r="Q811" s="10">
        <v>0.71411777819837596</v>
      </c>
    </row>
    <row r="812" spans="1:17" x14ac:dyDescent="0.2">
      <c r="A812" s="10">
        <v>1674</v>
      </c>
      <c r="B812" s="10" t="s">
        <v>2826</v>
      </c>
      <c r="C812" s="9" t="s">
        <v>815</v>
      </c>
      <c r="D812" s="10">
        <v>0.32197324700000002</v>
      </c>
      <c r="E812" s="10">
        <v>-0.16597793899999999</v>
      </c>
      <c r="F812" s="10">
        <v>-0.40192217299999999</v>
      </c>
      <c r="G812" s="10">
        <v>-0.17528765099999999</v>
      </c>
      <c r="H812" s="9">
        <v>-0.105303629</v>
      </c>
      <c r="I812" s="10">
        <v>0.305028536718709</v>
      </c>
      <c r="J812" s="10">
        <v>9.3042408212757194E-2</v>
      </c>
      <c r="K812" s="10">
        <v>-1.4937069999999999E-3</v>
      </c>
      <c r="L812" s="10">
        <v>-1.2736832999999999E-2</v>
      </c>
      <c r="M812" s="10">
        <v>-4.9950580000000001E-2</v>
      </c>
      <c r="N812" s="10">
        <v>-0.16705414499999999</v>
      </c>
      <c r="O812" s="9">
        <v>-5.7808816249999999E-2</v>
      </c>
      <c r="P812" s="10">
        <v>7.5716948641159798E-2</v>
      </c>
      <c r="Q812" s="10">
        <v>5.7330563115279998E-3</v>
      </c>
    </row>
    <row r="813" spans="1:17" x14ac:dyDescent="0.2">
      <c r="A813" s="10">
        <v>1674</v>
      </c>
      <c r="B813" s="10" t="s">
        <v>2821</v>
      </c>
      <c r="C813" s="9" t="s">
        <v>816</v>
      </c>
      <c r="D813" s="10">
        <v>6.5836940000000002E-3</v>
      </c>
      <c r="E813" s="10">
        <v>-8.6441982000000001E-2</v>
      </c>
      <c r="F813" s="10">
        <v>-0.49520169800000002</v>
      </c>
      <c r="G813" s="10">
        <v>-0.28729099699999999</v>
      </c>
      <c r="H813" s="9">
        <v>-0.21558774575</v>
      </c>
      <c r="I813" s="10">
        <v>0.22313231909029799</v>
      </c>
      <c r="J813" s="10">
        <v>4.9788031822614799E-2</v>
      </c>
      <c r="K813" s="10">
        <v>-0.209236176</v>
      </c>
      <c r="L813" s="10">
        <v>0.135852099</v>
      </c>
      <c r="M813" s="10">
        <v>-2.7716241999999999E-2</v>
      </c>
      <c r="N813" s="10">
        <v>-0.332762846</v>
      </c>
      <c r="O813" s="9">
        <v>-0.10846579125</v>
      </c>
      <c r="P813" s="10">
        <v>0.205487680419432</v>
      </c>
      <c r="Q813" s="10">
        <v>4.2225186804158897E-2</v>
      </c>
    </row>
    <row r="814" spans="1:17" x14ac:dyDescent="0.2">
      <c r="A814" s="10">
        <v>1674</v>
      </c>
      <c r="B814" s="10" t="s">
        <v>2834</v>
      </c>
      <c r="C814" s="9" t="s">
        <v>817</v>
      </c>
      <c r="D814" s="10">
        <v>-0.10136173599999999</v>
      </c>
      <c r="E814" s="10">
        <v>-0.68979164400000004</v>
      </c>
      <c r="F814" s="10">
        <v>-0.76723480200000005</v>
      </c>
      <c r="G814" s="10">
        <v>0.316618707</v>
      </c>
      <c r="H814" s="9">
        <v>-0.31044236874999998</v>
      </c>
      <c r="I814" s="10">
        <v>0.51299301600802905</v>
      </c>
      <c r="J814" s="10">
        <v>0.263161834473014</v>
      </c>
      <c r="K814" s="10">
        <v>-0.30063515899999999</v>
      </c>
      <c r="L814" s="10">
        <v>0.343103614</v>
      </c>
      <c r="M814" s="10">
        <v>0.60025856399999999</v>
      </c>
      <c r="N814" s="10">
        <v>0.83755558600000002</v>
      </c>
      <c r="O814" s="9">
        <v>0.37007065099999997</v>
      </c>
      <c r="P814" s="10">
        <v>0.49061259135750002</v>
      </c>
      <c r="Q814" s="10">
        <v>0.24070071479852101</v>
      </c>
    </row>
    <row r="815" spans="1:17" x14ac:dyDescent="0.2">
      <c r="A815" s="10">
        <v>1674</v>
      </c>
      <c r="B815" s="10" t="s">
        <v>2820</v>
      </c>
      <c r="C815" s="9" t="s">
        <v>818</v>
      </c>
      <c r="D815" s="10">
        <v>-0.34879928599999999</v>
      </c>
      <c r="E815" s="10">
        <v>-0.68474474200000002</v>
      </c>
      <c r="F815" s="10">
        <v>-1.8274523000000001E-2</v>
      </c>
      <c r="G815" s="10">
        <v>-0.29409374300000002</v>
      </c>
      <c r="H815" s="9">
        <v>-0.33647807349999997</v>
      </c>
      <c r="I815" s="10">
        <v>0.27355158909445099</v>
      </c>
      <c r="J815" s="10">
        <v>7.4830471896099399E-2</v>
      </c>
      <c r="K815" s="10">
        <v>9.4410124999999998E-2</v>
      </c>
      <c r="L815" s="10">
        <v>-0.26816480799999998</v>
      </c>
      <c r="M815" s="10">
        <v>0.27450616900000002</v>
      </c>
      <c r="N815" s="10">
        <v>0.28816688899999998</v>
      </c>
      <c r="O815" s="9">
        <v>9.7229594000000003E-2</v>
      </c>
      <c r="P815" s="10">
        <v>0.25910426027889899</v>
      </c>
      <c r="Q815" s="10">
        <v>6.7135017694675697E-2</v>
      </c>
    </row>
    <row r="816" spans="1:17" x14ac:dyDescent="0.2">
      <c r="A816" s="10">
        <v>1674</v>
      </c>
      <c r="B816" s="10" t="s">
        <v>2824</v>
      </c>
      <c r="C816" s="9" t="s">
        <v>819</v>
      </c>
      <c r="D816" s="10">
        <v>0.46576967699999999</v>
      </c>
      <c r="E816" s="10">
        <v>0.12242884</v>
      </c>
      <c r="F816" s="10">
        <v>-0.13053408</v>
      </c>
      <c r="G816" s="10">
        <v>9.1008957000000001E-2</v>
      </c>
      <c r="H816" s="9">
        <v>0.13716834850000001</v>
      </c>
      <c r="I816" s="10">
        <v>0.246300200196991</v>
      </c>
      <c r="J816" s="10">
        <v>6.06637886170781E-2</v>
      </c>
      <c r="K816" s="10">
        <v>-5.9229908999999997E-2</v>
      </c>
      <c r="L816" s="10">
        <v>0.361139406</v>
      </c>
      <c r="M816" s="10">
        <v>5.1277896000000003E-2</v>
      </c>
      <c r="N816" s="10">
        <v>2.5857239000000001E-2</v>
      </c>
      <c r="O816" s="9">
        <v>9.4761157999999998E-2</v>
      </c>
      <c r="P816" s="10">
        <v>0.183765397405738</v>
      </c>
      <c r="Q816" s="10">
        <v>3.3769721283688998E-2</v>
      </c>
    </row>
    <row r="817" spans="1:17" x14ac:dyDescent="0.2">
      <c r="A817" s="10">
        <v>1674</v>
      </c>
      <c r="B817" s="10" t="s">
        <v>82</v>
      </c>
      <c r="C817" s="9" t="s">
        <v>820</v>
      </c>
      <c r="D817" s="10">
        <v>-8.6381583999999997E-2</v>
      </c>
      <c r="E817" s="10">
        <v>0.16290766000000001</v>
      </c>
      <c r="F817" s="10">
        <v>-0.38574247499999997</v>
      </c>
      <c r="G817" s="10">
        <v>0.30527025000000002</v>
      </c>
      <c r="H817" s="9">
        <v>-9.86537E-4</v>
      </c>
      <c r="I817" s="10">
        <v>0.30330621120809498</v>
      </c>
      <c r="J817" s="10">
        <v>9.1994657757410003E-2</v>
      </c>
      <c r="K817" s="10">
        <v>0.30125579400000002</v>
      </c>
      <c r="L817" s="10">
        <v>0.41697368499999998</v>
      </c>
      <c r="M817" s="10">
        <v>0.175890294</v>
      </c>
      <c r="N817" s="10">
        <v>0.296639975</v>
      </c>
      <c r="O817" s="9">
        <v>0.29768993700000002</v>
      </c>
      <c r="P817" s="10">
        <v>9.8450636240031197E-2</v>
      </c>
      <c r="Q817" s="10">
        <v>9.6925277760668994E-3</v>
      </c>
    </row>
    <row r="818" spans="1:17" x14ac:dyDescent="0.2">
      <c r="A818" s="10">
        <v>1674</v>
      </c>
      <c r="B818" s="10" t="s">
        <v>2814</v>
      </c>
      <c r="C818" s="9" t="s">
        <v>821</v>
      </c>
      <c r="D818" s="10">
        <v>-1.4542447300000001</v>
      </c>
      <c r="E818" s="10">
        <v>-1.312641564</v>
      </c>
      <c r="F818" s="10">
        <v>-1.479050953</v>
      </c>
      <c r="G818" s="10">
        <v>-1.180376428</v>
      </c>
      <c r="H818" s="9">
        <v>-1.3565784190000001</v>
      </c>
      <c r="I818" s="10">
        <v>0.138462773274245</v>
      </c>
      <c r="J818" s="10">
        <v>1.9171939582794999E-2</v>
      </c>
      <c r="K818" s="10">
        <v>-0.265806563</v>
      </c>
      <c r="L818" s="10">
        <v>-0.18315504799999999</v>
      </c>
      <c r="M818" s="10">
        <v>0.240429005</v>
      </c>
      <c r="N818" s="10">
        <v>3.4166252000000001E-2</v>
      </c>
      <c r="O818" s="9">
        <v>-4.35915885E-2</v>
      </c>
      <c r="P818" s="10">
        <v>0.22772163812497001</v>
      </c>
      <c r="Q818" s="10">
        <v>5.1857144470319798E-2</v>
      </c>
    </row>
    <row r="819" spans="1:17" x14ac:dyDescent="0.2">
      <c r="A819" s="10">
        <v>1674</v>
      </c>
      <c r="B819" s="10" t="s">
        <v>2833</v>
      </c>
      <c r="C819" s="9" t="s">
        <v>2510</v>
      </c>
      <c r="D819" s="10">
        <v>-0.30628588200000001</v>
      </c>
      <c r="E819" s="10">
        <v>-0.48121942499999998</v>
      </c>
      <c r="F819" s="10">
        <v>-0.80030000499999998</v>
      </c>
      <c r="G819" s="10">
        <v>-0.34742936400000002</v>
      </c>
      <c r="H819" s="9">
        <v>-0.48380866924999999</v>
      </c>
      <c r="I819" s="10">
        <v>0.22382070553911801</v>
      </c>
      <c r="J819" s="10">
        <v>5.0095708228028897E-2</v>
      </c>
      <c r="K819" s="10">
        <v>6.1652445E-2</v>
      </c>
      <c r="L819" s="10">
        <v>8.4872903E-2</v>
      </c>
      <c r="M819" s="10">
        <v>-1.0730783000000001E-2</v>
      </c>
      <c r="N819" s="10">
        <v>2.1474395E-2</v>
      </c>
      <c r="O819" s="9">
        <v>3.9317240250000003E-2</v>
      </c>
      <c r="P819" s="10">
        <v>4.2416001452534102E-2</v>
      </c>
      <c r="Q819" s="10">
        <v>1.7991171792212999E-3</v>
      </c>
    </row>
    <row r="820" spans="1:17" x14ac:dyDescent="0.2">
      <c r="A820" s="10">
        <v>1674</v>
      </c>
      <c r="B820" s="10" t="s">
        <v>2825</v>
      </c>
      <c r="C820" s="9" t="s">
        <v>822</v>
      </c>
      <c r="D820" s="10">
        <v>-0.69259527300000001</v>
      </c>
      <c r="E820" s="10">
        <v>-0.69924295999999997</v>
      </c>
      <c r="F820" s="10">
        <v>-0.77046410399999998</v>
      </c>
      <c r="G820" s="10">
        <v>-0.65961822999999997</v>
      </c>
      <c r="H820" s="9">
        <v>-0.70548014174999996</v>
      </c>
      <c r="I820" s="10">
        <v>4.6658877604594001E-2</v>
      </c>
      <c r="J820" s="10">
        <v>2.1770508593203998E-3</v>
      </c>
      <c r="K820" s="10">
        <v>-2.0231674000000002E-2</v>
      </c>
      <c r="L820" s="10">
        <v>-0.10537426</v>
      </c>
      <c r="M820" s="10">
        <v>-0.22411657700000001</v>
      </c>
      <c r="N820" s="10">
        <v>-0.194101513</v>
      </c>
      <c r="O820" s="9">
        <v>-0.13595600599999999</v>
      </c>
      <c r="P820" s="10">
        <v>9.2160277901396304E-2</v>
      </c>
      <c r="Q820" s="10">
        <v>8.4935168228626005E-3</v>
      </c>
    </row>
    <row r="821" spans="1:17" x14ac:dyDescent="0.2">
      <c r="A821" s="10">
        <v>1674</v>
      </c>
      <c r="B821" s="10" t="s">
        <v>74</v>
      </c>
      <c r="C821" s="9" t="s">
        <v>823</v>
      </c>
      <c r="D821" s="10">
        <v>-5.8295232000000002E-2</v>
      </c>
      <c r="E821" s="10">
        <v>-0.101015601</v>
      </c>
      <c r="F821" s="10">
        <v>-0.29247092600000002</v>
      </c>
      <c r="G821" s="10">
        <v>-0.114822154</v>
      </c>
      <c r="H821" s="9">
        <v>-0.14165097800000001</v>
      </c>
      <c r="I821" s="10">
        <v>0.103385777176383</v>
      </c>
      <c r="J821" s="10">
        <v>1.0688618922364701E-2</v>
      </c>
      <c r="K821" s="10">
        <v>-5.2628789999999998E-3</v>
      </c>
      <c r="L821" s="10">
        <v>9.6669080000000001E-3</v>
      </c>
      <c r="M821" s="10">
        <v>0.16099227999999999</v>
      </c>
      <c r="N821" s="10">
        <v>6.0930013999999998E-2</v>
      </c>
      <c r="O821" s="9">
        <v>5.6581580749999999E-2</v>
      </c>
      <c r="P821" s="10">
        <v>7.5158114910306703E-2</v>
      </c>
      <c r="Q821" s="10">
        <v>5.6487422368707999E-3</v>
      </c>
    </row>
    <row r="822" spans="1:17" x14ac:dyDescent="0.2">
      <c r="A822" s="10">
        <v>1674</v>
      </c>
      <c r="B822" s="10" t="s">
        <v>2818</v>
      </c>
      <c r="C822" s="9" t="s">
        <v>824</v>
      </c>
      <c r="D822" s="10">
        <v>-0.22211096599999999</v>
      </c>
      <c r="E822" s="10">
        <v>-0.29129264199999999</v>
      </c>
      <c r="F822" s="10">
        <v>-0.236211063</v>
      </c>
      <c r="G822" s="10">
        <v>-0.24744179799999999</v>
      </c>
      <c r="H822" s="9">
        <v>-0.24926411725</v>
      </c>
      <c r="I822" s="10">
        <v>2.9874144831102699E-2</v>
      </c>
      <c r="J822" s="10">
        <v>8.9246452938969998E-4</v>
      </c>
      <c r="K822" s="10">
        <v>7.2441568999999997E-2</v>
      </c>
      <c r="L822" s="10">
        <v>0.22700610099999999</v>
      </c>
      <c r="M822" s="10">
        <v>7.7388216999999995E-2</v>
      </c>
      <c r="N822" s="10">
        <v>2.5433586000000001E-2</v>
      </c>
      <c r="O822" s="9">
        <v>0.10056736825</v>
      </c>
      <c r="P822" s="10">
        <v>8.7483659447041895E-2</v>
      </c>
      <c r="Q822" s="10">
        <v>7.6533906702459997E-3</v>
      </c>
    </row>
    <row r="823" spans="1:17" x14ac:dyDescent="0.2">
      <c r="A823" s="10">
        <v>1674</v>
      </c>
      <c r="B823" s="10" t="s">
        <v>2830</v>
      </c>
      <c r="C823" s="9" t="s">
        <v>825</v>
      </c>
      <c r="D823" s="10">
        <v>-8.3853533999999993E-2</v>
      </c>
      <c r="E823" s="10">
        <v>6.9906899999999994E-2</v>
      </c>
      <c r="F823" s="10">
        <v>-0.345193429</v>
      </c>
      <c r="G823" s="10">
        <v>-4.0477161999999997E-2</v>
      </c>
      <c r="H823" s="9">
        <v>-9.9904306250000005E-2</v>
      </c>
      <c r="I823" s="10">
        <v>0.17587098706255799</v>
      </c>
      <c r="J823" s="10">
        <v>3.09306040903587E-2</v>
      </c>
      <c r="K823" s="10">
        <v>0.26388926899999998</v>
      </c>
      <c r="L823" s="10">
        <v>2.8451269000000001E-2</v>
      </c>
      <c r="M823" s="10">
        <v>-9.1311269E-2</v>
      </c>
      <c r="N823" s="10">
        <v>0.120629533</v>
      </c>
      <c r="O823" s="9">
        <v>8.0414700249999999E-2</v>
      </c>
      <c r="P823" s="10">
        <v>0.14996683728215199</v>
      </c>
      <c r="Q823" s="10">
        <v>2.2490052284411401E-2</v>
      </c>
    </row>
    <row r="824" spans="1:17" x14ac:dyDescent="0.2">
      <c r="A824" s="10">
        <v>1674</v>
      </c>
      <c r="B824" s="10" t="s">
        <v>2832</v>
      </c>
      <c r="C824" s="9" t="s">
        <v>826</v>
      </c>
      <c r="D824" s="10">
        <v>-0.16493401599999999</v>
      </c>
      <c r="E824" s="10">
        <v>0.14209650900000001</v>
      </c>
      <c r="F824" s="10">
        <v>-0.49555079899999999</v>
      </c>
      <c r="G824" s="10">
        <v>2.6200867999999999E-2</v>
      </c>
      <c r="H824" s="9">
        <v>-0.12304685949999999</v>
      </c>
      <c r="I824" s="10">
        <v>0.27874098421659899</v>
      </c>
      <c r="J824" s="10">
        <v>7.7696536282038695E-2</v>
      </c>
      <c r="K824" s="10">
        <v>-0.39487371900000001</v>
      </c>
      <c r="L824" s="10">
        <v>0.27770256700000001</v>
      </c>
      <c r="M824" s="10">
        <v>9.8284736999999997E-2</v>
      </c>
      <c r="N824" s="10">
        <v>-0.30730873800000003</v>
      </c>
      <c r="O824" s="9">
        <v>-8.1548788499999997E-2</v>
      </c>
      <c r="P824" s="10">
        <v>0.32173576124589098</v>
      </c>
      <c r="Q824" s="10">
        <v>0.103513900064472</v>
      </c>
    </row>
    <row r="825" spans="1:17" x14ac:dyDescent="0.2">
      <c r="A825" s="10">
        <v>1675</v>
      </c>
      <c r="B825" s="10" t="s">
        <v>2822</v>
      </c>
      <c r="C825" s="9" t="s">
        <v>827</v>
      </c>
      <c r="D825" s="10">
        <v>-0.52890004700000004</v>
      </c>
      <c r="E825" s="10">
        <v>-0.56443517600000004</v>
      </c>
      <c r="F825" s="10">
        <v>-0.12213549999999999</v>
      </c>
      <c r="G825" s="10">
        <v>1.1772342849999999</v>
      </c>
      <c r="H825" s="9">
        <v>-9.5591094999999994E-3</v>
      </c>
      <c r="I825" s="10">
        <v>0.81624229725099195</v>
      </c>
      <c r="J825" s="10">
        <v>0.66625148782157695</v>
      </c>
      <c r="K825" s="10">
        <v>0.49932153699999998</v>
      </c>
      <c r="L825" s="10">
        <v>0.15079551899999999</v>
      </c>
      <c r="M825" s="10">
        <v>-9.2315067000000001E-2</v>
      </c>
      <c r="N825" s="10">
        <v>0.176723044</v>
      </c>
      <c r="O825" s="9">
        <v>0.18363125850000001</v>
      </c>
      <c r="P825" s="10">
        <v>0.24285292923389401</v>
      </c>
      <c r="Q825" s="10">
        <v>5.8977545237483102E-2</v>
      </c>
    </row>
    <row r="826" spans="1:17" x14ac:dyDescent="0.2">
      <c r="A826" s="10">
        <v>1675</v>
      </c>
      <c r="B826" s="10" t="s">
        <v>96</v>
      </c>
      <c r="C826" s="9" t="s">
        <v>828</v>
      </c>
      <c r="D826" s="10">
        <v>0.53406753200000001</v>
      </c>
      <c r="E826" s="10">
        <v>0.41511862399999999</v>
      </c>
      <c r="F826" s="10">
        <v>-0.273285165</v>
      </c>
      <c r="G826" s="10">
        <v>0.150682804</v>
      </c>
      <c r="H826" s="9">
        <v>0.20664594875</v>
      </c>
      <c r="I826" s="10">
        <v>0.35783212871375503</v>
      </c>
      <c r="J826" s="10">
        <v>0.128043832339817</v>
      </c>
      <c r="K826" s="10">
        <v>-1.7606861000000001E-2</v>
      </c>
      <c r="L826" s="10">
        <v>-7.2206293000000005E-2</v>
      </c>
      <c r="M826" s="10">
        <v>0.33326532199999997</v>
      </c>
      <c r="N826" s="10">
        <v>-0.21959150799999999</v>
      </c>
      <c r="O826" s="9">
        <v>5.9651647499999998E-3</v>
      </c>
      <c r="P826" s="10">
        <v>0.23428445869828399</v>
      </c>
      <c r="Q826" s="10">
        <v>5.4889207587547999E-2</v>
      </c>
    </row>
    <row r="827" spans="1:17" x14ac:dyDescent="0.2">
      <c r="A827" s="10">
        <v>1675</v>
      </c>
      <c r="B827" s="10" t="s">
        <v>2826</v>
      </c>
      <c r="C827" s="9" t="s">
        <v>829</v>
      </c>
      <c r="D827" s="10">
        <v>8.2804770999999999E-2</v>
      </c>
      <c r="E827" s="10">
        <v>-2.8059448000000001E-2</v>
      </c>
      <c r="F827" s="10">
        <v>0.23415327399999999</v>
      </c>
      <c r="G827" s="10">
        <v>0.76142798700000003</v>
      </c>
      <c r="H827" s="9">
        <v>0.26258164625000002</v>
      </c>
      <c r="I827" s="10">
        <v>0.34949860017361101</v>
      </c>
      <c r="J827" s="10">
        <v>0.12214927152331299</v>
      </c>
      <c r="K827" s="10">
        <v>-0.17805331399999999</v>
      </c>
      <c r="L827" s="10">
        <v>2.6377279E-2</v>
      </c>
      <c r="M827" s="10">
        <v>1.0678178999999999E-2</v>
      </c>
      <c r="N827" s="10">
        <v>0.16198569400000001</v>
      </c>
      <c r="O827" s="9">
        <v>5.2469595000000004E-3</v>
      </c>
      <c r="P827" s="10">
        <v>0.1398117898048</v>
      </c>
      <c r="Q827" s="10">
        <v>1.9547336568421801E-2</v>
      </c>
    </row>
    <row r="828" spans="1:17" x14ac:dyDescent="0.2">
      <c r="A828" s="10">
        <v>1675</v>
      </c>
      <c r="B828" s="10" t="s">
        <v>79</v>
      </c>
      <c r="C828" s="9" t="s">
        <v>830</v>
      </c>
      <c r="D828" s="10">
        <v>0.16667609899999999</v>
      </c>
      <c r="E828" s="10">
        <v>-0.113838049</v>
      </c>
      <c r="F828" s="10">
        <v>-0.20560719</v>
      </c>
      <c r="G828" s="10">
        <v>-1.7699328E-2</v>
      </c>
      <c r="H828" s="9">
        <v>-4.2617117000000003E-2</v>
      </c>
      <c r="I828" s="10">
        <v>0.159230159961155</v>
      </c>
      <c r="J828" s="10">
        <v>2.5354243841255002E-2</v>
      </c>
      <c r="K828" s="10">
        <v>0.15461770999999999</v>
      </c>
      <c r="L828" s="10">
        <v>5.0229217999999999E-2</v>
      </c>
      <c r="M828" s="10">
        <v>0.28559970099999998</v>
      </c>
      <c r="N828" s="10">
        <v>-0.13858936199999999</v>
      </c>
      <c r="O828" s="9">
        <v>8.79643165E-2</v>
      </c>
      <c r="P828" s="10">
        <v>0.17912093398243001</v>
      </c>
      <c r="Q828" s="10">
        <v>3.2084308990738199E-2</v>
      </c>
    </row>
    <row r="829" spans="1:17" x14ac:dyDescent="0.2">
      <c r="A829" s="10">
        <v>1675</v>
      </c>
      <c r="B829" s="10" t="s">
        <v>2824</v>
      </c>
      <c r="C829" s="9" t="s">
        <v>2509</v>
      </c>
      <c r="D829" s="10">
        <v>0.15421262699999999</v>
      </c>
      <c r="E829" s="10">
        <v>0.198914808</v>
      </c>
      <c r="F829" s="10">
        <v>4.5531934000000003E-2</v>
      </c>
      <c r="G829" s="10">
        <v>0.15111877900000001</v>
      </c>
      <c r="H829" s="9">
        <v>0.13744453675000001</v>
      </c>
      <c r="I829" s="10">
        <v>6.5050427986221293E-2</v>
      </c>
      <c r="J829" s="10">
        <v>4.2315581811905E-3</v>
      </c>
      <c r="K829" s="10">
        <v>0.58093369399999994</v>
      </c>
      <c r="L829" s="10">
        <v>0.26293684299999998</v>
      </c>
      <c r="M829" s="10">
        <v>-9.2931143999999993E-2</v>
      </c>
      <c r="N829" s="10">
        <v>-3.7687742000000003E-2</v>
      </c>
      <c r="O829" s="9">
        <v>0.17831291275</v>
      </c>
      <c r="P829" s="10">
        <v>0.31064144617223999</v>
      </c>
      <c r="Q829" s="10">
        <v>9.6498108079980993E-2</v>
      </c>
    </row>
    <row r="830" spans="1:17" x14ac:dyDescent="0.2">
      <c r="A830" s="10">
        <v>1675</v>
      </c>
      <c r="B830" s="10" t="s">
        <v>2814</v>
      </c>
      <c r="C830" s="9" t="s">
        <v>831</v>
      </c>
      <c r="D830" s="10">
        <v>0.64893503500000005</v>
      </c>
      <c r="E830" s="10">
        <v>-0.206062728</v>
      </c>
      <c r="F830" s="10">
        <v>-0.49516870400000002</v>
      </c>
      <c r="G830" s="10">
        <v>0.153619965</v>
      </c>
      <c r="H830" s="9">
        <v>2.5330892000000001E-2</v>
      </c>
      <c r="I830" s="10">
        <v>0.49322173858243201</v>
      </c>
      <c r="J830" s="10">
        <v>0.24326768341027699</v>
      </c>
      <c r="K830" s="10">
        <v>-0.28920684600000002</v>
      </c>
      <c r="L830" s="10">
        <v>0.33177828300000001</v>
      </c>
      <c r="M830" s="10">
        <v>9.779939E-2</v>
      </c>
      <c r="N830" s="10">
        <v>0.16722336199999999</v>
      </c>
      <c r="O830" s="9">
        <v>7.6898546999999998E-2</v>
      </c>
      <c r="P830" s="10">
        <v>0.263054022366768</v>
      </c>
      <c r="Q830" s="10">
        <v>6.9197418683336301E-2</v>
      </c>
    </row>
    <row r="831" spans="1:17" x14ac:dyDescent="0.2">
      <c r="A831" s="10">
        <v>1675</v>
      </c>
      <c r="B831" s="10" t="s">
        <v>2833</v>
      </c>
      <c r="C831" s="9" t="s">
        <v>2508</v>
      </c>
      <c r="D831" s="10">
        <v>0.415602533</v>
      </c>
      <c r="E831" s="10">
        <v>-0.119947865</v>
      </c>
      <c r="F831" s="10">
        <v>-7.3040803000000001E-2</v>
      </c>
      <c r="G831" s="10">
        <v>0.22657685599999999</v>
      </c>
      <c r="H831" s="9">
        <v>0.11229768</v>
      </c>
      <c r="I831" s="10">
        <v>0.253864734569205</v>
      </c>
      <c r="J831" s="10">
        <v>6.4447303457892902E-2</v>
      </c>
      <c r="K831" s="10">
        <v>0.49035485899999998</v>
      </c>
      <c r="L831" s="10">
        <v>-6.2607452999999993E-2</v>
      </c>
      <c r="M831" s="10">
        <v>-0.30530168299999999</v>
      </c>
      <c r="N831" s="10">
        <v>-0.199778438</v>
      </c>
      <c r="O831" s="9">
        <v>-1.9333178749999999E-2</v>
      </c>
      <c r="P831" s="10">
        <v>0.35402120258824898</v>
      </c>
      <c r="Q831" s="10">
        <v>0.12533101188203</v>
      </c>
    </row>
    <row r="832" spans="1:17" x14ac:dyDescent="0.2">
      <c r="A832" s="10">
        <v>1675</v>
      </c>
      <c r="B832" s="10" t="s">
        <v>2825</v>
      </c>
      <c r="C832" s="9" t="s">
        <v>2507</v>
      </c>
      <c r="D832" s="10">
        <v>-0.31901886299999999</v>
      </c>
      <c r="E832" s="10">
        <v>0.24888740400000001</v>
      </c>
      <c r="F832" s="10">
        <v>-0.91110574600000005</v>
      </c>
      <c r="G832" s="10">
        <v>4.9071874209999997</v>
      </c>
      <c r="H832" s="9">
        <v>0.98148755374999996</v>
      </c>
      <c r="I832" s="10">
        <v>2.6596396225432999</v>
      </c>
      <c r="J832" s="10">
        <v>7.0736829218023001</v>
      </c>
      <c r="K832" s="10">
        <v>0.12664892799999999</v>
      </c>
      <c r="L832" s="10">
        <v>0.15650604700000001</v>
      </c>
      <c r="M832" s="10">
        <v>7.9525573000000002E-2</v>
      </c>
      <c r="N832" s="10">
        <v>3.9741383999999998E-2</v>
      </c>
      <c r="O832" s="9">
        <v>0.10060548325</v>
      </c>
      <c r="P832" s="10">
        <v>5.1484415880523202E-2</v>
      </c>
      <c r="Q832" s="10">
        <v>2.6506450785585998E-3</v>
      </c>
    </row>
    <row r="833" spans="1:17" x14ac:dyDescent="0.2">
      <c r="A833" s="10">
        <v>1675</v>
      </c>
      <c r="B833" s="10" t="s">
        <v>74</v>
      </c>
      <c r="C833" s="9" t="s">
        <v>832</v>
      </c>
      <c r="D833" s="10">
        <v>7.8405972000000004E-2</v>
      </c>
      <c r="E833" s="10">
        <v>-0.219117583</v>
      </c>
      <c r="F833" s="10">
        <v>-0.34125481400000002</v>
      </c>
      <c r="G833" s="10">
        <v>8.5083011E-2</v>
      </c>
      <c r="H833" s="9">
        <v>-9.9220853499999997E-2</v>
      </c>
      <c r="I833" s="10">
        <v>0.214844802424877</v>
      </c>
      <c r="J833" s="10">
        <v>4.6158289128984502E-2</v>
      </c>
      <c r="K833" s="10">
        <v>-6.9131599999999998E-3</v>
      </c>
      <c r="L833" s="10">
        <v>-0.155081515</v>
      </c>
      <c r="M833" s="10">
        <v>0.107818171</v>
      </c>
      <c r="N833" s="10">
        <v>-1.181489E-3</v>
      </c>
      <c r="O833" s="9">
        <v>-1.383949825E-2</v>
      </c>
      <c r="P833" s="10">
        <v>0.10794766500898501</v>
      </c>
      <c r="Q833" s="10">
        <v>1.1652698380892E-2</v>
      </c>
    </row>
    <row r="834" spans="1:17" x14ac:dyDescent="0.2">
      <c r="A834" s="10">
        <v>1675</v>
      </c>
      <c r="B834" s="10" t="s">
        <v>2830</v>
      </c>
      <c r="C834" s="9" t="s">
        <v>2506</v>
      </c>
      <c r="D834" s="10">
        <v>-0.60111553500000003</v>
      </c>
      <c r="E834" s="10">
        <v>-1.0216688759999999</v>
      </c>
      <c r="F834" s="10">
        <v>-0.86825507400000002</v>
      </c>
      <c r="G834" s="10">
        <v>-0.34903107700000002</v>
      </c>
      <c r="H834" s="9">
        <v>-0.71001764050000005</v>
      </c>
      <c r="I834" s="10">
        <v>0.29683696173669399</v>
      </c>
      <c r="J834" s="10">
        <v>8.8112181853071903E-2</v>
      </c>
      <c r="K834" s="10">
        <v>0.17347826599999999</v>
      </c>
      <c r="L834" s="10">
        <v>0.111289292</v>
      </c>
      <c r="M834" s="10">
        <v>-0.15096682</v>
      </c>
      <c r="N834" s="10">
        <v>-7.5916211999999997E-2</v>
      </c>
      <c r="O834" s="9">
        <v>1.447113175E-2</v>
      </c>
      <c r="P834" s="10">
        <v>0.15296689476921399</v>
      </c>
      <c r="Q834" s="10">
        <v>2.3398870895335998E-2</v>
      </c>
    </row>
    <row r="835" spans="1:17" x14ac:dyDescent="0.2">
      <c r="A835" s="10">
        <v>1676</v>
      </c>
      <c r="B835" s="10" t="s">
        <v>2822</v>
      </c>
      <c r="C835" s="9" t="s">
        <v>2505</v>
      </c>
      <c r="D835" s="10">
        <v>-0.451479715</v>
      </c>
      <c r="E835" s="10">
        <v>-0.31364479499999998</v>
      </c>
      <c r="F835" s="10">
        <v>-0.218423126</v>
      </c>
      <c r="G835" s="10">
        <v>-0.152143114</v>
      </c>
      <c r="H835" s="9">
        <v>-0.28392268749999999</v>
      </c>
      <c r="I835" s="10">
        <v>0.12989073573252699</v>
      </c>
      <c r="J835" s="10">
        <v>1.6871603229137101E-2</v>
      </c>
      <c r="K835" s="10">
        <v>-0.48807740799999999</v>
      </c>
      <c r="L835" s="10">
        <v>0.35462978899999997</v>
      </c>
      <c r="M835" s="10">
        <v>9.6464735999999995E-2</v>
      </c>
      <c r="N835" s="10">
        <v>-6.3501645999999995E-2</v>
      </c>
      <c r="O835" s="9">
        <v>-2.5121132250000001E-2</v>
      </c>
      <c r="P835" s="10">
        <v>0.35345695760604001</v>
      </c>
      <c r="Q835" s="10">
        <v>0.12493182088011801</v>
      </c>
    </row>
    <row r="836" spans="1:17" x14ac:dyDescent="0.2">
      <c r="A836" s="10">
        <v>1676</v>
      </c>
      <c r="B836" s="10" t="s">
        <v>96</v>
      </c>
      <c r="C836" s="9" t="s">
        <v>833</v>
      </c>
      <c r="D836" s="10">
        <v>-0.30889530300000001</v>
      </c>
      <c r="E836" s="10">
        <v>-0.165621781</v>
      </c>
      <c r="F836" s="10">
        <v>-0.105474363</v>
      </c>
      <c r="G836" s="10">
        <v>1.011985846</v>
      </c>
      <c r="H836" s="9">
        <v>0.1079985995</v>
      </c>
      <c r="I836" s="10">
        <v>0.60866857049350498</v>
      </c>
      <c r="J836" s="10">
        <v>0.37047742870660699</v>
      </c>
      <c r="K836" s="10">
        <v>-0.15814758600000001</v>
      </c>
      <c r="L836" s="10">
        <v>-0.37576490499999998</v>
      </c>
      <c r="M836" s="10">
        <v>0.78003478000000004</v>
      </c>
      <c r="N836" s="10">
        <v>-0.21511068899999999</v>
      </c>
      <c r="O836" s="9">
        <v>7.7529002499999999E-3</v>
      </c>
      <c r="P836" s="10">
        <v>0.52303484889802798</v>
      </c>
      <c r="Q836" s="10">
        <v>0.27356545316178299</v>
      </c>
    </row>
    <row r="837" spans="1:17" x14ac:dyDescent="0.2">
      <c r="A837" s="10">
        <v>1676</v>
      </c>
      <c r="B837" s="10" t="s">
        <v>2823</v>
      </c>
      <c r="C837" s="9" t="s">
        <v>2504</v>
      </c>
      <c r="D837" s="10">
        <v>-2.0657884389999999</v>
      </c>
      <c r="E837" s="10">
        <v>-1.1551227529999999</v>
      </c>
      <c r="F837" s="10">
        <v>-2.0582121099999999</v>
      </c>
      <c r="G837" s="10">
        <v>-6.1457073759999998</v>
      </c>
      <c r="H837" s="9">
        <v>-2.8562076699999999</v>
      </c>
      <c r="I837" s="10">
        <v>2.23428271003867</v>
      </c>
      <c r="J837" s="10">
        <v>4.99201922837777</v>
      </c>
      <c r="K837" s="10">
        <v>6.8433064000000002E-2</v>
      </c>
      <c r="L837" s="10">
        <v>-0.21644032399999999</v>
      </c>
      <c r="M837" s="10">
        <v>1.4589114329999999</v>
      </c>
      <c r="N837" s="10">
        <v>-0.34333725799999998</v>
      </c>
      <c r="O837" s="9">
        <v>0.241891729</v>
      </c>
      <c r="P837" s="10">
        <v>0.82941467441806405</v>
      </c>
      <c r="Q837" s="10">
        <v>0.687928702140023</v>
      </c>
    </row>
    <row r="838" spans="1:17" x14ac:dyDescent="0.2">
      <c r="A838" s="10">
        <v>1676</v>
      </c>
      <c r="B838" s="10" t="s">
        <v>2826</v>
      </c>
      <c r="C838" s="9" t="s">
        <v>834</v>
      </c>
      <c r="D838" s="10">
        <v>-8.5968416000000006E-2</v>
      </c>
      <c r="E838" s="10">
        <v>0.527895844</v>
      </c>
      <c r="F838" s="10">
        <v>-0.80275261200000003</v>
      </c>
      <c r="G838" s="10">
        <v>-0.30673292800000002</v>
      </c>
      <c r="H838" s="9">
        <v>-0.16688952800000001</v>
      </c>
      <c r="I838" s="10">
        <v>0.55171036411932795</v>
      </c>
      <c r="J838" s="10">
        <v>0.30438432587668202</v>
      </c>
      <c r="K838" s="10">
        <v>-0.13198270500000001</v>
      </c>
      <c r="L838" s="10">
        <v>5.6185460000000003E-3</v>
      </c>
      <c r="M838" s="10">
        <v>0.98220210299999999</v>
      </c>
      <c r="N838" s="10">
        <v>0.76228594400000005</v>
      </c>
      <c r="O838" s="9">
        <v>0.40453097175000002</v>
      </c>
      <c r="P838" s="10">
        <v>0.55035461440989897</v>
      </c>
      <c r="Q838" s="10">
        <v>0.30289020160226798</v>
      </c>
    </row>
    <row r="839" spans="1:17" x14ac:dyDescent="0.2">
      <c r="A839" s="10">
        <v>1676</v>
      </c>
      <c r="B839" s="10" t="s">
        <v>2833</v>
      </c>
      <c r="C839" s="9" t="s">
        <v>46</v>
      </c>
      <c r="D839" s="10">
        <v>-0.12738838</v>
      </c>
      <c r="E839" s="10">
        <v>6.0399900000000003E-3</v>
      </c>
      <c r="F839" s="10">
        <v>-0.65133841400000003</v>
      </c>
      <c r="G839" s="10">
        <v>-0.52544901600000005</v>
      </c>
      <c r="H839" s="9">
        <v>-0.32453395525000001</v>
      </c>
      <c r="I839" s="10">
        <v>0.31374805551262502</v>
      </c>
      <c r="J839" s="10">
        <v>9.8437842337953302E-2</v>
      </c>
      <c r="K839" s="10">
        <v>0.109135962</v>
      </c>
      <c r="L839" s="10">
        <v>0.14421635699999999</v>
      </c>
      <c r="M839" s="10">
        <v>-7.7776172000000005E-2</v>
      </c>
      <c r="N839" s="10">
        <v>0.39125980999999999</v>
      </c>
      <c r="O839" s="9">
        <v>0.14170898925</v>
      </c>
      <c r="P839" s="10">
        <v>0.19280096571611499</v>
      </c>
      <c r="Q839" s="10">
        <v>3.7172212381066702E-2</v>
      </c>
    </row>
    <row r="840" spans="1:17" x14ac:dyDescent="0.2">
      <c r="A840" s="10">
        <v>1676</v>
      </c>
      <c r="B840" s="10" t="s">
        <v>74</v>
      </c>
      <c r="C840" s="9" t="s">
        <v>835</v>
      </c>
      <c r="D840" s="10">
        <v>0.44233161199999999</v>
      </c>
      <c r="E840" s="10">
        <v>-0.29123774299999999</v>
      </c>
      <c r="F840" s="10">
        <v>-0.12490131</v>
      </c>
      <c r="G840" s="10">
        <v>-0.485666247</v>
      </c>
      <c r="H840" s="9">
        <v>-0.114868422</v>
      </c>
      <c r="I840" s="10">
        <v>0.39965389240606403</v>
      </c>
      <c r="J840" s="10">
        <v>0.15972323371531699</v>
      </c>
      <c r="K840" s="10">
        <v>-0.111814092</v>
      </c>
      <c r="L840" s="10">
        <v>-7.2655528999999996E-2</v>
      </c>
      <c r="M840" s="10">
        <v>0.22669732000000001</v>
      </c>
      <c r="N840" s="10">
        <v>-9.4268981000000002E-2</v>
      </c>
      <c r="O840" s="9">
        <v>-1.301032025E-2</v>
      </c>
      <c r="P840" s="10">
        <v>0.16060558207397799</v>
      </c>
      <c r="Q840" s="10">
        <v>2.5794152993321301E-2</v>
      </c>
    </row>
    <row r="841" spans="1:17" x14ac:dyDescent="0.2">
      <c r="A841" s="10">
        <v>1676</v>
      </c>
      <c r="B841" s="10" t="s">
        <v>2818</v>
      </c>
      <c r="C841" s="9" t="s">
        <v>2503</v>
      </c>
      <c r="D841" s="10">
        <v>-0.37568122999999998</v>
      </c>
      <c r="E841" s="10">
        <v>-1.8524623E-2</v>
      </c>
      <c r="F841" s="10">
        <v>-4.0654524999999997E-2</v>
      </c>
      <c r="G841" s="10">
        <v>-0.134642452</v>
      </c>
      <c r="H841" s="9">
        <v>-0.14237570725000001</v>
      </c>
      <c r="I841" s="10">
        <v>0.16348043733186199</v>
      </c>
      <c r="J841" s="10">
        <v>2.6725853390216901E-2</v>
      </c>
      <c r="K841" s="10">
        <v>-2.3166081000000002E-2</v>
      </c>
      <c r="L841" s="10">
        <v>0.218764651</v>
      </c>
      <c r="M841" s="10">
        <v>0.30112502499999999</v>
      </c>
      <c r="N841" s="10">
        <v>-4.6661576000000003E-2</v>
      </c>
      <c r="O841" s="9">
        <v>0.11251550474999999</v>
      </c>
      <c r="P841" s="10">
        <v>0.173790360257711</v>
      </c>
      <c r="Q841" s="10">
        <v>3.02030893185052E-2</v>
      </c>
    </row>
    <row r="842" spans="1:17" x14ac:dyDescent="0.2">
      <c r="A842" s="10">
        <v>1676</v>
      </c>
      <c r="B842" s="10" t="s">
        <v>2830</v>
      </c>
      <c r="C842" s="9" t="s">
        <v>836</v>
      </c>
      <c r="D842" s="10">
        <v>3.0007527999999999E-2</v>
      </c>
      <c r="E842" s="10">
        <v>0.18730482400000001</v>
      </c>
      <c r="F842" s="10">
        <v>-0.77482620700000004</v>
      </c>
      <c r="G842" s="10">
        <v>0.152811378</v>
      </c>
      <c r="H842" s="9">
        <v>-0.10117561925</v>
      </c>
      <c r="I842" s="10">
        <v>0.45414553225741899</v>
      </c>
      <c r="J842" s="10">
        <v>0.206248164469374</v>
      </c>
      <c r="K842" s="10">
        <v>-0.46949716600000002</v>
      </c>
      <c r="L842" s="10">
        <v>-0.62199444000000004</v>
      </c>
      <c r="M842" s="10">
        <v>0.21324096400000001</v>
      </c>
      <c r="N842" s="10">
        <v>0.20705565500000001</v>
      </c>
      <c r="O842" s="9">
        <v>-0.16779874650000001</v>
      </c>
      <c r="P842" s="10">
        <v>0.44084114585059198</v>
      </c>
      <c r="Q842" s="10">
        <v>0.19434091587486299</v>
      </c>
    </row>
    <row r="843" spans="1:17" x14ac:dyDescent="0.2">
      <c r="A843" s="10">
        <v>1677</v>
      </c>
      <c r="B843" s="10" t="s">
        <v>2831</v>
      </c>
      <c r="C843" s="9" t="s">
        <v>2502</v>
      </c>
      <c r="D843" s="10">
        <v>-1.2990671039999999</v>
      </c>
      <c r="E843" s="10">
        <v>-1.2860842269999999</v>
      </c>
      <c r="F843" s="10">
        <v>-1.2515968740000001</v>
      </c>
      <c r="G843" s="10">
        <v>-1.3376036899999999</v>
      </c>
      <c r="H843" s="9">
        <v>-1.29358797375</v>
      </c>
      <c r="I843" s="10">
        <v>3.5529156190372002E-2</v>
      </c>
      <c r="J843" s="10">
        <v>1.2623209395998E-3</v>
      </c>
      <c r="K843" s="10">
        <v>-8.7773357999999996E-2</v>
      </c>
      <c r="L843" s="10">
        <v>-0.31148299099999999</v>
      </c>
      <c r="M843" s="10">
        <v>-0.139074591</v>
      </c>
      <c r="N843" s="10">
        <v>9.4958495000000004E-2</v>
      </c>
      <c r="O843" s="9">
        <v>-0.11084311099999999</v>
      </c>
      <c r="P843" s="10">
        <v>0.16727212603525701</v>
      </c>
      <c r="Q843" s="10">
        <v>2.7979964148355001E-2</v>
      </c>
    </row>
    <row r="844" spans="1:17" x14ac:dyDescent="0.2">
      <c r="A844" s="10">
        <v>1677</v>
      </c>
      <c r="B844" s="10" t="s">
        <v>2823</v>
      </c>
      <c r="C844" s="9" t="s">
        <v>837</v>
      </c>
      <c r="D844" s="10">
        <v>0.34791792799999999</v>
      </c>
      <c r="E844" s="10">
        <v>-0.28715819100000001</v>
      </c>
      <c r="F844" s="10">
        <v>1.4003636E-2</v>
      </c>
      <c r="G844" s="10">
        <v>-0.48332611800000003</v>
      </c>
      <c r="H844" s="9">
        <v>-0.10214068649999999</v>
      </c>
      <c r="I844" s="10">
        <v>0.36312351906474399</v>
      </c>
      <c r="J844" s="10">
        <v>0.131858690097964</v>
      </c>
      <c r="K844" s="10">
        <v>0.28148817199999998</v>
      </c>
      <c r="L844" s="10">
        <v>9.8408207999999997E-2</v>
      </c>
      <c r="M844" s="10">
        <v>-0.50021972400000003</v>
      </c>
      <c r="N844" s="10">
        <v>0.48051916</v>
      </c>
      <c r="O844" s="9">
        <v>9.0048954249999993E-2</v>
      </c>
      <c r="P844" s="10">
        <v>0.42332136937848902</v>
      </c>
      <c r="Q844" s="10">
        <v>0.17920098177247901</v>
      </c>
    </row>
    <row r="845" spans="1:17" x14ac:dyDescent="0.2">
      <c r="A845" s="10">
        <v>1677</v>
      </c>
      <c r="B845" s="10" t="s">
        <v>2826</v>
      </c>
      <c r="C845" s="9" t="s">
        <v>838</v>
      </c>
      <c r="D845" s="10">
        <v>-7.0138355999999999E-2</v>
      </c>
      <c r="E845" s="10">
        <v>-0.28582379099999999</v>
      </c>
      <c r="F845" s="10">
        <v>-0.69649344899999999</v>
      </c>
      <c r="G845" s="10">
        <v>-0.289072359</v>
      </c>
      <c r="H845" s="9">
        <v>-0.33538198850000001</v>
      </c>
      <c r="I845" s="10">
        <v>0.26163350206609898</v>
      </c>
      <c r="J845" s="10">
        <v>6.8452089403371399E-2</v>
      </c>
      <c r="K845" s="10">
        <v>-0.32266588699999998</v>
      </c>
      <c r="L845" s="10">
        <v>0.82037928900000001</v>
      </c>
      <c r="M845" s="10">
        <v>0.22059155</v>
      </c>
      <c r="N845" s="10">
        <v>1.120328577</v>
      </c>
      <c r="O845" s="9">
        <v>0.45965838225</v>
      </c>
      <c r="P845" s="10">
        <v>0.641817443238896</v>
      </c>
      <c r="Q845" s="10">
        <v>0.41192963044571301</v>
      </c>
    </row>
    <row r="846" spans="1:17" x14ac:dyDescent="0.2">
      <c r="A846" s="10">
        <v>1677</v>
      </c>
      <c r="B846" s="10" t="s">
        <v>2821</v>
      </c>
      <c r="C846" s="9" t="s">
        <v>2501</v>
      </c>
      <c r="D846" s="10">
        <v>-0.49421068499999998</v>
      </c>
      <c r="E846" s="10">
        <v>0.197039664</v>
      </c>
      <c r="F846" s="10">
        <v>-0.642802278</v>
      </c>
      <c r="G846" s="10">
        <v>-0.47148045799999999</v>
      </c>
      <c r="H846" s="9">
        <v>-0.35286343925000002</v>
      </c>
      <c r="I846" s="10">
        <v>0.37439150373102098</v>
      </c>
      <c r="J846" s="10">
        <v>0.14016899806597499</v>
      </c>
      <c r="K846" s="10">
        <v>-0.56339618700000005</v>
      </c>
      <c r="L846" s="10">
        <v>-0.28179908999999997</v>
      </c>
      <c r="M846" s="10">
        <v>-0.47749017399999999</v>
      </c>
      <c r="N846" s="10">
        <v>0.37596277299999997</v>
      </c>
      <c r="O846" s="9">
        <v>-0.23668066925</v>
      </c>
      <c r="P846" s="10">
        <v>0.42508818941465698</v>
      </c>
      <c r="Q846" s="10">
        <v>0.18069996877983099</v>
      </c>
    </row>
    <row r="847" spans="1:17" x14ac:dyDescent="0.2">
      <c r="A847" s="10">
        <v>1677</v>
      </c>
      <c r="B847" s="10" t="s">
        <v>2834</v>
      </c>
      <c r="C847" s="9" t="s">
        <v>839</v>
      </c>
      <c r="D847" s="10">
        <v>-3.0578833999999999E-2</v>
      </c>
      <c r="E847" s="10">
        <v>0.13113955399999999</v>
      </c>
      <c r="F847" s="10">
        <v>0.54130281099999999</v>
      </c>
      <c r="G847" s="10">
        <v>-0.42813431899999999</v>
      </c>
      <c r="H847" s="9">
        <v>5.3432303E-2</v>
      </c>
      <c r="I847" s="10">
        <v>0.40125649818151499</v>
      </c>
      <c r="J847" s="10">
        <v>0.16100677733289201</v>
      </c>
      <c r="K847" s="10">
        <v>-0.48780210400000001</v>
      </c>
      <c r="L847" s="10">
        <v>0.16698913400000001</v>
      </c>
      <c r="M847" s="10">
        <v>0.12224546999999999</v>
      </c>
      <c r="N847" s="10">
        <v>6.5470557999999998E-2</v>
      </c>
      <c r="O847" s="9">
        <v>-3.3274235749999999E-2</v>
      </c>
      <c r="P847" s="10">
        <v>0.305852858658544</v>
      </c>
      <c r="Q847" s="10">
        <v>9.3545971149603696E-2</v>
      </c>
    </row>
    <row r="848" spans="1:17" x14ac:dyDescent="0.2">
      <c r="A848" s="10">
        <v>1677</v>
      </c>
      <c r="B848" s="10" t="s">
        <v>79</v>
      </c>
      <c r="C848" s="9" t="s">
        <v>840</v>
      </c>
      <c r="D848" s="10">
        <v>-0.51753590999999999</v>
      </c>
      <c r="E848" s="10">
        <v>-0.16061431900000001</v>
      </c>
      <c r="F848" s="10">
        <v>-0.57887165100000004</v>
      </c>
      <c r="G848" s="10">
        <v>-0.62724079899999996</v>
      </c>
      <c r="H848" s="9">
        <v>-0.47106566999999999</v>
      </c>
      <c r="I848" s="10">
        <v>0.211780015582932</v>
      </c>
      <c r="J848" s="10">
        <v>4.4850775000307201E-2</v>
      </c>
      <c r="K848" s="10">
        <v>-0.105816466</v>
      </c>
      <c r="L848" s="10">
        <v>0.30280056700000002</v>
      </c>
      <c r="M848" s="10">
        <v>0.37115927500000001</v>
      </c>
      <c r="N848" s="10">
        <v>-0.17304408399999999</v>
      </c>
      <c r="O848" s="9">
        <v>9.8774822999999998E-2</v>
      </c>
      <c r="P848" s="10">
        <v>0.27782662917933099</v>
      </c>
      <c r="Q848" s="10">
        <v>7.7187635881150005E-2</v>
      </c>
    </row>
    <row r="849" spans="1:17" x14ac:dyDescent="0.2">
      <c r="A849" s="10">
        <v>1677</v>
      </c>
      <c r="B849" s="10" t="s">
        <v>2824</v>
      </c>
      <c r="C849" s="9" t="s">
        <v>841</v>
      </c>
      <c r="D849" s="10">
        <v>9.2225374999999998E-2</v>
      </c>
      <c r="E849" s="10">
        <v>-0.31253151499999998</v>
      </c>
      <c r="F849" s="10">
        <v>-0.65778413599999996</v>
      </c>
      <c r="G849" s="10">
        <v>0.20332059199999999</v>
      </c>
      <c r="H849" s="9">
        <v>-0.16869242100000001</v>
      </c>
      <c r="I849" s="10">
        <v>0.39428085115190697</v>
      </c>
      <c r="J849" s="10">
        <v>0.15545738958507199</v>
      </c>
      <c r="K849" s="10">
        <v>-8.1664992000000006E-2</v>
      </c>
      <c r="L849" s="10">
        <v>-0.135639077</v>
      </c>
      <c r="M849" s="10">
        <v>0.41121587999999998</v>
      </c>
      <c r="N849" s="10">
        <v>0.10786167300000001</v>
      </c>
      <c r="O849" s="9">
        <v>7.5443370750000002E-2</v>
      </c>
      <c r="P849" s="10">
        <v>0.247004022695266</v>
      </c>
      <c r="Q849" s="10">
        <v>6.1010987227643497E-2</v>
      </c>
    </row>
    <row r="850" spans="1:17" x14ac:dyDescent="0.2">
      <c r="A850" s="10">
        <v>1677</v>
      </c>
      <c r="B850" s="10" t="s">
        <v>2825</v>
      </c>
      <c r="C850" s="9" t="s">
        <v>842</v>
      </c>
      <c r="D850" s="10">
        <v>6.2129739999999996E-3</v>
      </c>
      <c r="E850" s="10">
        <v>9.4988623999999994E-2</v>
      </c>
      <c r="F850" s="10">
        <v>-0.37515546700000002</v>
      </c>
      <c r="G850" s="10">
        <v>0.120877151</v>
      </c>
      <c r="H850" s="9">
        <v>-3.82691795E-2</v>
      </c>
      <c r="I850" s="10">
        <v>0.22989579479319899</v>
      </c>
      <c r="J850" s="10">
        <v>5.2852076463596603E-2</v>
      </c>
      <c r="K850" s="10">
        <v>-0.11675566699999999</v>
      </c>
      <c r="L850" s="10">
        <v>-0.19374038199999999</v>
      </c>
      <c r="M850" s="10">
        <v>0.10920522100000001</v>
      </c>
      <c r="N850" s="10">
        <v>9.4767076000000006E-2</v>
      </c>
      <c r="O850" s="9">
        <v>-2.6630938E-2</v>
      </c>
      <c r="P850" s="10">
        <v>0.15191771121929701</v>
      </c>
      <c r="Q850" s="10">
        <v>2.3078990982110002E-2</v>
      </c>
    </row>
    <row r="851" spans="1:17" x14ac:dyDescent="0.2">
      <c r="A851" s="10">
        <v>1677</v>
      </c>
      <c r="B851" s="10" t="s">
        <v>74</v>
      </c>
      <c r="C851" s="9" t="s">
        <v>843</v>
      </c>
      <c r="D851" s="10">
        <v>0.47758528099999997</v>
      </c>
      <c r="E851" s="10">
        <v>0.291683937</v>
      </c>
      <c r="F851" s="10">
        <v>0.188526374</v>
      </c>
      <c r="G851" s="10">
        <v>0.225181402</v>
      </c>
      <c r="H851" s="9">
        <v>0.29574424849999997</v>
      </c>
      <c r="I851" s="10">
        <v>0.12852682618636899</v>
      </c>
      <c r="J851" s="10">
        <v>1.6519145049541099E-2</v>
      </c>
      <c r="K851" s="10">
        <v>0.24608840800000001</v>
      </c>
      <c r="L851" s="10">
        <v>-0.114283043</v>
      </c>
      <c r="M851" s="10">
        <v>0.415448769</v>
      </c>
      <c r="N851" s="10">
        <v>-0.12502401699999999</v>
      </c>
      <c r="O851" s="9">
        <v>0.1055575295</v>
      </c>
      <c r="P851" s="10">
        <v>0.26912155558055101</v>
      </c>
      <c r="Q851" s="10">
        <v>7.2426411678095798E-2</v>
      </c>
    </row>
    <row r="852" spans="1:17" x14ac:dyDescent="0.2">
      <c r="A852" s="10">
        <v>1677</v>
      </c>
      <c r="B852" s="10" t="s">
        <v>2832</v>
      </c>
      <c r="C852" s="9" t="s">
        <v>844</v>
      </c>
      <c r="D852" s="10">
        <v>-0.102652377</v>
      </c>
      <c r="E852" s="10">
        <v>-0.163764351</v>
      </c>
      <c r="F852" s="10">
        <v>-0.66016570900000004</v>
      </c>
      <c r="G852" s="10">
        <v>-0.132785338</v>
      </c>
      <c r="H852" s="9">
        <v>-0.26484194374999998</v>
      </c>
      <c r="I852" s="10">
        <v>0.26472750884153501</v>
      </c>
      <c r="J852" s="10">
        <v>7.0080653937445198E-2</v>
      </c>
      <c r="K852" s="10">
        <v>-0.42988632799999998</v>
      </c>
      <c r="L852" s="10">
        <v>-0.17726604900000001</v>
      </c>
      <c r="M852" s="10">
        <v>0.122057159</v>
      </c>
      <c r="N852" s="10">
        <v>-0.50930947299999996</v>
      </c>
      <c r="O852" s="9">
        <v>-0.24860117274999999</v>
      </c>
      <c r="P852" s="10">
        <v>0.28478613268520198</v>
      </c>
      <c r="Q852" s="10">
        <v>8.1103141369793796E-2</v>
      </c>
    </row>
    <row r="853" spans="1:17" x14ac:dyDescent="0.2">
      <c r="A853" s="10">
        <v>1678</v>
      </c>
      <c r="B853" s="10" t="s">
        <v>96</v>
      </c>
      <c r="C853" s="9" t="s">
        <v>845</v>
      </c>
      <c r="D853" s="10">
        <v>0.32707232600000002</v>
      </c>
      <c r="E853" s="10">
        <v>-0.33986829299999999</v>
      </c>
      <c r="F853" s="10">
        <v>-0.47657322800000002</v>
      </c>
      <c r="G853" s="10">
        <v>7.2304460000000001E-2</v>
      </c>
      <c r="H853" s="9">
        <v>-0.10426618375</v>
      </c>
      <c r="I853" s="10">
        <v>0.37029312321855701</v>
      </c>
      <c r="J853" s="10">
        <v>0.137116997102953</v>
      </c>
      <c r="K853" s="10">
        <v>-0.17027133899999999</v>
      </c>
      <c r="L853" s="10">
        <v>0.35103053000000001</v>
      </c>
      <c r="M853" s="10">
        <v>0.30833051900000003</v>
      </c>
      <c r="N853" s="10">
        <v>-0.42534843300000003</v>
      </c>
      <c r="O853" s="9">
        <v>1.59353195E-2</v>
      </c>
      <c r="P853" s="10">
        <v>0.37735395527316301</v>
      </c>
      <c r="Q853" s="10">
        <v>0.14239600756029999</v>
      </c>
    </row>
    <row r="854" spans="1:17" x14ac:dyDescent="0.2">
      <c r="A854" s="10">
        <v>1678</v>
      </c>
      <c r="B854" s="10" t="s">
        <v>2819</v>
      </c>
      <c r="C854" s="9" t="s">
        <v>846</v>
      </c>
      <c r="D854" s="10">
        <v>0.34707485999999999</v>
      </c>
      <c r="E854" s="10">
        <v>0.52012129799999995</v>
      </c>
      <c r="F854" s="10">
        <v>9.1128864000000004E-2</v>
      </c>
      <c r="G854" s="10">
        <v>0.42950231700000002</v>
      </c>
      <c r="H854" s="9">
        <v>0.34695683475</v>
      </c>
      <c r="I854" s="10">
        <v>0.18461460083154099</v>
      </c>
      <c r="J854" s="10">
        <v>3.4082550840189303E-2</v>
      </c>
      <c r="K854" s="10">
        <v>0.157835225</v>
      </c>
      <c r="L854" s="10">
        <v>3.5830540000000001E-2</v>
      </c>
      <c r="M854" s="10">
        <v>0.24534688099999999</v>
      </c>
      <c r="N854" s="10">
        <v>0.11597666</v>
      </c>
      <c r="O854" s="9">
        <v>0.13874732649999999</v>
      </c>
      <c r="P854" s="10">
        <v>8.7250942850847502E-2</v>
      </c>
      <c r="Q854" s="10">
        <v>7.6127270283617996E-3</v>
      </c>
    </row>
    <row r="855" spans="1:17" x14ac:dyDescent="0.2">
      <c r="A855" s="10">
        <v>1678</v>
      </c>
      <c r="B855" s="10" t="s">
        <v>2821</v>
      </c>
      <c r="C855" s="9" t="s">
        <v>2500</v>
      </c>
      <c r="D855" s="10">
        <v>0.15486362300000001</v>
      </c>
      <c r="E855" s="10">
        <v>0.43060433599999998</v>
      </c>
      <c r="F855" s="10">
        <v>0.59348638499999995</v>
      </c>
      <c r="G855" s="10">
        <v>-0.25485232200000002</v>
      </c>
      <c r="H855" s="9">
        <v>0.23102550575</v>
      </c>
      <c r="I855" s="10">
        <v>0.37107388947653203</v>
      </c>
      <c r="J855" s="10">
        <v>0.13769583145124101</v>
      </c>
      <c r="K855" s="10">
        <v>0.105277484</v>
      </c>
      <c r="L855" s="10">
        <v>-0.171755144</v>
      </c>
      <c r="M855" s="10">
        <v>-0.45979386700000002</v>
      </c>
      <c r="N855" s="10">
        <v>-3.9750463E-2</v>
      </c>
      <c r="O855" s="9">
        <v>-0.14150549749999999</v>
      </c>
      <c r="P855" s="10">
        <v>0.240470687247925</v>
      </c>
      <c r="Q855" s="10">
        <v>5.7826151425489601E-2</v>
      </c>
    </row>
    <row r="856" spans="1:17" x14ac:dyDescent="0.2">
      <c r="A856" s="10">
        <v>1678</v>
      </c>
      <c r="B856" s="10" t="s">
        <v>2834</v>
      </c>
      <c r="C856" s="9" t="s">
        <v>847</v>
      </c>
      <c r="D856" s="10">
        <v>-0.185540712</v>
      </c>
      <c r="E856" s="10">
        <v>-0.70410106299999997</v>
      </c>
      <c r="F856" s="10">
        <v>1.5545830629999999</v>
      </c>
      <c r="G856" s="10">
        <v>9.8075824000000006E-2</v>
      </c>
      <c r="H856" s="9">
        <v>0.19075427824999999</v>
      </c>
      <c r="I856" s="10">
        <v>0.96798454730188899</v>
      </c>
      <c r="J856" s="10">
        <v>0.93699408381524396</v>
      </c>
      <c r="K856" s="10">
        <v>0.87720903100000003</v>
      </c>
      <c r="L856" s="10">
        <v>0.47063116199999999</v>
      </c>
      <c r="M856" s="10">
        <v>1.295867857</v>
      </c>
      <c r="N856" s="10">
        <v>3.4709935999999997E-2</v>
      </c>
      <c r="O856" s="9">
        <v>0.66960449649999998</v>
      </c>
      <c r="P856" s="10">
        <v>0.54098272623200905</v>
      </c>
      <c r="Q856" s="10">
        <v>0.29266231008141702</v>
      </c>
    </row>
    <row r="857" spans="1:17" x14ac:dyDescent="0.2">
      <c r="A857" s="10">
        <v>1678</v>
      </c>
      <c r="B857" s="10" t="s">
        <v>2820</v>
      </c>
      <c r="C857" s="9" t="s">
        <v>848</v>
      </c>
      <c r="D857" s="10">
        <v>1.0852129E-2</v>
      </c>
      <c r="E857" s="10">
        <v>-1.2135441769999999</v>
      </c>
      <c r="F857" s="10">
        <v>-0.24822897799999999</v>
      </c>
      <c r="G857" s="10">
        <v>0.92535427999999997</v>
      </c>
      <c r="H857" s="9">
        <v>-0.13139168625</v>
      </c>
      <c r="I857" s="10">
        <v>0.87970644841379197</v>
      </c>
      <c r="J857" s="10">
        <v>0.77388343538080795</v>
      </c>
      <c r="K857" s="10">
        <v>0.71344059100000001</v>
      </c>
      <c r="L857" s="10">
        <v>0.85092440199999997</v>
      </c>
      <c r="M857" s="10">
        <v>0.73162945899999998</v>
      </c>
      <c r="N857" s="10">
        <v>1.9913857669999999</v>
      </c>
      <c r="O857" s="9">
        <v>1.07184505475</v>
      </c>
      <c r="P857" s="10">
        <v>0.61605234288550903</v>
      </c>
      <c r="Q857" s="10">
        <v>0.37952048917472497</v>
      </c>
    </row>
    <row r="858" spans="1:17" x14ac:dyDescent="0.2">
      <c r="A858" s="10">
        <v>1678</v>
      </c>
      <c r="B858" s="10" t="s">
        <v>2824</v>
      </c>
      <c r="C858" s="9" t="s">
        <v>849</v>
      </c>
      <c r="D858" s="10">
        <v>-0.31880445099999999</v>
      </c>
      <c r="E858" s="10">
        <v>-0.60121752699999997</v>
      </c>
      <c r="F858" s="10">
        <v>-0.67119864399999996</v>
      </c>
      <c r="G858" s="10">
        <v>-0.48104229799999998</v>
      </c>
      <c r="H858" s="9">
        <v>-0.51806573</v>
      </c>
      <c r="I858" s="10">
        <v>0.154315372446855</v>
      </c>
      <c r="J858" s="10">
        <v>2.38132341734116E-2</v>
      </c>
      <c r="K858" s="10">
        <v>-0.16743022900000001</v>
      </c>
      <c r="L858" s="10">
        <v>0.10962379899999999</v>
      </c>
      <c r="M858" s="10">
        <v>0.188666842</v>
      </c>
      <c r="N858" s="10">
        <v>-0.224198642</v>
      </c>
      <c r="O858" s="9">
        <v>-2.3334557499999999E-2</v>
      </c>
      <c r="P858" s="10">
        <v>0.203086566879084</v>
      </c>
      <c r="Q858" s="10">
        <v>4.1244153646732902E-2</v>
      </c>
    </row>
    <row r="859" spans="1:17" x14ac:dyDescent="0.2">
      <c r="A859" s="10">
        <v>1678</v>
      </c>
      <c r="B859" s="10" t="s">
        <v>2814</v>
      </c>
      <c r="C859" s="9" t="s">
        <v>2499</v>
      </c>
      <c r="D859" s="10">
        <v>0.15414019200000001</v>
      </c>
      <c r="E859" s="10">
        <v>0.43488242700000002</v>
      </c>
      <c r="F859" s="10">
        <v>-0.31469263200000003</v>
      </c>
      <c r="G859" s="10">
        <v>0.114541578</v>
      </c>
      <c r="H859" s="9">
        <v>9.7217891000000001E-2</v>
      </c>
      <c r="I859" s="10">
        <v>0.30942305253090902</v>
      </c>
      <c r="J859" s="10">
        <v>9.5742625437545803E-2</v>
      </c>
      <c r="K859" s="10">
        <v>0.304329707</v>
      </c>
      <c r="L859" s="10">
        <v>-0.201935683</v>
      </c>
      <c r="M859" s="10">
        <v>0.212167776</v>
      </c>
      <c r="N859" s="10">
        <v>0.19703095800000001</v>
      </c>
      <c r="O859" s="9">
        <v>0.12789818950000001</v>
      </c>
      <c r="P859" s="10">
        <v>0.224943820175212</v>
      </c>
      <c r="Q859" s="10">
        <v>5.0599722235018199E-2</v>
      </c>
    </row>
    <row r="860" spans="1:17" x14ac:dyDescent="0.2">
      <c r="A860" s="10">
        <v>1678</v>
      </c>
      <c r="B860" s="10" t="s">
        <v>2825</v>
      </c>
      <c r="C860" s="9" t="s">
        <v>2498</v>
      </c>
      <c r="D860" s="10">
        <v>-7.2254665999999995E-2</v>
      </c>
      <c r="E860" s="10">
        <v>-0.100002168</v>
      </c>
      <c r="F860" s="10">
        <v>-0.27740843399999998</v>
      </c>
      <c r="G860" s="10">
        <v>-0.15243996700000001</v>
      </c>
      <c r="H860" s="9">
        <v>-0.15052630850000001</v>
      </c>
      <c r="I860" s="10">
        <v>9.0887979867460805E-2</v>
      </c>
      <c r="J860" s="10">
        <v>8.2606248843879009E-3</v>
      </c>
      <c r="K860" s="10">
        <v>5.1466710999999998E-2</v>
      </c>
      <c r="L860" s="10">
        <v>-5.8734443999999997E-2</v>
      </c>
      <c r="M860" s="10">
        <v>0.121526356</v>
      </c>
      <c r="N860" s="10">
        <v>1.1818287E-2</v>
      </c>
      <c r="O860" s="9">
        <v>3.1519227499999997E-2</v>
      </c>
      <c r="P860" s="10">
        <v>7.5350376142862802E-2</v>
      </c>
      <c r="Q860" s="10">
        <v>5.6776791848709004E-3</v>
      </c>
    </row>
    <row r="861" spans="1:17" x14ac:dyDescent="0.2">
      <c r="A861" s="10">
        <v>1678</v>
      </c>
      <c r="B861" s="10" t="s">
        <v>74</v>
      </c>
      <c r="C861" s="9" t="s">
        <v>850</v>
      </c>
      <c r="D861" s="10">
        <v>-7.9666207000000003E-2</v>
      </c>
      <c r="E861" s="10">
        <v>-3.4621000999999998E-2</v>
      </c>
      <c r="F861" s="10">
        <v>-0.30947896400000002</v>
      </c>
      <c r="G861" s="10">
        <v>0.37107130500000002</v>
      </c>
      <c r="H861" s="9">
        <v>-1.317371675E-2</v>
      </c>
      <c r="I861" s="10">
        <v>0.28303255027698798</v>
      </c>
      <c r="J861" s="10">
        <v>8.0107424516296002E-2</v>
      </c>
      <c r="K861" s="10">
        <v>0.1669803</v>
      </c>
      <c r="L861" s="10">
        <v>7.6793827999999995E-2</v>
      </c>
      <c r="M861" s="10">
        <v>0.124150834</v>
      </c>
      <c r="N861" s="10">
        <v>0.13751571400000001</v>
      </c>
      <c r="O861" s="9">
        <v>0.12636016899999999</v>
      </c>
      <c r="P861" s="10">
        <v>3.7577229576676197E-2</v>
      </c>
      <c r="Q861" s="10">
        <v>1.4120481826581999E-3</v>
      </c>
    </row>
    <row r="862" spans="1:17" x14ac:dyDescent="0.2">
      <c r="A862" s="10">
        <v>1678</v>
      </c>
      <c r="B862" s="10" t="s">
        <v>2818</v>
      </c>
      <c r="C862" s="9" t="s">
        <v>851</v>
      </c>
      <c r="D862" s="10">
        <v>0.562331633</v>
      </c>
      <c r="E862" s="10">
        <v>-0.37213674800000002</v>
      </c>
      <c r="F862" s="10">
        <v>-8.2066554E-2</v>
      </c>
      <c r="G862" s="10">
        <v>0.52644592400000001</v>
      </c>
      <c r="H862" s="9">
        <v>0.15864356374999999</v>
      </c>
      <c r="I862" s="10">
        <v>0.461126061429666</v>
      </c>
      <c r="J862" s="10">
        <v>0.212637244529636</v>
      </c>
      <c r="K862" s="10">
        <v>0.45650717800000001</v>
      </c>
      <c r="L862" s="10">
        <v>-0.94223798999999997</v>
      </c>
      <c r="M862" s="10">
        <v>-0.49116344000000001</v>
      </c>
      <c r="N862" s="10">
        <v>-0.32891026099999998</v>
      </c>
      <c r="O862" s="9">
        <v>-0.32645112825</v>
      </c>
      <c r="P862" s="10">
        <v>0.58291033084162902</v>
      </c>
      <c r="Q862" s="10">
        <v>0.33978445380189698</v>
      </c>
    </row>
    <row r="863" spans="1:17" x14ac:dyDescent="0.2">
      <c r="A863" s="10">
        <v>1678</v>
      </c>
      <c r="B863" s="10" t="s">
        <v>2835</v>
      </c>
      <c r="C863" s="9" t="s">
        <v>2497</v>
      </c>
      <c r="D863" s="10">
        <v>-0.567448446</v>
      </c>
      <c r="E863" s="10">
        <v>-0.389162756</v>
      </c>
      <c r="F863" s="10">
        <v>-0.30864265000000002</v>
      </c>
      <c r="G863" s="10">
        <v>-0.24426056299999999</v>
      </c>
      <c r="H863" s="9">
        <v>-0.37737860400000001</v>
      </c>
      <c r="I863" s="10">
        <v>0.13989335853693599</v>
      </c>
      <c r="J863" s="10">
        <v>1.95701517627439E-2</v>
      </c>
      <c r="K863" s="10">
        <v>-0.11980060100000001</v>
      </c>
      <c r="L863" s="10">
        <v>0.23340867700000001</v>
      </c>
      <c r="M863" s="10">
        <v>0.31235349299999998</v>
      </c>
      <c r="N863" s="10">
        <v>-0.25392137399999998</v>
      </c>
      <c r="O863" s="9">
        <v>4.3010049000000002E-2</v>
      </c>
      <c r="P863" s="10">
        <v>0.272930458840276</v>
      </c>
      <c r="Q863" s="10">
        <v>7.4491035362763594E-2</v>
      </c>
    </row>
    <row r="864" spans="1:17" x14ac:dyDescent="0.2">
      <c r="A864" s="10">
        <v>1679</v>
      </c>
      <c r="B864" s="10" t="s">
        <v>2823</v>
      </c>
      <c r="C864" s="9" t="s">
        <v>2496</v>
      </c>
      <c r="D864" s="10">
        <v>5.3883273000000002E-2</v>
      </c>
      <c r="E864" s="10">
        <v>-0.344067336</v>
      </c>
      <c r="F864" s="10">
        <v>-0.22623893</v>
      </c>
      <c r="G864" s="10">
        <v>-0.46059507</v>
      </c>
      <c r="H864" s="9">
        <v>-0.244254516</v>
      </c>
      <c r="I864" s="10">
        <v>0.220587501089032</v>
      </c>
      <c r="J864" s="10">
        <v>4.8658845636703703E-2</v>
      </c>
      <c r="K864" s="10">
        <v>-2.4885146E-2</v>
      </c>
      <c r="L864" s="10">
        <v>6.0871873E-2</v>
      </c>
      <c r="M864" s="10">
        <v>-0.58869792899999995</v>
      </c>
      <c r="N864" s="10">
        <v>-0.205540469</v>
      </c>
      <c r="O864" s="9">
        <v>-0.18956291750000001</v>
      </c>
      <c r="P864" s="10">
        <v>0.28832874309025802</v>
      </c>
      <c r="Q864" s="10">
        <v>8.3133464092008405E-2</v>
      </c>
    </row>
    <row r="865" spans="1:17" x14ac:dyDescent="0.2">
      <c r="A865" s="10">
        <v>1679</v>
      </c>
      <c r="B865" s="10" t="s">
        <v>2826</v>
      </c>
      <c r="C865" s="9" t="s">
        <v>852</v>
      </c>
      <c r="D865" s="10">
        <v>-0.27343593100000002</v>
      </c>
      <c r="E865" s="10">
        <v>7.1420565000000005E-2</v>
      </c>
      <c r="F865" s="10">
        <v>-0.12951312100000001</v>
      </c>
      <c r="G865" s="10">
        <v>0.106742532</v>
      </c>
      <c r="H865" s="9">
        <v>-5.6196489000000002E-2</v>
      </c>
      <c r="I865" s="10">
        <v>0.17832885420328701</v>
      </c>
      <c r="J865" s="10">
        <v>3.1801180241457297E-2</v>
      </c>
      <c r="K865" s="10">
        <v>0.69722891899999995</v>
      </c>
      <c r="L865" s="10">
        <v>-6.431778E-3</v>
      </c>
      <c r="M865" s="10">
        <v>0.56450523500000005</v>
      </c>
      <c r="N865" s="10">
        <v>-0.92666887600000003</v>
      </c>
      <c r="O865" s="9">
        <v>8.2158375000000006E-2</v>
      </c>
      <c r="P865" s="10">
        <v>0.73859120515954702</v>
      </c>
      <c r="Q865" s="10">
        <v>0.54551696833903196</v>
      </c>
    </row>
    <row r="866" spans="1:17" x14ac:dyDescent="0.2">
      <c r="A866" s="10">
        <v>1679</v>
      </c>
      <c r="B866" s="10" t="s">
        <v>2821</v>
      </c>
      <c r="C866" s="9" t="s">
        <v>2495</v>
      </c>
      <c r="D866" s="10">
        <v>0.43285828700000001</v>
      </c>
      <c r="E866" s="10">
        <v>1.1596847859999999</v>
      </c>
      <c r="F866" s="10">
        <v>1.076219163</v>
      </c>
      <c r="G866" s="10">
        <v>-0.173517952</v>
      </c>
      <c r="H866" s="9">
        <v>0.62381107099999999</v>
      </c>
      <c r="I866" s="10">
        <v>0.62290455576288295</v>
      </c>
      <c r="J866" s="10">
        <v>0.38801008559015499</v>
      </c>
      <c r="K866" s="10">
        <v>4.0859167000000002E-2</v>
      </c>
      <c r="L866" s="10">
        <v>-0.28705428999999999</v>
      </c>
      <c r="M866" s="10">
        <v>1.4211186000000001E-2</v>
      </c>
      <c r="N866" s="10">
        <v>0.52503693100000004</v>
      </c>
      <c r="O866" s="9">
        <v>7.3263248500000003E-2</v>
      </c>
      <c r="P866" s="10">
        <v>0.33588954500632701</v>
      </c>
      <c r="Q866" s="10">
        <v>0.112821786444557</v>
      </c>
    </row>
    <row r="867" spans="1:17" x14ac:dyDescent="0.2">
      <c r="A867" s="10">
        <v>1679</v>
      </c>
      <c r="B867" s="10" t="s">
        <v>79</v>
      </c>
      <c r="C867" s="9" t="s">
        <v>853</v>
      </c>
      <c r="D867" s="10">
        <v>-0.89214546400000005</v>
      </c>
      <c r="E867" s="10">
        <v>0.16787044800000001</v>
      </c>
      <c r="F867" s="10">
        <v>-0.363068638</v>
      </c>
      <c r="G867" s="10">
        <v>-0.29835664499999998</v>
      </c>
      <c r="H867" s="9">
        <v>-0.34642507475000001</v>
      </c>
      <c r="I867" s="10">
        <v>0.43393479160666298</v>
      </c>
      <c r="J867" s="10">
        <v>0.18829940336671799</v>
      </c>
      <c r="K867" s="10">
        <v>0.49349285599999998</v>
      </c>
      <c r="L867" s="10">
        <v>0.55610284300000001</v>
      </c>
      <c r="M867" s="10">
        <v>-0.65175722800000002</v>
      </c>
      <c r="N867" s="10">
        <v>-1.31477562</v>
      </c>
      <c r="O867" s="9">
        <v>-0.22923428725</v>
      </c>
      <c r="P867" s="10">
        <v>0.91214299907932594</v>
      </c>
      <c r="Q867" s="10">
        <v>0.83200485076942798</v>
      </c>
    </row>
    <row r="868" spans="1:17" x14ac:dyDescent="0.2">
      <c r="A868" s="10">
        <v>1679</v>
      </c>
      <c r="B868" s="10" t="s">
        <v>82</v>
      </c>
      <c r="C868" s="9" t="s">
        <v>2494</v>
      </c>
      <c r="D868" s="10">
        <v>-0.22948373499999999</v>
      </c>
      <c r="E868" s="10">
        <v>-0.34672629399999999</v>
      </c>
      <c r="F868" s="10">
        <v>-0.18497839899999999</v>
      </c>
      <c r="G868" s="10">
        <v>-0.50198085400000003</v>
      </c>
      <c r="H868" s="9">
        <v>-0.31579232075000002</v>
      </c>
      <c r="I868" s="10">
        <v>0.14163866552204599</v>
      </c>
      <c r="J868" s="10">
        <v>2.0061511570866102E-2</v>
      </c>
      <c r="K868" s="10">
        <v>0.17453801599999999</v>
      </c>
      <c r="L868" s="10">
        <v>0.109644856</v>
      </c>
      <c r="M868" s="10">
        <v>-3.6165902E-2</v>
      </c>
      <c r="N868" s="10">
        <v>-0.263292782</v>
      </c>
      <c r="O868" s="9">
        <v>-3.8189529999999999E-3</v>
      </c>
      <c r="P868" s="10">
        <v>0.194129027014839</v>
      </c>
      <c r="Q868" s="10">
        <v>3.7686079129728399E-2</v>
      </c>
    </row>
    <row r="869" spans="1:17" x14ac:dyDescent="0.2">
      <c r="A869" s="10">
        <v>1679</v>
      </c>
      <c r="B869" s="10" t="s">
        <v>74</v>
      </c>
      <c r="C869" s="9" t="s">
        <v>854</v>
      </c>
      <c r="D869" s="10">
        <v>0.37647475899999999</v>
      </c>
      <c r="E869" s="10">
        <v>9.9311192000000006E-2</v>
      </c>
      <c r="F869" s="10">
        <v>-0.43398189700000001</v>
      </c>
      <c r="G869" s="10">
        <v>-0.45132050099999999</v>
      </c>
      <c r="H869" s="9">
        <v>-0.10237911175</v>
      </c>
      <c r="I869" s="10">
        <v>0.40894193087213998</v>
      </c>
      <c r="J869" s="10">
        <v>0.16723350282543401</v>
      </c>
      <c r="K869" s="10">
        <v>0.23072436700000001</v>
      </c>
      <c r="L869" s="10">
        <v>-0.40566056900000003</v>
      </c>
      <c r="M869" s="10">
        <v>0.43556560100000002</v>
      </c>
      <c r="N869" s="10">
        <v>-7.9281427000000002E-2</v>
      </c>
      <c r="O869" s="9">
        <v>4.5336993249999999E-2</v>
      </c>
      <c r="P869" s="10">
        <v>0.36768437391938602</v>
      </c>
      <c r="Q869" s="10">
        <v>0.13519179882449101</v>
      </c>
    </row>
    <row r="870" spans="1:17" x14ac:dyDescent="0.2">
      <c r="A870" s="10">
        <v>1679</v>
      </c>
      <c r="B870" s="10" t="s">
        <v>2835</v>
      </c>
      <c r="C870" s="9" t="s">
        <v>2493</v>
      </c>
      <c r="D870" s="10">
        <v>0.332181795</v>
      </c>
      <c r="E870" s="10">
        <v>1.7856615999999999E-2</v>
      </c>
      <c r="F870" s="10">
        <v>-0.307075922</v>
      </c>
      <c r="G870" s="10">
        <v>-0.54751313199999996</v>
      </c>
      <c r="H870" s="9">
        <v>-0.12613766074999999</v>
      </c>
      <c r="I870" s="10">
        <v>0.38344361489492501</v>
      </c>
      <c r="J870" s="10">
        <v>0.147029005803688</v>
      </c>
      <c r="K870" s="10">
        <v>0.104748668</v>
      </c>
      <c r="L870" s="10">
        <v>-8.4989259999999997E-2</v>
      </c>
      <c r="M870" s="10">
        <v>0.14586497200000001</v>
      </c>
      <c r="N870" s="10">
        <v>0.10556167299999999</v>
      </c>
      <c r="O870" s="9">
        <v>6.7796513249999996E-2</v>
      </c>
      <c r="P870" s="10">
        <v>0.103649804294415</v>
      </c>
      <c r="Q870" s="10">
        <v>1.07432819302706E-2</v>
      </c>
    </row>
    <row r="871" spans="1:17" x14ac:dyDescent="0.2">
      <c r="A871" s="10">
        <v>1680</v>
      </c>
      <c r="B871" s="10" t="s">
        <v>2819</v>
      </c>
      <c r="C871" s="9" t="s">
        <v>2492</v>
      </c>
      <c r="D871" s="10">
        <v>-0.88950686800000001</v>
      </c>
      <c r="E871" s="10">
        <v>-0.751410146</v>
      </c>
      <c r="F871" s="10">
        <v>-0.72431696899999998</v>
      </c>
      <c r="G871" s="10">
        <v>-0.73480654999999995</v>
      </c>
      <c r="H871" s="9">
        <v>-0.77501013299999999</v>
      </c>
      <c r="I871" s="10">
        <v>7.7141831873567296E-2</v>
      </c>
      <c r="J871" s="10">
        <v>5.9508622248096998E-3</v>
      </c>
      <c r="K871" s="10">
        <v>1.508486E-2</v>
      </c>
      <c r="L871" s="10">
        <v>1.1218222E-2</v>
      </c>
      <c r="M871" s="10">
        <v>9.2410865999999994E-2</v>
      </c>
      <c r="N871" s="10">
        <v>0.23918641900000001</v>
      </c>
      <c r="O871" s="9">
        <v>8.9475092000000006E-2</v>
      </c>
      <c r="P871" s="10">
        <v>0.106583526745131</v>
      </c>
      <c r="Q871" s="10">
        <v>1.13600481734302E-2</v>
      </c>
    </row>
    <row r="872" spans="1:17" x14ac:dyDescent="0.2">
      <c r="A872" s="10">
        <v>1680</v>
      </c>
      <c r="B872" s="10" t="s">
        <v>2826</v>
      </c>
      <c r="C872" s="9" t="s">
        <v>855</v>
      </c>
      <c r="D872" s="10">
        <v>-0.47728197100000003</v>
      </c>
      <c r="E872" s="10">
        <v>0.97915838600000005</v>
      </c>
      <c r="F872" s="10">
        <v>0.19769993199999999</v>
      </c>
      <c r="G872" s="10">
        <v>0.59911494099999996</v>
      </c>
      <c r="H872" s="9">
        <v>0.32467282224999999</v>
      </c>
      <c r="I872" s="10">
        <v>0.62260833996347797</v>
      </c>
      <c r="J872" s="10">
        <v>0.38764114499207702</v>
      </c>
      <c r="K872" s="10">
        <v>-0.79902590100000004</v>
      </c>
      <c r="L872" s="10">
        <v>-0.251847506</v>
      </c>
      <c r="M872" s="10">
        <v>-0.22301929700000001</v>
      </c>
      <c r="N872" s="10">
        <v>0.14008727300000001</v>
      </c>
      <c r="O872" s="9">
        <v>-0.2834513575</v>
      </c>
      <c r="P872" s="10">
        <v>0.38723503577584401</v>
      </c>
      <c r="Q872" s="10">
        <v>0.14995097293231899</v>
      </c>
    </row>
    <row r="873" spans="1:17" x14ac:dyDescent="0.2">
      <c r="A873" s="10">
        <v>1680</v>
      </c>
      <c r="B873" s="10" t="s">
        <v>82</v>
      </c>
      <c r="C873" s="9" t="s">
        <v>856</v>
      </c>
      <c r="D873" s="10">
        <v>-0.19510812</v>
      </c>
      <c r="E873" s="10">
        <v>-0.16322393099999999</v>
      </c>
      <c r="F873" s="10">
        <v>2.8181235999999998E-2</v>
      </c>
      <c r="G873" s="10">
        <v>-0.20238757800000001</v>
      </c>
      <c r="H873" s="9">
        <v>-0.13313459825000001</v>
      </c>
      <c r="I873" s="10">
        <v>0.108880452680092</v>
      </c>
      <c r="J873" s="10">
        <v>1.18549529758217E-2</v>
      </c>
      <c r="K873" s="10">
        <v>-0.29854445099999999</v>
      </c>
      <c r="L873" s="10">
        <v>-0.63039524800000002</v>
      </c>
      <c r="M873" s="10">
        <v>-7.2772249999999997E-2</v>
      </c>
      <c r="N873" s="10">
        <v>0.92330301000000004</v>
      </c>
      <c r="O873" s="9">
        <v>-1.9602234749999999E-2</v>
      </c>
      <c r="P873" s="10">
        <v>0.66902272411336905</v>
      </c>
      <c r="Q873" s="10">
        <v>0.44759140538007303</v>
      </c>
    </row>
    <row r="874" spans="1:17" x14ac:dyDescent="0.2">
      <c r="A874" s="10">
        <v>1680</v>
      </c>
      <c r="B874" s="10" t="s">
        <v>2814</v>
      </c>
      <c r="C874" s="9" t="s">
        <v>857</v>
      </c>
      <c r="D874" s="10">
        <v>-0.73541296099999998</v>
      </c>
      <c r="E874" s="10">
        <v>-0.72079062100000002</v>
      </c>
      <c r="F874" s="10">
        <v>-0.92035003999999998</v>
      </c>
      <c r="G874" s="10">
        <v>-0.32148188999999999</v>
      </c>
      <c r="H874" s="9">
        <v>-0.67450887800000003</v>
      </c>
      <c r="I874" s="10">
        <v>0.25226787234409598</v>
      </c>
      <c r="J874" s="10">
        <v>6.3639079417017103E-2</v>
      </c>
      <c r="K874" s="10">
        <v>-0.126892422</v>
      </c>
      <c r="L874" s="10">
        <v>0.42614770800000001</v>
      </c>
      <c r="M874" s="10">
        <v>0.183804826</v>
      </c>
      <c r="N874" s="10">
        <v>2.7079987E-2</v>
      </c>
      <c r="O874" s="9">
        <v>0.12753502475</v>
      </c>
      <c r="P874" s="10">
        <v>0.23605109997594201</v>
      </c>
      <c r="Q874" s="10">
        <v>5.5720121799852397E-2</v>
      </c>
    </row>
    <row r="875" spans="1:17" x14ac:dyDescent="0.2">
      <c r="A875" s="10">
        <v>1680</v>
      </c>
      <c r="B875" s="10" t="s">
        <v>2825</v>
      </c>
      <c r="C875" s="9" t="s">
        <v>858</v>
      </c>
      <c r="D875" s="10">
        <v>-1.733218857</v>
      </c>
      <c r="E875" s="10">
        <v>-1.5915483720000001</v>
      </c>
      <c r="F875" s="10">
        <v>-1.6709852169999999</v>
      </c>
      <c r="G875" s="10">
        <v>-2.1160304390000002</v>
      </c>
      <c r="H875" s="9">
        <v>-1.7779457212500001</v>
      </c>
      <c r="I875" s="10">
        <v>0.232727515948426</v>
      </c>
      <c r="J875" s="10">
        <v>5.4162096679525297E-2</v>
      </c>
      <c r="K875" s="10">
        <v>-0.14706956900000001</v>
      </c>
      <c r="L875" s="10">
        <v>-0.22392747199999999</v>
      </c>
      <c r="M875" s="10">
        <v>-6.2673858999999998E-2</v>
      </c>
      <c r="N875" s="10">
        <v>1.7526693999999999E-2</v>
      </c>
      <c r="O875" s="9">
        <v>-0.10403605175</v>
      </c>
      <c r="P875" s="10">
        <v>0.104425680749254</v>
      </c>
      <c r="Q875" s="10">
        <v>1.09047227999451E-2</v>
      </c>
    </row>
    <row r="876" spans="1:17" x14ac:dyDescent="0.2">
      <c r="A876" s="10">
        <v>1680</v>
      </c>
      <c r="B876" s="10" t="s">
        <v>74</v>
      </c>
      <c r="C876" s="9" t="s">
        <v>859</v>
      </c>
      <c r="D876" s="10">
        <v>-0.27354022099999997</v>
      </c>
      <c r="E876" s="10">
        <v>-0.228588656</v>
      </c>
      <c r="F876" s="10">
        <v>2.0083798E-2</v>
      </c>
      <c r="G876" s="10">
        <v>-0.35561758599999999</v>
      </c>
      <c r="H876" s="9">
        <v>-0.20941566624999999</v>
      </c>
      <c r="I876" s="10">
        <v>0.161786451315164</v>
      </c>
      <c r="J876" s="10">
        <v>2.6174855829153899E-2</v>
      </c>
      <c r="K876" s="10">
        <v>0.15971226799999999</v>
      </c>
      <c r="L876" s="10">
        <v>-0.149808523</v>
      </c>
      <c r="M876" s="10">
        <v>0.32921368899999998</v>
      </c>
      <c r="N876" s="10">
        <v>0.20364729400000001</v>
      </c>
      <c r="O876" s="9">
        <v>0.13569118175</v>
      </c>
      <c r="P876" s="10">
        <v>0.20343392703072499</v>
      </c>
      <c r="Q876" s="10">
        <v>4.13853626671426E-2</v>
      </c>
    </row>
    <row r="877" spans="1:17" x14ac:dyDescent="0.2">
      <c r="A877" s="10">
        <v>1681</v>
      </c>
      <c r="B877" s="10" t="s">
        <v>2819</v>
      </c>
      <c r="C877" s="9" t="s">
        <v>2491</v>
      </c>
      <c r="D877" s="10">
        <v>0.40294704399999998</v>
      </c>
      <c r="E877" s="10">
        <v>-3.8685167999999999E-2</v>
      </c>
      <c r="F877" s="10">
        <v>0.33932240800000002</v>
      </c>
      <c r="G877" s="10">
        <v>0.12683267100000001</v>
      </c>
      <c r="H877" s="9">
        <v>0.20760423875</v>
      </c>
      <c r="I877" s="10">
        <v>0.20223007170676499</v>
      </c>
      <c r="J877" s="10">
        <v>4.08970019025236E-2</v>
      </c>
      <c r="K877" s="10">
        <v>0.207000502</v>
      </c>
      <c r="L877" s="10">
        <v>-0.16732860099999999</v>
      </c>
      <c r="M877" s="10">
        <v>4.2449783999999997E-2</v>
      </c>
      <c r="N877" s="10">
        <v>0.20400805299999999</v>
      </c>
      <c r="O877" s="9">
        <v>7.1532434500000006E-2</v>
      </c>
      <c r="P877" s="10">
        <v>0.176825508764412</v>
      </c>
      <c r="Q877" s="10">
        <v>3.1267260549793098E-2</v>
      </c>
    </row>
    <row r="878" spans="1:17" x14ac:dyDescent="0.2">
      <c r="A878" s="10">
        <v>1681</v>
      </c>
      <c r="B878" s="10" t="s">
        <v>2820</v>
      </c>
      <c r="C878" s="9" t="s">
        <v>860</v>
      </c>
      <c r="D878" s="10">
        <v>0.147271758</v>
      </c>
      <c r="E878" s="10">
        <v>-1.0460931360000001</v>
      </c>
      <c r="F878" s="10">
        <v>-0.72187202900000003</v>
      </c>
      <c r="G878" s="10">
        <v>0.53735832100000003</v>
      </c>
      <c r="H878" s="9">
        <v>-0.27083377149999999</v>
      </c>
      <c r="I878" s="10">
        <v>0.73766507398945003</v>
      </c>
      <c r="J878" s="10">
        <v>0.54414976138386095</v>
      </c>
      <c r="K878" s="10">
        <v>0.36704281799999999</v>
      </c>
      <c r="L878" s="10">
        <v>0.18870921600000001</v>
      </c>
      <c r="M878" s="10">
        <v>0.221996468</v>
      </c>
      <c r="N878" s="10">
        <v>-1.657608247</v>
      </c>
      <c r="O878" s="9">
        <v>-0.21996493624999999</v>
      </c>
      <c r="P878" s="10">
        <v>0.96155097595113403</v>
      </c>
      <c r="Q878" s="10">
        <v>0.92458027935257903</v>
      </c>
    </row>
    <row r="879" spans="1:17" x14ac:dyDescent="0.2">
      <c r="A879" s="10">
        <v>1681</v>
      </c>
      <c r="B879" s="10" t="s">
        <v>2824</v>
      </c>
      <c r="C879" s="9" t="s">
        <v>861</v>
      </c>
      <c r="D879" s="10">
        <v>-0.26049262899999998</v>
      </c>
      <c r="E879" s="10">
        <v>-6.6966727000000004E-2</v>
      </c>
      <c r="F879" s="10">
        <v>-0.379254657</v>
      </c>
      <c r="G879" s="10">
        <v>8.8071391999999998E-2</v>
      </c>
      <c r="H879" s="9">
        <v>-0.15466065549999999</v>
      </c>
      <c r="I879" s="10">
        <v>0.206762298387941</v>
      </c>
      <c r="J879" s="10">
        <v>4.2750648034664003E-2</v>
      </c>
      <c r="K879" s="10">
        <v>-0.20418008400000001</v>
      </c>
      <c r="L879" s="10">
        <v>-9.1360622000000002E-2</v>
      </c>
      <c r="M879" s="10">
        <v>0.28552377699999998</v>
      </c>
      <c r="N879" s="10">
        <v>0.27155738400000001</v>
      </c>
      <c r="O879" s="9">
        <v>6.5385113750000001E-2</v>
      </c>
      <c r="P879" s="10">
        <v>0.25046800034557998</v>
      </c>
      <c r="Q879" s="10">
        <v>6.2734219197113694E-2</v>
      </c>
    </row>
    <row r="880" spans="1:17" x14ac:dyDescent="0.2">
      <c r="A880" s="10">
        <v>1682</v>
      </c>
      <c r="B880" s="10" t="s">
        <v>2822</v>
      </c>
      <c r="C880" s="9" t="s">
        <v>862</v>
      </c>
      <c r="D880" s="10">
        <v>-0.16070045399999999</v>
      </c>
      <c r="E880" s="10">
        <v>0.168986727</v>
      </c>
      <c r="F880" s="10">
        <v>-0.426984066</v>
      </c>
      <c r="G880" s="10">
        <v>-0.33743269999999997</v>
      </c>
      <c r="H880" s="9">
        <v>-0.1890326235</v>
      </c>
      <c r="I880" s="10">
        <v>0.26307415865369899</v>
      </c>
      <c r="J880" s="10">
        <v>6.9208012951351705E-2</v>
      </c>
      <c r="K880" s="10">
        <v>-0.211211607</v>
      </c>
      <c r="L880" s="10">
        <v>-3.5789149999999998E-3</v>
      </c>
      <c r="M880" s="10">
        <v>2.9874139999999999E-3</v>
      </c>
      <c r="N880" s="10">
        <v>-3.7092382E-2</v>
      </c>
      <c r="O880" s="9">
        <v>-6.2223872499999999E-2</v>
      </c>
      <c r="P880" s="10">
        <v>0.100864066567098</v>
      </c>
      <c r="Q880" s="10">
        <v>1.0173559924451899E-2</v>
      </c>
    </row>
    <row r="881" spans="1:17" x14ac:dyDescent="0.2">
      <c r="A881" s="10">
        <v>1682</v>
      </c>
      <c r="B881" s="10" t="s">
        <v>2823</v>
      </c>
      <c r="C881" s="9" t="s">
        <v>863</v>
      </c>
      <c r="D881" s="10">
        <v>0.23930193699999999</v>
      </c>
      <c r="E881" s="10">
        <v>-0.10834703800000001</v>
      </c>
      <c r="F881" s="10">
        <v>-0.300415508</v>
      </c>
      <c r="G881" s="10">
        <v>5.7371022000000001E-2</v>
      </c>
      <c r="H881" s="9">
        <v>-2.8022396500000001E-2</v>
      </c>
      <c r="I881" s="10">
        <v>0.230509862716753</v>
      </c>
      <c r="J881" s="10">
        <v>5.3134796809696697E-2</v>
      </c>
      <c r="K881" s="10">
        <v>1.818425E-3</v>
      </c>
      <c r="L881" s="10">
        <v>1.1746097520000001</v>
      </c>
      <c r="M881" s="10">
        <v>0.72566727900000005</v>
      </c>
      <c r="N881" s="10">
        <v>0.65392454099999997</v>
      </c>
      <c r="O881" s="9">
        <v>0.6390049995</v>
      </c>
      <c r="P881" s="10">
        <v>0.48325704858813201</v>
      </c>
      <c r="Q881" s="10">
        <v>0.23353737501011201</v>
      </c>
    </row>
    <row r="882" spans="1:17" x14ac:dyDescent="0.2">
      <c r="A882" s="10">
        <v>1682</v>
      </c>
      <c r="B882" s="10" t="s">
        <v>2821</v>
      </c>
      <c r="C882" s="9" t="s">
        <v>864</v>
      </c>
      <c r="D882" s="10">
        <v>0.32338811299999998</v>
      </c>
      <c r="E882" s="10">
        <v>-0.37755741100000001</v>
      </c>
      <c r="F882" s="10">
        <v>-0.31349797200000001</v>
      </c>
      <c r="G882" s="10">
        <v>0.39343510999999998</v>
      </c>
      <c r="H882" s="9">
        <v>6.4419597500000002E-3</v>
      </c>
      <c r="I882" s="10">
        <v>0.40826283979195799</v>
      </c>
      <c r="J882" s="10">
        <v>0.16667854635499399</v>
      </c>
      <c r="K882" s="10">
        <v>0.142403065</v>
      </c>
      <c r="L882" s="10">
        <v>0.146753672</v>
      </c>
      <c r="M882" s="10">
        <v>0.82473959299999999</v>
      </c>
      <c r="N882" s="10">
        <v>0.36071042800000003</v>
      </c>
      <c r="O882" s="9">
        <v>0.36865168949999999</v>
      </c>
      <c r="P882" s="10">
        <v>0.32067969981057798</v>
      </c>
      <c r="Q882" s="10">
        <v>0.10283546987060201</v>
      </c>
    </row>
    <row r="883" spans="1:17" x14ac:dyDescent="0.2">
      <c r="A883" s="63">
        <v>1682</v>
      </c>
      <c r="B883" s="63" t="s">
        <v>2820</v>
      </c>
      <c r="C883" s="64" t="s">
        <v>865</v>
      </c>
      <c r="D883" s="63">
        <v>-6.6365228999999998E-2</v>
      </c>
      <c r="E883" s="63">
        <v>-0.207593573</v>
      </c>
      <c r="F883" s="63">
        <v>-0.165360005</v>
      </c>
      <c r="G883" s="63">
        <v>-0.20652200200000001</v>
      </c>
      <c r="H883" s="64">
        <v>-0.16146020224999999</v>
      </c>
      <c r="I883" s="63">
        <v>6.6375487675228301E-2</v>
      </c>
      <c r="J883" s="63">
        <v>4.4057053641243004E-3</v>
      </c>
      <c r="K883" s="63">
        <v>0.11261015100000001</v>
      </c>
      <c r="L883" s="63">
        <v>-0.36050134099999998</v>
      </c>
      <c r="M883" s="63">
        <v>0.40750611199999998</v>
      </c>
      <c r="N883" s="63">
        <v>-0.18467007299999999</v>
      </c>
      <c r="O883" s="64">
        <v>-6.2637875000000004E-3</v>
      </c>
      <c r="P883" s="63">
        <v>0.33795936146343297</v>
      </c>
      <c r="Q883" s="63">
        <v>0.114216530000771</v>
      </c>
    </row>
    <row r="884" spans="1:17" x14ac:dyDescent="0.2">
      <c r="A884" s="10">
        <v>1682</v>
      </c>
      <c r="B884" s="10" t="s">
        <v>2824</v>
      </c>
      <c r="C884" s="9" t="s">
        <v>866</v>
      </c>
      <c r="D884" s="10">
        <v>0.200536876</v>
      </c>
      <c r="E884" s="10">
        <v>0.62228396900000005</v>
      </c>
      <c r="F884" s="10">
        <v>-7.9974569999999995E-3</v>
      </c>
      <c r="G884" s="10">
        <v>0.94639308200000005</v>
      </c>
      <c r="H884" s="9">
        <v>0.44030411725000002</v>
      </c>
      <c r="I884" s="10">
        <v>0.427280289792833</v>
      </c>
      <c r="J884" s="10">
        <v>0.182568446045447</v>
      </c>
      <c r="K884" s="10">
        <v>0.119223448</v>
      </c>
      <c r="L884" s="10">
        <v>8.7925981E-2</v>
      </c>
      <c r="M884" s="10">
        <v>-0.18127436899999999</v>
      </c>
      <c r="N884" s="10">
        <v>0.24285888999999999</v>
      </c>
      <c r="O884" s="9">
        <v>6.71834875E-2</v>
      </c>
      <c r="P884" s="10">
        <v>0.178635160803195</v>
      </c>
      <c r="Q884" s="10">
        <v>3.1910520675183497E-2</v>
      </c>
    </row>
    <row r="885" spans="1:17" x14ac:dyDescent="0.2">
      <c r="A885" s="10">
        <v>1682</v>
      </c>
      <c r="B885" s="10" t="s">
        <v>2814</v>
      </c>
      <c r="C885" s="9" t="s">
        <v>2490</v>
      </c>
      <c r="D885" s="10">
        <v>0.27723911600000001</v>
      </c>
      <c r="E885" s="10">
        <v>-1.3340393000000001E-2</v>
      </c>
      <c r="F885" s="10">
        <v>-0.44214052300000001</v>
      </c>
      <c r="G885" s="10">
        <v>0.123394684</v>
      </c>
      <c r="H885" s="9">
        <v>-1.371177875E-2</v>
      </c>
      <c r="I885" s="10">
        <v>0.30930132670835703</v>
      </c>
      <c r="J885" s="10">
        <v>9.5667310703549904E-2</v>
      </c>
      <c r="K885" s="10">
        <v>0.25446218599999998</v>
      </c>
      <c r="L885" s="10">
        <v>0.49983161599999998</v>
      </c>
      <c r="M885" s="10">
        <v>9.3478610000000004E-2</v>
      </c>
      <c r="N885" s="10">
        <v>8.0437047999999997E-2</v>
      </c>
      <c r="O885" s="9">
        <v>0.23205236525</v>
      </c>
      <c r="P885" s="10">
        <v>0.19527571727106199</v>
      </c>
      <c r="Q885" s="10">
        <v>3.81326057557278E-2</v>
      </c>
    </row>
    <row r="886" spans="1:17" x14ac:dyDescent="0.2">
      <c r="A886" s="10">
        <v>1682</v>
      </c>
      <c r="B886" s="10" t="s">
        <v>2825</v>
      </c>
      <c r="C886" s="9" t="s">
        <v>2489</v>
      </c>
      <c r="D886" s="10">
        <v>-0.30602085600000001</v>
      </c>
      <c r="E886" s="10">
        <v>-0.16276017200000001</v>
      </c>
      <c r="F886" s="10">
        <v>-0.286731442</v>
      </c>
      <c r="G886" s="10">
        <v>-0.36671367500000002</v>
      </c>
      <c r="H886" s="9">
        <v>-0.28055653600000002</v>
      </c>
      <c r="I886" s="10">
        <v>8.5606847524905105E-2</v>
      </c>
      <c r="J886" s="10">
        <v>7.3285323431523004E-3</v>
      </c>
      <c r="K886" s="10">
        <v>0.180673852</v>
      </c>
      <c r="L886" s="10">
        <v>0.169194546</v>
      </c>
      <c r="M886" s="10">
        <v>7.9588594999999998E-2</v>
      </c>
      <c r="N886" s="10">
        <v>0.281403289</v>
      </c>
      <c r="O886" s="9">
        <v>0.17771507025</v>
      </c>
      <c r="P886" s="10">
        <v>8.2586127922058203E-2</v>
      </c>
      <c r="Q886" s="10">
        <v>6.8204685251584997E-3</v>
      </c>
    </row>
    <row r="887" spans="1:17" x14ac:dyDescent="0.2">
      <c r="A887" s="10">
        <v>1682</v>
      </c>
      <c r="B887" s="10" t="s">
        <v>74</v>
      </c>
      <c r="C887" s="9" t="s">
        <v>2488</v>
      </c>
      <c r="D887" s="10">
        <v>-0.34624483499999997</v>
      </c>
      <c r="E887" s="10">
        <v>-0.47416578799999998</v>
      </c>
      <c r="F887" s="10">
        <v>0.40250521099999997</v>
      </c>
      <c r="G887" s="10">
        <v>-0.42318091299999999</v>
      </c>
      <c r="H887" s="9">
        <v>-0.2102715815</v>
      </c>
      <c r="I887" s="10">
        <v>0.41188779166095002</v>
      </c>
      <c r="J887" s="10">
        <v>0.16965155291933401</v>
      </c>
      <c r="K887" s="10">
        <v>-0.29036726499999999</v>
      </c>
      <c r="L887" s="10">
        <v>-0.27022792600000001</v>
      </c>
      <c r="M887" s="10">
        <v>0.62413840700000001</v>
      </c>
      <c r="N887" s="10">
        <v>-4.5253036000000003E-2</v>
      </c>
      <c r="O887" s="9">
        <v>4.5725449999999999E-3</v>
      </c>
      <c r="P887" s="10">
        <v>0.427726250563156</v>
      </c>
      <c r="Q887" s="10">
        <v>0.18294974542081599</v>
      </c>
    </row>
    <row r="888" spans="1:17" x14ac:dyDescent="0.2">
      <c r="A888" s="10">
        <v>1682</v>
      </c>
      <c r="B888" s="10" t="s">
        <v>2830</v>
      </c>
      <c r="C888" s="9" t="s">
        <v>867</v>
      </c>
      <c r="D888" s="10">
        <v>-0.67370085300000004</v>
      </c>
      <c r="E888" s="10">
        <v>-0.56224434499999998</v>
      </c>
      <c r="F888" s="10">
        <v>-5.5020600000000003E-2</v>
      </c>
      <c r="G888" s="10">
        <v>0.49816609000000001</v>
      </c>
      <c r="H888" s="9">
        <v>-0.19819992675000001</v>
      </c>
      <c r="I888" s="10">
        <v>0.53667352528218704</v>
      </c>
      <c r="J888" s="10">
        <v>0.28801847273881098</v>
      </c>
      <c r="K888" s="10">
        <v>0.22630006</v>
      </c>
      <c r="L888" s="10">
        <v>0.33688974300000002</v>
      </c>
      <c r="M888" s="10">
        <v>0.38152324399999998</v>
      </c>
      <c r="N888" s="10">
        <v>-0.34800740800000002</v>
      </c>
      <c r="O888" s="9">
        <v>0.14917640974999999</v>
      </c>
      <c r="P888" s="10">
        <v>0.33781708705855001</v>
      </c>
      <c r="Q888" s="10">
        <v>0.114120384308724</v>
      </c>
    </row>
    <row r="889" spans="1:17" x14ac:dyDescent="0.2">
      <c r="A889" s="10">
        <v>1683</v>
      </c>
      <c r="B889" s="10" t="s">
        <v>2831</v>
      </c>
      <c r="C889" s="9" t="s">
        <v>868</v>
      </c>
      <c r="D889" s="10">
        <v>-2.0995760469999998</v>
      </c>
      <c r="E889" s="10">
        <v>-1.0058598009999999</v>
      </c>
      <c r="F889" s="10">
        <v>-1.662188228</v>
      </c>
      <c r="G889" s="10">
        <v>-0.51637355699999998</v>
      </c>
      <c r="H889" s="9">
        <v>-1.320999408</v>
      </c>
      <c r="I889" s="10">
        <v>0.69983977349274196</v>
      </c>
      <c r="J889" s="10">
        <v>0.48977570856237201</v>
      </c>
      <c r="K889" s="10">
        <v>-0.75724896799999997</v>
      </c>
      <c r="L889" s="10">
        <v>-0.37066406499999999</v>
      </c>
      <c r="M889" s="10">
        <v>0.46803514400000001</v>
      </c>
      <c r="N889" s="10">
        <v>-0.489795653</v>
      </c>
      <c r="O889" s="9">
        <v>-0.28741838575</v>
      </c>
      <c r="P889" s="10">
        <v>0.52894146274815701</v>
      </c>
      <c r="Q889" s="10">
        <v>0.279779071014159</v>
      </c>
    </row>
    <row r="890" spans="1:17" x14ac:dyDescent="0.2">
      <c r="A890" s="10">
        <v>1683</v>
      </c>
      <c r="B890" s="10" t="s">
        <v>2822</v>
      </c>
      <c r="C890" s="9" t="s">
        <v>869</v>
      </c>
      <c r="D890" s="10">
        <v>0.26085762600000001</v>
      </c>
      <c r="E890" s="10">
        <v>-0.40279158100000001</v>
      </c>
      <c r="F890" s="10">
        <v>-1.6214389999999999E-3</v>
      </c>
      <c r="G890" s="10">
        <v>0.21757306300000001</v>
      </c>
      <c r="H890" s="9">
        <v>1.8504417249999999E-2</v>
      </c>
      <c r="I890" s="10">
        <v>0.30345717531112398</v>
      </c>
      <c r="J890" s="10">
        <v>9.2086257247806502E-2</v>
      </c>
      <c r="K890" s="10">
        <v>-0.13506073599999999</v>
      </c>
      <c r="L890" s="10">
        <v>-6.6243880000000002E-3</v>
      </c>
      <c r="M890" s="10">
        <v>8.9181931000000006E-2</v>
      </c>
      <c r="N890" s="10">
        <v>-0.396225679</v>
      </c>
      <c r="O890" s="9">
        <v>-0.112182218</v>
      </c>
      <c r="P890" s="10">
        <v>0.21047097210742799</v>
      </c>
      <c r="Q890" s="10">
        <v>4.4298030099845898E-2</v>
      </c>
    </row>
    <row r="891" spans="1:17" x14ac:dyDescent="0.2">
      <c r="A891" s="10">
        <v>1683</v>
      </c>
      <c r="B891" s="10" t="s">
        <v>2826</v>
      </c>
      <c r="C891" s="9" t="s">
        <v>2487</v>
      </c>
      <c r="D891" s="10">
        <v>-0.20628038800000001</v>
      </c>
      <c r="E891" s="10">
        <v>-0.21693193199999999</v>
      </c>
      <c r="F891" s="10">
        <v>-0.21898314499999999</v>
      </c>
      <c r="G891" s="10">
        <v>-1.1076613000000001E-2</v>
      </c>
      <c r="H891" s="9">
        <v>-0.16331801925</v>
      </c>
      <c r="I891" s="10">
        <v>0.101646886771011</v>
      </c>
      <c r="J891" s="10">
        <v>1.03320895902388E-2</v>
      </c>
      <c r="K891" s="10">
        <v>7.0465897999999999E-2</v>
      </c>
      <c r="L891" s="10">
        <v>-0.41948752099999997</v>
      </c>
      <c r="M891" s="10">
        <v>-0.73009202299999998</v>
      </c>
      <c r="N891" s="10">
        <v>1.0863062880000001</v>
      </c>
      <c r="O891" s="9">
        <v>1.7981605E-3</v>
      </c>
      <c r="P891" s="10">
        <v>0.79456864669402105</v>
      </c>
      <c r="Q891" s="10">
        <v>0.631339334309169</v>
      </c>
    </row>
    <row r="892" spans="1:17" x14ac:dyDescent="0.2">
      <c r="A892" s="10">
        <v>1683</v>
      </c>
      <c r="B892" s="10" t="s">
        <v>2821</v>
      </c>
      <c r="C892" s="9" t="s">
        <v>870</v>
      </c>
      <c r="D892" s="10">
        <v>-0.32257214499999998</v>
      </c>
      <c r="E892" s="10">
        <v>-0.26321440299999999</v>
      </c>
      <c r="F892" s="10">
        <v>-0.41108214900000001</v>
      </c>
      <c r="G892" s="10">
        <v>-1.3970099999999999E-2</v>
      </c>
      <c r="H892" s="9">
        <v>-0.25270969924999998</v>
      </c>
      <c r="I892" s="10">
        <v>0.17036190812200699</v>
      </c>
      <c r="J892" s="10">
        <v>2.90231797389712E-2</v>
      </c>
      <c r="K892" s="10">
        <v>0.25689080600000003</v>
      </c>
      <c r="L892" s="10">
        <v>0.22023308899999999</v>
      </c>
      <c r="M892" s="10">
        <v>0.111056536</v>
      </c>
      <c r="N892" s="10">
        <v>9.4759552999999996E-2</v>
      </c>
      <c r="O892" s="9">
        <v>0.170734996</v>
      </c>
      <c r="P892" s="10">
        <v>8.0013897406243498E-2</v>
      </c>
      <c r="Q892" s="10">
        <v>6.4022237781368001E-3</v>
      </c>
    </row>
    <row r="893" spans="1:17" x14ac:dyDescent="0.2">
      <c r="A893" s="10">
        <v>1683</v>
      </c>
      <c r="B893" s="10" t="s">
        <v>2834</v>
      </c>
      <c r="C893" s="9" t="s">
        <v>871</v>
      </c>
      <c r="D893" s="10">
        <v>0.61307926800000001</v>
      </c>
      <c r="E893" s="10">
        <v>-1.974260642</v>
      </c>
      <c r="F893" s="10">
        <v>-0.64621103999999996</v>
      </c>
      <c r="G893" s="10">
        <v>-0.40349995700000002</v>
      </c>
      <c r="H893" s="9">
        <v>-0.60272309275000002</v>
      </c>
      <c r="I893" s="10">
        <v>1.0647177542713699</v>
      </c>
      <c r="J893" s="10">
        <v>1.1336238962606799</v>
      </c>
      <c r="K893" s="10">
        <v>0.45826128900000002</v>
      </c>
      <c r="L893" s="10">
        <v>-0.44362735599999997</v>
      </c>
      <c r="M893" s="10">
        <v>-2.1232379999999999E-2</v>
      </c>
      <c r="N893" s="10">
        <v>0.72223247199999996</v>
      </c>
      <c r="O893" s="9">
        <v>0.17890850624999999</v>
      </c>
      <c r="P893" s="10">
        <v>0.51667081174404805</v>
      </c>
      <c r="Q893" s="10">
        <v>0.26694872770825401</v>
      </c>
    </row>
    <row r="894" spans="1:17" x14ac:dyDescent="0.2">
      <c r="A894" s="10">
        <v>1683</v>
      </c>
      <c r="B894" s="10" t="s">
        <v>79</v>
      </c>
      <c r="C894" s="9" t="s">
        <v>2486</v>
      </c>
      <c r="D894" s="10">
        <v>-0.28173302900000002</v>
      </c>
      <c r="E894" s="10">
        <v>-6.9821626999999997E-2</v>
      </c>
      <c r="F894" s="10">
        <v>0.18852121499999999</v>
      </c>
      <c r="G894" s="10">
        <v>6.1693396999999997E-2</v>
      </c>
      <c r="H894" s="9">
        <v>-2.5335010750000001E-2</v>
      </c>
      <c r="I894" s="10">
        <v>0.20085436833307599</v>
      </c>
      <c r="J894" s="10">
        <v>4.0342477278479102E-2</v>
      </c>
      <c r="K894" s="10">
        <v>0.38889483899999999</v>
      </c>
      <c r="L894" s="10">
        <v>-1.161437697</v>
      </c>
      <c r="M894" s="10">
        <v>-0.234909268</v>
      </c>
      <c r="N894" s="10">
        <v>0.32093386899999998</v>
      </c>
      <c r="O894" s="9">
        <v>-0.1716295645</v>
      </c>
      <c r="P894" s="10">
        <v>0.716596307316405</v>
      </c>
      <c r="Q894" s="10">
        <v>0.51351026765950802</v>
      </c>
    </row>
    <row r="895" spans="1:17" x14ac:dyDescent="0.2">
      <c r="A895" s="10">
        <v>1683</v>
      </c>
      <c r="B895" s="10" t="s">
        <v>2824</v>
      </c>
      <c r="C895" s="9" t="s">
        <v>872</v>
      </c>
      <c r="D895" s="10">
        <v>3.5527885000000002E-2</v>
      </c>
      <c r="E895" s="10">
        <v>3.6409782000000002E-2</v>
      </c>
      <c r="F895" s="10">
        <v>4.9342302999999997E-2</v>
      </c>
      <c r="G895" s="10">
        <v>0.14783689899999999</v>
      </c>
      <c r="H895" s="9">
        <v>6.7279217000000002E-2</v>
      </c>
      <c r="I895" s="10">
        <v>5.4075077790204297E-2</v>
      </c>
      <c r="J895" s="10">
        <v>2.9241140380166001E-3</v>
      </c>
      <c r="K895" s="10">
        <v>9.5372899999999997E-2</v>
      </c>
      <c r="L895" s="10">
        <v>-4.6019777999999997E-2</v>
      </c>
      <c r="M895" s="10">
        <v>-4.7262035000000001E-2</v>
      </c>
      <c r="N895" s="10">
        <v>0.32981234700000001</v>
      </c>
      <c r="O895" s="9">
        <v>8.2975858750000006E-2</v>
      </c>
      <c r="P895" s="10">
        <v>0.17765483559637099</v>
      </c>
      <c r="Q895" s="10">
        <v>3.1561240610773603E-2</v>
      </c>
    </row>
    <row r="896" spans="1:17" x14ac:dyDescent="0.2">
      <c r="A896" s="10">
        <v>1683</v>
      </c>
      <c r="B896" s="10" t="s">
        <v>82</v>
      </c>
      <c r="C896" s="9" t="s">
        <v>874</v>
      </c>
      <c r="D896" s="10">
        <v>-1.7812191390000001</v>
      </c>
      <c r="E896" s="10">
        <v>-1.8023596799999999</v>
      </c>
      <c r="F896" s="10">
        <v>-1.158400906</v>
      </c>
      <c r="G896" s="10">
        <v>-0.469456973</v>
      </c>
      <c r="H896" s="9">
        <v>-1.3028591745</v>
      </c>
      <c r="I896" s="10">
        <v>0.63080806151957702</v>
      </c>
      <c r="J896" s="10">
        <v>0.39791881047808703</v>
      </c>
      <c r="K896" s="10">
        <v>0.18700592099999999</v>
      </c>
      <c r="L896" s="10">
        <v>-0.47743850799999998</v>
      </c>
      <c r="M896" s="10">
        <v>0.13599170199999999</v>
      </c>
      <c r="N896" s="10">
        <v>0.49980592000000001</v>
      </c>
      <c r="O896" s="9">
        <v>8.6341258500000004E-2</v>
      </c>
      <c r="P896" s="10">
        <v>0.40881910924029702</v>
      </c>
      <c r="Q896" s="10">
        <v>0.16713306408002901</v>
      </c>
    </row>
    <row r="897" spans="1:17" x14ac:dyDescent="0.2">
      <c r="A897" s="10">
        <v>1683</v>
      </c>
      <c r="B897" s="10" t="s">
        <v>2814</v>
      </c>
      <c r="C897" s="9" t="s">
        <v>2485</v>
      </c>
      <c r="D897" s="10">
        <v>-0.49833894099999998</v>
      </c>
      <c r="E897" s="10">
        <v>8.3027490999999995E-2</v>
      </c>
      <c r="F897" s="10">
        <v>-0.14142880299999999</v>
      </c>
      <c r="G897" s="10">
        <v>1.1107156E-2</v>
      </c>
      <c r="H897" s="9">
        <v>-0.136408274</v>
      </c>
      <c r="I897" s="10">
        <v>0.25879971050713102</v>
      </c>
      <c r="J897" s="10">
        <v>6.6977290158574898E-2</v>
      </c>
      <c r="K897" s="10">
        <v>0.19784364600000001</v>
      </c>
      <c r="L897" s="10">
        <v>-0.197313984</v>
      </c>
      <c r="M897" s="10">
        <v>-0.41226010899999999</v>
      </c>
      <c r="N897" s="10">
        <v>-0.11996979100000001</v>
      </c>
      <c r="O897" s="9">
        <v>-0.1329250595</v>
      </c>
      <c r="P897" s="10">
        <v>0.252817311510035</v>
      </c>
      <c r="Q897" s="10">
        <v>6.3916592999162303E-2</v>
      </c>
    </row>
    <row r="898" spans="1:17" x14ac:dyDescent="0.2">
      <c r="A898" s="10">
        <v>1683</v>
      </c>
      <c r="B898" s="10" t="s">
        <v>2833</v>
      </c>
      <c r="C898" s="9" t="s">
        <v>875</v>
      </c>
      <c r="D898" s="10">
        <v>0.39361353799999999</v>
      </c>
      <c r="E898" s="10">
        <v>-1.1882162599999999</v>
      </c>
      <c r="F898" s="10">
        <v>0.66817500900000004</v>
      </c>
      <c r="G898" s="10">
        <v>0.75269571800000001</v>
      </c>
      <c r="H898" s="9">
        <v>0.15656700125</v>
      </c>
      <c r="I898" s="10">
        <v>0.90953198236808896</v>
      </c>
      <c r="J898" s="10">
        <v>0.827248426950426</v>
      </c>
      <c r="K898" s="10">
        <v>-1.7232503999999999E-2</v>
      </c>
      <c r="L898" s="10">
        <v>-0.277554352</v>
      </c>
      <c r="M898" s="10">
        <v>-6.1741206E-2</v>
      </c>
      <c r="N898" s="10">
        <v>1.0625141250000001</v>
      </c>
      <c r="O898" s="9">
        <v>0.17649651575</v>
      </c>
      <c r="P898" s="10">
        <v>0.60151961441101798</v>
      </c>
      <c r="Q898" s="10">
        <v>0.36182584652117999</v>
      </c>
    </row>
    <row r="899" spans="1:17" x14ac:dyDescent="0.2">
      <c r="A899" s="10">
        <v>1683</v>
      </c>
      <c r="B899" s="10" t="s">
        <v>2825</v>
      </c>
      <c r="C899" s="9" t="s">
        <v>876</v>
      </c>
      <c r="D899" s="10">
        <v>-0.181238127</v>
      </c>
      <c r="E899" s="10">
        <v>-0.25834107699999997</v>
      </c>
      <c r="F899" s="10">
        <v>-3.0127477999999999E-2</v>
      </c>
      <c r="G899" s="10">
        <v>-0.13595518000000001</v>
      </c>
      <c r="H899" s="9">
        <v>-0.15141546550000001</v>
      </c>
      <c r="I899" s="10">
        <v>9.5345466372090196E-2</v>
      </c>
      <c r="J899" s="10">
        <v>9.0907579577113005E-3</v>
      </c>
      <c r="K899" s="10">
        <v>7.077174E-2</v>
      </c>
      <c r="L899" s="10">
        <v>9.9736906E-2</v>
      </c>
      <c r="M899" s="10">
        <v>0.10952012899999999</v>
      </c>
      <c r="N899" s="10">
        <v>1.454887E-2</v>
      </c>
      <c r="O899" s="9">
        <v>7.364441125E-2</v>
      </c>
      <c r="P899" s="10">
        <v>4.2694342490535601E-2</v>
      </c>
      <c r="Q899" s="10">
        <v>1.8228068806991E-3</v>
      </c>
    </row>
    <row r="900" spans="1:17" x14ac:dyDescent="0.2">
      <c r="A900" s="10">
        <v>1683</v>
      </c>
      <c r="B900" s="10" t="s">
        <v>74</v>
      </c>
      <c r="C900" s="9" t="s">
        <v>2484</v>
      </c>
      <c r="D900" s="10">
        <v>-7.7176471999999996E-2</v>
      </c>
      <c r="E900" s="10">
        <v>-0.36130772</v>
      </c>
      <c r="F900" s="10">
        <v>-0.22528225499999999</v>
      </c>
      <c r="G900" s="10">
        <v>-0.32296359699999999</v>
      </c>
      <c r="H900" s="9">
        <v>-0.24668251124999999</v>
      </c>
      <c r="I900" s="10">
        <v>0.126685977695465</v>
      </c>
      <c r="J900" s="10">
        <v>1.6049336944656E-2</v>
      </c>
      <c r="K900" s="10">
        <v>-0.16649367700000001</v>
      </c>
      <c r="L900" s="10">
        <v>-0.160687576</v>
      </c>
      <c r="M900" s="10">
        <v>0.21214828099999999</v>
      </c>
      <c r="N900" s="10">
        <v>0.33637702600000002</v>
      </c>
      <c r="O900" s="9">
        <v>5.5336013500000003E-2</v>
      </c>
      <c r="P900" s="10">
        <v>0.25784280789743902</v>
      </c>
      <c r="Q900" s="10">
        <v>6.6482913584435602E-2</v>
      </c>
    </row>
    <row r="901" spans="1:17" x14ac:dyDescent="0.2">
      <c r="A901" s="10">
        <v>1683</v>
      </c>
      <c r="B901" s="10" t="s">
        <v>2818</v>
      </c>
      <c r="C901" s="9" t="s">
        <v>2483</v>
      </c>
      <c r="D901" s="10">
        <v>0.53686390900000003</v>
      </c>
      <c r="E901" s="10">
        <v>0.91463955399999997</v>
      </c>
      <c r="F901" s="10">
        <v>2.0921118999999998E-2</v>
      </c>
      <c r="G901" s="10">
        <v>0.35876068799999999</v>
      </c>
      <c r="H901" s="9">
        <v>0.45779631749999999</v>
      </c>
      <c r="I901" s="10">
        <v>0.372212046077806</v>
      </c>
      <c r="J901" s="10">
        <v>0.138541807245427</v>
      </c>
      <c r="K901" s="10">
        <v>3.8259375999999998E-2</v>
      </c>
      <c r="L901" s="10">
        <v>0.38972125899999999</v>
      </c>
      <c r="M901" s="10">
        <v>-0.37331465800000002</v>
      </c>
      <c r="N901" s="10">
        <v>0.49309849700000002</v>
      </c>
      <c r="O901" s="9">
        <v>0.13694111824999999</v>
      </c>
      <c r="P901" s="10">
        <v>0.39193746161245502</v>
      </c>
      <c r="Q901" s="10">
        <v>0.15361497381521499</v>
      </c>
    </row>
    <row r="902" spans="1:17" x14ac:dyDescent="0.2">
      <c r="A902" s="10">
        <v>1683</v>
      </c>
      <c r="B902" s="10" t="s">
        <v>2830</v>
      </c>
      <c r="C902" s="9" t="s">
        <v>877</v>
      </c>
      <c r="D902" s="10">
        <v>-0.66352558500000003</v>
      </c>
      <c r="E902" s="10">
        <v>-0.92646877299999997</v>
      </c>
      <c r="F902" s="10">
        <v>-1.452352359</v>
      </c>
      <c r="G902" s="10">
        <v>-1.3439293670000001</v>
      </c>
      <c r="H902" s="9">
        <v>-1.0965690207500001</v>
      </c>
      <c r="I902" s="10">
        <v>0.36707385097280198</v>
      </c>
      <c r="J902" s="10">
        <v>0.13474321206800299</v>
      </c>
      <c r="K902" s="10">
        <v>0.15503921600000001</v>
      </c>
      <c r="L902" s="10">
        <v>-0.16580441800000001</v>
      </c>
      <c r="M902" s="10">
        <v>0.49232905500000002</v>
      </c>
      <c r="N902" s="10">
        <v>0.119269523</v>
      </c>
      <c r="O902" s="9">
        <v>0.15020834424999999</v>
      </c>
      <c r="P902" s="10">
        <v>0.26950027496038198</v>
      </c>
      <c r="Q902" s="10">
        <v>7.2630398203721497E-2</v>
      </c>
    </row>
    <row r="903" spans="1:17" x14ac:dyDescent="0.2">
      <c r="A903" s="10">
        <v>1683</v>
      </c>
      <c r="B903" s="10" t="s">
        <v>2835</v>
      </c>
      <c r="C903" s="9" t="s">
        <v>878</v>
      </c>
      <c r="D903" s="10">
        <v>0.16555108299999999</v>
      </c>
      <c r="E903" s="10">
        <v>-4.2417202000000001E-2</v>
      </c>
      <c r="F903" s="10">
        <v>-0.27524324900000002</v>
      </c>
      <c r="G903" s="10">
        <v>-4.6819590000000001E-2</v>
      </c>
      <c r="H903" s="9">
        <v>-4.9732239249999997E-2</v>
      </c>
      <c r="I903" s="10">
        <v>0.18005935841001999</v>
      </c>
      <c r="J903" s="10">
        <v>3.2421372551028102E-2</v>
      </c>
      <c r="K903" s="10">
        <v>-0.13864696300000001</v>
      </c>
      <c r="L903" s="10">
        <v>6.7450626E-2</v>
      </c>
      <c r="M903" s="10">
        <v>-0.28274210700000002</v>
      </c>
      <c r="N903" s="10">
        <v>0.24046241900000001</v>
      </c>
      <c r="O903" s="9">
        <v>-2.8369006249999999E-2</v>
      </c>
      <c r="P903" s="10">
        <v>0.229723485417139</v>
      </c>
      <c r="Q903" s="10">
        <v>5.2772879752198701E-2</v>
      </c>
    </row>
    <row r="904" spans="1:17" x14ac:dyDescent="0.2">
      <c r="A904" s="10">
        <v>1684</v>
      </c>
      <c r="B904" s="10" t="s">
        <v>2822</v>
      </c>
      <c r="C904" s="9" t="s">
        <v>879</v>
      </c>
      <c r="D904" s="10">
        <v>9.3135512000000004E-2</v>
      </c>
      <c r="E904" s="10">
        <v>-0.54889628199999996</v>
      </c>
      <c r="F904" s="10">
        <v>-0.29499362000000001</v>
      </c>
      <c r="G904" s="10">
        <v>-0.30002831099999999</v>
      </c>
      <c r="H904" s="9">
        <v>-0.26269567500000002</v>
      </c>
      <c r="I904" s="10">
        <v>0.26518138701080801</v>
      </c>
      <c r="J904" s="10">
        <v>7.0321168016976299E-2</v>
      </c>
      <c r="K904" s="10">
        <v>0.133687208</v>
      </c>
      <c r="L904" s="10">
        <v>0.26121203599999998</v>
      </c>
      <c r="M904" s="10">
        <v>0.16176601900000001</v>
      </c>
      <c r="N904" s="10">
        <v>0.450825482</v>
      </c>
      <c r="O904" s="9">
        <v>0.25187268624999998</v>
      </c>
      <c r="P904" s="10">
        <v>0.143476429124063</v>
      </c>
      <c r="Q904" s="10">
        <v>2.05854857141924E-2</v>
      </c>
    </row>
    <row r="905" spans="1:17" x14ac:dyDescent="0.2">
      <c r="A905" s="10">
        <v>1684</v>
      </c>
      <c r="B905" s="10" t="s">
        <v>96</v>
      </c>
      <c r="C905" s="9" t="s">
        <v>2482</v>
      </c>
      <c r="D905" s="10">
        <v>-0.103069862</v>
      </c>
      <c r="E905" s="10">
        <v>-0.19575637500000001</v>
      </c>
      <c r="F905" s="10">
        <v>-0.52214303299999998</v>
      </c>
      <c r="G905" s="10">
        <v>-0.146166096</v>
      </c>
      <c r="H905" s="9">
        <v>-0.24178384150000001</v>
      </c>
      <c r="I905" s="10">
        <v>0.190704068558391</v>
      </c>
      <c r="J905" s="10">
        <v>3.6368041764723802E-2</v>
      </c>
      <c r="K905" s="10">
        <v>0.162900555</v>
      </c>
      <c r="L905" s="10">
        <v>-5.3416064999999999E-2</v>
      </c>
      <c r="M905" s="10">
        <v>3.4884861000000003E-2</v>
      </c>
      <c r="N905" s="10">
        <v>0.109886355</v>
      </c>
      <c r="O905" s="9">
        <v>6.3563926749999999E-2</v>
      </c>
      <c r="P905" s="10">
        <v>9.4021877512945495E-2</v>
      </c>
      <c r="Q905" s="10">
        <v>8.8401134510592994E-3</v>
      </c>
    </row>
    <row r="906" spans="1:17" x14ac:dyDescent="0.2">
      <c r="A906" s="10">
        <v>1684</v>
      </c>
      <c r="B906" s="10" t="s">
        <v>2826</v>
      </c>
      <c r="C906" s="9" t="s">
        <v>2481</v>
      </c>
      <c r="D906" s="10">
        <v>-0.79056942600000002</v>
      </c>
      <c r="E906" s="10">
        <v>-0.439736707</v>
      </c>
      <c r="F906" s="10">
        <v>-0.97998960999999996</v>
      </c>
      <c r="G906" s="10">
        <v>-0.59826123099999995</v>
      </c>
      <c r="H906" s="9">
        <v>-0.70213924350000001</v>
      </c>
      <c r="I906" s="10">
        <v>0.23428362866673</v>
      </c>
      <c r="J906" s="10">
        <v>5.4888818661250498E-2</v>
      </c>
      <c r="K906" s="10">
        <v>-0.16420105199999999</v>
      </c>
      <c r="L906" s="10">
        <v>-0.18957010899999999</v>
      </c>
      <c r="M906" s="10">
        <v>0.66202078099999995</v>
      </c>
      <c r="N906" s="10">
        <v>0.60994844999999998</v>
      </c>
      <c r="O906" s="9">
        <v>0.22954951749999999</v>
      </c>
      <c r="P906" s="10">
        <v>0.46990620124286497</v>
      </c>
      <c r="Q906" s="10">
        <v>0.220811837966499</v>
      </c>
    </row>
    <row r="907" spans="1:17" x14ac:dyDescent="0.2">
      <c r="A907" s="10">
        <v>1684</v>
      </c>
      <c r="B907" s="10" t="s">
        <v>2821</v>
      </c>
      <c r="C907" s="9" t="s">
        <v>2480</v>
      </c>
      <c r="D907" s="10">
        <v>-1.1793389649999999</v>
      </c>
      <c r="E907" s="10">
        <v>-1.1189396490000001</v>
      </c>
      <c r="F907" s="10">
        <v>-1.480811477</v>
      </c>
      <c r="G907" s="10">
        <v>-2.5606777200000002</v>
      </c>
      <c r="H907" s="9">
        <v>-1.5849419527499999</v>
      </c>
      <c r="I907" s="10">
        <v>0.66947127751256097</v>
      </c>
      <c r="J907" s="10">
        <v>0.44819179141429999</v>
      </c>
      <c r="K907" s="10">
        <v>-0.15017570999999999</v>
      </c>
      <c r="L907" s="10">
        <v>-0.113410627</v>
      </c>
      <c r="M907" s="10">
        <v>0.110155138</v>
      </c>
      <c r="N907" s="10">
        <v>-0.316732607</v>
      </c>
      <c r="O907" s="9">
        <v>-0.11754095175</v>
      </c>
      <c r="P907" s="10">
        <v>0.17569377890452001</v>
      </c>
      <c r="Q907" s="10">
        <v>3.0868303945750401E-2</v>
      </c>
    </row>
    <row r="908" spans="1:17" x14ac:dyDescent="0.2">
      <c r="A908" s="10">
        <v>1684</v>
      </c>
      <c r="B908" s="10" t="s">
        <v>2834</v>
      </c>
      <c r="C908" s="9" t="s">
        <v>880</v>
      </c>
      <c r="D908" s="10">
        <v>-0.406246045</v>
      </c>
      <c r="E908" s="10">
        <v>3.0521138999999999E-2</v>
      </c>
      <c r="F908" s="10">
        <v>-0.59809672800000002</v>
      </c>
      <c r="G908" s="10">
        <v>-0.38629509499999998</v>
      </c>
      <c r="H908" s="9">
        <v>-0.34002918225000001</v>
      </c>
      <c r="I908" s="10">
        <v>0.264846877989873</v>
      </c>
      <c r="J908" s="10">
        <v>7.0143868780983096E-2</v>
      </c>
      <c r="K908" s="10">
        <v>-0.34278096800000002</v>
      </c>
      <c r="L908" s="10">
        <v>-7.0092979999999997E-3</v>
      </c>
      <c r="M908" s="10">
        <v>0.177228249</v>
      </c>
      <c r="N908" s="10">
        <v>-0.76103685099999996</v>
      </c>
      <c r="O908" s="9">
        <v>-0.23339971700000001</v>
      </c>
      <c r="P908" s="10">
        <v>0.41240479770986799</v>
      </c>
      <c r="Q908" s="10">
        <v>0.17007771717411699</v>
      </c>
    </row>
    <row r="909" spans="1:17" x14ac:dyDescent="0.2">
      <c r="A909" s="10">
        <v>1684</v>
      </c>
      <c r="B909" s="10" t="s">
        <v>2820</v>
      </c>
      <c r="C909" s="9" t="s">
        <v>881</v>
      </c>
      <c r="D909" s="10">
        <v>-1.3843299520000001</v>
      </c>
      <c r="E909" s="10">
        <v>-0.77595559599999997</v>
      </c>
      <c r="F909" s="10">
        <v>-0.97110974800000005</v>
      </c>
      <c r="G909" s="10">
        <v>-3.4168339890000001</v>
      </c>
      <c r="H909" s="9">
        <v>-1.6370573212499999</v>
      </c>
      <c r="I909" s="10">
        <v>1.2133230487359099</v>
      </c>
      <c r="J909" s="10">
        <v>1.4721528205937999</v>
      </c>
      <c r="K909" s="10">
        <v>0.125328563</v>
      </c>
      <c r="L909" s="10">
        <v>-9.3408262000000006E-2</v>
      </c>
      <c r="M909" s="10">
        <v>-0.26167877099999998</v>
      </c>
      <c r="N909" s="10">
        <v>0.186071394</v>
      </c>
      <c r="O909" s="9">
        <v>-1.0921769E-2</v>
      </c>
      <c r="P909" s="10">
        <v>0.20579403523775999</v>
      </c>
      <c r="Q909" s="10">
        <v>4.2351184939440602E-2</v>
      </c>
    </row>
    <row r="910" spans="1:17" x14ac:dyDescent="0.2">
      <c r="A910" s="10">
        <v>1684</v>
      </c>
      <c r="B910" s="10" t="s">
        <v>82</v>
      </c>
      <c r="C910" s="9" t="s">
        <v>882</v>
      </c>
      <c r="D910" s="10">
        <v>-1.378112878</v>
      </c>
      <c r="E910" s="10">
        <v>-1.0771596670000001</v>
      </c>
      <c r="F910" s="10">
        <v>-1.2750896860000001</v>
      </c>
      <c r="G910" s="10">
        <v>-1.0563850109999999</v>
      </c>
      <c r="H910" s="9">
        <v>-1.1966868102499999</v>
      </c>
      <c r="I910" s="10">
        <v>0.15602752089657199</v>
      </c>
      <c r="J910" s="10">
        <v>2.4344587277130202E-2</v>
      </c>
      <c r="K910" s="10">
        <v>1.0120825E-2</v>
      </c>
      <c r="L910" s="10">
        <v>-0.125146432</v>
      </c>
      <c r="M910" s="10">
        <v>-0.28173492</v>
      </c>
      <c r="N910" s="10">
        <v>0.16826914000000001</v>
      </c>
      <c r="O910" s="9">
        <v>-5.7122846499999998E-2</v>
      </c>
      <c r="P910" s="10">
        <v>0.191834173772958</v>
      </c>
      <c r="Q910" s="10">
        <v>3.6800350227153701E-2</v>
      </c>
    </row>
    <row r="911" spans="1:17" x14ac:dyDescent="0.2">
      <c r="A911" s="10">
        <v>1684</v>
      </c>
      <c r="B911" s="10" t="s">
        <v>2814</v>
      </c>
      <c r="C911" s="9" t="s">
        <v>883</v>
      </c>
      <c r="D911" s="10">
        <v>-1.1937011239999999</v>
      </c>
      <c r="E911" s="10">
        <v>-0.397559518</v>
      </c>
      <c r="F911" s="10">
        <v>-3.075607491</v>
      </c>
      <c r="G911" s="10">
        <v>-1.074854193</v>
      </c>
      <c r="H911" s="9">
        <v>-1.4354305814999999</v>
      </c>
      <c r="I911" s="10">
        <v>1.1483038363131499</v>
      </c>
      <c r="J911" s="10">
        <v>1.31860170049151</v>
      </c>
      <c r="K911" s="10">
        <v>0.13981077</v>
      </c>
      <c r="L911" s="10">
        <v>0.40087297300000002</v>
      </c>
      <c r="M911" s="10">
        <v>0.31998237400000001</v>
      </c>
      <c r="N911" s="10">
        <v>-4.1447512999999998E-2</v>
      </c>
      <c r="O911" s="9">
        <v>0.204804651</v>
      </c>
      <c r="P911" s="10">
        <v>0.19712350410295601</v>
      </c>
      <c r="Q911" s="10">
        <v>3.8857675869828398E-2</v>
      </c>
    </row>
    <row r="912" spans="1:17" x14ac:dyDescent="0.2">
      <c r="A912" s="10">
        <v>1684</v>
      </c>
      <c r="B912" s="10" t="s">
        <v>2825</v>
      </c>
      <c r="C912" s="9" t="s">
        <v>884</v>
      </c>
      <c r="D912" s="10">
        <v>-2.0465103830000002</v>
      </c>
      <c r="E912" s="10">
        <v>-1.403614739</v>
      </c>
      <c r="F912" s="10">
        <v>-1.811689305</v>
      </c>
      <c r="G912" s="10">
        <v>-1.5333920759999999</v>
      </c>
      <c r="H912" s="9">
        <v>-1.69880162575</v>
      </c>
      <c r="I912" s="10">
        <v>0.28759962056792598</v>
      </c>
      <c r="J912" s="10">
        <v>8.2713541750815106E-2</v>
      </c>
      <c r="K912" s="10">
        <v>-0.125029736</v>
      </c>
      <c r="L912" s="10">
        <v>4.5718553000000002E-2</v>
      </c>
      <c r="M912" s="10">
        <v>-0.155510659</v>
      </c>
      <c r="N912" s="10">
        <v>-0.112074207</v>
      </c>
      <c r="O912" s="9">
        <v>-8.6724012000000003E-2</v>
      </c>
      <c r="P912" s="10">
        <v>9.0152827108534603E-2</v>
      </c>
      <c r="Q912" s="10">
        <v>8.1275322356612993E-3</v>
      </c>
    </row>
    <row r="913" spans="1:17" x14ac:dyDescent="0.2">
      <c r="A913" s="10">
        <v>1684</v>
      </c>
      <c r="B913" s="10" t="s">
        <v>74</v>
      </c>
      <c r="C913" s="9" t="s">
        <v>885</v>
      </c>
      <c r="D913" s="10">
        <v>0.45902791599999998</v>
      </c>
      <c r="E913" s="10">
        <v>-0.31587674399999999</v>
      </c>
      <c r="F913" s="10">
        <v>-7.5510621999999999E-2</v>
      </c>
      <c r="G913" s="10">
        <v>0.41909309700000003</v>
      </c>
      <c r="H913" s="9">
        <v>0.12168341175</v>
      </c>
      <c r="I913" s="10">
        <v>0.37973596628655099</v>
      </c>
      <c r="J913" s="10">
        <v>0.14419940409158</v>
      </c>
      <c r="K913" s="10">
        <v>-0.10050155500000001</v>
      </c>
      <c r="L913" s="10">
        <v>0.86130691199999998</v>
      </c>
      <c r="M913" s="10">
        <v>0.70796081600000005</v>
      </c>
      <c r="N913" s="10">
        <v>0.65941491600000002</v>
      </c>
      <c r="O913" s="9">
        <v>0.53204527199999996</v>
      </c>
      <c r="P913" s="10">
        <v>0.43038665591022501</v>
      </c>
      <c r="Q913" s="10">
        <v>0.18523267358558601</v>
      </c>
    </row>
    <row r="914" spans="1:17" x14ac:dyDescent="0.2">
      <c r="A914" s="10">
        <v>1684</v>
      </c>
      <c r="B914" s="10" t="s">
        <v>2830</v>
      </c>
      <c r="C914" s="9" t="s">
        <v>2479</v>
      </c>
      <c r="D914" s="10">
        <v>0.45526367699999998</v>
      </c>
      <c r="E914" s="10">
        <v>0.204493125</v>
      </c>
      <c r="F914" s="10">
        <v>0.12517418599999999</v>
      </c>
      <c r="G914" s="10">
        <v>0.25208970200000003</v>
      </c>
      <c r="H914" s="9">
        <v>0.25925517274999998</v>
      </c>
      <c r="I914" s="10">
        <v>0.14076845123703199</v>
      </c>
      <c r="J914" s="10">
        <v>1.98157568636727E-2</v>
      </c>
      <c r="K914" s="10">
        <v>-3.0872515999999999E-2</v>
      </c>
      <c r="L914" s="10">
        <v>-0.16717844200000001</v>
      </c>
      <c r="M914" s="10">
        <v>0.28601925299999997</v>
      </c>
      <c r="N914" s="10">
        <v>7.7605419999999994E-2</v>
      </c>
      <c r="O914" s="9">
        <v>4.1393428750000003E-2</v>
      </c>
      <c r="P914" s="10">
        <v>0.19137893844329401</v>
      </c>
      <c r="Q914" s="10">
        <v>3.6625898079682202E-2</v>
      </c>
    </row>
    <row r="915" spans="1:17" x14ac:dyDescent="0.2">
      <c r="A915" s="10">
        <v>1684</v>
      </c>
      <c r="B915" s="10" t="s">
        <v>2835</v>
      </c>
      <c r="C915" s="9" t="s">
        <v>2478</v>
      </c>
      <c r="D915" s="10">
        <v>-1.4470909249999999</v>
      </c>
      <c r="E915" s="10">
        <v>0.32704791999999999</v>
      </c>
      <c r="F915" s="10">
        <v>-0.86721913100000003</v>
      </c>
      <c r="G915" s="10">
        <v>0.79562478599999997</v>
      </c>
      <c r="H915" s="9">
        <v>-0.29790933725000002</v>
      </c>
      <c r="I915" s="10">
        <v>1.0378054433892101</v>
      </c>
      <c r="J915" s="10">
        <v>1.0770401383282799</v>
      </c>
      <c r="K915" s="10">
        <v>-8.1538817999999999E-2</v>
      </c>
      <c r="L915" s="10">
        <v>0.162278845</v>
      </c>
      <c r="M915" s="10">
        <v>0.22320537300000001</v>
      </c>
      <c r="N915" s="10">
        <v>-0.30450569799999999</v>
      </c>
      <c r="O915" s="9">
        <v>-1.400745E-4</v>
      </c>
      <c r="P915" s="10">
        <v>0.24188653162343501</v>
      </c>
      <c r="Q915" s="10">
        <v>5.8509094180815097E-2</v>
      </c>
    </row>
    <row r="916" spans="1:17" x14ac:dyDescent="0.2">
      <c r="A916" s="10">
        <v>1685</v>
      </c>
      <c r="B916" s="10" t="s">
        <v>2831</v>
      </c>
      <c r="C916" s="9" t="s">
        <v>2477</v>
      </c>
      <c r="D916" s="10">
        <v>-2.0732853379999998</v>
      </c>
      <c r="E916" s="10">
        <v>8.9417683999999997E-2</v>
      </c>
      <c r="F916" s="10">
        <v>-2.6922979489999999</v>
      </c>
      <c r="G916" s="10">
        <v>-6.5474201350000003</v>
      </c>
      <c r="H916" s="9">
        <v>-2.8058964350000002</v>
      </c>
      <c r="I916" s="10">
        <v>2.7647463464611799</v>
      </c>
      <c r="J916" s="10">
        <v>7.64382236027049</v>
      </c>
      <c r="K916" s="10">
        <v>0.76336312299999998</v>
      </c>
      <c r="L916" s="10">
        <v>-0.10418862199999999</v>
      </c>
      <c r="M916" s="10">
        <v>0.53455349699999999</v>
      </c>
      <c r="N916" s="10">
        <v>-5.6053815E-2</v>
      </c>
      <c r="O916" s="9">
        <v>0.28441854574999997</v>
      </c>
      <c r="P916" s="10">
        <v>0.43162188744910202</v>
      </c>
      <c r="Q916" s="10">
        <v>0.18629745372512499</v>
      </c>
    </row>
    <row r="917" spans="1:17" x14ac:dyDescent="0.2">
      <c r="A917" s="10">
        <v>1685</v>
      </c>
      <c r="B917" s="10" t="s">
        <v>2821</v>
      </c>
      <c r="C917" s="9" t="s">
        <v>2476</v>
      </c>
      <c r="D917" s="10">
        <v>-0.70907953499999998</v>
      </c>
      <c r="E917" s="10">
        <v>-1.3961232370000001</v>
      </c>
      <c r="F917" s="10">
        <v>-0.98718451900000004</v>
      </c>
      <c r="G917" s="10">
        <v>-0.84541627200000002</v>
      </c>
      <c r="H917" s="9">
        <v>-0.98445089050000001</v>
      </c>
      <c r="I917" s="10">
        <v>0.29700819414562701</v>
      </c>
      <c r="J917" s="10">
        <v>8.8213867389646594E-2</v>
      </c>
      <c r="K917" s="10">
        <v>0.109719018</v>
      </c>
      <c r="L917" s="10">
        <v>-0.56566504299999998</v>
      </c>
      <c r="M917" s="10">
        <v>0.25863713700000002</v>
      </c>
      <c r="N917" s="10">
        <v>-0.34561552200000001</v>
      </c>
      <c r="O917" s="9">
        <v>-0.13573110275</v>
      </c>
      <c r="P917" s="10">
        <v>0.38499642107535798</v>
      </c>
      <c r="Q917" s="10">
        <v>0.14822224424083399</v>
      </c>
    </row>
    <row r="918" spans="1:17" x14ac:dyDescent="0.2">
      <c r="A918" s="10">
        <v>1685</v>
      </c>
      <c r="B918" s="10" t="s">
        <v>79</v>
      </c>
      <c r="C918" s="9" t="s">
        <v>26</v>
      </c>
      <c r="D918" s="10">
        <v>-1.749740061</v>
      </c>
      <c r="E918" s="10">
        <v>-1.6149197099999999</v>
      </c>
      <c r="F918" s="10">
        <v>-1.6000684759999999</v>
      </c>
      <c r="G918" s="10">
        <v>-1.476186784</v>
      </c>
      <c r="H918" s="9">
        <v>-1.6102287575000001</v>
      </c>
      <c r="I918" s="10">
        <v>0.11188668496826</v>
      </c>
      <c r="J918" s="10">
        <v>1.25186302731867E-2</v>
      </c>
      <c r="K918" s="10">
        <v>-0.40104895299999999</v>
      </c>
      <c r="L918" s="10">
        <v>0.22162237700000001</v>
      </c>
      <c r="M918" s="10">
        <v>-0.13184004099999999</v>
      </c>
      <c r="N918" s="10">
        <v>0.26062228399999998</v>
      </c>
      <c r="O918" s="9">
        <v>-1.266108325E-2</v>
      </c>
      <c r="P918" s="10">
        <v>0.31338012056794001</v>
      </c>
      <c r="Q918" s="10">
        <v>9.82070999671769E-2</v>
      </c>
    </row>
    <row r="919" spans="1:17" x14ac:dyDescent="0.2">
      <c r="A919" s="10">
        <v>1685</v>
      </c>
      <c r="B919" s="10" t="s">
        <v>2824</v>
      </c>
      <c r="C919" s="9" t="s">
        <v>886</v>
      </c>
      <c r="D919" s="10">
        <v>-1.657890106</v>
      </c>
      <c r="E919" s="10">
        <v>-1.081442279</v>
      </c>
      <c r="F919" s="10">
        <v>-1.3884428769999999</v>
      </c>
      <c r="G919" s="10">
        <v>-1.601723317</v>
      </c>
      <c r="H919" s="9">
        <v>-1.4323746445000001</v>
      </c>
      <c r="I919" s="10">
        <v>0.26116388316161998</v>
      </c>
      <c r="J919" s="10">
        <v>6.8206573868056605E-2</v>
      </c>
      <c r="K919" s="10">
        <v>-5.0711692000000003E-2</v>
      </c>
      <c r="L919" s="10">
        <v>4.0152197000000001E-2</v>
      </c>
      <c r="M919" s="10">
        <v>0.20141857299999999</v>
      </c>
      <c r="N919" s="10">
        <v>-0.55542673899999995</v>
      </c>
      <c r="O919" s="9">
        <v>-9.1141915249999997E-2</v>
      </c>
      <c r="P919" s="10">
        <v>0.326611279511903</v>
      </c>
      <c r="Q919" s="10">
        <v>0.106674927904402</v>
      </c>
    </row>
    <row r="920" spans="1:17" x14ac:dyDescent="0.2">
      <c r="A920" s="10">
        <v>1685</v>
      </c>
      <c r="B920" s="10" t="s">
        <v>2833</v>
      </c>
      <c r="C920" s="9" t="s">
        <v>2475</v>
      </c>
      <c r="D920" s="10">
        <v>-1.8426759539999999</v>
      </c>
      <c r="E920" s="10">
        <v>-1.301562194</v>
      </c>
      <c r="F920" s="10">
        <v>-2.6353590260000002</v>
      </c>
      <c r="G920" s="10">
        <v>-1.3326949159999999</v>
      </c>
      <c r="H920" s="9">
        <v>-1.7780730225000001</v>
      </c>
      <c r="I920" s="10">
        <v>0.62304014262931595</v>
      </c>
      <c r="J920" s="10">
        <v>0.38817901932755899</v>
      </c>
      <c r="K920" s="10">
        <v>3.3129556999999997E-2</v>
      </c>
      <c r="L920" s="10">
        <v>5.0607338000000002E-2</v>
      </c>
      <c r="M920" s="10">
        <v>-0.13760143499999999</v>
      </c>
      <c r="N920" s="10">
        <v>0.56015162600000001</v>
      </c>
      <c r="O920" s="9">
        <v>0.12657177124999999</v>
      </c>
      <c r="P920" s="10">
        <v>0.30126456582676697</v>
      </c>
      <c r="Q920" s="10">
        <v>9.0760338622790898E-2</v>
      </c>
    </row>
    <row r="921" spans="1:17" x14ac:dyDescent="0.2">
      <c r="A921" s="10">
        <v>1685</v>
      </c>
      <c r="B921" s="10" t="s">
        <v>2825</v>
      </c>
      <c r="C921" s="9" t="s">
        <v>2474</v>
      </c>
      <c r="D921" s="10">
        <v>-1.4738254260000001</v>
      </c>
      <c r="E921" s="10">
        <v>-1.8237199479999999</v>
      </c>
      <c r="F921" s="10">
        <v>-2.0804076619999998</v>
      </c>
      <c r="G921" s="10">
        <v>-1.598710364</v>
      </c>
      <c r="H921" s="9">
        <v>-1.7441658497500001</v>
      </c>
      <c r="I921" s="10">
        <v>0.26685117818841297</v>
      </c>
      <c r="J921" s="10">
        <v>7.1209551300544197E-2</v>
      </c>
      <c r="K921" s="10">
        <v>0.24853772800000001</v>
      </c>
      <c r="L921" s="10">
        <v>-0.15246665400000001</v>
      </c>
      <c r="M921" s="10">
        <v>1.4409562000000001E-2</v>
      </c>
      <c r="N921" s="10">
        <v>-0.31678442400000001</v>
      </c>
      <c r="O921" s="9">
        <v>-5.1575947249999997E-2</v>
      </c>
      <c r="P921" s="10">
        <v>0.241479313366324</v>
      </c>
      <c r="Q921" s="10">
        <v>5.83122587838713E-2</v>
      </c>
    </row>
    <row r="922" spans="1:17" x14ac:dyDescent="0.2">
      <c r="A922" s="10">
        <v>1685</v>
      </c>
      <c r="B922" s="10" t="s">
        <v>74</v>
      </c>
      <c r="C922" s="9" t="s">
        <v>887</v>
      </c>
      <c r="D922" s="10">
        <v>-2.3050296000000001E-2</v>
      </c>
      <c r="E922" s="10">
        <v>-3.7221024999999998E-2</v>
      </c>
      <c r="F922" s="10">
        <v>0.40971539499999998</v>
      </c>
      <c r="G922" s="10">
        <v>-8.8124949999999994E-2</v>
      </c>
      <c r="H922" s="9">
        <v>6.5329781000000003E-2</v>
      </c>
      <c r="I922" s="10">
        <v>0.231284465120491</v>
      </c>
      <c r="J922" s="10">
        <v>5.3492503806071602E-2</v>
      </c>
      <c r="K922" s="10">
        <v>-0.15120919799999999</v>
      </c>
      <c r="L922" s="10">
        <v>-0.110904142</v>
      </c>
      <c r="M922" s="10">
        <v>8.9767472000000001E-2</v>
      </c>
      <c r="N922" s="10">
        <v>0.157716095</v>
      </c>
      <c r="O922" s="9">
        <v>-3.6574432500000001E-3</v>
      </c>
      <c r="P922" s="10">
        <v>0.15060213407006201</v>
      </c>
      <c r="Q922" s="10">
        <v>2.26810027864571E-2</v>
      </c>
    </row>
    <row r="923" spans="1:17" x14ac:dyDescent="0.2">
      <c r="A923" s="10">
        <v>1686</v>
      </c>
      <c r="B923" s="10" t="s">
        <v>2824</v>
      </c>
      <c r="C923" s="9" t="s">
        <v>888</v>
      </c>
      <c r="D923" s="10">
        <v>-0.46723108200000002</v>
      </c>
      <c r="E923" s="10">
        <v>-0.83924654799999998</v>
      </c>
      <c r="F923" s="10">
        <v>-1.201545047</v>
      </c>
      <c r="G923" s="10">
        <v>-0.70823196799999999</v>
      </c>
      <c r="H923" s="9">
        <v>-0.80406366149999997</v>
      </c>
      <c r="I923" s="10">
        <v>0.30652307548435997</v>
      </c>
      <c r="J923" s="10">
        <v>9.3956395804390996E-2</v>
      </c>
      <c r="K923" s="10">
        <v>0.119823612</v>
      </c>
      <c r="L923" s="10">
        <v>-0.10522068800000001</v>
      </c>
      <c r="M923" s="10">
        <v>0.50273934600000003</v>
      </c>
      <c r="N923" s="10">
        <v>-0.26098215299999999</v>
      </c>
      <c r="O923" s="9">
        <v>6.409002925E-2</v>
      </c>
      <c r="P923" s="10">
        <v>0.33159086134365401</v>
      </c>
      <c r="Q923" s="10">
        <v>0.109952499326626</v>
      </c>
    </row>
    <row r="924" spans="1:17" x14ac:dyDescent="0.2">
      <c r="A924" s="10">
        <v>1686</v>
      </c>
      <c r="B924" s="10" t="s">
        <v>2814</v>
      </c>
      <c r="C924" s="9" t="s">
        <v>889</v>
      </c>
      <c r="D924" s="10">
        <v>-0.43685389200000002</v>
      </c>
      <c r="E924" s="10">
        <v>-1.306972222</v>
      </c>
      <c r="F924" s="10">
        <v>-1.109998896</v>
      </c>
      <c r="G924" s="10">
        <v>-1.0948331760000001</v>
      </c>
      <c r="H924" s="9">
        <v>-0.98716454674999998</v>
      </c>
      <c r="I924" s="10">
        <v>0.37938528216068501</v>
      </c>
      <c r="J924" s="10">
        <v>0.14393319232014201</v>
      </c>
      <c r="K924" s="10">
        <v>-0.147021816</v>
      </c>
      <c r="L924" s="10">
        <v>-0.50008448800000005</v>
      </c>
      <c r="M924" s="10">
        <v>0.16092705500000001</v>
      </c>
      <c r="N924" s="10">
        <v>0.22688730800000001</v>
      </c>
      <c r="O924" s="9">
        <v>-6.4822985499999999E-2</v>
      </c>
      <c r="P924" s="10">
        <v>0.33279983944994701</v>
      </c>
      <c r="Q924" s="10">
        <v>0.110755733137911</v>
      </c>
    </row>
    <row r="925" spans="1:17" x14ac:dyDescent="0.2">
      <c r="A925" s="10">
        <v>1686</v>
      </c>
      <c r="B925" s="10" t="s">
        <v>2833</v>
      </c>
      <c r="C925" s="9" t="s">
        <v>890</v>
      </c>
      <c r="D925" s="10">
        <v>-1.855412512</v>
      </c>
      <c r="E925" s="10">
        <v>-1.203159163</v>
      </c>
      <c r="F925" s="10">
        <v>-2.2680475040000001</v>
      </c>
      <c r="G925" s="10">
        <v>-1.5519273</v>
      </c>
      <c r="H925" s="9">
        <v>-1.7196366194999999</v>
      </c>
      <c r="I925" s="10">
        <v>0.45242493673614198</v>
      </c>
      <c r="J925" s="10">
        <v>0.204688323380702</v>
      </c>
      <c r="K925" s="10">
        <v>0.55752738999999996</v>
      </c>
      <c r="L925" s="10">
        <v>0.13181157900000001</v>
      </c>
      <c r="M925" s="10">
        <v>-0.37175364399999999</v>
      </c>
      <c r="N925" s="10">
        <v>7.0518687999999996E-2</v>
      </c>
      <c r="O925" s="9">
        <v>9.7026003250000006E-2</v>
      </c>
      <c r="P925" s="10">
        <v>0.38023175341561</v>
      </c>
      <c r="Q925" s="10">
        <v>0.144576186305509</v>
      </c>
    </row>
    <row r="926" spans="1:17" x14ac:dyDescent="0.2">
      <c r="A926" s="10">
        <v>1686</v>
      </c>
      <c r="B926" s="10" t="s">
        <v>74</v>
      </c>
      <c r="C926" s="9" t="s">
        <v>2473</v>
      </c>
      <c r="D926" s="10">
        <v>-1.3989958060000001</v>
      </c>
      <c r="E926" s="10">
        <v>-1.5797311089999999</v>
      </c>
      <c r="F926" s="10">
        <v>-2.116917484</v>
      </c>
      <c r="G926" s="10">
        <v>-2.5488480949999999</v>
      </c>
      <c r="H926" s="9">
        <v>-1.9111231232500001</v>
      </c>
      <c r="I926" s="10">
        <v>0.52317604261293404</v>
      </c>
      <c r="J926" s="10">
        <v>0.273713171564131</v>
      </c>
      <c r="K926" s="10">
        <v>-0.110135732</v>
      </c>
      <c r="L926" s="10">
        <v>0.34821822899999999</v>
      </c>
      <c r="M926" s="10">
        <v>-6.0441442999999997E-2</v>
      </c>
      <c r="N926" s="10">
        <v>0.137781337</v>
      </c>
      <c r="O926" s="9">
        <v>7.8855597750000006E-2</v>
      </c>
      <c r="P926" s="10">
        <v>0.20908519646503099</v>
      </c>
      <c r="Q926" s="10">
        <v>4.3716619380820901E-2</v>
      </c>
    </row>
    <row r="927" spans="1:17" x14ac:dyDescent="0.2">
      <c r="A927" s="10">
        <v>1687</v>
      </c>
      <c r="B927" s="10" t="s">
        <v>2826</v>
      </c>
      <c r="C927" s="9" t="s">
        <v>891</v>
      </c>
      <c r="D927" s="10">
        <v>-1.7813744</v>
      </c>
      <c r="E927" s="10">
        <v>-1.4325095450000001</v>
      </c>
      <c r="F927" s="10">
        <v>-0.74552067899999996</v>
      </c>
      <c r="G927" s="10">
        <v>-0.80711549800000004</v>
      </c>
      <c r="H927" s="9">
        <v>-1.1916300305</v>
      </c>
      <c r="I927" s="10">
        <v>0.50089464662812799</v>
      </c>
      <c r="J927" s="10">
        <v>0.25089544702071698</v>
      </c>
      <c r="K927" s="10">
        <v>-0.19351296000000001</v>
      </c>
      <c r="L927" s="10">
        <v>0.959167557</v>
      </c>
      <c r="M927" s="10">
        <v>-8.6987386999999999E-2</v>
      </c>
      <c r="N927" s="10">
        <v>-0.35830402099999997</v>
      </c>
      <c r="O927" s="9">
        <v>8.0090797249999998E-2</v>
      </c>
      <c r="P927" s="10">
        <v>0.59658475280399204</v>
      </c>
      <c r="Q927" s="10">
        <v>0.355913367278201</v>
      </c>
    </row>
    <row r="928" spans="1:17" x14ac:dyDescent="0.2">
      <c r="A928" s="10">
        <v>1687</v>
      </c>
      <c r="B928" s="10" t="s">
        <v>2821</v>
      </c>
      <c r="C928" s="9" t="s">
        <v>892</v>
      </c>
      <c r="D928" s="10">
        <v>-1.135390393</v>
      </c>
      <c r="E928" s="10">
        <v>-2.4876901</v>
      </c>
      <c r="F928" s="10">
        <v>-2.8794366340000002</v>
      </c>
      <c r="G928" s="10">
        <v>-1.398253186</v>
      </c>
      <c r="H928" s="9">
        <v>-1.9751925782499999</v>
      </c>
      <c r="I928" s="10">
        <v>0.84032489646159503</v>
      </c>
      <c r="J928" s="10">
        <v>0.70614593161319095</v>
      </c>
      <c r="K928" s="10">
        <v>0.13287923099999999</v>
      </c>
      <c r="L928" s="10">
        <v>-0.31278172700000001</v>
      </c>
      <c r="M928" s="10">
        <v>-0.27285536500000002</v>
      </c>
      <c r="N928" s="10">
        <v>-9.8985740000000003E-3</v>
      </c>
      <c r="O928" s="9">
        <v>-0.1156641085</v>
      </c>
      <c r="P928" s="10">
        <v>0.213326499792409</v>
      </c>
      <c r="Q928" s="10">
        <v>4.5508195513681002E-2</v>
      </c>
    </row>
    <row r="929" spans="1:17" x14ac:dyDescent="0.2">
      <c r="A929" s="10">
        <v>1687</v>
      </c>
      <c r="B929" s="10" t="s">
        <v>2824</v>
      </c>
      <c r="C929" s="9" t="s">
        <v>893</v>
      </c>
      <c r="D929" s="10">
        <v>-0.56050531699999995</v>
      </c>
      <c r="E929" s="10">
        <v>-0.25560481499999999</v>
      </c>
      <c r="F929" s="10">
        <v>-0.73533572300000005</v>
      </c>
      <c r="G929" s="10">
        <v>-0.30040659800000002</v>
      </c>
      <c r="H929" s="9">
        <v>-0.46296311350000002</v>
      </c>
      <c r="I929" s="10">
        <v>0.22592285155025199</v>
      </c>
      <c r="J929" s="10">
        <v>5.1041134852597203E-2</v>
      </c>
      <c r="K929" s="10">
        <v>0.149300248</v>
      </c>
      <c r="L929" s="10">
        <v>3.2886285000000001E-2</v>
      </c>
      <c r="M929" s="10">
        <v>0.19769421300000001</v>
      </c>
      <c r="N929" s="10">
        <v>0.39134494800000003</v>
      </c>
      <c r="O929" s="9">
        <v>0.19280642375000001</v>
      </c>
      <c r="P929" s="10">
        <v>0.14934152604163001</v>
      </c>
      <c r="Q929" s="10">
        <v>2.2302891400443101E-2</v>
      </c>
    </row>
    <row r="930" spans="1:17" x14ac:dyDescent="0.2">
      <c r="A930" s="10">
        <v>1687</v>
      </c>
      <c r="B930" s="10" t="s">
        <v>2818</v>
      </c>
      <c r="C930" s="9" t="s">
        <v>2472</v>
      </c>
      <c r="D930" s="10">
        <v>-1.081938659</v>
      </c>
      <c r="E930" s="10">
        <v>-0.63619312800000005</v>
      </c>
      <c r="F930" s="10">
        <v>-0.47744297800000002</v>
      </c>
      <c r="G930" s="10">
        <v>-1.0819790869999999</v>
      </c>
      <c r="H930" s="9">
        <v>-0.81938846274999999</v>
      </c>
      <c r="I930" s="10">
        <v>0.310039613979673</v>
      </c>
      <c r="J930" s="10">
        <v>9.6124562236665004E-2</v>
      </c>
      <c r="K930" s="10">
        <v>0.132578528</v>
      </c>
      <c r="L930" s="10">
        <v>0.48171924700000002</v>
      </c>
      <c r="M930" s="10">
        <v>-0.98582954899999997</v>
      </c>
      <c r="N930" s="10">
        <v>-0.65110984999999999</v>
      </c>
      <c r="O930" s="9">
        <v>-0.25566040600000001</v>
      </c>
      <c r="P930" s="10">
        <v>0.67921166624283802</v>
      </c>
      <c r="Q930" s="10">
        <v>0.46132848756037298</v>
      </c>
    </row>
    <row r="931" spans="1:17" x14ac:dyDescent="0.2">
      <c r="A931" s="10">
        <v>1688</v>
      </c>
      <c r="B931" s="10" t="s">
        <v>2822</v>
      </c>
      <c r="C931" s="9" t="s">
        <v>894</v>
      </c>
      <c r="D931" s="10">
        <v>-0.85687703999999998</v>
      </c>
      <c r="E931" s="10">
        <v>-1.2511130319999999</v>
      </c>
      <c r="F931" s="10">
        <v>-8.4473705999999996E-2</v>
      </c>
      <c r="G931" s="10">
        <v>-0.74765595299999998</v>
      </c>
      <c r="H931" s="9">
        <v>-0.73502993299999997</v>
      </c>
      <c r="I931" s="10">
        <v>0.48462057441096001</v>
      </c>
      <c r="J931" s="10">
        <v>0.23485710114240901</v>
      </c>
      <c r="K931" s="10">
        <v>-4.9324485000000001E-2</v>
      </c>
      <c r="L931" s="10">
        <v>0.46929959999999998</v>
      </c>
      <c r="M931" s="10">
        <v>-0.31217023399999999</v>
      </c>
      <c r="N931" s="10">
        <v>0.406704389</v>
      </c>
      <c r="O931" s="9">
        <v>0.12862731725000001</v>
      </c>
      <c r="P931" s="10">
        <v>0.37387778180361297</v>
      </c>
      <c r="Q931" s="10">
        <v>0.13978459572638999</v>
      </c>
    </row>
    <row r="932" spans="1:17" x14ac:dyDescent="0.2">
      <c r="A932" s="10">
        <v>1688</v>
      </c>
      <c r="B932" s="10" t="s">
        <v>2826</v>
      </c>
      <c r="C932" s="9" t="s">
        <v>895</v>
      </c>
      <c r="D932" s="10">
        <v>-0.93464739699999999</v>
      </c>
      <c r="E932" s="10">
        <v>-1.1881412389999999</v>
      </c>
      <c r="F932" s="10">
        <v>-1.9715499889999999</v>
      </c>
      <c r="G932" s="10">
        <v>-6.2348319300000004</v>
      </c>
      <c r="H932" s="9">
        <v>-2.5822926375000002</v>
      </c>
      <c r="I932" s="10">
        <v>2.4747015191355199</v>
      </c>
      <c r="J932" s="10">
        <v>6.1241476088116604</v>
      </c>
      <c r="K932" s="10">
        <v>-7.1900767000000004E-2</v>
      </c>
      <c r="L932" s="10">
        <v>-1.1685320000000001E-2</v>
      </c>
      <c r="M932" s="10">
        <v>-0.48933685300000002</v>
      </c>
      <c r="N932" s="10">
        <v>-2.4228203E-2</v>
      </c>
      <c r="O932" s="9">
        <v>-0.14928778600000001</v>
      </c>
      <c r="P932" s="10">
        <v>0.22817862639219799</v>
      </c>
      <c r="Q932" s="10">
        <v>5.2065485542230602E-2</v>
      </c>
    </row>
    <row r="933" spans="1:17" x14ac:dyDescent="0.2">
      <c r="A933" s="10">
        <v>1688</v>
      </c>
      <c r="B933" s="10" t="s">
        <v>2824</v>
      </c>
      <c r="C933" s="9" t="s">
        <v>896</v>
      </c>
      <c r="D933" s="10">
        <v>3.8563479999999999E-3</v>
      </c>
      <c r="E933" s="10">
        <v>5.1241913E-2</v>
      </c>
      <c r="F933" s="10">
        <v>-0.13054184599999999</v>
      </c>
      <c r="G933" s="10">
        <v>5.7703923999999997E-2</v>
      </c>
      <c r="H933" s="9">
        <v>-4.4349152500000001E-3</v>
      </c>
      <c r="I933" s="10">
        <v>8.7431587687714293E-2</v>
      </c>
      <c r="J933" s="10">
        <v>7.6442825255944001E-3</v>
      </c>
      <c r="K933" s="10">
        <v>5.0250060000000003E-3</v>
      </c>
      <c r="L933" s="10">
        <v>-7.0730092999999994E-2</v>
      </c>
      <c r="M933" s="10">
        <v>0.20675882000000001</v>
      </c>
      <c r="N933" s="10">
        <v>2.2218146000000001E-2</v>
      </c>
      <c r="O933" s="9">
        <v>4.0817969500000002E-2</v>
      </c>
      <c r="P933" s="10">
        <v>0.11776590590731301</v>
      </c>
      <c r="Q933" s="10">
        <v>1.3868808594170201E-2</v>
      </c>
    </row>
    <row r="934" spans="1:17" x14ac:dyDescent="0.2">
      <c r="A934" s="10">
        <v>1688</v>
      </c>
      <c r="B934" s="10" t="s">
        <v>2814</v>
      </c>
      <c r="C934" s="9" t="s">
        <v>897</v>
      </c>
      <c r="D934" s="10">
        <v>-1.20036933</v>
      </c>
      <c r="E934" s="10">
        <v>-1.714037303</v>
      </c>
      <c r="F934" s="10">
        <v>-1.839388026</v>
      </c>
      <c r="G934" s="10">
        <v>-1.0810052160000001</v>
      </c>
      <c r="H934" s="9">
        <v>-1.458699969</v>
      </c>
      <c r="I934" s="10">
        <v>0.373946786038932</v>
      </c>
      <c r="J934" s="10">
        <v>0.13983619878884701</v>
      </c>
      <c r="K934" s="10">
        <v>0.30646404199999999</v>
      </c>
      <c r="L934" s="10">
        <v>0.179982217</v>
      </c>
      <c r="M934" s="10">
        <v>4.4978641999999999E-2</v>
      </c>
      <c r="N934" s="10">
        <v>0.25301496600000001</v>
      </c>
      <c r="O934" s="9">
        <v>0.19610996650000001</v>
      </c>
      <c r="P934" s="10">
        <v>0.11330928543388601</v>
      </c>
      <c r="Q934" s="10">
        <v>1.2838994165537901E-2</v>
      </c>
    </row>
    <row r="935" spans="1:17" x14ac:dyDescent="0.2">
      <c r="A935" s="10">
        <v>1688</v>
      </c>
      <c r="B935" s="10" t="s">
        <v>2818</v>
      </c>
      <c r="C935" s="9" t="s">
        <v>2471</v>
      </c>
      <c r="D935" s="10">
        <v>-0.72822462600000004</v>
      </c>
      <c r="E935" s="10">
        <v>-0.78966979100000001</v>
      </c>
      <c r="F935" s="10">
        <v>-0.543278276</v>
      </c>
      <c r="G935" s="10">
        <v>-0.12055587700000001</v>
      </c>
      <c r="H935" s="9">
        <v>-0.54543214225000003</v>
      </c>
      <c r="I935" s="10">
        <v>0.30198763832041903</v>
      </c>
      <c r="J935" s="10">
        <v>9.1196533698344504E-2</v>
      </c>
      <c r="K935" s="10">
        <v>3.8708553999999999E-2</v>
      </c>
      <c r="L935" s="10">
        <v>-0.47357333699999998</v>
      </c>
      <c r="M935" s="10">
        <v>5.5445258999999997E-2</v>
      </c>
      <c r="N935" s="10">
        <v>0.64387009500000003</v>
      </c>
      <c r="O935" s="9">
        <v>6.6112642999999999E-2</v>
      </c>
      <c r="P935" s="10">
        <v>0.456774710160058</v>
      </c>
      <c r="Q935" s="10">
        <v>0.20864313584180499</v>
      </c>
    </row>
    <row r="936" spans="1:17" x14ac:dyDescent="0.2">
      <c r="A936" s="10">
        <v>1689</v>
      </c>
      <c r="B936" s="10" t="s">
        <v>2819</v>
      </c>
      <c r="C936" s="9" t="s">
        <v>2470</v>
      </c>
      <c r="D936" s="10">
        <v>-2.0725745610000001</v>
      </c>
      <c r="E936" s="10">
        <v>-5.262982633</v>
      </c>
      <c r="F936" s="10">
        <v>-1.7357536549999999</v>
      </c>
      <c r="G936" s="10">
        <v>-2.2093280810000002</v>
      </c>
      <c r="H936" s="9">
        <v>-2.8201597325000001</v>
      </c>
      <c r="I936" s="10">
        <v>1.64066238241825</v>
      </c>
      <c r="J936" s="10">
        <v>2.69177305308235</v>
      </c>
      <c r="K936" s="10">
        <v>-0.56149720299999994</v>
      </c>
      <c r="L936" s="10">
        <v>-0.19553695800000001</v>
      </c>
      <c r="M936" s="10">
        <v>0.60918295600000005</v>
      </c>
      <c r="N936" s="10">
        <v>-0.532840439</v>
      </c>
      <c r="O936" s="9">
        <v>-0.17017291074999999</v>
      </c>
      <c r="P936" s="10">
        <v>0.54549712485721702</v>
      </c>
      <c r="Q936" s="10">
        <v>0.29756711322749002</v>
      </c>
    </row>
    <row r="937" spans="1:17" x14ac:dyDescent="0.2">
      <c r="A937" s="10">
        <v>1689</v>
      </c>
      <c r="B937" s="10" t="s">
        <v>2826</v>
      </c>
      <c r="C937" s="9" t="s">
        <v>898</v>
      </c>
      <c r="D937" s="10">
        <v>-1.0913186479999999</v>
      </c>
      <c r="E937" s="10">
        <v>-0.72235624799999998</v>
      </c>
      <c r="F937" s="10">
        <v>-0.16033230500000001</v>
      </c>
      <c r="G937" s="10">
        <v>-1.138717322</v>
      </c>
      <c r="H937" s="9">
        <v>-0.77818113050000004</v>
      </c>
      <c r="I937" s="10">
        <v>0.45199374587312402</v>
      </c>
      <c r="J937" s="10">
        <v>0.20429834630841801</v>
      </c>
      <c r="K937" s="10">
        <v>-0.24228730100000001</v>
      </c>
      <c r="L937" s="10">
        <v>0.16842025699999999</v>
      </c>
      <c r="M937" s="10">
        <v>-0.35020578600000002</v>
      </c>
      <c r="N937" s="10">
        <v>0.13871197099999999</v>
      </c>
      <c r="O937" s="9">
        <v>-7.1340214499999999E-2</v>
      </c>
      <c r="P937" s="10">
        <v>0.26368915897200401</v>
      </c>
      <c r="Q937" s="10">
        <v>6.9531972559362901E-2</v>
      </c>
    </row>
    <row r="938" spans="1:17" x14ac:dyDescent="0.2">
      <c r="A938" s="10">
        <v>1689</v>
      </c>
      <c r="B938" s="10" t="s">
        <v>2821</v>
      </c>
      <c r="C938" s="9" t="s">
        <v>899</v>
      </c>
      <c r="D938" s="10">
        <v>-3.2907567129999999</v>
      </c>
      <c r="E938" s="10">
        <v>-4.2803710649999998</v>
      </c>
      <c r="F938" s="10">
        <v>-2.2966753390000001</v>
      </c>
      <c r="G938" s="10">
        <v>-1.089565552</v>
      </c>
      <c r="H938" s="9">
        <v>-2.7393421674999998</v>
      </c>
      <c r="I938" s="10">
        <v>1.3658385539079301</v>
      </c>
      <c r="J938" s="10">
        <v>1.8655149553413</v>
      </c>
      <c r="K938" s="10">
        <v>0.25290742999999999</v>
      </c>
      <c r="L938" s="10">
        <v>-3.0354308999999999E-2</v>
      </c>
      <c r="M938" s="10">
        <v>0.75491205500000003</v>
      </c>
      <c r="N938" s="10">
        <v>0.39687041299999998</v>
      </c>
      <c r="O938" s="9">
        <v>0.34358389724999999</v>
      </c>
      <c r="P938" s="10">
        <v>0.32664063327822102</v>
      </c>
      <c r="Q938" s="10">
        <v>0.106694103308397</v>
      </c>
    </row>
    <row r="939" spans="1:17" x14ac:dyDescent="0.2">
      <c r="A939" s="10">
        <v>1689</v>
      </c>
      <c r="B939" s="10" t="s">
        <v>2824</v>
      </c>
      <c r="C939" s="9" t="s">
        <v>900</v>
      </c>
      <c r="D939" s="10">
        <v>-0.53540061000000005</v>
      </c>
      <c r="E939" s="10">
        <v>5.5800347E-2</v>
      </c>
      <c r="F939" s="10">
        <v>-0.31340853899999999</v>
      </c>
      <c r="G939" s="10">
        <v>-0.18944483500000001</v>
      </c>
      <c r="H939" s="9">
        <v>-0.24561340949999999</v>
      </c>
      <c r="I939" s="10">
        <v>0.246696819683832</v>
      </c>
      <c r="J939" s="10">
        <v>6.0859320842117398E-2</v>
      </c>
      <c r="K939" s="10">
        <v>-4.3629010000000003E-2</v>
      </c>
      <c r="L939" s="10">
        <v>-0.29276236999999999</v>
      </c>
      <c r="M939" s="10">
        <v>-0.178013911</v>
      </c>
      <c r="N939" s="10">
        <v>0.160581891</v>
      </c>
      <c r="O939" s="9">
        <v>-8.8455850000000003E-2</v>
      </c>
      <c r="P939" s="10">
        <v>0.194757150002559</v>
      </c>
      <c r="Q939" s="10">
        <v>3.7930347477119597E-2</v>
      </c>
    </row>
    <row r="940" spans="1:17" x14ac:dyDescent="0.2">
      <c r="A940" s="10">
        <v>1689</v>
      </c>
      <c r="B940" s="10" t="s">
        <v>82</v>
      </c>
      <c r="C940" s="9" t="s">
        <v>901</v>
      </c>
      <c r="D940" s="10">
        <v>-1.1028467609999999</v>
      </c>
      <c r="E940" s="10">
        <v>-2.490559749</v>
      </c>
      <c r="F940" s="10">
        <v>-1.1159944369999999</v>
      </c>
      <c r="G940" s="10">
        <v>-1.784863318</v>
      </c>
      <c r="H940" s="9">
        <v>-1.623566066</v>
      </c>
      <c r="I940" s="10">
        <v>0.659917268307185</v>
      </c>
      <c r="J940" s="10">
        <v>0.43549080101001703</v>
      </c>
      <c r="K940" s="10">
        <v>-0.75743554599999996</v>
      </c>
      <c r="L940" s="10">
        <v>-1.3353316E-2</v>
      </c>
      <c r="M940" s="10">
        <v>0.15051582699999999</v>
      </c>
      <c r="N940" s="10">
        <v>-0.17099287799999999</v>
      </c>
      <c r="O940" s="9">
        <v>-0.19781647825000001</v>
      </c>
      <c r="P940" s="10">
        <v>0.39549760202720102</v>
      </c>
      <c r="Q940" s="10">
        <v>0.156418353209266</v>
      </c>
    </row>
    <row r="941" spans="1:17" x14ac:dyDescent="0.2">
      <c r="A941" s="10">
        <v>1689</v>
      </c>
      <c r="B941" s="10" t="s">
        <v>2814</v>
      </c>
      <c r="C941" s="9" t="s">
        <v>2469</v>
      </c>
      <c r="D941" s="10">
        <v>-6.6079336660000001</v>
      </c>
      <c r="E941" s="10">
        <v>-1.5161569260000001</v>
      </c>
      <c r="F941" s="10">
        <v>-1.6259644289999999</v>
      </c>
      <c r="G941" s="10">
        <v>-1.6781762570000001</v>
      </c>
      <c r="H941" s="9">
        <v>-2.8570578200000001</v>
      </c>
      <c r="I941" s="10">
        <v>2.50149538586964</v>
      </c>
      <c r="J941" s="10">
        <v>6.2574791655271396</v>
      </c>
      <c r="K941" s="10">
        <v>0.35008505899999998</v>
      </c>
      <c r="L941" s="10">
        <v>0.101950918</v>
      </c>
      <c r="M941" s="10">
        <v>-0.31954206499999999</v>
      </c>
      <c r="N941" s="10">
        <v>0.45026685799999999</v>
      </c>
      <c r="O941" s="9">
        <v>0.14569019250000001</v>
      </c>
      <c r="P941" s="10">
        <v>0.34297637633466999</v>
      </c>
      <c r="Q941" s="10">
        <v>0.117632794723661</v>
      </c>
    </row>
    <row r="942" spans="1:17" x14ac:dyDescent="0.2">
      <c r="A942" s="10">
        <v>1689</v>
      </c>
      <c r="B942" s="10" t="s">
        <v>74</v>
      </c>
      <c r="C942" s="9" t="s">
        <v>902</v>
      </c>
      <c r="D942" s="10">
        <v>-1.1184296549999999</v>
      </c>
      <c r="E942" s="10">
        <v>-1.0116418190000001</v>
      </c>
      <c r="F942" s="10">
        <v>-1.2767524210000001</v>
      </c>
      <c r="G942" s="10">
        <v>-1.0272118859999999</v>
      </c>
      <c r="H942" s="9">
        <v>-1.1085089454999999</v>
      </c>
      <c r="I942" s="10">
        <v>0.121650783810347</v>
      </c>
      <c r="J942" s="10">
        <v>1.4798913201672001E-2</v>
      </c>
      <c r="K942" s="10">
        <v>-3.6849920000000002E-3</v>
      </c>
      <c r="L942" s="10">
        <v>-0.27991352400000002</v>
      </c>
      <c r="M942" s="10">
        <v>-8.9496953000000004E-2</v>
      </c>
      <c r="N942" s="10">
        <v>0.161965003</v>
      </c>
      <c r="O942" s="9">
        <v>-5.2782616499999997E-2</v>
      </c>
      <c r="P942" s="10">
        <v>0.183905327509263</v>
      </c>
      <c r="Q942" s="10">
        <v>3.38211694862895E-2</v>
      </c>
    </row>
    <row r="943" spans="1:17" x14ac:dyDescent="0.2">
      <c r="A943" s="10">
        <v>1689</v>
      </c>
      <c r="B943" s="10" t="s">
        <v>2818</v>
      </c>
      <c r="C943" s="9" t="s">
        <v>27</v>
      </c>
      <c r="D943" s="10">
        <v>0.37944028000000002</v>
      </c>
      <c r="E943" s="10">
        <v>-0.167641859</v>
      </c>
      <c r="F943" s="10">
        <v>3.6133237999999998E-2</v>
      </c>
      <c r="G943" s="10">
        <v>-1.3310023000000001E-2</v>
      </c>
      <c r="H943" s="9">
        <v>5.8655408999999999E-2</v>
      </c>
      <c r="I943" s="10">
        <v>0.230795478404763</v>
      </c>
      <c r="J943" s="10">
        <v>5.3266552852083399E-2</v>
      </c>
      <c r="K943" s="10">
        <v>0.23354709300000001</v>
      </c>
      <c r="L943" s="10">
        <v>-0.196832747</v>
      </c>
      <c r="M943" s="10">
        <v>2.8007879999999998E-3</v>
      </c>
      <c r="N943" s="10">
        <v>6.9523992000000007E-2</v>
      </c>
      <c r="O943" s="9">
        <v>2.725978175E-2</v>
      </c>
      <c r="P943" s="10">
        <v>0.178097746633361</v>
      </c>
      <c r="Q943" s="10">
        <v>3.1718807355880903E-2</v>
      </c>
    </row>
    <row r="944" spans="1:17" x14ac:dyDescent="0.2">
      <c r="A944" s="10">
        <v>1689</v>
      </c>
      <c r="B944" s="10" t="s">
        <v>2830</v>
      </c>
      <c r="C944" s="9" t="s">
        <v>903</v>
      </c>
      <c r="D944" s="10">
        <v>-0.62389199399999995</v>
      </c>
      <c r="E944" s="10">
        <v>8.8404078999999997E-2</v>
      </c>
      <c r="F944" s="10">
        <v>-0.58100666400000001</v>
      </c>
      <c r="G944" s="10">
        <v>-0.288573519</v>
      </c>
      <c r="H944" s="9">
        <v>-0.35126702450000002</v>
      </c>
      <c r="I944" s="10">
        <v>0.32880887601424402</v>
      </c>
      <c r="J944" s="10">
        <v>0.10811527694575</v>
      </c>
      <c r="K944" s="10">
        <v>-0.124632442</v>
      </c>
      <c r="L944" s="10">
        <v>-0.164809974</v>
      </c>
      <c r="M944" s="10">
        <v>-5.2751590000000001E-2</v>
      </c>
      <c r="N944" s="10">
        <v>-0.39327502399999997</v>
      </c>
      <c r="O944" s="9">
        <v>-0.18386725749999999</v>
      </c>
      <c r="P944" s="10">
        <v>0.147099597049309</v>
      </c>
      <c r="Q944" s="10">
        <v>2.1638291452069101E-2</v>
      </c>
    </row>
    <row r="945" spans="1:17" x14ac:dyDescent="0.2">
      <c r="A945" s="10">
        <v>1690</v>
      </c>
      <c r="B945" s="10" t="s">
        <v>2831</v>
      </c>
      <c r="C945" s="9" t="s">
        <v>904</v>
      </c>
      <c r="D945" s="10">
        <v>-1.5471233719999999</v>
      </c>
      <c r="E945" s="10">
        <v>-1.7299136909999999</v>
      </c>
      <c r="F945" s="10">
        <v>-0.82710267500000001</v>
      </c>
      <c r="G945" s="10">
        <v>-0.47762813100000001</v>
      </c>
      <c r="H945" s="9">
        <v>-1.14544196725</v>
      </c>
      <c r="I945" s="10">
        <v>0.59168414199424602</v>
      </c>
      <c r="J945" s="10">
        <v>0.35009012388746702</v>
      </c>
      <c r="K945" s="10">
        <v>-0.59144159100000004</v>
      </c>
      <c r="L945" s="10">
        <v>-0.49831351899999998</v>
      </c>
      <c r="M945" s="10">
        <v>1.1457680050000001</v>
      </c>
      <c r="N945" s="10">
        <v>-0.166518517</v>
      </c>
      <c r="O945" s="9">
        <v>-2.762640525E-2</v>
      </c>
      <c r="P945" s="10">
        <v>0.80323914733719004</v>
      </c>
      <c r="Q945" s="10">
        <v>0.64519312781497695</v>
      </c>
    </row>
    <row r="946" spans="1:17" x14ac:dyDescent="0.2">
      <c r="A946" s="10">
        <v>1690</v>
      </c>
      <c r="B946" s="10" t="s">
        <v>2822</v>
      </c>
      <c r="C946" s="9" t="s">
        <v>2468</v>
      </c>
      <c r="D946" s="10">
        <v>0.17595671600000001</v>
      </c>
      <c r="E946" s="10">
        <v>0.221627254</v>
      </c>
      <c r="F946" s="10">
        <v>-0.26855568800000001</v>
      </c>
      <c r="G946" s="10">
        <v>-0.104997692</v>
      </c>
      <c r="H946" s="9">
        <v>6.0076475000000002E-3</v>
      </c>
      <c r="I946" s="10">
        <v>0.233153533956795</v>
      </c>
      <c r="J946" s="10">
        <v>5.4360570396542698E-2</v>
      </c>
      <c r="K946" s="10">
        <v>0.495147697</v>
      </c>
      <c r="L946" s="10">
        <v>2.2667152999999999E-2</v>
      </c>
      <c r="M946" s="10">
        <v>2.5815624999999998E-2</v>
      </c>
      <c r="N946" s="10">
        <v>-0.37847787300000002</v>
      </c>
      <c r="O946" s="9">
        <v>4.1288150500000002E-2</v>
      </c>
      <c r="P946" s="10">
        <v>0.35720122388154901</v>
      </c>
      <c r="Q946" s="10">
        <v>0.12759271434247699</v>
      </c>
    </row>
    <row r="947" spans="1:17" x14ac:dyDescent="0.2">
      <c r="A947" s="10">
        <v>1690</v>
      </c>
      <c r="B947" s="10" t="s">
        <v>2826</v>
      </c>
      <c r="C947" s="9" t="s">
        <v>2467</v>
      </c>
      <c r="D947" s="10">
        <v>0.23876647500000001</v>
      </c>
      <c r="E947" s="10">
        <v>-0.15251652600000001</v>
      </c>
      <c r="F947" s="10">
        <v>-0.70911119700000003</v>
      </c>
      <c r="G947" s="10">
        <v>-0.30886650199999999</v>
      </c>
      <c r="H947" s="9">
        <v>-0.23293193725</v>
      </c>
      <c r="I947" s="10">
        <v>0.39220690799011798</v>
      </c>
      <c r="J947" s="10">
        <v>0.153826258675169</v>
      </c>
      <c r="K947" s="10">
        <v>8.0853334999999998E-2</v>
      </c>
      <c r="L947" s="10">
        <v>0.19461477099999999</v>
      </c>
      <c r="M947" s="10">
        <v>0.322967173</v>
      </c>
      <c r="N947" s="10">
        <v>-0.45837818000000002</v>
      </c>
      <c r="O947" s="9">
        <v>3.5014274499999998E-2</v>
      </c>
      <c r="P947" s="10">
        <v>0.34347562934539899</v>
      </c>
      <c r="Q947" s="10">
        <v>0.117975507954218</v>
      </c>
    </row>
    <row r="948" spans="1:17" x14ac:dyDescent="0.2">
      <c r="A948" s="10">
        <v>1690</v>
      </c>
      <c r="B948" s="10" t="s">
        <v>79</v>
      </c>
      <c r="C948" s="9" t="s">
        <v>905</v>
      </c>
      <c r="D948" s="10">
        <v>-0.22911056099999999</v>
      </c>
      <c r="E948" s="10">
        <v>-0.25445956800000002</v>
      </c>
      <c r="F948" s="10">
        <v>-0.42529883800000001</v>
      </c>
      <c r="G948" s="10">
        <v>-0.188101131</v>
      </c>
      <c r="H948" s="9">
        <v>-0.27424252449999997</v>
      </c>
      <c r="I948" s="10">
        <v>0.10434974687651501</v>
      </c>
      <c r="J948" s="10">
        <v>1.08888696731927E-2</v>
      </c>
      <c r="K948" s="10">
        <v>-9.4611262000000002E-2</v>
      </c>
      <c r="L948" s="10">
        <v>-0.19147964000000001</v>
      </c>
      <c r="M948" s="10">
        <v>-6.2506917999999995E-2</v>
      </c>
      <c r="N948" s="10">
        <v>0.217248262</v>
      </c>
      <c r="O948" s="9">
        <v>-3.2837389500000001E-2</v>
      </c>
      <c r="P948" s="10">
        <v>0.17550545003403001</v>
      </c>
      <c r="Q948" s="10">
        <v>3.0802162991647501E-2</v>
      </c>
    </row>
    <row r="949" spans="1:17" x14ac:dyDescent="0.2">
      <c r="A949" s="10">
        <v>1690</v>
      </c>
      <c r="B949" s="10" t="s">
        <v>2824</v>
      </c>
      <c r="C949" s="9" t="s">
        <v>2466</v>
      </c>
      <c r="D949" s="10">
        <v>0.19728836299999999</v>
      </c>
      <c r="E949" s="10">
        <v>-0.45585356399999999</v>
      </c>
      <c r="F949" s="10">
        <v>-0.38350995300000001</v>
      </c>
      <c r="G949" s="10">
        <v>-0.16629892499999999</v>
      </c>
      <c r="H949" s="9">
        <v>-0.20209351950000001</v>
      </c>
      <c r="I949" s="10">
        <v>0.29331054282288399</v>
      </c>
      <c r="J949" s="10">
        <v>8.6031074531055005E-2</v>
      </c>
      <c r="K949" s="10">
        <v>0.66260891300000002</v>
      </c>
      <c r="L949" s="10">
        <v>0.46364950199999999</v>
      </c>
      <c r="M949" s="10">
        <v>8.3432356999999999E-2</v>
      </c>
      <c r="N949" s="10">
        <v>0.64454182100000001</v>
      </c>
      <c r="O949" s="9">
        <v>0.46355814849999999</v>
      </c>
      <c r="P949" s="10">
        <v>0.26886918893059297</v>
      </c>
      <c r="Q949" s="10">
        <v>7.2290640756194999E-2</v>
      </c>
    </row>
    <row r="950" spans="1:17" x14ac:dyDescent="0.2">
      <c r="A950" s="10">
        <v>1690</v>
      </c>
      <c r="B950" s="10" t="s">
        <v>2817</v>
      </c>
      <c r="C950" s="9" t="s">
        <v>906</v>
      </c>
      <c r="D950" s="10">
        <v>-0.62293214200000002</v>
      </c>
      <c r="E950" s="10">
        <v>0.274702061</v>
      </c>
      <c r="F950" s="10">
        <v>-9.5342392999999998E-2</v>
      </c>
      <c r="G950" s="10">
        <v>-0.455285724</v>
      </c>
      <c r="H950" s="9">
        <v>-0.2247145495</v>
      </c>
      <c r="I950" s="10">
        <v>0.39912171209944403</v>
      </c>
      <c r="J950" s="10">
        <v>0.15929814106919099</v>
      </c>
      <c r="K950" s="10">
        <v>-0.19941303299999999</v>
      </c>
      <c r="L950" s="10">
        <v>0.43858199599999997</v>
      </c>
      <c r="M950" s="10">
        <v>0.183949053</v>
      </c>
      <c r="N950" s="10">
        <v>-6.7891533000000004E-2</v>
      </c>
      <c r="O950" s="9">
        <v>8.8806621000000002E-2</v>
      </c>
      <c r="P950" s="10">
        <v>0.28226451881296999</v>
      </c>
      <c r="Q950" s="10">
        <v>7.9673258580717499E-2</v>
      </c>
    </row>
    <row r="951" spans="1:17" x14ac:dyDescent="0.2">
      <c r="A951" s="10">
        <v>1690</v>
      </c>
      <c r="B951" s="10" t="s">
        <v>2814</v>
      </c>
      <c r="C951" s="9" t="s">
        <v>907</v>
      </c>
      <c r="D951" s="10">
        <v>-1.1486228970000001</v>
      </c>
      <c r="E951" s="10">
        <v>-1.8232592190000001</v>
      </c>
      <c r="F951" s="10">
        <v>-0.95413561099999999</v>
      </c>
      <c r="G951" s="10">
        <v>-0.59178107499999999</v>
      </c>
      <c r="H951" s="9">
        <v>-1.1294497004999999</v>
      </c>
      <c r="I951" s="10">
        <v>0.51690161547742097</v>
      </c>
      <c r="J951" s="10">
        <v>0.267187280083167</v>
      </c>
      <c r="K951" s="10">
        <v>-2.1821138E-2</v>
      </c>
      <c r="L951" s="10">
        <v>-1.0775869149999999</v>
      </c>
      <c r="M951" s="10">
        <v>-0.128945066</v>
      </c>
      <c r="N951" s="10">
        <v>-0.37980514500000001</v>
      </c>
      <c r="O951" s="9">
        <v>-0.40203956600000001</v>
      </c>
      <c r="P951" s="10">
        <v>0.474694726162395</v>
      </c>
      <c r="Q951" s="10">
        <v>0.22533508304639099</v>
      </c>
    </row>
    <row r="952" spans="1:17" x14ac:dyDescent="0.2">
      <c r="A952" s="10">
        <v>1690</v>
      </c>
      <c r="B952" s="10" t="s">
        <v>74</v>
      </c>
      <c r="C952" s="9" t="s">
        <v>2465</v>
      </c>
      <c r="D952" s="10">
        <v>-0.48861320800000002</v>
      </c>
      <c r="E952" s="10">
        <v>0.45908810700000002</v>
      </c>
      <c r="F952" s="10">
        <v>5.1666809000000001E-2</v>
      </c>
      <c r="G952" s="10">
        <v>-0.29736011899999998</v>
      </c>
      <c r="H952" s="9">
        <v>-6.8804602749999999E-2</v>
      </c>
      <c r="I952" s="10">
        <v>0.41699758716587698</v>
      </c>
      <c r="J952" s="10">
        <v>0.17388698770216299</v>
      </c>
      <c r="K952" s="10">
        <v>7.5155231000000003E-2</v>
      </c>
      <c r="L952" s="10">
        <v>-0.164929613</v>
      </c>
      <c r="M952" s="10">
        <v>-0.46106937100000001</v>
      </c>
      <c r="N952" s="10">
        <v>0.38302587700000001</v>
      </c>
      <c r="O952" s="9">
        <v>-4.1954469000000001E-2</v>
      </c>
      <c r="P952" s="10">
        <v>0.35828441376493902</v>
      </c>
      <c r="Q952" s="10">
        <v>0.12836772114688599</v>
      </c>
    </row>
    <row r="953" spans="1:17" x14ac:dyDescent="0.2">
      <c r="A953" s="10">
        <v>1690</v>
      </c>
      <c r="B953" s="10" t="s">
        <v>2818</v>
      </c>
      <c r="C953" s="9" t="s">
        <v>908</v>
      </c>
      <c r="D953" s="10">
        <v>-0.38111784199999998</v>
      </c>
      <c r="E953" s="10">
        <v>-0.63332002300000001</v>
      </c>
      <c r="F953" s="10">
        <v>-0.85100176999999999</v>
      </c>
      <c r="G953" s="10">
        <v>-0.37723900599999999</v>
      </c>
      <c r="H953" s="9">
        <v>-0.56066965999999996</v>
      </c>
      <c r="I953" s="10">
        <v>0.22763748191298699</v>
      </c>
      <c r="J953" s="10">
        <v>5.1818823171685499E-2</v>
      </c>
      <c r="K953" s="10">
        <v>-0.30121764299999998</v>
      </c>
      <c r="L953" s="10">
        <v>-6.3702405000000004E-2</v>
      </c>
      <c r="M953" s="10">
        <v>1.279633792</v>
      </c>
      <c r="N953" s="10">
        <v>0.47859958499999999</v>
      </c>
      <c r="O953" s="9">
        <v>0.34832833224999998</v>
      </c>
      <c r="P953" s="10">
        <v>0.70142230766147895</v>
      </c>
      <c r="Q953" s="10">
        <v>0.49199325368515501</v>
      </c>
    </row>
    <row r="954" spans="1:17" x14ac:dyDescent="0.2">
      <c r="A954" s="10">
        <v>1690</v>
      </c>
      <c r="B954" s="10" t="s">
        <v>2830</v>
      </c>
      <c r="C954" s="9" t="s">
        <v>2464</v>
      </c>
      <c r="D954" s="10">
        <v>-0.100050731</v>
      </c>
      <c r="E954" s="10">
        <v>-0.64328919600000001</v>
      </c>
      <c r="F954" s="10">
        <v>-0.499098763</v>
      </c>
      <c r="G954" s="10">
        <v>-1.1055437859999999</v>
      </c>
      <c r="H954" s="9">
        <v>-0.58699561874999995</v>
      </c>
      <c r="I954" s="10">
        <v>0.41509129500008002</v>
      </c>
      <c r="J954" s="10">
        <v>0.17230078318484399</v>
      </c>
      <c r="K954" s="10">
        <v>-0.76244779799999995</v>
      </c>
      <c r="L954" s="10">
        <v>-0.64829892300000003</v>
      </c>
      <c r="M954" s="10">
        <v>-0.55470682400000004</v>
      </c>
      <c r="N954" s="10">
        <v>-0.56686857099999999</v>
      </c>
      <c r="O954" s="9">
        <v>-0.633080529</v>
      </c>
      <c r="P954" s="10">
        <v>9.5732179929353498E-2</v>
      </c>
      <c r="Q954" s="10">
        <v>9.1646502740261003E-3</v>
      </c>
    </row>
    <row r="955" spans="1:17" x14ac:dyDescent="0.2">
      <c r="A955" s="10">
        <v>1691</v>
      </c>
      <c r="B955" s="10" t="s">
        <v>2831</v>
      </c>
      <c r="C955" s="9" t="s">
        <v>909</v>
      </c>
      <c r="D955" s="10">
        <v>-1.4337993600000001</v>
      </c>
      <c r="E955" s="10">
        <v>-1.274376357</v>
      </c>
      <c r="F955" s="10">
        <v>-1.039592775</v>
      </c>
      <c r="G955" s="10">
        <v>-1.3171847379999999</v>
      </c>
      <c r="H955" s="9">
        <v>-1.2662383075000001</v>
      </c>
      <c r="I955" s="10">
        <v>0.165435456041998</v>
      </c>
      <c r="J955" s="10">
        <v>2.7368890115824E-2</v>
      </c>
      <c r="K955" s="10">
        <v>-0.35073992799999998</v>
      </c>
      <c r="L955" s="10">
        <v>-0.112596711</v>
      </c>
      <c r="M955" s="10">
        <v>0.15065816500000001</v>
      </c>
      <c r="N955" s="10">
        <v>-6.5483410000000001E-3</v>
      </c>
      <c r="O955" s="9">
        <v>-7.9806704000000006E-2</v>
      </c>
      <c r="P955" s="10">
        <v>0.21052382289479801</v>
      </c>
      <c r="Q955" s="10">
        <v>4.4320280006240297E-2</v>
      </c>
    </row>
    <row r="956" spans="1:17" x14ac:dyDescent="0.2">
      <c r="A956" s="10">
        <v>1691</v>
      </c>
      <c r="B956" s="10" t="s">
        <v>2821</v>
      </c>
      <c r="C956" s="9" t="s">
        <v>2463</v>
      </c>
      <c r="D956" s="10">
        <v>-1.7784738410000001</v>
      </c>
      <c r="E956" s="10">
        <v>-2.057446025</v>
      </c>
      <c r="F956" s="10">
        <v>-0.75784788400000003</v>
      </c>
      <c r="G956" s="10">
        <v>-1.804486738</v>
      </c>
      <c r="H956" s="9">
        <v>-1.599563622</v>
      </c>
      <c r="I956" s="10">
        <v>0.57507797399069105</v>
      </c>
      <c r="J956" s="10">
        <v>0.330714676169238</v>
      </c>
      <c r="K956" s="10">
        <v>-0.26370324299999998</v>
      </c>
      <c r="L956" s="10">
        <v>-0.29364979200000002</v>
      </c>
      <c r="M956" s="10">
        <v>0.65996818199999996</v>
      </c>
      <c r="N956" s="10">
        <v>-0.66720344499999995</v>
      </c>
      <c r="O956" s="9">
        <v>-0.1411470745</v>
      </c>
      <c r="P956" s="10">
        <v>0.56474125415183896</v>
      </c>
      <c r="Q956" s="10">
        <v>0.31893268414099302</v>
      </c>
    </row>
    <row r="957" spans="1:17" x14ac:dyDescent="0.2">
      <c r="A957" s="10">
        <v>1691</v>
      </c>
      <c r="B957" s="10" t="s">
        <v>2834</v>
      </c>
      <c r="C957" s="9" t="s">
        <v>2462</v>
      </c>
      <c r="D957" s="10">
        <v>-1.43466615</v>
      </c>
      <c r="E957" s="10">
        <v>-1.762213174</v>
      </c>
      <c r="F957" s="10">
        <v>-1.802270748</v>
      </c>
      <c r="G957" s="10">
        <v>-1.6832948700000001</v>
      </c>
      <c r="H957" s="9">
        <v>-1.6706112355</v>
      </c>
      <c r="I957" s="10">
        <v>0.16487985557614099</v>
      </c>
      <c r="J957" s="10">
        <v>2.7185366774809101E-2</v>
      </c>
      <c r="K957" s="10">
        <v>0.214300922</v>
      </c>
      <c r="L957" s="10">
        <v>-5.5609262999999999E-2</v>
      </c>
      <c r="M957" s="10">
        <v>-1.0499924000000001E-2</v>
      </c>
      <c r="N957" s="10">
        <v>0.15745150599999999</v>
      </c>
      <c r="O957" s="9">
        <v>7.6410810250000002E-2</v>
      </c>
      <c r="P957" s="10">
        <v>0.12982559166676999</v>
      </c>
      <c r="Q957" s="10">
        <v>1.6854684251626999E-2</v>
      </c>
    </row>
    <row r="958" spans="1:17" x14ac:dyDescent="0.2">
      <c r="A958" s="10">
        <v>1691</v>
      </c>
      <c r="B958" s="10" t="s">
        <v>2824</v>
      </c>
      <c r="C958" s="9" t="s">
        <v>2461</v>
      </c>
      <c r="D958" s="10">
        <v>-1.355602918</v>
      </c>
      <c r="E958" s="10">
        <v>-3.4374509990000002</v>
      </c>
      <c r="F958" s="10">
        <v>-0.17643001899999999</v>
      </c>
      <c r="G958" s="10">
        <v>-2.4962628520000001</v>
      </c>
      <c r="H958" s="9">
        <v>-1.8664366967499999</v>
      </c>
      <c r="I958" s="10">
        <v>1.41207184001176</v>
      </c>
      <c r="J958" s="10">
        <v>1.9939468813542101</v>
      </c>
      <c r="K958" s="10">
        <v>-0.42751383999999998</v>
      </c>
      <c r="L958" s="10">
        <v>-0.29125503800000002</v>
      </c>
      <c r="M958" s="10">
        <v>-0.35823484999999999</v>
      </c>
      <c r="N958" s="10">
        <v>0.386402262</v>
      </c>
      <c r="O958" s="9">
        <v>-0.17265036675000001</v>
      </c>
      <c r="P958" s="10">
        <v>0.37683059862261198</v>
      </c>
      <c r="Q958" s="10">
        <v>0.14200130005827599</v>
      </c>
    </row>
    <row r="959" spans="1:17" x14ac:dyDescent="0.2">
      <c r="A959" s="10">
        <v>1691</v>
      </c>
      <c r="B959" s="10" t="s">
        <v>2832</v>
      </c>
      <c r="C959" s="9" t="s">
        <v>2460</v>
      </c>
      <c r="D959" s="10">
        <v>-1.2129327839999999</v>
      </c>
      <c r="E959" s="10">
        <v>-1.2208990239999999</v>
      </c>
      <c r="F959" s="10">
        <v>-1.937139578</v>
      </c>
      <c r="G959" s="10">
        <v>-1.553861704</v>
      </c>
      <c r="H959" s="9">
        <v>-1.4812082725</v>
      </c>
      <c r="I959" s="10">
        <v>0.34296963861164498</v>
      </c>
      <c r="J959" s="10">
        <v>0.117628173009402</v>
      </c>
      <c r="K959" s="10">
        <v>-5.6940010999999999E-2</v>
      </c>
      <c r="L959" s="10">
        <v>-6.0063792999999997E-2</v>
      </c>
      <c r="M959" s="10">
        <v>-0.241135866</v>
      </c>
      <c r="N959" s="10">
        <v>-4.756146E-2</v>
      </c>
      <c r="O959" s="9">
        <v>-0.10142528250000001</v>
      </c>
      <c r="P959" s="10">
        <v>9.3291783686648505E-2</v>
      </c>
      <c r="Q959" s="10">
        <v>8.7033569034363992E-3</v>
      </c>
    </row>
    <row r="960" spans="1:17" x14ac:dyDescent="0.2">
      <c r="A960" s="10">
        <v>1692</v>
      </c>
      <c r="B960" s="10" t="s">
        <v>2831</v>
      </c>
      <c r="C960" s="9" t="s">
        <v>910</v>
      </c>
      <c r="D960" s="10">
        <v>-0.82326845900000001</v>
      </c>
      <c r="E960" s="10">
        <v>-1.0658006</v>
      </c>
      <c r="F960" s="10">
        <v>-1.705618718</v>
      </c>
      <c r="G960" s="10">
        <v>-1.341896846</v>
      </c>
      <c r="H960" s="9">
        <v>-1.23414615575</v>
      </c>
      <c r="I960" s="10">
        <v>0.37905905258120898</v>
      </c>
      <c r="J960" s="10">
        <v>0.14368576534376401</v>
      </c>
      <c r="K960" s="10">
        <v>2.6982207000000001E-2</v>
      </c>
      <c r="L960" s="10">
        <v>-0.26399970099999998</v>
      </c>
      <c r="M960" s="10">
        <v>0.25004620900000002</v>
      </c>
      <c r="N960" s="10">
        <v>-1.2023529E-2</v>
      </c>
      <c r="O960" s="9">
        <v>2.5129675000000001E-4</v>
      </c>
      <c r="P960" s="10">
        <v>0.21062708033223199</v>
      </c>
      <c r="Q960" s="10">
        <v>4.4363766969280703E-2</v>
      </c>
    </row>
    <row r="961" spans="1:17" x14ac:dyDescent="0.2">
      <c r="A961" s="10">
        <v>1692</v>
      </c>
      <c r="B961" s="10" t="s">
        <v>2822</v>
      </c>
      <c r="C961" s="9" t="s">
        <v>911</v>
      </c>
      <c r="D961" s="10">
        <v>-1.335606807</v>
      </c>
      <c r="E961" s="10">
        <v>-6.5638227980000003</v>
      </c>
      <c r="F961" s="10">
        <v>-1.5575794759999999</v>
      </c>
      <c r="G961" s="10">
        <v>-1.8650795010000001</v>
      </c>
      <c r="H961" s="9">
        <v>-2.8305221450000002</v>
      </c>
      <c r="I961" s="10">
        <v>2.4983173117715598</v>
      </c>
      <c r="J961" s="10">
        <v>6.2415893902974799</v>
      </c>
      <c r="K961" s="10">
        <v>-0.17840275</v>
      </c>
      <c r="L961" s="10">
        <v>-0.81694160500000002</v>
      </c>
      <c r="M961" s="10">
        <v>0.77775622600000005</v>
      </c>
      <c r="N961" s="10">
        <v>-0.677196044</v>
      </c>
      <c r="O961" s="9">
        <v>-0.22369604325</v>
      </c>
      <c r="P961" s="10">
        <v>0.72170184915372704</v>
      </c>
      <c r="Q961" s="10">
        <v>0.520853559071909</v>
      </c>
    </row>
    <row r="962" spans="1:17" x14ac:dyDescent="0.2">
      <c r="A962" s="10">
        <v>1692</v>
      </c>
      <c r="B962" s="10" t="s">
        <v>2819</v>
      </c>
      <c r="C962" s="9" t="s">
        <v>912</v>
      </c>
      <c r="D962" s="10">
        <v>-0.19036851699999999</v>
      </c>
      <c r="E962" s="10">
        <v>-0.93766197200000001</v>
      </c>
      <c r="F962" s="10">
        <v>-0.46057449099999997</v>
      </c>
      <c r="G962" s="10">
        <v>-1.002740797</v>
      </c>
      <c r="H962" s="9">
        <v>-0.64783644424999998</v>
      </c>
      <c r="I962" s="10">
        <v>0.389144309022535</v>
      </c>
      <c r="J962" s="10">
        <v>0.15143329324462601</v>
      </c>
      <c r="K962" s="10">
        <v>0.80106696099999997</v>
      </c>
      <c r="L962" s="10">
        <v>-9.2998513000000005E-2</v>
      </c>
      <c r="M962" s="10">
        <v>4.9116961000000001E-2</v>
      </c>
      <c r="N962" s="10">
        <v>-0.108363897</v>
      </c>
      <c r="O962" s="9">
        <v>0.16220537800000001</v>
      </c>
      <c r="P962" s="10">
        <v>0.43176763459388501</v>
      </c>
      <c r="Q962" s="10">
        <v>0.186423290282799</v>
      </c>
    </row>
    <row r="963" spans="1:17" x14ac:dyDescent="0.2">
      <c r="A963" s="10">
        <v>1692</v>
      </c>
      <c r="B963" s="10" t="s">
        <v>2834</v>
      </c>
      <c r="C963" s="9" t="s">
        <v>913</v>
      </c>
      <c r="D963" s="10">
        <v>-2.8379649260000002</v>
      </c>
      <c r="E963" s="10">
        <v>-1.191380098</v>
      </c>
      <c r="F963" s="10">
        <v>-1.447951929</v>
      </c>
      <c r="G963" s="10">
        <v>-0.61376412999999996</v>
      </c>
      <c r="H963" s="9">
        <v>-1.5227652709999999</v>
      </c>
      <c r="I963" s="10">
        <v>0.94365360450341595</v>
      </c>
      <c r="J963" s="10">
        <v>0.89048212529228998</v>
      </c>
      <c r="K963" s="10">
        <v>-0.16305641900000001</v>
      </c>
      <c r="L963" s="10">
        <v>1.058381292</v>
      </c>
      <c r="M963" s="10">
        <v>5.9820992000000003E-2</v>
      </c>
      <c r="N963" s="10">
        <v>0.38253119400000002</v>
      </c>
      <c r="O963" s="9">
        <v>0.33441926475</v>
      </c>
      <c r="P963" s="10">
        <v>0.53207832817982104</v>
      </c>
      <c r="Q963" s="10">
        <v>0.28310734731863302</v>
      </c>
    </row>
    <row r="964" spans="1:17" x14ac:dyDescent="0.2">
      <c r="A964" s="10">
        <v>1692</v>
      </c>
      <c r="B964" s="10" t="s">
        <v>2820</v>
      </c>
      <c r="C964" s="9" t="s">
        <v>914</v>
      </c>
      <c r="D964" s="10">
        <v>-0.74448957400000004</v>
      </c>
      <c r="E964" s="10">
        <v>-0.15162102899999999</v>
      </c>
      <c r="F964" s="10">
        <v>-0.60069735400000002</v>
      </c>
      <c r="G964" s="10">
        <v>-1.2259292040000001</v>
      </c>
      <c r="H964" s="9">
        <v>-0.68068429050000001</v>
      </c>
      <c r="I964" s="10">
        <v>0.44259423651158197</v>
      </c>
      <c r="J964" s="10">
        <v>0.19588965819327001</v>
      </c>
      <c r="K964" s="10">
        <v>-5.9166414000000001E-2</v>
      </c>
      <c r="L964" s="10">
        <v>-8.8479398000000001E-2</v>
      </c>
      <c r="M964" s="10">
        <v>-0.44731090499999998</v>
      </c>
      <c r="N964" s="10">
        <v>0.112353601</v>
      </c>
      <c r="O964" s="9">
        <v>-0.120650779</v>
      </c>
      <c r="P964" s="10">
        <v>0.23509799652656899</v>
      </c>
      <c r="Q964" s="10">
        <v>5.5271067970806803E-2</v>
      </c>
    </row>
    <row r="965" spans="1:17" x14ac:dyDescent="0.2">
      <c r="A965" s="10">
        <v>1692</v>
      </c>
      <c r="B965" s="10" t="s">
        <v>2824</v>
      </c>
      <c r="C965" s="9" t="s">
        <v>915</v>
      </c>
      <c r="D965" s="10">
        <v>-0.86352543699999995</v>
      </c>
      <c r="E965" s="10">
        <v>-1.2934958080000001</v>
      </c>
      <c r="F965" s="10">
        <v>-1.1835119350000001</v>
      </c>
      <c r="G965" s="10">
        <v>-0.966251627</v>
      </c>
      <c r="H965" s="9">
        <v>-1.0766962014999999</v>
      </c>
      <c r="I965" s="10">
        <v>0.19668201847626901</v>
      </c>
      <c r="J965" s="10">
        <v>3.8683816391899398E-2</v>
      </c>
      <c r="K965" s="10">
        <v>-5.9426450999999998E-2</v>
      </c>
      <c r="L965" s="10">
        <v>-0.32471929999999999</v>
      </c>
      <c r="M965" s="10">
        <v>0.107031894</v>
      </c>
      <c r="N965" s="10">
        <v>-1.826135E-3</v>
      </c>
      <c r="O965" s="9">
        <v>-6.9734998000000006E-2</v>
      </c>
      <c r="P965" s="10">
        <v>0.18346789745436001</v>
      </c>
      <c r="Q965" s="10">
        <v>3.3660469396323597E-2</v>
      </c>
    </row>
    <row r="966" spans="1:17" x14ac:dyDescent="0.2">
      <c r="A966" s="10">
        <v>1692</v>
      </c>
      <c r="B966" s="10" t="s">
        <v>2825</v>
      </c>
      <c r="C966" s="9" t="s">
        <v>2459</v>
      </c>
      <c r="D966" s="10">
        <v>-1.197345117</v>
      </c>
      <c r="E966" s="10">
        <v>-0.85468542199999997</v>
      </c>
      <c r="F966" s="10">
        <v>-1.3454622940000001</v>
      </c>
      <c r="G966" s="10">
        <v>-0.91299610200000003</v>
      </c>
      <c r="H966" s="9">
        <v>-1.0776222337500001</v>
      </c>
      <c r="I966" s="10">
        <v>0.233005330365809</v>
      </c>
      <c r="J966" s="10">
        <v>5.4291483978879999E-2</v>
      </c>
      <c r="K966" s="10">
        <v>0.428173741</v>
      </c>
      <c r="L966" s="10">
        <v>-4.0268066999999998E-2</v>
      </c>
      <c r="M966" s="10">
        <v>-4.2002680000000001E-3</v>
      </c>
      <c r="N966" s="10">
        <v>-8.8531518000000003E-2</v>
      </c>
      <c r="O966" s="9">
        <v>7.3793471999999999E-2</v>
      </c>
      <c r="P966" s="10">
        <v>0.23876615868058601</v>
      </c>
      <c r="Q966" s="10">
        <v>5.7009278531082799E-2</v>
      </c>
    </row>
    <row r="967" spans="1:17" x14ac:dyDescent="0.2">
      <c r="A967" s="10">
        <v>1692</v>
      </c>
      <c r="B967" s="10" t="s">
        <v>74</v>
      </c>
      <c r="C967" s="9" t="s">
        <v>2458</v>
      </c>
      <c r="D967" s="10">
        <v>-8.2641041999999998E-2</v>
      </c>
      <c r="E967" s="10">
        <v>0.37804100200000001</v>
      </c>
      <c r="F967" s="10">
        <v>-2.5174620600000002</v>
      </c>
      <c r="G967" s="10">
        <v>-1.418369787</v>
      </c>
      <c r="H967" s="9">
        <v>-0.91010797175000002</v>
      </c>
      <c r="I967" s="10">
        <v>1.31478091156642</v>
      </c>
      <c r="J967" s="10">
        <v>1.72864884541942</v>
      </c>
      <c r="K967" s="10">
        <v>0.40004466900000002</v>
      </c>
      <c r="L967" s="10">
        <v>3.7468170000000002E-2</v>
      </c>
      <c r="M967" s="10">
        <v>-1.5156888159999999</v>
      </c>
      <c r="N967" s="10">
        <v>-1.012250095</v>
      </c>
      <c r="O967" s="9">
        <v>-0.52260651800000002</v>
      </c>
      <c r="P967" s="10">
        <v>0.892735898256799</v>
      </c>
      <c r="Q967" s="10">
        <v>0.79697738403637297</v>
      </c>
    </row>
    <row r="968" spans="1:17" x14ac:dyDescent="0.2">
      <c r="A968" s="10">
        <v>1692</v>
      </c>
      <c r="B968" s="10" t="s">
        <v>2818</v>
      </c>
      <c r="C968" s="9" t="s">
        <v>2457</v>
      </c>
      <c r="D968" s="10">
        <v>-0.27622048300000002</v>
      </c>
      <c r="E968" s="10">
        <v>-0.44784224900000003</v>
      </c>
      <c r="F968" s="10">
        <v>-0.39460944799999997</v>
      </c>
      <c r="G968" s="10">
        <v>9.3590719999999995E-3</v>
      </c>
      <c r="H968" s="9">
        <v>-0.27732827700000001</v>
      </c>
      <c r="I968" s="10">
        <v>0.20414108765144201</v>
      </c>
      <c r="J968" s="10">
        <v>4.1673583667514003E-2</v>
      </c>
      <c r="K968" s="10">
        <v>-0.14073698500000001</v>
      </c>
      <c r="L968" s="10">
        <v>-4.1121192000000001E-2</v>
      </c>
      <c r="M968" s="10">
        <v>0.46185385400000001</v>
      </c>
      <c r="N968" s="10">
        <v>0.57663092800000004</v>
      </c>
      <c r="O968" s="9">
        <v>0.214156651</v>
      </c>
      <c r="P968" s="10">
        <v>0.35770461550499499</v>
      </c>
      <c r="Q968" s="10">
        <v>0.127952591953576</v>
      </c>
    </row>
    <row r="969" spans="1:17" x14ac:dyDescent="0.2">
      <c r="A969" s="10">
        <v>1692</v>
      </c>
      <c r="B969" s="10" t="s">
        <v>2832</v>
      </c>
      <c r="C969" s="9" t="s">
        <v>916</v>
      </c>
      <c r="D969" s="10">
        <v>-0.74652577799999997</v>
      </c>
      <c r="E969" s="10">
        <v>-0.89164507500000001</v>
      </c>
      <c r="F969" s="10">
        <v>-1.293445688</v>
      </c>
      <c r="G969" s="10">
        <v>-1.097183824</v>
      </c>
      <c r="H969" s="9">
        <v>-1.0072000912500001</v>
      </c>
      <c r="I969" s="10">
        <v>0.23898233769275601</v>
      </c>
      <c r="J969" s="10">
        <v>5.7112557729094598E-2</v>
      </c>
      <c r="K969" s="10">
        <v>-0.20566195600000001</v>
      </c>
      <c r="L969" s="10">
        <v>-5.7369885000000002E-2</v>
      </c>
      <c r="M969" s="10">
        <v>0.126805694</v>
      </c>
      <c r="N969" s="10">
        <v>-0.28254476299999998</v>
      </c>
      <c r="O969" s="9">
        <v>-0.10469272725000001</v>
      </c>
      <c r="P969" s="10">
        <v>0.18042274636221201</v>
      </c>
      <c r="Q969" s="10">
        <v>3.2552367404883299E-2</v>
      </c>
    </row>
    <row r="970" spans="1:17" x14ac:dyDescent="0.2">
      <c r="A970" s="10">
        <v>1693</v>
      </c>
      <c r="B970" s="10" t="s">
        <v>2831</v>
      </c>
      <c r="C970" s="9" t="s">
        <v>2456</v>
      </c>
      <c r="D970" s="10">
        <v>-2.0621230779999999</v>
      </c>
      <c r="E970" s="10">
        <v>-1.076254544</v>
      </c>
      <c r="F970" s="10">
        <v>-1.639565122</v>
      </c>
      <c r="G970" s="10">
        <v>-1.204967787</v>
      </c>
      <c r="H970" s="9">
        <v>-1.495727633</v>
      </c>
      <c r="I970" s="10">
        <v>0.447955348890831</v>
      </c>
      <c r="J970" s="10">
        <v>0.200663994599906</v>
      </c>
      <c r="K970" s="10">
        <v>-0.33074273799999998</v>
      </c>
      <c r="L970" s="10">
        <v>-9.9691141999999996E-2</v>
      </c>
      <c r="M970" s="10">
        <v>-0.31920459600000001</v>
      </c>
      <c r="N970" s="10">
        <v>-5.6932412000000002E-2</v>
      </c>
      <c r="O970" s="9">
        <v>-0.20164272175</v>
      </c>
      <c r="P970" s="10">
        <v>0.14355348229188999</v>
      </c>
      <c r="Q970" s="10">
        <v>2.06076022781282E-2</v>
      </c>
    </row>
    <row r="971" spans="1:17" x14ac:dyDescent="0.2">
      <c r="A971" s="10">
        <v>1693</v>
      </c>
      <c r="B971" s="10" t="s">
        <v>2823</v>
      </c>
      <c r="C971" s="9" t="s">
        <v>917</v>
      </c>
      <c r="D971" s="10">
        <v>-6.47074E-3</v>
      </c>
      <c r="E971" s="10">
        <v>-0.81809414599999997</v>
      </c>
      <c r="F971" s="10">
        <v>0.167858427</v>
      </c>
      <c r="G971" s="10">
        <v>0.40077493400000003</v>
      </c>
      <c r="H971" s="9">
        <v>-6.3982881500000005E-2</v>
      </c>
      <c r="I971" s="10">
        <v>0.52969855108386199</v>
      </c>
      <c r="J971" s="10">
        <v>0.28058055502034301</v>
      </c>
      <c r="K971" s="10">
        <v>-0.55476756500000002</v>
      </c>
      <c r="L971" s="10">
        <v>0.35418477300000001</v>
      </c>
      <c r="M971" s="10">
        <v>0.21597440900000001</v>
      </c>
      <c r="N971" s="10">
        <v>-0.404044715</v>
      </c>
      <c r="O971" s="9">
        <v>-9.7163274499999994E-2</v>
      </c>
      <c r="P971" s="10">
        <v>0.44920232042186797</v>
      </c>
      <c r="Q971" s="10">
        <v>0.20178272467239</v>
      </c>
    </row>
    <row r="972" spans="1:17" x14ac:dyDescent="0.2">
      <c r="A972" s="10">
        <v>1693</v>
      </c>
      <c r="B972" s="10" t="s">
        <v>2819</v>
      </c>
      <c r="C972" s="9" t="s">
        <v>2455</v>
      </c>
      <c r="D972" s="10">
        <v>-0.54299162099999998</v>
      </c>
      <c r="E972" s="10">
        <v>-0.75397903099999997</v>
      </c>
      <c r="F972" s="10">
        <v>-1.504856113</v>
      </c>
      <c r="G972" s="10">
        <v>-0.65289829799999999</v>
      </c>
      <c r="H972" s="9">
        <v>-0.86368126550000002</v>
      </c>
      <c r="I972" s="10">
        <v>0.43604704363886498</v>
      </c>
      <c r="J972" s="10">
        <v>0.190137024266194</v>
      </c>
      <c r="K972" s="10">
        <v>-0.192333956</v>
      </c>
      <c r="L972" s="10">
        <v>5.8898167000000001E-2</v>
      </c>
      <c r="M972" s="10">
        <v>0.22801837599999999</v>
      </c>
      <c r="N972" s="10">
        <v>-0.416025541</v>
      </c>
      <c r="O972" s="9">
        <v>-8.0360738500000001E-2</v>
      </c>
      <c r="P972" s="10">
        <v>0.28266563409531997</v>
      </c>
      <c r="Q972" s="10">
        <v>7.9899860698509406E-2</v>
      </c>
    </row>
    <row r="973" spans="1:17" x14ac:dyDescent="0.2">
      <c r="A973" s="10">
        <v>1693</v>
      </c>
      <c r="B973" s="10" t="s">
        <v>2826</v>
      </c>
      <c r="C973" s="9" t="s">
        <v>918</v>
      </c>
      <c r="D973" s="10">
        <v>0.22287217100000001</v>
      </c>
      <c r="E973" s="10">
        <v>0.310872437</v>
      </c>
      <c r="F973" s="10">
        <v>6.4886576000000001E-2</v>
      </c>
      <c r="G973" s="10">
        <v>-0.106680096</v>
      </c>
      <c r="H973" s="9">
        <v>0.12298777175</v>
      </c>
      <c r="I973" s="10">
        <v>0.18384832432746401</v>
      </c>
      <c r="J973" s="10">
        <v>3.3800206358016401E-2</v>
      </c>
      <c r="K973" s="10">
        <v>0.22743045000000001</v>
      </c>
      <c r="L973" s="10">
        <v>0.59737320199999999</v>
      </c>
      <c r="M973" s="10">
        <v>1.022110319</v>
      </c>
      <c r="N973" s="10">
        <v>0.127856884</v>
      </c>
      <c r="O973" s="9">
        <v>0.49369271399999998</v>
      </c>
      <c r="P973" s="10">
        <v>0.40608137797246502</v>
      </c>
      <c r="Q973" s="10">
        <v>0.16490208553601601</v>
      </c>
    </row>
    <row r="974" spans="1:17" x14ac:dyDescent="0.2">
      <c r="A974" s="10">
        <v>1693</v>
      </c>
      <c r="B974" s="10" t="s">
        <v>2834</v>
      </c>
      <c r="C974" s="9" t="s">
        <v>919</v>
      </c>
      <c r="D974" s="10">
        <v>1.2394706959999999</v>
      </c>
      <c r="E974" s="10">
        <v>0.557351598</v>
      </c>
      <c r="F974" s="10">
        <v>-0.21050015499999999</v>
      </c>
      <c r="G974" s="10">
        <v>-0.57690091899999996</v>
      </c>
      <c r="H974" s="9">
        <v>0.25235530524999999</v>
      </c>
      <c r="I974" s="10">
        <v>0.81020997191826205</v>
      </c>
      <c r="J974" s="10">
        <v>0.65644019859579095</v>
      </c>
      <c r="K974" s="10">
        <v>0.55284371099999996</v>
      </c>
      <c r="L974" s="10">
        <v>0.30336339800000001</v>
      </c>
      <c r="M974" s="10">
        <v>0.33053929900000001</v>
      </c>
      <c r="N974" s="10">
        <v>-0.36842010200000003</v>
      </c>
      <c r="O974" s="9">
        <v>0.20458157674999999</v>
      </c>
      <c r="P974" s="10">
        <v>0.39801199060939402</v>
      </c>
      <c r="Q974" s="10">
        <v>0.15841354466885199</v>
      </c>
    </row>
    <row r="975" spans="1:17" x14ac:dyDescent="0.2">
      <c r="A975" s="10">
        <v>1693</v>
      </c>
      <c r="B975" s="10" t="s">
        <v>79</v>
      </c>
      <c r="C975" s="9" t="s">
        <v>920</v>
      </c>
      <c r="D975" s="10">
        <v>-0.181699851</v>
      </c>
      <c r="E975" s="10">
        <v>1.3388839100000001</v>
      </c>
      <c r="F975" s="10">
        <v>0.48427838699999998</v>
      </c>
      <c r="G975" s="10">
        <v>0.93100367500000003</v>
      </c>
      <c r="H975" s="9">
        <v>0.64311653025000004</v>
      </c>
      <c r="I975" s="10">
        <v>0.65128664282478599</v>
      </c>
      <c r="J975" s="10">
        <v>0.42417429112198002</v>
      </c>
      <c r="K975" s="10">
        <v>-0.220669636</v>
      </c>
      <c r="L975" s="10">
        <v>0.101455726</v>
      </c>
      <c r="M975" s="10">
        <v>0.27994439700000001</v>
      </c>
      <c r="N975" s="10">
        <v>1.1874033230000001</v>
      </c>
      <c r="O975" s="9">
        <v>0.3370334525</v>
      </c>
      <c r="P975" s="10">
        <v>0.603577577741645</v>
      </c>
      <c r="Q975" s="10">
        <v>0.36430589235247202</v>
      </c>
    </row>
    <row r="976" spans="1:17" x14ac:dyDescent="0.2">
      <c r="A976" s="10">
        <v>1693</v>
      </c>
      <c r="B976" s="10" t="s">
        <v>2820</v>
      </c>
      <c r="C976" s="9" t="s">
        <v>2454</v>
      </c>
      <c r="D976" s="10">
        <v>0.165827009</v>
      </c>
      <c r="E976" s="10">
        <v>0.17815734</v>
      </c>
      <c r="F976" s="10">
        <v>-0.33861365199999999</v>
      </c>
      <c r="G976" s="10">
        <v>0.121849608</v>
      </c>
      <c r="H976" s="9">
        <v>3.1805076250000001E-2</v>
      </c>
      <c r="I976" s="10">
        <v>0.24812558345806701</v>
      </c>
      <c r="J976" s="10">
        <v>6.1566305166406397E-2</v>
      </c>
      <c r="K976" s="10">
        <v>5.6680249000000002E-2</v>
      </c>
      <c r="L976" s="10">
        <v>-0.223327096</v>
      </c>
      <c r="M976" s="10">
        <v>0.26420624300000001</v>
      </c>
      <c r="N976" s="10">
        <v>-0.19734278999999999</v>
      </c>
      <c r="O976" s="9">
        <v>-2.494584825E-2</v>
      </c>
      <c r="P976" s="10">
        <v>0.230468780684148</v>
      </c>
      <c r="Q976" s="10">
        <v>5.3115858870038099E-2</v>
      </c>
    </row>
    <row r="977" spans="1:17" x14ac:dyDescent="0.2">
      <c r="A977" s="10">
        <v>1693</v>
      </c>
      <c r="B977" s="10" t="s">
        <v>2824</v>
      </c>
      <c r="C977" s="9" t="s">
        <v>2453</v>
      </c>
      <c r="D977" s="10">
        <v>-0.12652945700000001</v>
      </c>
      <c r="E977" s="10">
        <v>-0.33504639200000003</v>
      </c>
      <c r="F977" s="10">
        <v>-1.153516E-3</v>
      </c>
      <c r="G977" s="10">
        <v>0.103948676</v>
      </c>
      <c r="H977" s="9">
        <v>-8.9695172249999996E-2</v>
      </c>
      <c r="I977" s="10">
        <v>0.18876047469603599</v>
      </c>
      <c r="J977" s="10">
        <v>3.5630516807472999E-2</v>
      </c>
      <c r="K977" s="10">
        <v>0.259622884</v>
      </c>
      <c r="L977" s="10">
        <v>3.0335382000000001E-2</v>
      </c>
      <c r="M977" s="10">
        <v>0.27951919400000003</v>
      </c>
      <c r="N977" s="10">
        <v>0.26854982700000002</v>
      </c>
      <c r="O977" s="9">
        <v>0.20950682174999999</v>
      </c>
      <c r="P977" s="10">
        <v>0.119724452047967</v>
      </c>
      <c r="Q977" s="10">
        <v>1.43339444181859E-2</v>
      </c>
    </row>
    <row r="978" spans="1:17" x14ac:dyDescent="0.2">
      <c r="A978" s="10">
        <v>1693</v>
      </c>
      <c r="B978" s="10" t="s">
        <v>2817</v>
      </c>
      <c r="C978" s="9" t="s">
        <v>2452</v>
      </c>
      <c r="D978" s="10">
        <v>0.73146641400000001</v>
      </c>
      <c r="E978" s="10">
        <v>0.68369160200000001</v>
      </c>
      <c r="F978" s="10">
        <v>-0.48399409300000001</v>
      </c>
      <c r="G978" s="10">
        <v>0.52722514300000001</v>
      </c>
      <c r="H978" s="9">
        <v>0.36459726650000002</v>
      </c>
      <c r="I978" s="10">
        <v>0.57241281373047503</v>
      </c>
      <c r="J978" s="10">
        <v>0.32765642932284</v>
      </c>
      <c r="K978" s="10">
        <v>-0.20303264500000001</v>
      </c>
      <c r="L978" s="10">
        <v>-0.270783196</v>
      </c>
      <c r="M978" s="10">
        <v>-9.1831125999999999E-2</v>
      </c>
      <c r="N978" s="10">
        <v>0.17495375099999999</v>
      </c>
      <c r="O978" s="9">
        <v>-9.7673304000000002E-2</v>
      </c>
      <c r="P978" s="10">
        <v>0.196152379207223</v>
      </c>
      <c r="Q978" s="10">
        <v>3.8475755868654198E-2</v>
      </c>
    </row>
    <row r="979" spans="1:17" x14ac:dyDescent="0.2">
      <c r="A979" s="10">
        <v>1693</v>
      </c>
      <c r="B979" s="10" t="s">
        <v>2825</v>
      </c>
      <c r="C979" s="9" t="s">
        <v>921</v>
      </c>
      <c r="D979" s="10">
        <v>0.36013088900000001</v>
      </c>
      <c r="E979" s="10">
        <v>-0.50959924700000003</v>
      </c>
      <c r="F979" s="10">
        <v>-0.54941309599999999</v>
      </c>
      <c r="G979" s="10">
        <v>8.9756720999999998E-2</v>
      </c>
      <c r="H979" s="9">
        <v>-0.15228118325000001</v>
      </c>
      <c r="I979" s="10">
        <v>0.449643723292043</v>
      </c>
      <c r="J979" s="10">
        <v>0.20217947789593099</v>
      </c>
      <c r="K979" s="10">
        <v>-0.231229192</v>
      </c>
      <c r="L979" s="10">
        <v>0.53619260499999999</v>
      </c>
      <c r="M979" s="10">
        <v>1.310913666</v>
      </c>
      <c r="N979" s="10">
        <v>0.51284015800000005</v>
      </c>
      <c r="O979" s="9">
        <v>0.53217930925000001</v>
      </c>
      <c r="P979" s="10">
        <v>0.62971153381990497</v>
      </c>
      <c r="Q979" s="10">
        <v>0.39653661582581801</v>
      </c>
    </row>
    <row r="980" spans="1:17" x14ac:dyDescent="0.2">
      <c r="A980" s="10">
        <v>1693</v>
      </c>
      <c r="B980" s="10" t="s">
        <v>74</v>
      </c>
      <c r="C980" s="9" t="s">
        <v>922</v>
      </c>
      <c r="D980" s="10">
        <v>0.231084653</v>
      </c>
      <c r="E980" s="10">
        <v>-5.3387130000000001E-3</v>
      </c>
      <c r="F980" s="10">
        <v>-0.205996967</v>
      </c>
      <c r="G980" s="10">
        <v>-6.1889955000000003E-2</v>
      </c>
      <c r="H980" s="9">
        <v>-1.053524525E-2</v>
      </c>
      <c r="I980" s="10">
        <v>0.18188803338019599</v>
      </c>
      <c r="J980" s="10">
        <v>3.3083256686915599E-2</v>
      </c>
      <c r="K980" s="10">
        <v>0.44223952</v>
      </c>
      <c r="L980" s="10">
        <v>-0.17138750699999999</v>
      </c>
      <c r="M980" s="10">
        <v>-0.35309972899999997</v>
      </c>
      <c r="N980" s="10">
        <v>-0.32599554200000003</v>
      </c>
      <c r="O980" s="9">
        <v>-0.1020608145</v>
      </c>
      <c r="P980" s="10">
        <v>0.37158953304402897</v>
      </c>
      <c r="Q980" s="10">
        <v>0.13807878106787899</v>
      </c>
    </row>
    <row r="981" spans="1:17" x14ac:dyDescent="0.2">
      <c r="A981" s="10">
        <v>1693</v>
      </c>
      <c r="B981" s="10" t="s">
        <v>2818</v>
      </c>
      <c r="C981" s="9" t="s">
        <v>923</v>
      </c>
      <c r="D981" s="10">
        <v>0.37182368900000001</v>
      </c>
      <c r="E981" s="10">
        <v>-9.6223297999999999E-2</v>
      </c>
      <c r="F981" s="10">
        <v>-0.57314862700000002</v>
      </c>
      <c r="G981" s="10">
        <v>-0.46573826200000001</v>
      </c>
      <c r="H981" s="9">
        <v>-0.19082162450000001</v>
      </c>
      <c r="I981" s="10">
        <v>0.427111104434999</v>
      </c>
      <c r="J981" s="10">
        <v>0.182423895531685</v>
      </c>
      <c r="K981" s="10">
        <v>7.5602000000000004E-3</v>
      </c>
      <c r="L981" s="10">
        <v>-8.8220100999999995E-2</v>
      </c>
      <c r="M981" s="10">
        <v>8.2529542999999997E-2</v>
      </c>
      <c r="N981" s="10">
        <v>-0.56540562699999997</v>
      </c>
      <c r="O981" s="9">
        <v>-0.14088399625</v>
      </c>
      <c r="P981" s="10">
        <v>0.29151408757157399</v>
      </c>
      <c r="Q981" s="10">
        <v>8.4980463252687294E-2</v>
      </c>
    </row>
    <row r="982" spans="1:17" x14ac:dyDescent="0.2">
      <c r="A982" s="10">
        <v>1693</v>
      </c>
      <c r="B982" s="10" t="s">
        <v>2830</v>
      </c>
      <c r="C982" s="9" t="s">
        <v>924</v>
      </c>
      <c r="D982" s="10">
        <v>0.38415819699999998</v>
      </c>
      <c r="E982" s="10">
        <v>-0.15534140499999999</v>
      </c>
      <c r="F982" s="10">
        <v>-0.23830594599999999</v>
      </c>
      <c r="G982" s="10">
        <v>-0.579347206</v>
      </c>
      <c r="H982" s="9">
        <v>-0.14720908999999999</v>
      </c>
      <c r="I982" s="10">
        <v>0.39893997740433401</v>
      </c>
      <c r="J982" s="10">
        <v>0.159153105571371</v>
      </c>
      <c r="K982" s="10">
        <v>0.124318306</v>
      </c>
      <c r="L982" s="10">
        <v>0.298980572</v>
      </c>
      <c r="M982" s="10">
        <v>-0.209341042</v>
      </c>
      <c r="N982" s="10">
        <v>-5.4996729000000001E-2</v>
      </c>
      <c r="O982" s="9">
        <v>3.9740276749999998E-2</v>
      </c>
      <c r="P982" s="10">
        <v>0.22013297293668899</v>
      </c>
      <c r="Q982" s="10">
        <v>4.8458525773945202E-2</v>
      </c>
    </row>
    <row r="983" spans="1:17" x14ac:dyDescent="0.2">
      <c r="A983" s="10">
        <v>1694</v>
      </c>
      <c r="B983" s="10" t="s">
        <v>2831</v>
      </c>
      <c r="C983" s="9" t="s">
        <v>925</v>
      </c>
      <c r="D983" s="10">
        <v>-1.119363771</v>
      </c>
      <c r="E983" s="10">
        <v>-1.443204642</v>
      </c>
      <c r="F983" s="10">
        <v>-1.400303396</v>
      </c>
      <c r="G983" s="10">
        <v>-1.7685615619999999</v>
      </c>
      <c r="H983" s="9">
        <v>-1.4328583427499999</v>
      </c>
      <c r="I983" s="10">
        <v>0.26592127180652197</v>
      </c>
      <c r="J983" s="10">
        <v>7.0714122799198406E-2</v>
      </c>
      <c r="K983" s="10">
        <v>-0.34446816699999999</v>
      </c>
      <c r="L983" s="10">
        <v>-5.3817311999999999E-2</v>
      </c>
      <c r="M983" s="10">
        <v>-0.122564466</v>
      </c>
      <c r="N983" s="10">
        <v>-0.14595438899999999</v>
      </c>
      <c r="O983" s="9">
        <v>-0.16670108350000001</v>
      </c>
      <c r="P983" s="10">
        <v>0.124796298263981</v>
      </c>
      <c r="Q983" s="10">
        <v>1.55741160603926E-2</v>
      </c>
    </row>
    <row r="984" spans="1:17" x14ac:dyDescent="0.2">
      <c r="A984" s="10">
        <v>1694</v>
      </c>
      <c r="B984" s="10" t="s">
        <v>2822</v>
      </c>
      <c r="C984" s="9" t="s">
        <v>926</v>
      </c>
      <c r="D984" s="10">
        <v>7.3094030000000004E-2</v>
      </c>
      <c r="E984" s="10">
        <v>-4.9217441000000001E-2</v>
      </c>
      <c r="F984" s="10">
        <v>-0.40402083999999999</v>
      </c>
      <c r="G984" s="10">
        <v>8.5337530999999994E-2</v>
      </c>
      <c r="H984" s="9">
        <v>-7.3701680249999998E-2</v>
      </c>
      <c r="I984" s="10">
        <v>0.228438669035711</v>
      </c>
      <c r="J984" s="10">
        <v>5.2184225510807099E-2</v>
      </c>
      <c r="K984" s="10">
        <v>0.38098552099999999</v>
      </c>
      <c r="L984" s="10">
        <v>0.123441993</v>
      </c>
      <c r="M984" s="10">
        <v>-0.38630146500000001</v>
      </c>
      <c r="N984" s="10">
        <v>0.231894081</v>
      </c>
      <c r="O984" s="9">
        <v>8.7505032250000003E-2</v>
      </c>
      <c r="P984" s="10">
        <v>0.33304807293649002</v>
      </c>
      <c r="Q984" s="10">
        <v>0.11092101888670999</v>
      </c>
    </row>
    <row r="985" spans="1:17" x14ac:dyDescent="0.2">
      <c r="A985" s="10">
        <v>1694</v>
      </c>
      <c r="B985" s="10" t="s">
        <v>2823</v>
      </c>
      <c r="C985" s="9" t="s">
        <v>2451</v>
      </c>
      <c r="D985" s="10">
        <v>-0.389939694</v>
      </c>
      <c r="E985" s="10">
        <v>-0.849091233</v>
      </c>
      <c r="F985" s="10">
        <v>-0.214672899</v>
      </c>
      <c r="G985" s="10">
        <v>-0.38878901399999999</v>
      </c>
      <c r="H985" s="9">
        <v>-0.46062321000000001</v>
      </c>
      <c r="I985" s="10">
        <v>0.27175679784420798</v>
      </c>
      <c r="J985" s="10">
        <v>7.3851757174537902E-2</v>
      </c>
      <c r="K985" s="10">
        <v>0.86680305999999996</v>
      </c>
      <c r="L985" s="10">
        <v>2.7115263000000001E-2</v>
      </c>
      <c r="M985" s="10">
        <v>0.42674572999999999</v>
      </c>
      <c r="N985" s="10">
        <v>0.88304019600000005</v>
      </c>
      <c r="O985" s="9">
        <v>0.55092606200000005</v>
      </c>
      <c r="P985" s="10">
        <v>0.40819790293137198</v>
      </c>
      <c r="Q985" s="10">
        <v>0.16662552795756999</v>
      </c>
    </row>
    <row r="986" spans="1:17" x14ac:dyDescent="0.2">
      <c r="A986" s="10">
        <v>1694</v>
      </c>
      <c r="B986" s="10" t="s">
        <v>2834</v>
      </c>
      <c r="C986" s="9" t="s">
        <v>927</v>
      </c>
      <c r="D986" s="10">
        <v>-1.8283397999999999E-2</v>
      </c>
      <c r="E986" s="10">
        <v>-0.17948389000000001</v>
      </c>
      <c r="F986" s="10">
        <v>-0.208387557</v>
      </c>
      <c r="G986" s="10">
        <v>0.27647330199999998</v>
      </c>
      <c r="H986" s="9">
        <v>-3.2420385750000003E-2</v>
      </c>
      <c r="I986" s="10">
        <v>0.22226656998182301</v>
      </c>
      <c r="J986" s="10">
        <v>4.9402428131484898E-2</v>
      </c>
      <c r="K986" s="10">
        <v>0.59073394999999995</v>
      </c>
      <c r="L986" s="10">
        <v>4.4564660000000001E-3</v>
      </c>
      <c r="M986" s="10">
        <v>0.94134913399999998</v>
      </c>
      <c r="N986" s="10">
        <v>-0.111685886</v>
      </c>
      <c r="O986" s="9">
        <v>0.356213416</v>
      </c>
      <c r="P986" s="10">
        <v>0.496671050774524</v>
      </c>
      <c r="Q986" s="10">
        <v>0.24668213267747</v>
      </c>
    </row>
    <row r="987" spans="1:17" x14ac:dyDescent="0.2">
      <c r="A987" s="63">
        <v>1694</v>
      </c>
      <c r="B987" s="63" t="s">
        <v>2820</v>
      </c>
      <c r="C987" s="64" t="s">
        <v>928</v>
      </c>
      <c r="D987" s="63">
        <v>5.4689788000000003E-2</v>
      </c>
      <c r="E987" s="63">
        <v>-0.80708632599999997</v>
      </c>
      <c r="F987" s="63">
        <v>-0.157882201</v>
      </c>
      <c r="G987" s="63">
        <v>-0.34378336999999998</v>
      </c>
      <c r="H987" s="64">
        <v>-0.31351552724999998</v>
      </c>
      <c r="I987" s="63">
        <v>0.36711722110766498</v>
      </c>
      <c r="J987" s="63">
        <v>0.13477505403381401</v>
      </c>
      <c r="K987" s="63">
        <v>-0.137157154</v>
      </c>
      <c r="L987" s="63">
        <v>-0.12523135399999999</v>
      </c>
      <c r="M987" s="63">
        <v>-0.1569363</v>
      </c>
      <c r="N987" s="63">
        <v>0.10484703300000001</v>
      </c>
      <c r="O987" s="64">
        <v>-7.8619443750000004E-2</v>
      </c>
      <c r="P987" s="63">
        <v>0.123007874764732</v>
      </c>
      <c r="Q987" s="63">
        <v>1.51309372541361E-2</v>
      </c>
    </row>
    <row r="988" spans="1:17" x14ac:dyDescent="0.2">
      <c r="A988" s="10">
        <v>1694</v>
      </c>
      <c r="B988" s="10" t="s">
        <v>2824</v>
      </c>
      <c r="C988" s="9" t="s">
        <v>2450</v>
      </c>
      <c r="D988" s="10">
        <v>-1.7593721999999999E-2</v>
      </c>
      <c r="E988" s="10">
        <v>-4.8473587999999998E-2</v>
      </c>
      <c r="F988" s="10">
        <v>-0.21488606399999999</v>
      </c>
      <c r="G988" s="10">
        <v>-0.187605771</v>
      </c>
      <c r="H988" s="9">
        <v>-0.117139786</v>
      </c>
      <c r="I988" s="10">
        <v>9.8563440670701705E-2</v>
      </c>
      <c r="J988" s="10">
        <v>9.7147518368468997E-3</v>
      </c>
      <c r="K988" s="10">
        <v>0.13870834000000001</v>
      </c>
      <c r="L988" s="10">
        <v>-0.57614032599999998</v>
      </c>
      <c r="M988" s="10">
        <v>0.47726282399999997</v>
      </c>
      <c r="N988" s="10">
        <v>0.49171547500000001</v>
      </c>
      <c r="O988" s="9">
        <v>0.13288657800000001</v>
      </c>
      <c r="P988" s="10">
        <v>0.50003540529309798</v>
      </c>
      <c r="Q988" s="10">
        <v>0.25003540654663298</v>
      </c>
    </row>
    <row r="989" spans="1:17" x14ac:dyDescent="0.2">
      <c r="A989" s="10">
        <v>1694</v>
      </c>
      <c r="B989" s="10" t="s">
        <v>2830</v>
      </c>
      <c r="C989" s="9" t="s">
        <v>929</v>
      </c>
      <c r="D989" s="10">
        <v>-0.36489418699999998</v>
      </c>
      <c r="E989" s="10">
        <v>-0.17627056699999999</v>
      </c>
      <c r="F989" s="10">
        <v>-0.216399546</v>
      </c>
      <c r="G989" s="10">
        <v>-0.40521636300000002</v>
      </c>
      <c r="H989" s="9">
        <v>-0.29069516574999998</v>
      </c>
      <c r="I989" s="10">
        <v>0.111405307005795</v>
      </c>
      <c r="J989" s="10">
        <v>1.2411142429055401E-2</v>
      </c>
      <c r="K989" s="10">
        <v>0.16112312600000001</v>
      </c>
      <c r="L989" s="10">
        <v>-0.16527531300000001</v>
      </c>
      <c r="M989" s="10">
        <v>0.15021123</v>
      </c>
      <c r="N989" s="10">
        <v>0.122433903</v>
      </c>
      <c r="O989" s="9">
        <v>6.7123236500000003E-2</v>
      </c>
      <c r="P989" s="10">
        <v>0.155786124251858</v>
      </c>
      <c r="Q989" s="10">
        <v>2.4269316509415401E-2</v>
      </c>
    </row>
    <row r="990" spans="1:17" x14ac:dyDescent="0.2">
      <c r="A990" s="10">
        <v>1695</v>
      </c>
      <c r="B990" s="10" t="s">
        <v>2822</v>
      </c>
      <c r="C990" s="9" t="s">
        <v>2449</v>
      </c>
      <c r="D990" s="10">
        <v>-0.51796615000000001</v>
      </c>
      <c r="E990" s="10">
        <v>0.120257799</v>
      </c>
      <c r="F990" s="10">
        <v>-0.34507682200000001</v>
      </c>
      <c r="G990" s="10">
        <v>-0.28627772200000001</v>
      </c>
      <c r="H990" s="9">
        <v>-0.25726572399999997</v>
      </c>
      <c r="I990" s="10">
        <v>0.27021053982332</v>
      </c>
      <c r="J990" s="10">
        <v>7.3013735831610194E-2</v>
      </c>
      <c r="K990" s="10">
        <v>-4.3456802000000003E-2</v>
      </c>
      <c r="L990" s="10">
        <v>-0.35916305100000001</v>
      </c>
      <c r="M990" s="10">
        <v>0.57997389700000002</v>
      </c>
      <c r="N990" s="10">
        <v>-0.47536340300000002</v>
      </c>
      <c r="O990" s="9">
        <v>-7.45023395E-2</v>
      </c>
      <c r="P990" s="10">
        <v>0.47294266123350998</v>
      </c>
      <c r="Q990" s="10">
        <v>0.223674760814635</v>
      </c>
    </row>
    <row r="991" spans="1:17" x14ac:dyDescent="0.2">
      <c r="A991" s="10">
        <v>1695</v>
      </c>
      <c r="B991" s="10" t="s">
        <v>96</v>
      </c>
      <c r="C991" s="9" t="s">
        <v>930</v>
      </c>
      <c r="D991" s="10">
        <v>-0.385445814</v>
      </c>
      <c r="E991" s="10">
        <v>-7.5413609999999999E-3</v>
      </c>
      <c r="F991" s="10">
        <v>-0.73633498500000005</v>
      </c>
      <c r="G991" s="10">
        <v>-0.96189108499999998</v>
      </c>
      <c r="H991" s="9">
        <v>-0.52280331125000001</v>
      </c>
      <c r="I991" s="10">
        <v>0.41743494829630801</v>
      </c>
      <c r="J991" s="10">
        <v>0.17425193605914099</v>
      </c>
      <c r="K991" s="10">
        <v>3.5041018E-2</v>
      </c>
      <c r="L991" s="10">
        <v>0.29896024999999998</v>
      </c>
      <c r="M991" s="10">
        <v>0.15602302600000001</v>
      </c>
      <c r="N991" s="10">
        <v>0.29365957999999998</v>
      </c>
      <c r="O991" s="9">
        <v>0.19592096849999999</v>
      </c>
      <c r="P991" s="10">
        <v>0.12602133946095501</v>
      </c>
      <c r="Q991" s="10">
        <v>1.5881377999533298E-2</v>
      </c>
    </row>
    <row r="992" spans="1:17" x14ac:dyDescent="0.2">
      <c r="A992" s="10">
        <v>1695</v>
      </c>
      <c r="B992" s="10" t="s">
        <v>2821</v>
      </c>
      <c r="C992" s="9" t="s">
        <v>931</v>
      </c>
      <c r="D992" s="10">
        <v>0.39777970099999999</v>
      </c>
      <c r="E992" s="10">
        <v>-1.9298725999999999E-2</v>
      </c>
      <c r="F992" s="10">
        <v>-1.1518049699999999</v>
      </c>
      <c r="G992" s="10">
        <v>1.1087589099999999</v>
      </c>
      <c r="H992" s="9">
        <v>8.3858728499999993E-2</v>
      </c>
      <c r="I992" s="10">
        <v>0.94630386156239399</v>
      </c>
      <c r="J992" s="10">
        <v>0.89549099840789803</v>
      </c>
      <c r="K992" s="10">
        <v>0.19477913099999999</v>
      </c>
      <c r="L992" s="10">
        <v>-1.731365E-2</v>
      </c>
      <c r="M992" s="10">
        <v>1.04974747</v>
      </c>
      <c r="N992" s="10">
        <v>-0.68452333799999998</v>
      </c>
      <c r="O992" s="9">
        <v>0.13567240324999999</v>
      </c>
      <c r="P992" s="10">
        <v>0.71534435049910905</v>
      </c>
      <c r="Q992" s="10">
        <v>0.51171753979099199</v>
      </c>
    </row>
    <row r="993" spans="1:17" x14ac:dyDescent="0.2">
      <c r="A993" s="10">
        <v>1695</v>
      </c>
      <c r="B993" s="10" t="s">
        <v>79</v>
      </c>
      <c r="C993" s="9" t="s">
        <v>932</v>
      </c>
      <c r="D993" s="10">
        <v>-0.76377234599999999</v>
      </c>
      <c r="E993" s="10">
        <v>-0.68982883500000003</v>
      </c>
      <c r="F993" s="10">
        <v>-0.94314857600000002</v>
      </c>
      <c r="G993" s="10">
        <v>-0.70694948999999996</v>
      </c>
      <c r="H993" s="9">
        <v>-0.77592481224999998</v>
      </c>
      <c r="I993" s="10">
        <v>0.115875769651233</v>
      </c>
      <c r="J993" s="10">
        <v>1.34271939922656E-2</v>
      </c>
      <c r="K993" s="10">
        <v>-0.17183027200000001</v>
      </c>
      <c r="L993" s="10">
        <v>0.118497173</v>
      </c>
      <c r="M993" s="10">
        <v>0.70374687899999999</v>
      </c>
      <c r="N993" s="10">
        <v>0.12084969800000001</v>
      </c>
      <c r="O993" s="9">
        <v>0.19281586949999999</v>
      </c>
      <c r="P993" s="10">
        <v>0.36729629432260502</v>
      </c>
      <c r="Q993" s="10">
        <v>0.134906567823117</v>
      </c>
    </row>
    <row r="994" spans="1:17" x14ac:dyDescent="0.2">
      <c r="A994" s="10">
        <v>1695</v>
      </c>
      <c r="B994" s="10" t="s">
        <v>2820</v>
      </c>
      <c r="C994" s="9" t="s">
        <v>2448</v>
      </c>
      <c r="D994" s="10">
        <v>-0.190614439</v>
      </c>
      <c r="E994" s="10">
        <v>-0.23415725000000001</v>
      </c>
      <c r="F994" s="10">
        <v>-0.415139865</v>
      </c>
      <c r="G994" s="10">
        <v>-0.56750530399999999</v>
      </c>
      <c r="H994" s="9">
        <v>-0.35185421449999998</v>
      </c>
      <c r="I994" s="10">
        <v>0.17355239998105201</v>
      </c>
      <c r="J994" s="10">
        <v>3.0120435539183199E-2</v>
      </c>
      <c r="K994" s="10">
        <v>0.40750973699999998</v>
      </c>
      <c r="L994" s="10">
        <v>-0.45599959699999998</v>
      </c>
      <c r="M994" s="10">
        <v>-1.8507162000000001E-2</v>
      </c>
      <c r="N994" s="10">
        <v>0.15351505500000001</v>
      </c>
      <c r="O994" s="9">
        <v>2.1629507999999999E-2</v>
      </c>
      <c r="P994" s="10">
        <v>0.36333541109300599</v>
      </c>
      <c r="Q994" s="10">
        <v>0.132012620954123</v>
      </c>
    </row>
    <row r="995" spans="1:17" x14ac:dyDescent="0.2">
      <c r="A995" s="10">
        <v>1695</v>
      </c>
      <c r="B995" s="10" t="s">
        <v>2824</v>
      </c>
      <c r="C995" s="9" t="s">
        <v>933</v>
      </c>
      <c r="D995" s="10">
        <v>0.24980205</v>
      </c>
      <c r="E995" s="10">
        <v>0.46052218299999997</v>
      </c>
      <c r="F995" s="10">
        <v>0.23447467</v>
      </c>
      <c r="G995" s="10">
        <v>-0.115233076</v>
      </c>
      <c r="H995" s="9">
        <v>0.20739145649999999</v>
      </c>
      <c r="I995" s="10">
        <v>0.23853295548957101</v>
      </c>
      <c r="J995" s="10">
        <v>5.6897970854590002E-2</v>
      </c>
      <c r="K995" s="10">
        <v>5.8630671000000002E-2</v>
      </c>
      <c r="L995" s="10">
        <v>0.27428967500000001</v>
      </c>
      <c r="M995" s="10">
        <v>0.21473425700000001</v>
      </c>
      <c r="N995" s="10">
        <v>-8.9044149000000003E-2</v>
      </c>
      <c r="O995" s="9">
        <v>0.1146526135</v>
      </c>
      <c r="P995" s="10">
        <v>0.16343312175980901</v>
      </c>
      <c r="Q995" s="10">
        <v>2.67103852881568E-2</v>
      </c>
    </row>
    <row r="996" spans="1:17" x14ac:dyDescent="0.2">
      <c r="A996" s="10">
        <v>1695</v>
      </c>
      <c r="B996" s="10" t="s">
        <v>2817</v>
      </c>
      <c r="C996" s="9" t="s">
        <v>934</v>
      </c>
      <c r="D996" s="10">
        <v>0.192389961</v>
      </c>
      <c r="E996" s="10">
        <v>5.0076033129999997</v>
      </c>
      <c r="F996" s="10">
        <v>0.28470005700000001</v>
      </c>
      <c r="G996" s="10">
        <v>-5.9740386999999999E-2</v>
      </c>
      <c r="H996" s="9">
        <v>1.356238236</v>
      </c>
      <c r="I996" s="10">
        <v>2.43859243981737</v>
      </c>
      <c r="J996" s="10">
        <v>5.9467330875344304</v>
      </c>
      <c r="K996" s="10">
        <v>0.78856548800000004</v>
      </c>
      <c r="L996" s="10">
        <v>-0.160120229</v>
      </c>
      <c r="M996" s="10">
        <v>-0.14424095100000001</v>
      </c>
      <c r="N996" s="10">
        <v>8.8571883000000004E-2</v>
      </c>
      <c r="O996" s="9">
        <v>0.14319404799999999</v>
      </c>
      <c r="P996" s="10">
        <v>0.44501172484895402</v>
      </c>
      <c r="Q996" s="10">
        <v>0.19803543525304099</v>
      </c>
    </row>
    <row r="997" spans="1:17" x14ac:dyDescent="0.2">
      <c r="A997" s="10">
        <v>1695</v>
      </c>
      <c r="B997" s="10" t="s">
        <v>2814</v>
      </c>
      <c r="C997" s="9" t="s">
        <v>2447</v>
      </c>
      <c r="D997" s="10">
        <v>-0.90090088099999999</v>
      </c>
      <c r="E997" s="10">
        <v>-0.564675331</v>
      </c>
      <c r="F997" s="10">
        <v>-2.6241415190000001</v>
      </c>
      <c r="G997" s="10">
        <v>-1.6786692379999999</v>
      </c>
      <c r="H997" s="9">
        <v>-1.4420967425</v>
      </c>
      <c r="I997" s="10">
        <v>0.91577975757300401</v>
      </c>
      <c r="J997" s="10">
        <v>0.83865256438046998</v>
      </c>
      <c r="K997" s="10">
        <v>-0.69926919600000004</v>
      </c>
      <c r="L997" s="10">
        <v>-0.182592699</v>
      </c>
      <c r="M997" s="10">
        <v>0.28961672399999999</v>
      </c>
      <c r="N997" s="10">
        <v>-0.57896884400000004</v>
      </c>
      <c r="O997" s="9">
        <v>-0.29280350399999999</v>
      </c>
      <c r="P997" s="10">
        <v>0.44664105801440201</v>
      </c>
      <c r="Q997" s="10">
        <v>0.199488234704224</v>
      </c>
    </row>
    <row r="998" spans="1:17" x14ac:dyDescent="0.2">
      <c r="A998" s="10">
        <v>1695</v>
      </c>
      <c r="B998" s="10" t="s">
        <v>2833</v>
      </c>
      <c r="C998" s="9" t="s">
        <v>2446</v>
      </c>
      <c r="D998" s="10">
        <v>0.16403973399999999</v>
      </c>
      <c r="E998" s="10">
        <v>0.41696746200000001</v>
      </c>
      <c r="F998" s="10">
        <v>-0.215336897</v>
      </c>
      <c r="G998" s="10">
        <v>0.351880364</v>
      </c>
      <c r="H998" s="9">
        <v>0.17938766575000001</v>
      </c>
      <c r="I998" s="10">
        <v>0.28416012503688698</v>
      </c>
      <c r="J998" s="10">
        <v>8.0746976660979394E-2</v>
      </c>
      <c r="K998" s="10">
        <v>0.30481144100000002</v>
      </c>
      <c r="L998" s="10">
        <v>-9.9402580000000004E-3</v>
      </c>
      <c r="M998" s="10">
        <v>0.229533392</v>
      </c>
      <c r="N998" s="10">
        <v>-0.15694148199999999</v>
      </c>
      <c r="O998" s="9">
        <v>9.1865773250000005E-2</v>
      </c>
      <c r="P998" s="10">
        <v>0.21336021882386499</v>
      </c>
      <c r="Q998" s="10">
        <v>4.5522582976567798E-2</v>
      </c>
    </row>
    <row r="999" spans="1:17" x14ac:dyDescent="0.2">
      <c r="A999" s="10">
        <v>1695</v>
      </c>
      <c r="B999" s="10" t="s">
        <v>2825</v>
      </c>
      <c r="C999" s="9" t="s">
        <v>935</v>
      </c>
      <c r="D999" s="10">
        <v>-0.22317896700000001</v>
      </c>
      <c r="E999" s="10">
        <v>8.5774531000000001E-2</v>
      </c>
      <c r="F999" s="10">
        <v>7.3753055999999997E-2</v>
      </c>
      <c r="G999" s="10">
        <v>-0.111254704</v>
      </c>
      <c r="H999" s="9">
        <v>-4.3726520999999997E-2</v>
      </c>
      <c r="I999" s="10">
        <v>0.14981678739477</v>
      </c>
      <c r="J999" s="10">
        <v>2.2445069785290001E-2</v>
      </c>
      <c r="K999" s="10">
        <v>-0.22046206099999999</v>
      </c>
      <c r="L999" s="10">
        <v>-0.12914625099999999</v>
      </c>
      <c r="M999" s="10">
        <v>-0.21540073800000001</v>
      </c>
      <c r="N999" s="10">
        <v>-0.33255051200000002</v>
      </c>
      <c r="O999" s="9">
        <v>-0.22438989049999999</v>
      </c>
      <c r="P999" s="10">
        <v>8.3399247829784695E-2</v>
      </c>
      <c r="Q999" s="10">
        <v>6.9554345385738001E-3</v>
      </c>
    </row>
    <row r="1000" spans="1:17" x14ac:dyDescent="0.2">
      <c r="A1000" s="10">
        <v>1695</v>
      </c>
      <c r="B1000" s="10" t="s">
        <v>74</v>
      </c>
      <c r="C1000" s="9" t="s">
        <v>936</v>
      </c>
      <c r="D1000" s="10">
        <v>-0.146146313</v>
      </c>
      <c r="E1000" s="10">
        <v>-0.28581299900000001</v>
      </c>
      <c r="F1000" s="10">
        <v>-0.21553033799999999</v>
      </c>
      <c r="G1000" s="10">
        <v>0.22539952199999999</v>
      </c>
      <c r="H1000" s="9">
        <v>-0.10552253225</v>
      </c>
      <c r="I1000" s="10">
        <v>0.22786404373246</v>
      </c>
      <c r="J1000" s="10">
        <v>5.1922022426108799E-2</v>
      </c>
      <c r="K1000" s="10">
        <v>-0.20751731600000001</v>
      </c>
      <c r="L1000" s="10">
        <v>-0.16195836599999999</v>
      </c>
      <c r="M1000" s="10">
        <v>0.38055883699999998</v>
      </c>
      <c r="N1000" s="10">
        <v>0.35057239000000001</v>
      </c>
      <c r="O1000" s="9">
        <v>9.0413886250000006E-2</v>
      </c>
      <c r="P1000" s="10">
        <v>0.31849714519862699</v>
      </c>
      <c r="Q1000" s="10">
        <v>0.10144043149967499</v>
      </c>
    </row>
    <row r="1001" spans="1:17" x14ac:dyDescent="0.2">
      <c r="A1001" s="10">
        <v>1695</v>
      </c>
      <c r="B1001" s="10" t="s">
        <v>2818</v>
      </c>
      <c r="C1001" s="9" t="s">
        <v>937</v>
      </c>
      <c r="D1001" s="10">
        <v>-0.94005123499999999</v>
      </c>
      <c r="E1001" s="10">
        <v>-0.41621366100000001</v>
      </c>
      <c r="F1001" s="10">
        <v>-1.2515831449999999</v>
      </c>
      <c r="G1001" s="10">
        <v>-0.87540787399999997</v>
      </c>
      <c r="H1001" s="9">
        <v>-0.87081397875</v>
      </c>
      <c r="I1001" s="10">
        <v>0.344703499833174</v>
      </c>
      <c r="J1001" s="10">
        <v>0.11882050279723901</v>
      </c>
      <c r="K1001" s="10">
        <v>0.234400423</v>
      </c>
      <c r="L1001" s="10">
        <v>0.20333628200000001</v>
      </c>
      <c r="M1001" s="10">
        <v>-0.248484662</v>
      </c>
      <c r="N1001" s="10">
        <v>0.110299575</v>
      </c>
      <c r="O1001" s="9">
        <v>7.4887904500000005E-2</v>
      </c>
      <c r="P1001" s="10">
        <v>0.22193620135299599</v>
      </c>
      <c r="Q1001" s="10">
        <v>4.92556774709976E-2</v>
      </c>
    </row>
    <row r="1002" spans="1:17" x14ac:dyDescent="0.2">
      <c r="A1002" s="10">
        <v>1695</v>
      </c>
      <c r="B1002" s="10" t="s">
        <v>2830</v>
      </c>
      <c r="C1002" s="9" t="s">
        <v>938</v>
      </c>
      <c r="D1002" s="10">
        <v>-0.42389564200000002</v>
      </c>
      <c r="E1002" s="10">
        <v>-0.41312610399999999</v>
      </c>
      <c r="F1002" s="10">
        <v>-1.296484543</v>
      </c>
      <c r="G1002" s="10">
        <v>-0.85149208700000001</v>
      </c>
      <c r="H1002" s="9">
        <v>-0.74624959400000002</v>
      </c>
      <c r="I1002" s="10">
        <v>0.41980861170843298</v>
      </c>
      <c r="J1002" s="10">
        <v>0.176239270464562</v>
      </c>
      <c r="K1002" s="10">
        <v>0.19245791500000001</v>
      </c>
      <c r="L1002" s="10">
        <v>0.24620790300000001</v>
      </c>
      <c r="M1002" s="10">
        <v>6.6375246999999998E-2</v>
      </c>
      <c r="N1002" s="10">
        <v>-0.42626857600000001</v>
      </c>
      <c r="O1002" s="9">
        <v>1.9693122E-2</v>
      </c>
      <c r="P1002" s="10">
        <v>0.30671250196743399</v>
      </c>
      <c r="Q1002" s="10">
        <v>9.4072558863123198E-2</v>
      </c>
    </row>
    <row r="1003" spans="1:17" x14ac:dyDescent="0.2">
      <c r="A1003" s="10">
        <v>1695</v>
      </c>
      <c r="B1003" s="10" t="s">
        <v>2832</v>
      </c>
      <c r="C1003" s="9" t="s">
        <v>939</v>
      </c>
      <c r="D1003" s="10">
        <v>0.71519917799999999</v>
      </c>
      <c r="E1003" s="10">
        <v>-0.29069643099999998</v>
      </c>
      <c r="F1003" s="10">
        <v>-0.91099033900000004</v>
      </c>
      <c r="G1003" s="10">
        <v>-0.36767906099999997</v>
      </c>
      <c r="H1003" s="9">
        <v>-0.21354166325000001</v>
      </c>
      <c r="I1003" s="10">
        <v>0.67791479333882898</v>
      </c>
      <c r="J1003" s="10">
        <v>0.45956846702762799</v>
      </c>
      <c r="K1003" s="10">
        <v>7.4007525000000005E-2</v>
      </c>
      <c r="L1003" s="10">
        <v>-0.835996077</v>
      </c>
      <c r="M1003" s="10">
        <v>0.24198460299999999</v>
      </c>
      <c r="N1003" s="10">
        <v>-0.79384843000000005</v>
      </c>
      <c r="O1003" s="9">
        <v>-0.32846309475000002</v>
      </c>
      <c r="P1003" s="10">
        <v>0.56614674598480696</v>
      </c>
      <c r="Q1003" s="10">
        <v>0.320522137989186</v>
      </c>
    </row>
    <row r="1004" spans="1:17" x14ac:dyDescent="0.2">
      <c r="A1004" s="10">
        <v>1696</v>
      </c>
      <c r="B1004" s="10" t="s">
        <v>96</v>
      </c>
      <c r="C1004" s="9" t="s">
        <v>2445</v>
      </c>
      <c r="D1004" s="10">
        <v>-1.381102684</v>
      </c>
      <c r="E1004" s="10">
        <v>-0.55647580799999996</v>
      </c>
      <c r="F1004" s="10">
        <v>3.8983934999999997E-2</v>
      </c>
      <c r="G1004" s="10">
        <v>0.45156030899999999</v>
      </c>
      <c r="H1004" s="9">
        <v>-0.36175856225000003</v>
      </c>
      <c r="I1004" s="10">
        <v>0.79562541013810495</v>
      </c>
      <c r="J1004" s="10">
        <v>0.63301979325742797</v>
      </c>
      <c r="K1004" s="10">
        <v>0.64360662700000004</v>
      </c>
      <c r="L1004" s="10">
        <v>-0.68457806300000001</v>
      </c>
      <c r="M1004" s="10">
        <v>0.33163546399999999</v>
      </c>
      <c r="N1004" s="10">
        <v>-0.579499616</v>
      </c>
      <c r="O1004" s="9">
        <v>-7.2208897250000001E-2</v>
      </c>
      <c r="P1004" s="10">
        <v>0.66025803071273204</v>
      </c>
      <c r="Q1004" s="10">
        <v>0.43594066712065499</v>
      </c>
    </row>
    <row r="1005" spans="1:17" x14ac:dyDescent="0.2">
      <c r="A1005" s="10">
        <v>1696</v>
      </c>
      <c r="B1005" s="10" t="s">
        <v>2821</v>
      </c>
      <c r="C1005" s="9" t="s">
        <v>940</v>
      </c>
      <c r="D1005" s="10">
        <v>-0.48522641900000002</v>
      </c>
      <c r="E1005" s="10">
        <v>-0.83321380599999995</v>
      </c>
      <c r="F1005" s="10">
        <v>-0.26140206700000002</v>
      </c>
      <c r="G1005" s="10">
        <v>-0.61329221499999997</v>
      </c>
      <c r="H1005" s="9">
        <v>-0.54828362674999997</v>
      </c>
      <c r="I1005" s="10">
        <v>0.23922692460473199</v>
      </c>
      <c r="J1005" s="10">
        <v>5.7229521455838199E-2</v>
      </c>
      <c r="K1005" s="10">
        <v>0.14523316999999999</v>
      </c>
      <c r="L1005" s="10">
        <v>-0.36681229100000001</v>
      </c>
      <c r="M1005" s="10">
        <v>0.683907547</v>
      </c>
      <c r="N1005" s="10">
        <v>-0.149654606</v>
      </c>
      <c r="O1005" s="9">
        <v>7.8168454999999998E-2</v>
      </c>
      <c r="P1005" s="10">
        <v>0.45509293373593501</v>
      </c>
      <c r="Q1005" s="10">
        <v>0.20710957833638</v>
      </c>
    </row>
    <row r="1006" spans="1:17" x14ac:dyDescent="0.2">
      <c r="A1006" s="10">
        <v>1696</v>
      </c>
      <c r="B1006" s="10" t="s">
        <v>2834</v>
      </c>
      <c r="C1006" s="9" t="s">
        <v>2444</v>
      </c>
      <c r="D1006" s="10">
        <v>-0.101126837</v>
      </c>
      <c r="E1006" s="10">
        <v>0.26591366900000002</v>
      </c>
      <c r="F1006" s="10">
        <v>-1.0193076759999999</v>
      </c>
      <c r="G1006" s="10">
        <v>-0.49598520899999998</v>
      </c>
      <c r="H1006" s="9">
        <v>-0.33762651324999998</v>
      </c>
      <c r="I1006" s="10">
        <v>0.55074480860756503</v>
      </c>
      <c r="J1006" s="10">
        <v>0.30331984420818298</v>
      </c>
      <c r="K1006" s="10">
        <v>-0.110669852</v>
      </c>
      <c r="L1006" s="10">
        <v>-2.2846544999999999E-2</v>
      </c>
      <c r="M1006" s="10">
        <v>-0.43800696</v>
      </c>
      <c r="N1006" s="10">
        <v>-8.0786135999999995E-2</v>
      </c>
      <c r="O1006" s="9">
        <v>-0.16307737350000001</v>
      </c>
      <c r="P1006" s="10">
        <v>0.186877284934893</v>
      </c>
      <c r="Q1006" s="10">
        <v>3.4923119624637199E-2</v>
      </c>
    </row>
    <row r="1007" spans="1:17" x14ac:dyDescent="0.2">
      <c r="A1007" s="10">
        <v>1696</v>
      </c>
      <c r="B1007" s="10" t="s">
        <v>2824</v>
      </c>
      <c r="C1007" s="9" t="s">
        <v>941</v>
      </c>
      <c r="D1007" s="10">
        <v>-0.497708449</v>
      </c>
      <c r="E1007" s="10">
        <v>-0.436818916</v>
      </c>
      <c r="F1007" s="10">
        <v>-0.55397600999999996</v>
      </c>
      <c r="G1007" s="10">
        <v>-1.1334467829999999</v>
      </c>
      <c r="H1007" s="9">
        <v>-0.65548753950000005</v>
      </c>
      <c r="I1007" s="10">
        <v>0.32221102679812802</v>
      </c>
      <c r="J1007" s="10">
        <v>0.103819945790304</v>
      </c>
      <c r="K1007" s="10">
        <v>0.316212206</v>
      </c>
      <c r="L1007" s="10">
        <v>-0.57237212900000001</v>
      </c>
      <c r="M1007" s="10">
        <v>-0.172345994</v>
      </c>
      <c r="N1007" s="10">
        <v>0.52452700200000002</v>
      </c>
      <c r="O1007" s="9">
        <v>2.4005271500000001E-2</v>
      </c>
      <c r="P1007" s="10">
        <v>0.493331098608629</v>
      </c>
      <c r="Q1007" s="10">
        <v>0.24337557285439601</v>
      </c>
    </row>
    <row r="1008" spans="1:17" x14ac:dyDescent="0.2">
      <c r="A1008" s="10">
        <v>1696</v>
      </c>
      <c r="B1008" s="10" t="s">
        <v>2817</v>
      </c>
      <c r="C1008" s="9" t="s">
        <v>942</v>
      </c>
      <c r="D1008" s="10">
        <v>-0.17734698400000001</v>
      </c>
      <c r="E1008" s="10">
        <v>0.13538071700000001</v>
      </c>
      <c r="F1008" s="10">
        <v>-0.50660435000000004</v>
      </c>
      <c r="G1008" s="10">
        <v>-0.359017064</v>
      </c>
      <c r="H1008" s="9">
        <v>-0.22689692024999999</v>
      </c>
      <c r="I1008" s="10">
        <v>0.27652140440099299</v>
      </c>
      <c r="J1008" s="10">
        <v>7.6464087091897795E-2</v>
      </c>
      <c r="K1008" s="10">
        <v>-8.1871338000000002E-2</v>
      </c>
      <c r="L1008" s="10">
        <v>3.5648050000000001E-2</v>
      </c>
      <c r="M1008" s="10">
        <v>6.5107798999999994E-2</v>
      </c>
      <c r="N1008" s="10">
        <v>0.190394853</v>
      </c>
      <c r="O1008" s="9">
        <v>5.2319840999999999E-2</v>
      </c>
      <c r="P1008" s="10">
        <v>0.111823464957297</v>
      </c>
      <c r="Q1008" s="10">
        <v>1.2504487315055801E-2</v>
      </c>
    </row>
    <row r="1009" spans="1:17" x14ac:dyDescent="0.2">
      <c r="A1009" s="10">
        <v>1696</v>
      </c>
      <c r="B1009" s="10" t="s">
        <v>2832</v>
      </c>
      <c r="C1009" s="9" t="s">
        <v>2443</v>
      </c>
      <c r="D1009" s="10">
        <v>-2.0785385559999998</v>
      </c>
      <c r="E1009" s="10">
        <v>-0.86226048</v>
      </c>
      <c r="F1009" s="10">
        <v>-5.0360780000000001E-2</v>
      </c>
      <c r="G1009" s="10">
        <v>-0.62402652999999997</v>
      </c>
      <c r="H1009" s="9">
        <v>-0.90379658650000005</v>
      </c>
      <c r="I1009" s="10">
        <v>0.85408194442497398</v>
      </c>
      <c r="J1009" s="10">
        <v>0.72945596779274502</v>
      </c>
      <c r="K1009" s="10">
        <v>-0.265889194</v>
      </c>
      <c r="L1009" s="10">
        <v>0.25751075400000001</v>
      </c>
      <c r="M1009" s="10">
        <v>0.16291529099999999</v>
      </c>
      <c r="N1009" s="10">
        <v>9.0983730999999998E-2</v>
      </c>
      <c r="O1009" s="9">
        <v>6.1380145499999997E-2</v>
      </c>
      <c r="P1009" s="10">
        <v>0.22858856359079399</v>
      </c>
      <c r="Q1009" s="10">
        <v>5.2252731404502803E-2</v>
      </c>
    </row>
    <row r="1010" spans="1:17" x14ac:dyDescent="0.2">
      <c r="A1010" s="10">
        <v>1697</v>
      </c>
      <c r="B1010" s="10" t="s">
        <v>2831</v>
      </c>
      <c r="C1010" s="9" t="s">
        <v>943</v>
      </c>
      <c r="D1010" s="10">
        <v>-0.53848819299999995</v>
      </c>
      <c r="E1010" s="10">
        <v>-0.35163805999999997</v>
      </c>
      <c r="F1010" s="10">
        <v>-0.83846395299999998</v>
      </c>
      <c r="G1010" s="10">
        <v>-0.58859012200000005</v>
      </c>
      <c r="H1010" s="9">
        <v>-0.57929508200000002</v>
      </c>
      <c r="I1010" s="10">
        <v>0.20062221821106299</v>
      </c>
      <c r="J1010" s="10">
        <v>4.0249274439927603E-2</v>
      </c>
      <c r="K1010" s="10">
        <v>-9.8244080999999997E-2</v>
      </c>
      <c r="L1010" s="10">
        <v>-6.1439654000000003E-2</v>
      </c>
      <c r="M1010" s="10">
        <v>-2.7165446999999999E-2</v>
      </c>
      <c r="N1010" s="10">
        <v>-0.25533709799999998</v>
      </c>
      <c r="O1010" s="9">
        <v>-0.11054657</v>
      </c>
      <c r="P1010" s="10">
        <v>0.100796079794613</v>
      </c>
      <c r="Q1010" s="10">
        <v>1.0159849701961999E-2</v>
      </c>
    </row>
    <row r="1011" spans="1:17" x14ac:dyDescent="0.2">
      <c r="A1011" s="10">
        <v>1697</v>
      </c>
      <c r="B1011" s="10" t="s">
        <v>2822</v>
      </c>
      <c r="C1011" s="9" t="s">
        <v>944</v>
      </c>
      <c r="D1011" s="10">
        <v>1.8299144999999999E-2</v>
      </c>
      <c r="E1011" s="10">
        <v>8.4014205999999994E-2</v>
      </c>
      <c r="F1011" s="10">
        <v>-0.273979421</v>
      </c>
      <c r="G1011" s="10">
        <v>0.118573952</v>
      </c>
      <c r="H1011" s="9">
        <v>-1.32730295E-2</v>
      </c>
      <c r="I1011" s="10">
        <v>0.17871117992774699</v>
      </c>
      <c r="J1011" s="10">
        <v>3.1937685831167802E-2</v>
      </c>
      <c r="K1011" s="10">
        <v>0.112593759</v>
      </c>
      <c r="L1011" s="10">
        <v>-0.102706676</v>
      </c>
      <c r="M1011" s="10">
        <v>0.233930951</v>
      </c>
      <c r="N1011" s="10">
        <v>-0.145870424</v>
      </c>
      <c r="O1011" s="9">
        <v>2.4486902500000001E-2</v>
      </c>
      <c r="P1011" s="10">
        <v>0.179656573048177</v>
      </c>
      <c r="Q1011" s="10">
        <v>3.2276484239415003E-2</v>
      </c>
    </row>
    <row r="1012" spans="1:17" x14ac:dyDescent="0.2">
      <c r="A1012" s="10">
        <v>1697</v>
      </c>
      <c r="B1012" s="10" t="s">
        <v>2820</v>
      </c>
      <c r="C1012" s="9" t="s">
        <v>2442</v>
      </c>
      <c r="D1012" s="10">
        <v>-1.4819020279999999</v>
      </c>
      <c r="E1012" s="10">
        <v>-1.79466605</v>
      </c>
      <c r="F1012" s="10">
        <v>-2.3603695650000001</v>
      </c>
      <c r="G1012" s="10">
        <v>-2.0424238309999998</v>
      </c>
      <c r="H1012" s="9">
        <v>-1.9198403687500001</v>
      </c>
      <c r="I1012" s="10">
        <v>0.37262638944804399</v>
      </c>
      <c r="J1012" s="10">
        <v>0.13885042611308501</v>
      </c>
      <c r="K1012" s="10">
        <v>-0.50696804699999998</v>
      </c>
      <c r="L1012" s="10">
        <v>-0.37353426299999998</v>
      </c>
      <c r="M1012" s="10">
        <v>-0.53817619100000003</v>
      </c>
      <c r="N1012" s="10">
        <v>8.6025277999999997E-2</v>
      </c>
      <c r="O1012" s="9">
        <v>-0.33316330599999999</v>
      </c>
      <c r="P1012" s="10">
        <v>0.288436737220441</v>
      </c>
      <c r="Q1012" s="10">
        <v>8.3195751378373706E-2</v>
      </c>
    </row>
    <row r="1013" spans="1:17" x14ac:dyDescent="0.2">
      <c r="A1013" s="10">
        <v>1697</v>
      </c>
      <c r="B1013" s="10" t="s">
        <v>2824</v>
      </c>
      <c r="C1013" s="9" t="s">
        <v>945</v>
      </c>
      <c r="D1013" s="10">
        <v>-1.5511681020000001</v>
      </c>
      <c r="E1013" s="10">
        <v>-2.4719590029999998</v>
      </c>
      <c r="F1013" s="10">
        <v>-1.8898034500000001</v>
      </c>
      <c r="G1013" s="10">
        <v>-1.6741929710000001</v>
      </c>
      <c r="H1013" s="9">
        <v>-1.8967808815</v>
      </c>
      <c r="I1013" s="10">
        <v>0.40819608329701701</v>
      </c>
      <c r="J1013" s="10">
        <v>0.16662404241902501</v>
      </c>
      <c r="K1013" s="10">
        <v>0.20831342999999999</v>
      </c>
      <c r="L1013" s="10">
        <v>5.8507971999999998E-2</v>
      </c>
      <c r="M1013" s="10">
        <v>-0.51441787100000003</v>
      </c>
      <c r="N1013" s="10">
        <v>0.16341181499999999</v>
      </c>
      <c r="O1013" s="9">
        <v>-2.1046163499999999E-2</v>
      </c>
      <c r="P1013" s="10">
        <v>0.33485074844344598</v>
      </c>
      <c r="Q1013" s="10">
        <v>0.112125023733136</v>
      </c>
    </row>
    <row r="1014" spans="1:17" x14ac:dyDescent="0.2">
      <c r="A1014" s="10">
        <v>1697</v>
      </c>
      <c r="B1014" s="10" t="s">
        <v>82</v>
      </c>
      <c r="C1014" s="9" t="s">
        <v>2441</v>
      </c>
      <c r="D1014" s="10">
        <v>-1.0788189189999999</v>
      </c>
      <c r="E1014" s="10">
        <v>-0.71415633599999995</v>
      </c>
      <c r="F1014" s="10">
        <v>-1.277582373</v>
      </c>
      <c r="G1014" s="10">
        <v>-1.222859352</v>
      </c>
      <c r="H1014" s="9">
        <v>-1.073354245</v>
      </c>
      <c r="I1014" s="10">
        <v>0.25371500138105302</v>
      </c>
      <c r="J1014" s="10">
        <v>6.4371301925788105E-2</v>
      </c>
      <c r="K1014" s="10">
        <v>0.30508562299999997</v>
      </c>
      <c r="L1014" s="10">
        <v>-2.2014415999999998E-2</v>
      </c>
      <c r="M1014" s="10">
        <v>0.51377202700000002</v>
      </c>
      <c r="N1014" s="10">
        <v>-2.4007743000000002E-2</v>
      </c>
      <c r="O1014" s="9">
        <v>0.19320887275000001</v>
      </c>
      <c r="P1014" s="10">
        <v>0.26380628327585298</v>
      </c>
      <c r="Q1014" s="10">
        <v>6.9593755095819707E-2</v>
      </c>
    </row>
    <row r="1015" spans="1:17" x14ac:dyDescent="0.2">
      <c r="A1015" s="10">
        <v>1697</v>
      </c>
      <c r="B1015" s="10" t="s">
        <v>2825</v>
      </c>
      <c r="C1015" s="9" t="s">
        <v>946</v>
      </c>
      <c r="D1015" s="10">
        <v>-1.019939025</v>
      </c>
      <c r="E1015" s="10">
        <v>-1.472197859</v>
      </c>
      <c r="F1015" s="10">
        <v>-1.4371172539999999</v>
      </c>
      <c r="G1015" s="10">
        <v>-1.398060664</v>
      </c>
      <c r="H1015" s="9">
        <v>-1.33182870075</v>
      </c>
      <c r="I1015" s="10">
        <v>0.210119825201939</v>
      </c>
      <c r="J1015" s="10">
        <v>4.4150340942893697E-2</v>
      </c>
      <c r="K1015" s="10">
        <v>0.26999640000000003</v>
      </c>
      <c r="L1015" s="10">
        <v>0.12907490099999999</v>
      </c>
      <c r="M1015" s="10">
        <v>0.22813768400000001</v>
      </c>
      <c r="N1015" s="10">
        <v>3.0808261E-2</v>
      </c>
      <c r="O1015" s="9">
        <v>0.1645043115</v>
      </c>
      <c r="P1015" s="10">
        <v>0.106938711231389</v>
      </c>
      <c r="Q1015" s="10">
        <v>1.14358879598305E-2</v>
      </c>
    </row>
    <row r="1016" spans="1:17" x14ac:dyDescent="0.2">
      <c r="A1016" s="10">
        <v>1697</v>
      </c>
      <c r="B1016" s="10" t="s">
        <v>74</v>
      </c>
      <c r="C1016" s="9" t="s">
        <v>947</v>
      </c>
      <c r="D1016" s="10">
        <v>-0.122075828</v>
      </c>
      <c r="E1016" s="10">
        <v>-0.116482118</v>
      </c>
      <c r="F1016" s="10">
        <v>-9.2239168999999996E-2</v>
      </c>
      <c r="G1016" s="10">
        <v>-0.120546954</v>
      </c>
      <c r="H1016" s="9">
        <v>-0.1128360175</v>
      </c>
      <c r="I1016" s="10">
        <v>1.3932657759989499E-2</v>
      </c>
      <c r="J1016" s="10">
        <v>1.941189522569E-4</v>
      </c>
      <c r="K1016" s="10">
        <v>0.249444952</v>
      </c>
      <c r="L1016" s="10">
        <v>-1.6678528000000001E-2</v>
      </c>
      <c r="M1016" s="10">
        <v>-0.21409473700000001</v>
      </c>
      <c r="N1016" s="10">
        <v>0.12132161900000001</v>
      </c>
      <c r="O1016" s="9">
        <v>3.4998326500000003E-2</v>
      </c>
      <c r="P1016" s="10">
        <v>0.19845815477593501</v>
      </c>
      <c r="Q1016" s="10">
        <v>3.9385639197069E-2</v>
      </c>
    </row>
    <row r="1017" spans="1:17" x14ac:dyDescent="0.2">
      <c r="A1017" s="10">
        <v>1697</v>
      </c>
      <c r="B1017" s="10" t="s">
        <v>2818</v>
      </c>
      <c r="C1017" s="9" t="s">
        <v>948</v>
      </c>
      <c r="D1017" s="10">
        <v>-0.87774197799999998</v>
      </c>
      <c r="E1017" s="10">
        <v>0.42728839699999999</v>
      </c>
      <c r="F1017" s="10">
        <v>-1.06973115</v>
      </c>
      <c r="G1017" s="10">
        <v>-0.73615420600000003</v>
      </c>
      <c r="H1017" s="9">
        <v>-0.56408473449999996</v>
      </c>
      <c r="I1017" s="10">
        <v>0.674904376631836</v>
      </c>
      <c r="J1017" s="10">
        <v>0.45549591759680702</v>
      </c>
      <c r="K1017" s="10">
        <v>-0.104837193</v>
      </c>
      <c r="L1017" s="10">
        <v>-0.74688445599999997</v>
      </c>
      <c r="M1017" s="10">
        <v>1.412250446</v>
      </c>
      <c r="N1017" s="10">
        <v>-1.113972143</v>
      </c>
      <c r="O1017" s="9">
        <v>-0.1383608365</v>
      </c>
      <c r="P1017" s="10">
        <v>1.1146954144443499</v>
      </c>
      <c r="Q1017" s="10">
        <v>1.2425458669832701</v>
      </c>
    </row>
    <row r="1018" spans="1:17" x14ac:dyDescent="0.2">
      <c r="A1018" s="10">
        <v>1698</v>
      </c>
      <c r="B1018" s="10" t="s">
        <v>2831</v>
      </c>
      <c r="C1018" s="9" t="s">
        <v>949</v>
      </c>
      <c r="D1018" s="10">
        <v>-1.7576742460000001</v>
      </c>
      <c r="E1018" s="10">
        <v>-1.32149965</v>
      </c>
      <c r="F1018" s="10">
        <v>-1.442421843</v>
      </c>
      <c r="G1018" s="10">
        <v>-2.0913070729999998</v>
      </c>
      <c r="H1018" s="9">
        <v>-1.6532257029999999</v>
      </c>
      <c r="I1018" s="10">
        <v>0.34511120261241301</v>
      </c>
      <c r="J1018" s="10">
        <v>0.119101742168586</v>
      </c>
      <c r="K1018" s="10">
        <v>0.58506265099999999</v>
      </c>
      <c r="L1018" s="10">
        <v>1.9201586E-2</v>
      </c>
      <c r="M1018" s="10">
        <v>3.8158430000000002E-3</v>
      </c>
      <c r="N1018" s="10">
        <v>6.5654631029999999</v>
      </c>
      <c r="O1018" s="9">
        <v>1.7933857955000001</v>
      </c>
      <c r="P1018" s="10">
        <v>3.1928595790409502</v>
      </c>
      <c r="Q1018" s="10">
        <v>10.194352291473599</v>
      </c>
    </row>
    <row r="1019" spans="1:17" x14ac:dyDescent="0.2">
      <c r="A1019" s="10">
        <v>1698</v>
      </c>
      <c r="B1019" s="10" t="s">
        <v>2821</v>
      </c>
      <c r="C1019" s="9" t="s">
        <v>950</v>
      </c>
      <c r="D1019" s="10">
        <v>-0.49042422499999999</v>
      </c>
      <c r="E1019" s="10">
        <v>-1.020527789</v>
      </c>
      <c r="F1019" s="10">
        <v>-0.74091688300000003</v>
      </c>
      <c r="G1019" s="10">
        <v>-0.47236438800000002</v>
      </c>
      <c r="H1019" s="9">
        <v>-0.68105832124999999</v>
      </c>
      <c r="I1019" s="10">
        <v>0.25736943834214598</v>
      </c>
      <c r="J1019" s="10">
        <v>6.6239027792552099E-2</v>
      </c>
      <c r="K1019" s="10">
        <v>-0.35058841099999999</v>
      </c>
      <c r="L1019" s="10">
        <v>-1.1766936809999999</v>
      </c>
      <c r="M1019" s="10">
        <v>1.0991023310000001</v>
      </c>
      <c r="N1019" s="10">
        <v>-0.474918801</v>
      </c>
      <c r="O1019" s="9">
        <v>-0.22577464050000001</v>
      </c>
      <c r="P1019" s="10">
        <v>0.95519584400514901</v>
      </c>
      <c r="Q1019" s="10">
        <v>0.91239910040470895</v>
      </c>
    </row>
    <row r="1020" spans="1:17" x14ac:dyDescent="0.2">
      <c r="A1020" s="10">
        <v>1698</v>
      </c>
      <c r="B1020" s="10" t="s">
        <v>2824</v>
      </c>
      <c r="C1020" s="9" t="s">
        <v>951</v>
      </c>
      <c r="D1020" s="10">
        <v>7.1287348E-2</v>
      </c>
      <c r="E1020" s="10">
        <v>-0.55873451100000004</v>
      </c>
      <c r="F1020" s="10">
        <v>-0.30795334400000002</v>
      </c>
      <c r="G1020" s="10">
        <v>-0.30316203000000003</v>
      </c>
      <c r="H1020" s="9">
        <v>-0.27464063425000002</v>
      </c>
      <c r="I1020" s="10">
        <v>0.25967845909689702</v>
      </c>
      <c r="J1020" s="10">
        <v>6.7432902118938806E-2</v>
      </c>
      <c r="K1020" s="10">
        <v>0.56140467999999999</v>
      </c>
      <c r="L1020" s="10">
        <v>-0.32306573799999999</v>
      </c>
      <c r="M1020" s="10">
        <v>0.21861261900000001</v>
      </c>
      <c r="N1020" s="10">
        <v>1.5967808999999999E-2</v>
      </c>
      <c r="O1020" s="9">
        <v>0.1182298425</v>
      </c>
      <c r="P1020" s="10">
        <v>0.370441156494697</v>
      </c>
      <c r="Q1020" s="10">
        <v>0.13722665042512899</v>
      </c>
    </row>
    <row r="1021" spans="1:17" x14ac:dyDescent="0.2">
      <c r="A1021" s="10">
        <v>1698</v>
      </c>
      <c r="B1021" s="10" t="s">
        <v>2833</v>
      </c>
      <c r="C1021" s="9" t="s">
        <v>952</v>
      </c>
      <c r="D1021" s="10">
        <v>0.39633687499999998</v>
      </c>
      <c r="E1021" s="10">
        <v>-0.80814270200000005</v>
      </c>
      <c r="F1021" s="10">
        <v>-0.36413272699999999</v>
      </c>
      <c r="G1021" s="10">
        <v>-4.0993803000000002E-2</v>
      </c>
      <c r="H1021" s="9">
        <v>-0.20423308949999999</v>
      </c>
      <c r="I1021" s="10">
        <v>0.509118866624515</v>
      </c>
      <c r="J1021" s="10">
        <v>0.25920202035303003</v>
      </c>
      <c r="K1021" s="10">
        <v>0.18800166800000001</v>
      </c>
      <c r="L1021" s="10">
        <v>-0.72598534400000003</v>
      </c>
      <c r="M1021" s="10">
        <v>0.96305116000000002</v>
      </c>
      <c r="N1021" s="10">
        <v>-2.3895677000000001E-2</v>
      </c>
      <c r="O1021" s="9">
        <v>0.10029295175</v>
      </c>
      <c r="P1021" s="10">
        <v>0.69527049468709201</v>
      </c>
      <c r="Q1021" s="10">
        <v>0.483401060782434</v>
      </c>
    </row>
    <row r="1022" spans="1:17" x14ac:dyDescent="0.2">
      <c r="A1022" s="10">
        <v>1698</v>
      </c>
      <c r="B1022" s="10" t="s">
        <v>2825</v>
      </c>
      <c r="C1022" s="9" t="s">
        <v>953</v>
      </c>
      <c r="D1022" s="10">
        <v>-0.63380007000000005</v>
      </c>
      <c r="E1022" s="10">
        <v>-0.55180442100000004</v>
      </c>
      <c r="F1022" s="10">
        <v>-0.39903608600000001</v>
      </c>
      <c r="G1022" s="10">
        <v>-0.83625969099999997</v>
      </c>
      <c r="H1022" s="9">
        <v>-0.60522506725000003</v>
      </c>
      <c r="I1022" s="10">
        <v>0.18217316815615001</v>
      </c>
      <c r="J1022" s="10">
        <v>3.3187063196048999E-2</v>
      </c>
      <c r="K1022" s="10">
        <v>0.289107118</v>
      </c>
      <c r="L1022" s="10">
        <v>-6.2984767999999997E-2</v>
      </c>
      <c r="M1022" s="10">
        <v>0.28508304400000001</v>
      </c>
      <c r="N1022" s="10">
        <v>0.106834265</v>
      </c>
      <c r="O1022" s="9">
        <v>0.154509915</v>
      </c>
      <c r="P1022" s="10">
        <v>0.16807007844791599</v>
      </c>
      <c r="Q1022" s="10">
        <v>2.8247551269488899E-2</v>
      </c>
    </row>
    <row r="1023" spans="1:17" x14ac:dyDescent="0.2">
      <c r="A1023" s="10">
        <v>1698</v>
      </c>
      <c r="B1023" s="10" t="s">
        <v>74</v>
      </c>
      <c r="C1023" s="9" t="s">
        <v>2440</v>
      </c>
      <c r="D1023" s="10">
        <v>-0.27832474299999999</v>
      </c>
      <c r="E1023" s="10">
        <v>-2.1104009999999999E-2</v>
      </c>
      <c r="F1023" s="10">
        <v>-0.14533818500000001</v>
      </c>
      <c r="G1023" s="10">
        <v>-0.69433784399999998</v>
      </c>
      <c r="H1023" s="9">
        <v>-0.28477619524999997</v>
      </c>
      <c r="I1023" s="10">
        <v>0.29254534995446502</v>
      </c>
      <c r="J1023" s="10">
        <v>8.5582781779980494E-2</v>
      </c>
      <c r="K1023" s="10">
        <v>-0.19544858000000001</v>
      </c>
      <c r="L1023" s="10">
        <v>0.32193935699999998</v>
      </c>
      <c r="M1023" s="10">
        <v>1.773555E-3</v>
      </c>
      <c r="N1023" s="10">
        <v>0.16681947599999999</v>
      </c>
      <c r="O1023" s="9">
        <v>7.3770952000000001E-2</v>
      </c>
      <c r="P1023" s="10">
        <v>0.222042313267762</v>
      </c>
      <c r="Q1023" s="10">
        <v>4.9302788881298999E-2</v>
      </c>
    </row>
    <row r="1024" spans="1:17" x14ac:dyDescent="0.2">
      <c r="A1024" s="10">
        <v>1698</v>
      </c>
      <c r="B1024" s="10" t="s">
        <v>2818</v>
      </c>
      <c r="C1024" s="9" t="s">
        <v>954</v>
      </c>
      <c r="D1024" s="10">
        <v>0.51627233500000003</v>
      </c>
      <c r="E1024" s="10">
        <v>0.30700337900000002</v>
      </c>
      <c r="F1024" s="10">
        <v>0.33015682699999999</v>
      </c>
      <c r="G1024" s="10">
        <v>-0.50462406400000004</v>
      </c>
      <c r="H1024" s="9">
        <v>0.16220211925</v>
      </c>
      <c r="I1024" s="10">
        <v>0.454312324665748</v>
      </c>
      <c r="J1024" s="10">
        <v>0.206399688343196</v>
      </c>
      <c r="K1024" s="10">
        <v>-0.11522191900000001</v>
      </c>
      <c r="L1024" s="10">
        <v>0.12573173300000001</v>
      </c>
      <c r="M1024" s="10">
        <v>0.67817476300000001</v>
      </c>
      <c r="N1024" s="10">
        <v>-0.31256475500000003</v>
      </c>
      <c r="O1024" s="9">
        <v>9.4029955750000005E-2</v>
      </c>
      <c r="P1024" s="10">
        <v>0.42869404957156898</v>
      </c>
      <c r="Q1024" s="10">
        <v>0.18377858813807099</v>
      </c>
    </row>
    <row r="1025" spans="1:17" x14ac:dyDescent="0.2">
      <c r="A1025" s="10">
        <v>1698</v>
      </c>
      <c r="B1025" s="10" t="s">
        <v>2832</v>
      </c>
      <c r="C1025" s="9" t="s">
        <v>955</v>
      </c>
      <c r="D1025" s="10">
        <v>0.44353826699999999</v>
      </c>
      <c r="E1025" s="10">
        <v>0.46605745900000001</v>
      </c>
      <c r="F1025" s="10">
        <v>-0.57818526000000003</v>
      </c>
      <c r="G1025" s="10">
        <v>-0.390515744</v>
      </c>
      <c r="H1025" s="9">
        <v>-1.4776319249999999E-2</v>
      </c>
      <c r="I1025" s="10">
        <v>0.54768090834724004</v>
      </c>
      <c r="J1025" s="10">
        <v>0.29995437736805802</v>
      </c>
      <c r="K1025" s="10">
        <v>-0.14672795999999999</v>
      </c>
      <c r="L1025" s="10">
        <v>-0.40639873300000001</v>
      </c>
      <c r="M1025" s="10">
        <v>0.88802420000000004</v>
      </c>
      <c r="N1025" s="10">
        <v>-6.4742270069999996</v>
      </c>
      <c r="O1025" s="9">
        <v>-1.5348323749999999</v>
      </c>
      <c r="P1025" s="10">
        <v>3.3400623579503699</v>
      </c>
      <c r="Q1025" s="10">
        <v>11.156016554997001</v>
      </c>
    </row>
    <row r="1026" spans="1:17" x14ac:dyDescent="0.2">
      <c r="A1026" s="10">
        <v>1699</v>
      </c>
      <c r="B1026" s="10" t="s">
        <v>2831</v>
      </c>
      <c r="C1026" s="9" t="s">
        <v>2439</v>
      </c>
      <c r="D1026" s="10">
        <v>-1.0178560290000001</v>
      </c>
      <c r="E1026" s="10">
        <v>-1.6039667369999999</v>
      </c>
      <c r="F1026" s="10">
        <v>-1.2492821620000001</v>
      </c>
      <c r="G1026" s="10">
        <v>-1.984537701</v>
      </c>
      <c r="H1026" s="9">
        <v>-1.46391065725</v>
      </c>
      <c r="I1026" s="10">
        <v>0.42257084081264901</v>
      </c>
      <c r="J1026" s="10">
        <v>0.17856611550510901</v>
      </c>
      <c r="K1026" s="10">
        <v>0.27386232799999999</v>
      </c>
      <c r="L1026" s="10">
        <v>-0.29208920599999999</v>
      </c>
      <c r="M1026" s="10">
        <v>0.45700728699999998</v>
      </c>
      <c r="N1026" s="10">
        <v>-0.176074708</v>
      </c>
      <c r="O1026" s="9">
        <v>6.5676425250000003E-2</v>
      </c>
      <c r="P1026" s="10">
        <v>0.35726790638268402</v>
      </c>
      <c r="Q1026" s="10">
        <v>0.12764035693106601</v>
      </c>
    </row>
    <row r="1027" spans="1:17" x14ac:dyDescent="0.2">
      <c r="A1027" s="10">
        <v>1699</v>
      </c>
      <c r="B1027" s="10" t="s">
        <v>2822</v>
      </c>
      <c r="C1027" s="9" t="s">
        <v>2438</v>
      </c>
      <c r="D1027" s="10">
        <v>-1.931557406</v>
      </c>
      <c r="E1027" s="10">
        <v>-0.84223967899999996</v>
      </c>
      <c r="F1027" s="10">
        <v>-1.686796033</v>
      </c>
      <c r="G1027" s="10">
        <v>-1.2669357240000001</v>
      </c>
      <c r="H1027" s="9">
        <v>-1.43188221025</v>
      </c>
      <c r="I1027" s="10">
        <v>0.47942396556073602</v>
      </c>
      <c r="J1027" s="10">
        <v>0.229847338753982</v>
      </c>
      <c r="K1027" s="10">
        <v>-1.2630384E-2</v>
      </c>
      <c r="L1027" s="10">
        <v>-0.62646563700000002</v>
      </c>
      <c r="M1027" s="10">
        <v>5.6440575999999999E-2</v>
      </c>
      <c r="N1027" s="10">
        <v>-6.5808803999999999E-2</v>
      </c>
      <c r="O1027" s="9">
        <v>-0.16211606200000001</v>
      </c>
      <c r="P1027" s="10">
        <v>0.313586026308115</v>
      </c>
      <c r="Q1027" s="10">
        <v>9.8336195895713893E-2</v>
      </c>
    </row>
    <row r="1028" spans="1:17" x14ac:dyDescent="0.2">
      <c r="A1028" s="10">
        <v>1699</v>
      </c>
      <c r="B1028" s="10" t="s">
        <v>2824</v>
      </c>
      <c r="C1028" s="9" t="s">
        <v>956</v>
      </c>
      <c r="D1028" s="10">
        <v>-1.1312174800000001</v>
      </c>
      <c r="E1028" s="10">
        <v>-1.1687046649999999</v>
      </c>
      <c r="F1028" s="10">
        <v>-1.283864728</v>
      </c>
      <c r="G1028" s="10">
        <v>-0.54516898899999999</v>
      </c>
      <c r="H1028" s="9">
        <v>-1.0322389654999999</v>
      </c>
      <c r="I1028" s="10">
        <v>0.331145647630599</v>
      </c>
      <c r="J1028" s="10">
        <v>0.109657439944689</v>
      </c>
      <c r="K1028" s="10">
        <v>-0.16244238499999999</v>
      </c>
      <c r="L1028" s="10">
        <v>-0.134607539</v>
      </c>
      <c r="M1028" s="10">
        <v>-0.25604036699999999</v>
      </c>
      <c r="N1028" s="10">
        <v>0.37098815899999998</v>
      </c>
      <c r="O1028" s="9">
        <v>-4.552553275E-2</v>
      </c>
      <c r="P1028" s="10">
        <v>0.28249206775417701</v>
      </c>
      <c r="Q1028" s="10">
        <v>7.9801768344030702E-2</v>
      </c>
    </row>
    <row r="1029" spans="1:17" x14ac:dyDescent="0.2">
      <c r="A1029" s="10">
        <v>1699</v>
      </c>
      <c r="B1029" s="10" t="s">
        <v>2817</v>
      </c>
      <c r="C1029" s="9" t="s">
        <v>2437</v>
      </c>
      <c r="D1029" s="10">
        <v>-0.51833599299999999</v>
      </c>
      <c r="E1029" s="10">
        <v>-1.843250209</v>
      </c>
      <c r="F1029" s="10">
        <v>-0.50064173700000003</v>
      </c>
      <c r="G1029" s="10">
        <v>-0.81861689100000001</v>
      </c>
      <c r="H1029" s="9">
        <v>-0.92021120749999996</v>
      </c>
      <c r="I1029" s="10">
        <v>0.63241985843801796</v>
      </c>
      <c r="J1029" s="10">
        <v>0.39995487734676299</v>
      </c>
      <c r="K1029" s="10">
        <v>-0.38035000800000002</v>
      </c>
      <c r="L1029" s="10">
        <v>-0.262555714</v>
      </c>
      <c r="M1029" s="10">
        <v>0.36546135899999999</v>
      </c>
      <c r="N1029" s="10">
        <v>-0.34805676400000002</v>
      </c>
      <c r="O1029" s="9">
        <v>-0.15637528149999999</v>
      </c>
      <c r="P1029" s="10">
        <v>0.35142293249889101</v>
      </c>
      <c r="Q1029" s="10">
        <v>0.12349807748612</v>
      </c>
    </row>
    <row r="1030" spans="1:17" x14ac:dyDescent="0.2">
      <c r="A1030" s="10">
        <v>1699</v>
      </c>
      <c r="B1030" s="10" t="s">
        <v>2814</v>
      </c>
      <c r="C1030" s="9" t="s">
        <v>957</v>
      </c>
      <c r="D1030" s="10">
        <v>-1.2378967359999999</v>
      </c>
      <c r="E1030" s="10">
        <v>-0.89101461299999996</v>
      </c>
      <c r="F1030" s="10">
        <v>-0.96335981500000001</v>
      </c>
      <c r="G1030" s="10">
        <v>-0.84931074799999995</v>
      </c>
      <c r="H1030" s="9">
        <v>-0.98539547800000005</v>
      </c>
      <c r="I1030" s="10">
        <v>0.174803944609147</v>
      </c>
      <c r="J1030" s="10">
        <v>3.0556419050917698E-2</v>
      </c>
      <c r="K1030" s="10">
        <v>-2.5562563E-2</v>
      </c>
      <c r="L1030" s="10">
        <v>0.29668653099999998</v>
      </c>
      <c r="M1030" s="10">
        <v>-8.4447446999999995E-2</v>
      </c>
      <c r="N1030" s="10">
        <v>6.1222055999999997E-2</v>
      </c>
      <c r="O1030" s="9">
        <v>6.1974644000000002E-2</v>
      </c>
      <c r="P1030" s="10">
        <v>0.167523558174138</v>
      </c>
      <c r="Q1030" s="10">
        <v>2.8064142543323799E-2</v>
      </c>
    </row>
    <row r="1031" spans="1:17" x14ac:dyDescent="0.2">
      <c r="A1031" s="10">
        <v>1699</v>
      </c>
      <c r="B1031" s="10" t="s">
        <v>74</v>
      </c>
      <c r="C1031" s="9" t="s">
        <v>958</v>
      </c>
      <c r="D1031" s="10">
        <v>-1.22372109</v>
      </c>
      <c r="E1031" s="10">
        <v>-1.4484875960000001</v>
      </c>
      <c r="F1031" s="10">
        <v>-1.9636128879999999</v>
      </c>
      <c r="G1031" s="10">
        <v>-0.838868905</v>
      </c>
      <c r="H1031" s="9">
        <v>-1.3686726197500001</v>
      </c>
      <c r="I1031" s="10">
        <v>0.46976138459113198</v>
      </c>
      <c r="J1031" s="10">
        <v>0.22067575845297799</v>
      </c>
      <c r="K1031" s="10">
        <v>-1.4229383E-2</v>
      </c>
      <c r="L1031" s="10">
        <v>-0.10219128099999999</v>
      </c>
      <c r="M1031" s="10">
        <v>0.122633884</v>
      </c>
      <c r="N1031" s="10">
        <v>-0.28201447299999999</v>
      </c>
      <c r="O1031" s="9">
        <v>-6.8950313499999999E-2</v>
      </c>
      <c r="P1031" s="10">
        <v>0.16950927501691601</v>
      </c>
      <c r="Q1031" s="10">
        <v>2.87333943167607E-2</v>
      </c>
    </row>
    <row r="1032" spans="1:17" x14ac:dyDescent="0.2">
      <c r="A1032" s="10">
        <v>1699</v>
      </c>
      <c r="B1032" s="10" t="s">
        <v>2835</v>
      </c>
      <c r="C1032" s="9" t="s">
        <v>29</v>
      </c>
      <c r="D1032" s="10">
        <v>-1.9064723109999999</v>
      </c>
      <c r="E1032" s="10">
        <v>-1.1866347230000001</v>
      </c>
      <c r="F1032" s="10">
        <v>-0.50608030900000001</v>
      </c>
      <c r="G1032" s="10">
        <v>-0.824760724</v>
      </c>
      <c r="H1032" s="9">
        <v>-1.1059870167500001</v>
      </c>
      <c r="I1032" s="10">
        <v>0.60173555780238597</v>
      </c>
      <c r="J1032" s="10">
        <v>0.36208568152374898</v>
      </c>
      <c r="K1032" s="10">
        <v>-0.65003311600000002</v>
      </c>
      <c r="L1032" s="10">
        <v>-0.28786811099999998</v>
      </c>
      <c r="M1032" s="10">
        <v>-0.136457579</v>
      </c>
      <c r="N1032" s="10">
        <v>-0.45519216299999998</v>
      </c>
      <c r="O1032" s="9">
        <v>-0.38238774225</v>
      </c>
      <c r="P1032" s="10">
        <v>0.220869596261631</v>
      </c>
      <c r="Q1032" s="10">
        <v>4.8783378552775897E-2</v>
      </c>
    </row>
    <row r="1033" spans="1:17" x14ac:dyDescent="0.2">
      <c r="A1033" s="10">
        <v>1700</v>
      </c>
      <c r="B1033" s="10" t="s">
        <v>2822</v>
      </c>
      <c r="C1033" s="9" t="s">
        <v>2436</v>
      </c>
      <c r="D1033" s="10">
        <v>-1.168057296</v>
      </c>
      <c r="E1033" s="10">
        <v>-0.63038509300000001</v>
      </c>
      <c r="F1033" s="10">
        <v>-3.0024538920000001</v>
      </c>
      <c r="G1033" s="10">
        <v>-1.890713691</v>
      </c>
      <c r="H1033" s="9">
        <v>-1.672902493</v>
      </c>
      <c r="I1033" s="10">
        <v>1.0258102233184201</v>
      </c>
      <c r="J1033" s="10">
        <v>1.0522866142645899</v>
      </c>
      <c r="K1033" s="10">
        <v>0.26878905400000003</v>
      </c>
      <c r="L1033" s="10">
        <v>0.39000061499999999</v>
      </c>
      <c r="M1033" s="10">
        <v>0.17685334799999999</v>
      </c>
      <c r="N1033" s="10" t="s">
        <v>76</v>
      </c>
      <c r="O1033" s="9">
        <v>0.20891075449999999</v>
      </c>
      <c r="P1033" s="10">
        <v>0.10690819580941401</v>
      </c>
      <c r="Q1033" s="10">
        <v>1.1429362331224E-2</v>
      </c>
    </row>
    <row r="1034" spans="1:17" x14ac:dyDescent="0.2">
      <c r="A1034" s="10">
        <v>1700</v>
      </c>
      <c r="B1034" s="10" t="s">
        <v>2817</v>
      </c>
      <c r="C1034" s="9" t="s">
        <v>959</v>
      </c>
      <c r="D1034" s="10">
        <v>-1.867826687</v>
      </c>
      <c r="E1034" s="10">
        <v>-1.341803538</v>
      </c>
      <c r="F1034" s="10">
        <v>-0.98367642899999996</v>
      </c>
      <c r="G1034" s="10">
        <v>-3.3186408639999998</v>
      </c>
      <c r="H1034" s="9">
        <v>-1.8779868795000001</v>
      </c>
      <c r="I1034" s="10">
        <v>1.02678639293395</v>
      </c>
      <c r="J1034" s="10">
        <v>1.05429029671432</v>
      </c>
      <c r="K1034" s="10">
        <v>0.54048940099999998</v>
      </c>
      <c r="L1034" s="10">
        <v>-0.80704674499999995</v>
      </c>
      <c r="M1034" s="10">
        <v>0.109588273</v>
      </c>
      <c r="N1034" s="10">
        <v>0.91682755500000002</v>
      </c>
      <c r="O1034" s="9">
        <v>0.189964621</v>
      </c>
      <c r="P1034" s="10">
        <v>0.74199940868532999</v>
      </c>
      <c r="Q1034" s="10">
        <v>0.550563122489379</v>
      </c>
    </row>
    <row r="1035" spans="1:17" x14ac:dyDescent="0.2">
      <c r="A1035" s="10">
        <v>1700</v>
      </c>
      <c r="B1035" s="10" t="s">
        <v>2832</v>
      </c>
      <c r="C1035" s="9" t="s">
        <v>2435</v>
      </c>
      <c r="D1035" s="10">
        <v>-4.190920577</v>
      </c>
      <c r="E1035" s="10">
        <v>-0.174994973</v>
      </c>
      <c r="F1035" s="10">
        <v>-1.509873606</v>
      </c>
      <c r="G1035" s="10">
        <v>-1.5168061610000001</v>
      </c>
      <c r="H1035" s="9">
        <v>-1.8481488290000001</v>
      </c>
      <c r="I1035" s="10">
        <v>1.68446246413187</v>
      </c>
      <c r="J1035" s="10">
        <v>2.83741379306923</v>
      </c>
      <c r="K1035" s="10">
        <v>0.22381221000000001</v>
      </c>
      <c r="L1035" s="10">
        <v>-0.51535067300000004</v>
      </c>
      <c r="M1035" s="10">
        <v>3.522154E-3</v>
      </c>
      <c r="N1035" s="10">
        <v>0.42792460799999998</v>
      </c>
      <c r="O1035" s="9">
        <v>3.4977074499999997E-2</v>
      </c>
      <c r="P1035" s="10">
        <v>0.405757117076674</v>
      </c>
      <c r="Q1035" s="10">
        <v>0.16463883805837401</v>
      </c>
    </row>
    <row r="1036" spans="1:17" x14ac:dyDescent="0.2">
      <c r="A1036" s="10">
        <v>1701</v>
      </c>
      <c r="B1036" s="10" t="s">
        <v>2831</v>
      </c>
      <c r="C1036" s="9" t="s">
        <v>2434</v>
      </c>
      <c r="D1036" s="10">
        <v>-1.3837356890000001</v>
      </c>
      <c r="E1036" s="10">
        <v>-1.661866989</v>
      </c>
      <c r="F1036" s="10">
        <v>-1.529969702</v>
      </c>
      <c r="G1036" s="10">
        <v>-1.8105976610000001</v>
      </c>
      <c r="H1036" s="9">
        <v>-1.5965425105</v>
      </c>
      <c r="I1036" s="10">
        <v>0.18239661643004301</v>
      </c>
      <c r="J1036" s="10">
        <v>3.3268525685128301E-2</v>
      </c>
      <c r="K1036" s="10">
        <v>9.1349109999999997E-2</v>
      </c>
      <c r="L1036" s="10">
        <v>-3.7869066E-2</v>
      </c>
      <c r="M1036" s="10">
        <v>0.21171715999999999</v>
      </c>
      <c r="N1036" s="10">
        <v>-0.43241855099999998</v>
      </c>
      <c r="O1036" s="9">
        <v>-4.1805336999999998E-2</v>
      </c>
      <c r="P1036" s="10">
        <v>0.27964140157338702</v>
      </c>
      <c r="Q1036" s="10">
        <v>7.8199313473928597E-2</v>
      </c>
    </row>
    <row r="1037" spans="1:17" x14ac:dyDescent="0.2">
      <c r="A1037" s="10">
        <v>1701</v>
      </c>
      <c r="B1037" s="10" t="s">
        <v>2822</v>
      </c>
      <c r="C1037" s="9" t="s">
        <v>2433</v>
      </c>
      <c r="D1037" s="10">
        <v>0.26575761199999998</v>
      </c>
      <c r="E1037" s="10">
        <v>-0.23906914500000001</v>
      </c>
      <c r="F1037" s="10">
        <v>-0.121609995</v>
      </c>
      <c r="G1037" s="10">
        <v>-0.277642265</v>
      </c>
      <c r="H1037" s="9">
        <v>-9.3140948500000001E-2</v>
      </c>
      <c r="I1037" s="10">
        <v>0.24829715910682901</v>
      </c>
      <c r="J1037" s="10">
        <v>6.1651479220522297E-2</v>
      </c>
      <c r="K1037" s="10">
        <v>7.3150265000000006E-2</v>
      </c>
      <c r="L1037" s="10">
        <v>0.102542115</v>
      </c>
      <c r="M1037" s="10">
        <v>0.26217895000000002</v>
      </c>
      <c r="N1037" s="10">
        <v>9.4889654000000004E-2</v>
      </c>
      <c r="O1037" s="9">
        <v>0.13319024600000001</v>
      </c>
      <c r="P1037" s="10">
        <v>8.6889064059530494E-2</v>
      </c>
      <c r="Q1037" s="10">
        <v>7.5497094531411998E-3</v>
      </c>
    </row>
    <row r="1038" spans="1:17" x14ac:dyDescent="0.2">
      <c r="A1038" s="10">
        <v>1701</v>
      </c>
      <c r="B1038" s="10" t="s">
        <v>79</v>
      </c>
      <c r="C1038" s="9" t="s">
        <v>960</v>
      </c>
      <c r="D1038" s="10">
        <v>-0.158374337</v>
      </c>
      <c r="E1038" s="10">
        <v>-1.0177949770000001</v>
      </c>
      <c r="F1038" s="10">
        <v>-0.67441520600000004</v>
      </c>
      <c r="G1038" s="10">
        <v>-0.246214352</v>
      </c>
      <c r="H1038" s="9">
        <v>-0.52419971799999998</v>
      </c>
      <c r="I1038" s="10">
        <v>0.39887552178438801</v>
      </c>
      <c r="J1038" s="10">
        <v>0.159101681878768</v>
      </c>
      <c r="K1038" s="10">
        <v>-3.0505580000000001E-3</v>
      </c>
      <c r="L1038" s="10">
        <v>-0.45766055300000003</v>
      </c>
      <c r="M1038" s="10">
        <v>0.40915494099999999</v>
      </c>
      <c r="N1038" s="10">
        <v>0.61263158299999998</v>
      </c>
      <c r="O1038" s="9">
        <v>0.14026885324999999</v>
      </c>
      <c r="P1038" s="10">
        <v>0.47380949235668401</v>
      </c>
      <c r="Q1038" s="10">
        <v>0.22449543504729799</v>
      </c>
    </row>
    <row r="1039" spans="1:17" x14ac:dyDescent="0.2">
      <c r="A1039" s="10">
        <v>1701</v>
      </c>
      <c r="B1039" s="10" t="s">
        <v>2825</v>
      </c>
      <c r="C1039" s="9" t="s">
        <v>961</v>
      </c>
      <c r="D1039" s="10">
        <v>-0.21038834300000001</v>
      </c>
      <c r="E1039" s="10">
        <v>-0.34582457900000002</v>
      </c>
      <c r="F1039" s="10">
        <v>-1.2847954290000001</v>
      </c>
      <c r="G1039" s="10">
        <v>-0.92403449999999998</v>
      </c>
      <c r="H1039" s="9">
        <v>-0.69126071275000001</v>
      </c>
      <c r="I1039" s="10">
        <v>0.50233835009012395</v>
      </c>
      <c r="J1039" s="10">
        <v>0.25234381797126798</v>
      </c>
      <c r="K1039" s="10">
        <v>-0.55223573100000001</v>
      </c>
      <c r="L1039" s="10">
        <v>-0.15662148400000001</v>
      </c>
      <c r="M1039" s="10">
        <v>2.1569812000000001E-2</v>
      </c>
      <c r="N1039" s="10">
        <v>4.4348064E-2</v>
      </c>
      <c r="O1039" s="9">
        <v>-0.16073483475</v>
      </c>
      <c r="P1039" s="10">
        <v>0.27603372439208101</v>
      </c>
      <c r="Q1039" s="10">
        <v>7.6194617001763595E-2</v>
      </c>
    </row>
    <row r="1040" spans="1:17" x14ac:dyDescent="0.2">
      <c r="A1040" s="10">
        <v>1701</v>
      </c>
      <c r="B1040" s="10" t="s">
        <v>74</v>
      </c>
      <c r="C1040" s="9" t="s">
        <v>2432</v>
      </c>
      <c r="D1040" s="10">
        <v>-1.0427376E-2</v>
      </c>
      <c r="E1040" s="10">
        <v>-0.56984287700000003</v>
      </c>
      <c r="F1040" s="10">
        <v>-0.78734011000000004</v>
      </c>
      <c r="G1040" s="10">
        <v>-3.5356696999999999E-2</v>
      </c>
      <c r="H1040" s="9">
        <v>-0.35074176499999998</v>
      </c>
      <c r="I1040" s="10">
        <v>0.38897516485168299</v>
      </c>
      <c r="J1040" s="10">
        <v>0.15130167887139401</v>
      </c>
      <c r="K1040" s="10">
        <v>-0.60313057000000003</v>
      </c>
      <c r="L1040" s="10">
        <v>-9.3846651000000003E-2</v>
      </c>
      <c r="M1040" s="10">
        <v>-0.37757636300000003</v>
      </c>
      <c r="N1040" s="10">
        <v>-0.263202932</v>
      </c>
      <c r="O1040" s="9">
        <v>-0.334439129</v>
      </c>
      <c r="P1040" s="10">
        <v>0.21370949725973801</v>
      </c>
      <c r="Q1040" s="10">
        <v>4.5671749219010099E-2</v>
      </c>
    </row>
    <row r="1041" spans="1:17" x14ac:dyDescent="0.2">
      <c r="A1041" s="10">
        <v>1702</v>
      </c>
      <c r="B1041" s="10" t="s">
        <v>2834</v>
      </c>
      <c r="C1041" s="9" t="s">
        <v>962</v>
      </c>
      <c r="D1041" s="10">
        <v>-5.4861335999999997E-2</v>
      </c>
      <c r="E1041" s="10">
        <v>-1.3046591919999999</v>
      </c>
      <c r="F1041" s="10">
        <v>0.29534573600000003</v>
      </c>
      <c r="G1041" s="10">
        <v>-6.5721738739999997</v>
      </c>
      <c r="H1041" s="9">
        <v>-1.90908716675</v>
      </c>
      <c r="I1041" s="10">
        <v>3.18367652618474</v>
      </c>
      <c r="J1041" s="10">
        <v>10.1357962233797</v>
      </c>
      <c r="K1041" s="10">
        <v>-0.64118465400000002</v>
      </c>
      <c r="L1041" s="10">
        <v>0.22391789000000001</v>
      </c>
      <c r="M1041" s="10">
        <v>-1.405056605</v>
      </c>
      <c r="N1041" s="10">
        <v>-0.54700966399999995</v>
      </c>
      <c r="O1041" s="9">
        <v>-0.59233325825000005</v>
      </c>
      <c r="P1041" s="10">
        <v>0.66613959058504302</v>
      </c>
      <c r="Q1041" s="10">
        <v>0.44374195414480799</v>
      </c>
    </row>
    <row r="1042" spans="1:17" x14ac:dyDescent="0.2">
      <c r="A1042" s="10">
        <v>1702</v>
      </c>
      <c r="B1042" s="10" t="s">
        <v>2825</v>
      </c>
      <c r="C1042" s="9" t="s">
        <v>963</v>
      </c>
      <c r="D1042" s="10">
        <v>-1.2794344470000001</v>
      </c>
      <c r="E1042" s="10">
        <v>-1.562364182</v>
      </c>
      <c r="F1042" s="10">
        <v>-0.56579819399999998</v>
      </c>
      <c r="G1042" s="10">
        <v>-1.9680499119999999</v>
      </c>
      <c r="H1042" s="9">
        <v>-1.34391168375</v>
      </c>
      <c r="I1042" s="10">
        <v>0.59073060384142195</v>
      </c>
      <c r="J1042" s="10">
        <v>0.34896264631485102</v>
      </c>
      <c r="K1042" s="10">
        <v>0.47469518599999999</v>
      </c>
      <c r="L1042" s="10">
        <v>-0.67682470800000005</v>
      </c>
      <c r="M1042" s="10">
        <v>9.030117E-2</v>
      </c>
      <c r="N1042" s="10">
        <v>-0.81458388999999998</v>
      </c>
      <c r="O1042" s="9">
        <v>-0.23160306050000001</v>
      </c>
      <c r="P1042" s="10">
        <v>0.61659508852782097</v>
      </c>
      <c r="Q1042" s="10">
        <v>0.38018950319663097</v>
      </c>
    </row>
    <row r="1043" spans="1:17" x14ac:dyDescent="0.2">
      <c r="A1043" s="10">
        <v>1703</v>
      </c>
      <c r="B1043" s="10" t="s">
        <v>2822</v>
      </c>
      <c r="C1043" s="9" t="s">
        <v>964</v>
      </c>
      <c r="D1043" s="10">
        <v>-1.947066062</v>
      </c>
      <c r="E1043" s="10">
        <v>-1.809707135</v>
      </c>
      <c r="F1043" s="10">
        <v>-2.724251245</v>
      </c>
      <c r="G1043" s="10">
        <v>-1.7471384619999999</v>
      </c>
      <c r="H1043" s="9">
        <v>-2.0570407257499999</v>
      </c>
      <c r="I1043" s="10">
        <v>0.452576926004645</v>
      </c>
      <c r="J1043" s="10">
        <v>0.20482587395181401</v>
      </c>
      <c r="K1043" s="10">
        <v>-0.31881109000000002</v>
      </c>
      <c r="L1043" s="10">
        <v>-4.9857299999999998E-3</v>
      </c>
      <c r="M1043" s="10">
        <v>-0.176761208</v>
      </c>
      <c r="N1043" s="10">
        <v>-1.0672363170000001</v>
      </c>
      <c r="O1043" s="9">
        <v>-0.39194858599999999</v>
      </c>
      <c r="P1043" s="10">
        <v>0.46811981106495498</v>
      </c>
      <c r="Q1043" s="10">
        <v>0.21913615751148999</v>
      </c>
    </row>
    <row r="1044" spans="1:17" x14ac:dyDescent="0.2">
      <c r="A1044" s="10">
        <v>1703</v>
      </c>
      <c r="B1044" s="10" t="s">
        <v>2824</v>
      </c>
      <c r="C1044" s="9" t="s">
        <v>965</v>
      </c>
      <c r="D1044" s="10">
        <v>-1.5081031410000001</v>
      </c>
      <c r="E1044" s="10">
        <v>-1.154288287</v>
      </c>
      <c r="F1044" s="10">
        <v>-2.44217314</v>
      </c>
      <c r="G1044" s="10">
        <v>-6.1446367119999996</v>
      </c>
      <c r="H1044" s="9">
        <v>-2.8123003199999999</v>
      </c>
      <c r="I1044" s="10">
        <v>2.2870209255788501</v>
      </c>
      <c r="J1044" s="10">
        <v>5.2304647140355502</v>
      </c>
      <c r="K1044" s="10">
        <v>-3.1678485999999999E-2</v>
      </c>
      <c r="L1044" s="10">
        <v>-3.7057649999999998E-2</v>
      </c>
      <c r="M1044" s="10">
        <v>-1.184168898</v>
      </c>
      <c r="N1044" s="10">
        <v>-0.27834540099999999</v>
      </c>
      <c r="O1044" s="9">
        <v>-0.38281260875000001</v>
      </c>
      <c r="P1044" s="10">
        <v>0.54648176653792602</v>
      </c>
      <c r="Q1044" s="10">
        <v>0.29864232115841199</v>
      </c>
    </row>
    <row r="1045" spans="1:17" x14ac:dyDescent="0.2">
      <c r="A1045" s="10">
        <v>1703</v>
      </c>
      <c r="B1045" s="10" t="s">
        <v>2814</v>
      </c>
      <c r="C1045" s="9" t="s">
        <v>966</v>
      </c>
      <c r="D1045" s="10">
        <v>-0.79418677299999996</v>
      </c>
      <c r="E1045" s="10">
        <v>-2.379703739</v>
      </c>
      <c r="F1045" s="10">
        <v>-1.1746269229999999</v>
      </c>
      <c r="G1045" s="10">
        <v>-1.183628213</v>
      </c>
      <c r="H1045" s="9">
        <v>-1.383036412</v>
      </c>
      <c r="I1045" s="10">
        <v>0.68878826039971996</v>
      </c>
      <c r="J1045" s="10">
        <v>0.47442926766447302</v>
      </c>
      <c r="K1045" s="10">
        <v>8.3123787000000005E-2</v>
      </c>
      <c r="L1045" s="10">
        <v>-1.0188544799999999</v>
      </c>
      <c r="M1045" s="10">
        <v>-1.1450072520000001</v>
      </c>
      <c r="N1045" s="10">
        <v>-1.6338242599999999</v>
      </c>
      <c r="O1045" s="9">
        <v>-0.92864055125</v>
      </c>
      <c r="P1045" s="10">
        <v>0.72477680274109502</v>
      </c>
      <c r="Q1045" s="10">
        <v>0.525301413791605</v>
      </c>
    </row>
    <row r="1046" spans="1:17" x14ac:dyDescent="0.2">
      <c r="A1046" s="10">
        <v>1703</v>
      </c>
      <c r="B1046" s="10" t="s">
        <v>2833</v>
      </c>
      <c r="C1046" s="9" t="s">
        <v>967</v>
      </c>
      <c r="D1046" s="10">
        <v>-4.7539703270000002</v>
      </c>
      <c r="E1046" s="10">
        <v>-1.710307086</v>
      </c>
      <c r="F1046" s="10">
        <v>-2.6878594210000002</v>
      </c>
      <c r="G1046" s="10">
        <v>-1.5042284509999999</v>
      </c>
      <c r="H1046" s="9">
        <v>-2.6640913199999998</v>
      </c>
      <c r="I1046" s="10">
        <v>1.4858381951428701</v>
      </c>
      <c r="J1046" s="10">
        <v>2.2077151421454402</v>
      </c>
      <c r="K1046" s="10">
        <v>0.47585666900000001</v>
      </c>
      <c r="L1046" s="10">
        <v>-0.61757677700000002</v>
      </c>
      <c r="M1046" s="10">
        <v>0.41318434599999998</v>
      </c>
      <c r="N1046" s="10">
        <v>-3.5888771999999999E-2</v>
      </c>
      <c r="O1046" s="9">
        <v>5.8893866500000003E-2</v>
      </c>
      <c r="P1046" s="10">
        <v>0.505297273101461</v>
      </c>
      <c r="Q1046" s="10">
        <v>0.25532533420377301</v>
      </c>
    </row>
    <row r="1047" spans="1:17" x14ac:dyDescent="0.2">
      <c r="A1047" s="10">
        <v>1703</v>
      </c>
      <c r="B1047" s="10" t="s">
        <v>2825</v>
      </c>
      <c r="C1047" s="9" t="s">
        <v>2431</v>
      </c>
      <c r="D1047" s="10">
        <v>-1.7628181940000001</v>
      </c>
      <c r="E1047" s="10">
        <v>-0.13883970100000001</v>
      </c>
      <c r="F1047" s="10">
        <v>-2.7033805289999999</v>
      </c>
      <c r="G1047" s="10">
        <v>-1.7333160999999999</v>
      </c>
      <c r="H1047" s="9">
        <v>-1.5845886312499999</v>
      </c>
      <c r="I1047" s="10">
        <v>1.0639190001732399</v>
      </c>
      <c r="J1047" s="10">
        <v>1.1319236389296301</v>
      </c>
      <c r="K1047" s="10">
        <v>-0.290222961</v>
      </c>
      <c r="L1047" s="10">
        <v>-0.26687335899999998</v>
      </c>
      <c r="M1047" s="10">
        <v>0.172228362</v>
      </c>
      <c r="N1047" s="10">
        <v>0.46235140899999999</v>
      </c>
      <c r="O1047" s="9">
        <v>1.9370862999999999E-2</v>
      </c>
      <c r="P1047" s="10">
        <v>0.36395112749851499</v>
      </c>
      <c r="Q1047" s="10">
        <v>0.13246042320744</v>
      </c>
    </row>
    <row r="1048" spans="1:17" x14ac:dyDescent="0.2">
      <c r="A1048" s="10">
        <v>1703</v>
      </c>
      <c r="B1048" s="10" t="s">
        <v>74</v>
      </c>
      <c r="C1048" s="9" t="s">
        <v>2430</v>
      </c>
      <c r="D1048" s="10">
        <v>-1.819168363</v>
      </c>
      <c r="E1048" s="10">
        <v>-1.3692795790000001</v>
      </c>
      <c r="F1048" s="10">
        <v>-2.098908642</v>
      </c>
      <c r="G1048" s="10">
        <v>-2.094151305</v>
      </c>
      <c r="H1048" s="9">
        <v>-1.84537697225</v>
      </c>
      <c r="I1048" s="10">
        <v>0.34327957277788101</v>
      </c>
      <c r="J1048" s="10">
        <v>0.11784086508656499</v>
      </c>
      <c r="K1048" s="10">
        <v>4.4014010000000001E-3</v>
      </c>
      <c r="L1048" s="10">
        <v>-3.1958223000000001E-2</v>
      </c>
      <c r="M1048" s="10">
        <v>0.81159145200000005</v>
      </c>
      <c r="N1048" s="10">
        <v>0.89608714</v>
      </c>
      <c r="O1048" s="9">
        <v>0.42003044275000001</v>
      </c>
      <c r="P1048" s="10">
        <v>0.50232501340398605</v>
      </c>
      <c r="Q1048" s="10">
        <v>0.25233041909131498</v>
      </c>
    </row>
    <row r="1049" spans="1:17" x14ac:dyDescent="0.2">
      <c r="A1049" s="10">
        <v>1704</v>
      </c>
      <c r="B1049" s="10" t="s">
        <v>2831</v>
      </c>
      <c r="C1049" s="9" t="s">
        <v>968</v>
      </c>
      <c r="D1049" s="10">
        <v>-1.953900768</v>
      </c>
      <c r="E1049" s="10">
        <v>-1.2563637700000001</v>
      </c>
      <c r="F1049" s="10">
        <v>-2.022414495</v>
      </c>
      <c r="G1049" s="10">
        <v>-1.320229621</v>
      </c>
      <c r="H1049" s="9">
        <v>-1.6382271635000001</v>
      </c>
      <c r="I1049" s="10">
        <v>0.40587018392358198</v>
      </c>
      <c r="J1049" s="10">
        <v>0.16473060619816199</v>
      </c>
      <c r="K1049" s="10">
        <v>-1.4899901E-2</v>
      </c>
      <c r="L1049" s="10">
        <v>-0.15986061600000001</v>
      </c>
      <c r="M1049" s="10">
        <v>-8.9919287000000001E-2</v>
      </c>
      <c r="N1049" s="10">
        <v>0.108702282</v>
      </c>
      <c r="O1049" s="9">
        <v>-3.8994380500000002E-2</v>
      </c>
      <c r="P1049" s="10">
        <v>0.114886670305987</v>
      </c>
      <c r="Q1049" s="10">
        <v>1.31989470139966E-2</v>
      </c>
    </row>
    <row r="1050" spans="1:17" x14ac:dyDescent="0.2">
      <c r="A1050" s="10">
        <v>1704</v>
      </c>
      <c r="B1050" s="10" t="s">
        <v>2834</v>
      </c>
      <c r="C1050" s="9" t="s">
        <v>969</v>
      </c>
      <c r="D1050" s="10">
        <v>-1.145713983</v>
      </c>
      <c r="E1050" s="10">
        <v>-1.4464566270000001</v>
      </c>
      <c r="F1050" s="10">
        <v>-1.475103273</v>
      </c>
      <c r="G1050" s="10">
        <v>-1.133643425</v>
      </c>
      <c r="H1050" s="9">
        <v>-1.3002293272500001</v>
      </c>
      <c r="I1050" s="10">
        <v>0.18582175557192099</v>
      </c>
      <c r="J1050" s="10">
        <v>3.4529724843830899E-2</v>
      </c>
      <c r="K1050" s="10">
        <v>-0.228032347</v>
      </c>
      <c r="L1050" s="10">
        <v>-0.213944422</v>
      </c>
      <c r="M1050" s="10">
        <v>-8.1952042000000003E-2</v>
      </c>
      <c r="N1050" s="10">
        <v>-3.0258862000000001E-2</v>
      </c>
      <c r="O1050" s="9">
        <v>-0.13854691825000001</v>
      </c>
      <c r="P1050" s="10">
        <v>9.7675839173015797E-2</v>
      </c>
      <c r="Q1050" s="10">
        <v>9.5405695581528005E-3</v>
      </c>
    </row>
    <row r="1051" spans="1:17" x14ac:dyDescent="0.2">
      <c r="A1051" s="10">
        <v>1704</v>
      </c>
      <c r="B1051" s="10" t="s">
        <v>2824</v>
      </c>
      <c r="C1051" s="9" t="s">
        <v>970</v>
      </c>
      <c r="D1051" s="10">
        <v>-0.76812544800000004</v>
      </c>
      <c r="E1051" s="10">
        <v>-1.664930588</v>
      </c>
      <c r="F1051" s="10">
        <v>-1.0736736200000001</v>
      </c>
      <c r="G1051" s="10">
        <v>-1.521180607</v>
      </c>
      <c r="H1051" s="9">
        <v>-1.2569775654999999</v>
      </c>
      <c r="I1051" s="10">
        <v>0.41182749014801301</v>
      </c>
      <c r="J1051" s="10">
        <v>0.169601881641612</v>
      </c>
      <c r="K1051" s="10">
        <v>0.77479566600000005</v>
      </c>
      <c r="L1051" s="10">
        <v>-4.9452897000000003E-2</v>
      </c>
      <c r="M1051" s="10">
        <v>-0.159482086</v>
      </c>
      <c r="N1051" s="10">
        <v>-7.6818586999999994E-2</v>
      </c>
      <c r="O1051" s="9">
        <v>0.122260524</v>
      </c>
      <c r="P1051" s="10">
        <v>0.43753057082625502</v>
      </c>
      <c r="Q1051" s="10">
        <v>0.19143300040754799</v>
      </c>
    </row>
    <row r="1052" spans="1:17" x14ac:dyDescent="0.2">
      <c r="A1052" s="10">
        <v>1704</v>
      </c>
      <c r="B1052" s="10" t="s">
        <v>2817</v>
      </c>
      <c r="C1052" s="9" t="s">
        <v>971</v>
      </c>
      <c r="D1052" s="10">
        <v>-1.157121362</v>
      </c>
      <c r="E1052" s="10">
        <v>-0.74917750999999999</v>
      </c>
      <c r="F1052" s="10">
        <v>-1.711170324</v>
      </c>
      <c r="G1052" s="10">
        <v>-1.1113362499999999</v>
      </c>
      <c r="H1052" s="9">
        <v>-1.1822013615</v>
      </c>
      <c r="I1052" s="10">
        <v>0.39705947902845601</v>
      </c>
      <c r="J1052" s="10">
        <v>0.157656229886349</v>
      </c>
      <c r="K1052" s="10">
        <v>0.280884513</v>
      </c>
      <c r="L1052" s="10">
        <v>-0.224235291</v>
      </c>
      <c r="M1052" s="10">
        <v>-2.3091202000000002E-2</v>
      </c>
      <c r="N1052" s="10">
        <v>-1.3627069E-2</v>
      </c>
      <c r="O1052" s="9">
        <v>4.9827374999999998E-3</v>
      </c>
      <c r="P1052" s="10">
        <v>0.208004138813387</v>
      </c>
      <c r="Q1052" s="10">
        <v>4.3265721763498702E-2</v>
      </c>
    </row>
    <row r="1053" spans="1:17" x14ac:dyDescent="0.2">
      <c r="A1053" s="10">
        <v>1704</v>
      </c>
      <c r="B1053" s="10" t="s">
        <v>82</v>
      </c>
      <c r="C1053" s="9" t="s">
        <v>2429</v>
      </c>
      <c r="D1053" s="10">
        <v>-1.0567043759999999</v>
      </c>
      <c r="E1053" s="10">
        <v>-1.7599494</v>
      </c>
      <c r="F1053" s="10">
        <v>-1.2376234960000001</v>
      </c>
      <c r="G1053" s="10">
        <v>-0.96228168599999997</v>
      </c>
      <c r="H1053" s="9">
        <v>-1.2541397395</v>
      </c>
      <c r="I1053" s="10">
        <v>0.35603279114320402</v>
      </c>
      <c r="J1053" s="10">
        <v>0.12675934836922001</v>
      </c>
      <c r="K1053" s="10">
        <v>-5.0562040000000003E-2</v>
      </c>
      <c r="L1053" s="10">
        <v>0.17789646200000001</v>
      </c>
      <c r="M1053" s="10">
        <v>-0.521001991</v>
      </c>
      <c r="N1053" s="10">
        <v>-1.438972986</v>
      </c>
      <c r="O1053" s="9">
        <v>-0.45816013875</v>
      </c>
      <c r="P1053" s="10">
        <v>0.71569247334012598</v>
      </c>
      <c r="Q1053" s="10">
        <v>0.51221571639570695</v>
      </c>
    </row>
    <row r="1054" spans="1:17" x14ac:dyDescent="0.2">
      <c r="A1054" s="10">
        <v>1704</v>
      </c>
      <c r="B1054" s="10" t="s">
        <v>2814</v>
      </c>
      <c r="C1054" s="9" t="s">
        <v>2428</v>
      </c>
      <c r="D1054" s="10">
        <v>-1.3566570710000001</v>
      </c>
      <c r="E1054" s="10">
        <v>-1.6827103050000001</v>
      </c>
      <c r="F1054" s="10">
        <v>-1.780984954</v>
      </c>
      <c r="G1054" s="10">
        <v>-1.336379</v>
      </c>
      <c r="H1054" s="9">
        <v>-1.5391828322500001</v>
      </c>
      <c r="I1054" s="10">
        <v>0.226210410467763</v>
      </c>
      <c r="J1054" s="10">
        <v>5.1171149803993898E-2</v>
      </c>
      <c r="K1054" s="10">
        <v>-8.3865057000000007E-2</v>
      </c>
      <c r="L1054" s="10">
        <v>-0.54449166100000002</v>
      </c>
      <c r="M1054" s="10">
        <v>1.150704001</v>
      </c>
      <c r="N1054" s="10">
        <v>5.4367166000000001E-2</v>
      </c>
      <c r="O1054" s="9">
        <v>0.14417861200000001</v>
      </c>
      <c r="P1054" s="10">
        <v>0.71819916328250899</v>
      </c>
      <c r="Q1054" s="10">
        <v>0.51581003813969595</v>
      </c>
    </row>
    <row r="1055" spans="1:17" x14ac:dyDescent="0.2">
      <c r="A1055" s="10">
        <v>1704</v>
      </c>
      <c r="B1055" s="10" t="s">
        <v>2825</v>
      </c>
      <c r="C1055" s="9" t="s">
        <v>972</v>
      </c>
      <c r="D1055" s="10">
        <v>-0.69292129199999997</v>
      </c>
      <c r="E1055" s="10">
        <v>-1.1837075319999999</v>
      </c>
      <c r="F1055" s="10">
        <v>-1.931904579</v>
      </c>
      <c r="G1055" s="10">
        <v>-1.278841176</v>
      </c>
      <c r="H1055" s="9">
        <v>-1.2718436447499999</v>
      </c>
      <c r="I1055" s="10">
        <v>0.50945999753034299</v>
      </c>
      <c r="J1055" s="10">
        <v>0.25954948908361702</v>
      </c>
      <c r="K1055" s="10">
        <v>0.10011714200000001</v>
      </c>
      <c r="L1055" s="10">
        <v>-0.48935768899999998</v>
      </c>
      <c r="M1055" s="10">
        <v>-0.448958211</v>
      </c>
      <c r="N1055" s="10">
        <v>-0.32403827600000001</v>
      </c>
      <c r="O1055" s="9">
        <v>-0.29055925849999997</v>
      </c>
      <c r="P1055" s="10">
        <v>0.26979000391833202</v>
      </c>
      <c r="Q1055" s="10">
        <v>7.2786646214254097E-2</v>
      </c>
    </row>
    <row r="1056" spans="1:17" x14ac:dyDescent="0.2">
      <c r="A1056" s="10">
        <v>1704</v>
      </c>
      <c r="B1056" s="10" t="s">
        <v>74</v>
      </c>
      <c r="C1056" s="9" t="s">
        <v>973</v>
      </c>
      <c r="D1056" s="10">
        <v>-1.2448950080000001</v>
      </c>
      <c r="E1056" s="10">
        <v>-1.22353212</v>
      </c>
      <c r="F1056" s="10">
        <v>-1.8923265869999999</v>
      </c>
      <c r="G1056" s="10">
        <v>-1.5040763450000001</v>
      </c>
      <c r="H1056" s="9">
        <v>-1.466207515</v>
      </c>
      <c r="I1056" s="10">
        <v>0.31138512322671003</v>
      </c>
      <c r="J1056" s="10">
        <v>9.6960694966913605E-2</v>
      </c>
      <c r="K1056" s="10">
        <v>-0.23401497700000001</v>
      </c>
      <c r="L1056" s="10">
        <v>-0.59765197699999995</v>
      </c>
      <c r="M1056" s="10">
        <v>-0.416355323</v>
      </c>
      <c r="N1056" s="10">
        <v>-0.54745411600000005</v>
      </c>
      <c r="O1056" s="9">
        <v>-0.44886909824999999</v>
      </c>
      <c r="P1056" s="10">
        <v>0.16235228130316101</v>
      </c>
      <c r="Q1056" s="10">
        <v>2.63582632443407E-2</v>
      </c>
    </row>
    <row r="1057" spans="1:17" x14ac:dyDescent="0.2">
      <c r="A1057" s="10">
        <v>1704</v>
      </c>
      <c r="B1057" s="10" t="s">
        <v>2818</v>
      </c>
      <c r="C1057" s="9" t="s">
        <v>974</v>
      </c>
      <c r="D1057" s="10">
        <v>-1.3853722429999999</v>
      </c>
      <c r="E1057" s="10">
        <v>-1.0703804299999999</v>
      </c>
      <c r="F1057" s="10">
        <v>-1.1624072919999999</v>
      </c>
      <c r="G1057" s="10">
        <v>-1.548554819</v>
      </c>
      <c r="H1057" s="9">
        <v>-1.29167869625</v>
      </c>
      <c r="I1057" s="10">
        <v>0.21636993147823599</v>
      </c>
      <c r="J1057" s="10">
        <v>4.68159472478967E-2</v>
      </c>
      <c r="K1057" s="10">
        <v>0.42450353400000002</v>
      </c>
      <c r="L1057" s="10">
        <v>-7.1785521000000005E-2</v>
      </c>
      <c r="M1057" s="10">
        <v>-8.1395556999999993E-2</v>
      </c>
      <c r="N1057" s="10">
        <v>0.19546034800000001</v>
      </c>
      <c r="O1057" s="9">
        <v>0.11669570075000001</v>
      </c>
      <c r="P1057" s="10">
        <v>0.24201573586292899</v>
      </c>
      <c r="Q1057" s="10">
        <v>5.8571616405275397E-2</v>
      </c>
    </row>
    <row r="1058" spans="1:17" x14ac:dyDescent="0.2">
      <c r="A1058" s="10">
        <v>1704</v>
      </c>
      <c r="B1058" s="10" t="s">
        <v>2832</v>
      </c>
      <c r="C1058" s="9" t="s">
        <v>975</v>
      </c>
      <c r="D1058" s="10">
        <v>-1.4313469510000001</v>
      </c>
      <c r="E1058" s="10">
        <v>-1.1190281900000001</v>
      </c>
      <c r="F1058" s="10">
        <v>-1.5750828809999999</v>
      </c>
      <c r="G1058" s="10">
        <v>-1.3320495939999999</v>
      </c>
      <c r="H1058" s="9">
        <v>-1.36437690425</v>
      </c>
      <c r="I1058" s="10">
        <v>0.191592486258374</v>
      </c>
      <c r="J1058" s="10">
        <v>3.6707680790665498E-2</v>
      </c>
      <c r="K1058" s="10">
        <v>-0.114488322</v>
      </c>
      <c r="L1058" s="10">
        <v>-0.35426074600000002</v>
      </c>
      <c r="M1058" s="10">
        <v>2.5626394E-2</v>
      </c>
      <c r="N1058" s="10">
        <v>8.3300993000000004E-2</v>
      </c>
      <c r="O1058" s="9">
        <v>-8.9955420250000001E-2</v>
      </c>
      <c r="P1058" s="10">
        <v>0.194795712654449</v>
      </c>
      <c r="Q1058" s="10">
        <v>3.7945369668555003E-2</v>
      </c>
    </row>
    <row r="1059" spans="1:17" x14ac:dyDescent="0.2">
      <c r="A1059" s="10">
        <v>1705</v>
      </c>
      <c r="B1059" s="10" t="s">
        <v>2822</v>
      </c>
      <c r="C1059" s="9" t="s">
        <v>2427</v>
      </c>
      <c r="D1059" s="10">
        <v>-0.30181475099999999</v>
      </c>
      <c r="E1059" s="10">
        <v>-0.45354350599999999</v>
      </c>
      <c r="F1059" s="10">
        <v>-3.6417033000000001E-2</v>
      </c>
      <c r="G1059" s="10">
        <v>-2.35432E-3</v>
      </c>
      <c r="H1059" s="9">
        <v>-0.19853240250000001</v>
      </c>
      <c r="I1059" s="10">
        <v>0.21638325528366001</v>
      </c>
      <c r="J1059" s="10">
        <v>4.6821713167153799E-2</v>
      </c>
      <c r="K1059" s="10">
        <v>-3.0667198999999999E-2</v>
      </c>
      <c r="L1059" s="10">
        <v>-8.1599426000000003E-2</v>
      </c>
      <c r="M1059" s="10">
        <v>0.15037156900000001</v>
      </c>
      <c r="N1059" s="10">
        <v>0.78943678299999998</v>
      </c>
      <c r="O1059" s="9">
        <v>0.20688543174999999</v>
      </c>
      <c r="P1059" s="10">
        <v>0.40092171266279603</v>
      </c>
      <c r="Q1059" s="10">
        <v>0.16073821968447</v>
      </c>
    </row>
    <row r="1060" spans="1:17" x14ac:dyDescent="0.2">
      <c r="A1060" s="10">
        <v>1705</v>
      </c>
      <c r="B1060" s="10" t="s">
        <v>96</v>
      </c>
      <c r="C1060" s="9" t="s">
        <v>2426</v>
      </c>
      <c r="D1060" s="10">
        <v>0.49387177900000001</v>
      </c>
      <c r="E1060" s="10">
        <v>1.415811645</v>
      </c>
      <c r="F1060" s="10">
        <v>0.35574641600000001</v>
      </c>
      <c r="G1060" s="10">
        <v>0.31042632599999997</v>
      </c>
      <c r="H1060" s="9">
        <v>0.64396404149999997</v>
      </c>
      <c r="I1060" s="10">
        <v>0.52044635253497495</v>
      </c>
      <c r="J1060" s="10">
        <v>0.27086440586695898</v>
      </c>
      <c r="K1060" s="10">
        <v>-3.1645288000000001E-2</v>
      </c>
      <c r="L1060" s="10">
        <v>-0.63136063799999997</v>
      </c>
      <c r="M1060" s="10">
        <v>0.20154160199999999</v>
      </c>
      <c r="N1060" s="10">
        <v>0.90162569299999995</v>
      </c>
      <c r="O1060" s="9">
        <v>0.110040342</v>
      </c>
      <c r="P1060" s="10">
        <v>0.63370079148675995</v>
      </c>
      <c r="Q1060" s="10">
        <v>0.40157669313094502</v>
      </c>
    </row>
    <row r="1061" spans="1:17" x14ac:dyDescent="0.2">
      <c r="A1061" s="10">
        <v>1705</v>
      </c>
      <c r="B1061" s="10" t="s">
        <v>2819</v>
      </c>
      <c r="C1061" s="9" t="s">
        <v>976</v>
      </c>
      <c r="D1061" s="10">
        <v>-0.82970437799999996</v>
      </c>
      <c r="E1061" s="10">
        <v>-0.57414329500000005</v>
      </c>
      <c r="F1061" s="10">
        <v>-1.121235878</v>
      </c>
      <c r="G1061" s="10">
        <v>-0.91486097300000002</v>
      </c>
      <c r="H1061" s="9">
        <v>-0.85998613074999997</v>
      </c>
      <c r="I1061" s="10">
        <v>0.22648457640596201</v>
      </c>
      <c r="J1061" s="10">
        <v>5.1295263349788199E-2</v>
      </c>
      <c r="K1061" s="10">
        <v>-0.11827056</v>
      </c>
      <c r="L1061" s="10">
        <v>7.3275698E-2</v>
      </c>
      <c r="M1061" s="10">
        <v>-0.13076532699999999</v>
      </c>
      <c r="N1061" s="10">
        <v>-0.25213135599999997</v>
      </c>
      <c r="O1061" s="9">
        <v>-0.10697288625</v>
      </c>
      <c r="P1061" s="10">
        <v>0.13447955375359</v>
      </c>
      <c r="Q1061" s="10">
        <v>1.8084750377764899E-2</v>
      </c>
    </row>
    <row r="1062" spans="1:17" x14ac:dyDescent="0.2">
      <c r="A1062" s="10">
        <v>1705</v>
      </c>
      <c r="B1062" s="10" t="s">
        <v>2834</v>
      </c>
      <c r="C1062" s="9" t="s">
        <v>977</v>
      </c>
      <c r="D1062" s="10">
        <v>-0.30070384100000003</v>
      </c>
      <c r="E1062" s="10">
        <v>0.46043652200000001</v>
      </c>
      <c r="F1062" s="10">
        <v>-0.68235494299999999</v>
      </c>
      <c r="G1062" s="10">
        <v>-0.18257841799999999</v>
      </c>
      <c r="H1062" s="9">
        <v>-0.17630017000000001</v>
      </c>
      <c r="I1062" s="10">
        <v>0.47505815011477198</v>
      </c>
      <c r="J1062" s="10">
        <v>0.22568024599047001</v>
      </c>
      <c r="K1062" s="10">
        <v>0.49115761899999999</v>
      </c>
      <c r="L1062" s="10">
        <v>4.6095294000000002E-2</v>
      </c>
      <c r="M1062" s="10">
        <v>-0.22812987700000001</v>
      </c>
      <c r="N1062" s="10">
        <v>8.5311271999999994E-2</v>
      </c>
      <c r="O1062" s="9">
        <v>9.8608577000000003E-2</v>
      </c>
      <c r="P1062" s="10">
        <v>0.29652837464517501</v>
      </c>
      <c r="Q1062" s="10">
        <v>8.7929076969709599E-2</v>
      </c>
    </row>
    <row r="1063" spans="1:17" x14ac:dyDescent="0.2">
      <c r="A1063" s="10">
        <v>1705</v>
      </c>
      <c r="B1063" s="10" t="s">
        <v>79</v>
      </c>
      <c r="C1063" s="9" t="s">
        <v>978</v>
      </c>
      <c r="D1063" s="10">
        <v>0.17912143999999999</v>
      </c>
      <c r="E1063" s="10">
        <v>-0.46089067299999997</v>
      </c>
      <c r="F1063" s="10">
        <v>0.25313617900000002</v>
      </c>
      <c r="G1063" s="10">
        <v>0.401419731</v>
      </c>
      <c r="H1063" s="9">
        <v>9.3196669250000003E-2</v>
      </c>
      <c r="I1063" s="10">
        <v>0.38077900486753102</v>
      </c>
      <c r="J1063" s="10">
        <v>0.144992650547907</v>
      </c>
      <c r="K1063" s="10">
        <v>0.31656014199999999</v>
      </c>
      <c r="L1063" s="10">
        <v>3.6886463000000001E-2</v>
      </c>
      <c r="M1063" s="10">
        <v>-5.1753427999999997E-2</v>
      </c>
      <c r="N1063" s="10">
        <v>0.45928593299999998</v>
      </c>
      <c r="O1063" s="9">
        <v>0.19024477749999999</v>
      </c>
      <c r="P1063" s="10">
        <v>0.23834192438109</v>
      </c>
      <c r="Q1063" s="10">
        <v>5.68068729176813E-2</v>
      </c>
    </row>
    <row r="1064" spans="1:17" x14ac:dyDescent="0.2">
      <c r="A1064" s="10">
        <v>1705</v>
      </c>
      <c r="B1064" s="10" t="s">
        <v>2820</v>
      </c>
      <c r="C1064" s="9" t="s">
        <v>979</v>
      </c>
      <c r="D1064" s="10">
        <v>-0.19968614900000001</v>
      </c>
      <c r="E1064" s="10">
        <v>-0.69107169800000001</v>
      </c>
      <c r="F1064" s="10">
        <v>-0.69750705300000004</v>
      </c>
      <c r="G1064" s="10">
        <v>-0.48985983399999999</v>
      </c>
      <c r="H1064" s="9">
        <v>-0.51953118350000005</v>
      </c>
      <c r="I1064" s="10">
        <v>0.23401053631169599</v>
      </c>
      <c r="J1064" s="10">
        <v>5.4760931104887597E-2</v>
      </c>
      <c r="K1064" s="10">
        <v>9.1896672999999998E-2</v>
      </c>
      <c r="L1064" s="10">
        <v>-0.36420428799999999</v>
      </c>
      <c r="M1064" s="10">
        <v>0.32342700099999999</v>
      </c>
      <c r="N1064" s="10">
        <v>9.1448191999999998E-2</v>
      </c>
      <c r="O1064" s="9">
        <v>3.56418945E-2</v>
      </c>
      <c r="P1064" s="10">
        <v>0.28808342549094001</v>
      </c>
      <c r="Q1064" s="10">
        <v>8.2992060042594004E-2</v>
      </c>
    </row>
    <row r="1065" spans="1:17" x14ac:dyDescent="0.2">
      <c r="A1065" s="10">
        <v>1705</v>
      </c>
      <c r="B1065" s="10" t="s">
        <v>2825</v>
      </c>
      <c r="C1065" s="9" t="s">
        <v>980</v>
      </c>
      <c r="D1065" s="10">
        <v>-0.69665247500000005</v>
      </c>
      <c r="E1065" s="10">
        <v>-0.52828464200000003</v>
      </c>
      <c r="F1065" s="10">
        <v>-0.70886529499999995</v>
      </c>
      <c r="G1065" s="10">
        <v>-0.38018392499999998</v>
      </c>
      <c r="H1065" s="9">
        <v>-0.57849658400000004</v>
      </c>
      <c r="I1065" s="10">
        <v>0.15578400134466799</v>
      </c>
      <c r="J1065" s="10">
        <v>2.4268655074955601E-2</v>
      </c>
      <c r="K1065" s="10">
        <v>8.3688500000000006E-3</v>
      </c>
      <c r="L1065" s="10">
        <v>-0.22786705600000001</v>
      </c>
      <c r="M1065" s="10">
        <v>-6.4787173000000003E-2</v>
      </c>
      <c r="N1065" s="10">
        <v>-0.24759341400000001</v>
      </c>
      <c r="O1065" s="9">
        <v>-0.13296969850000001</v>
      </c>
      <c r="P1065" s="10">
        <v>0.12485931642072499</v>
      </c>
      <c r="Q1065" s="10">
        <v>1.55898488970509E-2</v>
      </c>
    </row>
    <row r="1066" spans="1:17" x14ac:dyDescent="0.2">
      <c r="A1066" s="10">
        <v>1705</v>
      </c>
      <c r="B1066" s="10" t="s">
        <v>74</v>
      </c>
      <c r="C1066" s="9" t="s">
        <v>2425</v>
      </c>
      <c r="D1066" s="10">
        <v>-0.43901308700000002</v>
      </c>
      <c r="E1066" s="10">
        <v>-0.42858041800000002</v>
      </c>
      <c r="F1066" s="10">
        <v>-0.87694901999999997</v>
      </c>
      <c r="G1066" s="10">
        <v>0.22648315299999999</v>
      </c>
      <c r="H1066" s="9">
        <v>-0.37951484299999999</v>
      </c>
      <c r="I1066" s="10">
        <v>0.454833963585558</v>
      </c>
      <c r="J1066" s="10">
        <v>0.20687393443094901</v>
      </c>
      <c r="K1066" s="10">
        <v>0.37730793099999999</v>
      </c>
      <c r="L1066" s="10">
        <v>-0.13843655199999999</v>
      </c>
      <c r="M1066" s="10">
        <v>-0.59247686899999996</v>
      </c>
      <c r="N1066" s="10">
        <v>1.2065084740000001</v>
      </c>
      <c r="O1066" s="9">
        <v>0.21322574575</v>
      </c>
      <c r="P1066" s="10">
        <v>0.77165549671468703</v>
      </c>
      <c r="Q1066" s="10">
        <v>0.59545220560999101</v>
      </c>
    </row>
    <row r="1067" spans="1:17" x14ac:dyDescent="0.2">
      <c r="A1067" s="10">
        <v>1705</v>
      </c>
      <c r="B1067" s="10" t="s">
        <v>2818</v>
      </c>
      <c r="C1067" s="9" t="s">
        <v>2424</v>
      </c>
      <c r="D1067" s="10">
        <v>-1.338928465</v>
      </c>
      <c r="E1067" s="10">
        <v>-0.67864865399999996</v>
      </c>
      <c r="F1067" s="10">
        <v>-1.452516229</v>
      </c>
      <c r="G1067" s="10">
        <v>-1.007930523</v>
      </c>
      <c r="H1067" s="9">
        <v>-1.1195059679999999</v>
      </c>
      <c r="I1067" s="10">
        <v>0.34921164420985201</v>
      </c>
      <c r="J1067" s="10">
        <v>0.121948772451748</v>
      </c>
      <c r="K1067" s="10">
        <v>-0.28470286700000003</v>
      </c>
      <c r="L1067" s="10">
        <v>-0.468116851</v>
      </c>
      <c r="M1067" s="10">
        <v>-0.54925678899999997</v>
      </c>
      <c r="N1067" s="10">
        <v>0.219764349</v>
      </c>
      <c r="O1067" s="9">
        <v>-0.27057803949999998</v>
      </c>
      <c r="P1067" s="10">
        <v>0.34511765925236998</v>
      </c>
      <c r="Q1067" s="10">
        <v>0.119106198727835</v>
      </c>
    </row>
    <row r="1068" spans="1:17" x14ac:dyDescent="0.2">
      <c r="A1068" s="10">
        <v>1706</v>
      </c>
      <c r="B1068" s="10" t="s">
        <v>2822</v>
      </c>
      <c r="C1068" s="9" t="s">
        <v>30</v>
      </c>
      <c r="D1068" s="10">
        <v>-0.22998739200000001</v>
      </c>
      <c r="E1068" s="10">
        <v>0.33330669499999999</v>
      </c>
      <c r="F1068" s="10">
        <v>-0.12019764400000001</v>
      </c>
      <c r="G1068" s="10">
        <v>0.30160841500000002</v>
      </c>
      <c r="H1068" s="9">
        <v>7.1182518750000007E-2</v>
      </c>
      <c r="I1068" s="10">
        <v>0.28817521248523797</v>
      </c>
      <c r="J1068" s="10">
        <v>8.3044953090912005E-2</v>
      </c>
      <c r="K1068" s="10">
        <v>0.17857840999999999</v>
      </c>
      <c r="L1068" s="10">
        <v>-0.31140744199999998</v>
      </c>
      <c r="M1068" s="10">
        <v>0.19334117300000001</v>
      </c>
      <c r="N1068" s="10">
        <v>-0.73830731999999999</v>
      </c>
      <c r="O1068" s="9">
        <v>-0.16944879474999999</v>
      </c>
      <c r="P1068" s="10">
        <v>0.44590424055126399</v>
      </c>
      <c r="Q1068" s="10">
        <v>0.19883059174159901</v>
      </c>
    </row>
    <row r="1069" spans="1:17" x14ac:dyDescent="0.2">
      <c r="A1069" s="10">
        <v>1706</v>
      </c>
      <c r="B1069" s="10" t="s">
        <v>2823</v>
      </c>
      <c r="C1069" s="9" t="s">
        <v>981</v>
      </c>
      <c r="D1069" s="10">
        <v>-1.7373978510000001</v>
      </c>
      <c r="E1069" s="10">
        <v>-1.274341387</v>
      </c>
      <c r="F1069" s="10">
        <v>-1.932146285</v>
      </c>
      <c r="G1069" s="10">
        <v>-1.285078363</v>
      </c>
      <c r="H1069" s="9">
        <v>-1.5572409712499999</v>
      </c>
      <c r="I1069" s="10">
        <v>0.33020960802572402</v>
      </c>
      <c r="J1069" s="10">
        <v>0.10903838523250201</v>
      </c>
      <c r="K1069" s="10">
        <v>-0.293839244</v>
      </c>
      <c r="L1069" s="10">
        <v>-0.77654850399999997</v>
      </c>
      <c r="M1069" s="10">
        <v>-0.34527111799999999</v>
      </c>
      <c r="N1069" s="10">
        <v>-5.3782875000000001E-2</v>
      </c>
      <c r="O1069" s="9">
        <v>-0.36736043525000001</v>
      </c>
      <c r="P1069" s="10">
        <v>0.300920291438938</v>
      </c>
      <c r="Q1069" s="10">
        <v>9.0553021799695696E-2</v>
      </c>
    </row>
    <row r="1070" spans="1:17" x14ac:dyDescent="0.2">
      <c r="A1070" s="10">
        <v>1706</v>
      </c>
      <c r="B1070" s="10" t="s">
        <v>2834</v>
      </c>
      <c r="C1070" s="9" t="s">
        <v>2423</v>
      </c>
      <c r="D1070" s="10">
        <v>-1.5591213669999999</v>
      </c>
      <c r="E1070" s="10">
        <v>-0.87501500799999998</v>
      </c>
      <c r="F1070" s="10">
        <v>-1.736487474</v>
      </c>
      <c r="G1070" s="10">
        <v>-3.5925394960000001</v>
      </c>
      <c r="H1070" s="9">
        <v>-1.9407908362499999</v>
      </c>
      <c r="I1070" s="10">
        <v>1.16211921342751</v>
      </c>
      <c r="J1070" s="10">
        <v>1.3505210662173699</v>
      </c>
      <c r="K1070" s="10">
        <v>0.30303506600000002</v>
      </c>
      <c r="L1070" s="10">
        <v>0.111031226</v>
      </c>
      <c r="M1070" s="10">
        <v>-1.8254599999999999E-2</v>
      </c>
      <c r="N1070" s="10">
        <v>-0.74134490900000005</v>
      </c>
      <c r="O1070" s="9">
        <v>-8.6383304499999994E-2</v>
      </c>
      <c r="P1070" s="10">
        <v>0.45615618227440202</v>
      </c>
      <c r="Q1070" s="10">
        <v>0.20807846262715701</v>
      </c>
    </row>
    <row r="1071" spans="1:17" x14ac:dyDescent="0.2">
      <c r="A1071" s="10">
        <v>1706</v>
      </c>
      <c r="B1071" s="10" t="s">
        <v>2824</v>
      </c>
      <c r="C1071" s="9" t="s">
        <v>2422</v>
      </c>
      <c r="D1071" s="10">
        <v>-4.8756271509999998</v>
      </c>
      <c r="E1071" s="10">
        <v>-0.47670377800000002</v>
      </c>
      <c r="F1071" s="10">
        <v>-1.2465614330000001</v>
      </c>
      <c r="G1071" s="10">
        <v>3.4124795999999999E-2</v>
      </c>
      <c r="H1071" s="9">
        <v>-1.6411918915000001</v>
      </c>
      <c r="I1071" s="10">
        <v>2.21961131856995</v>
      </c>
      <c r="J1071" s="10">
        <v>4.9266744055238298</v>
      </c>
      <c r="K1071" s="10">
        <v>-1.4157052139999999</v>
      </c>
      <c r="L1071" s="10">
        <v>-3.7279192659999998</v>
      </c>
      <c r="M1071" s="10">
        <v>-0.87076761199999997</v>
      </c>
      <c r="N1071" s="10">
        <v>0.49387534100000002</v>
      </c>
      <c r="O1071" s="9">
        <v>-1.380129188</v>
      </c>
      <c r="P1071" s="10">
        <v>1.75923525940477</v>
      </c>
      <c r="Q1071" s="10">
        <v>3.0949086979329699</v>
      </c>
    </row>
    <row r="1072" spans="1:17" x14ac:dyDescent="0.2">
      <c r="A1072" s="10">
        <v>1706</v>
      </c>
      <c r="B1072" s="10" t="s">
        <v>2814</v>
      </c>
      <c r="C1072" s="9" t="s">
        <v>2421</v>
      </c>
      <c r="D1072" s="10">
        <v>-1.6139648470000001</v>
      </c>
      <c r="E1072" s="10">
        <v>-1.2818682130000001</v>
      </c>
      <c r="F1072" s="10">
        <v>-1.0684369929999999</v>
      </c>
      <c r="G1072" s="10">
        <v>-1.3545955409999999</v>
      </c>
      <c r="H1072" s="9">
        <v>-1.3297163985</v>
      </c>
      <c r="I1072" s="10">
        <v>0.22507223196140699</v>
      </c>
      <c r="J1072" s="10">
        <v>5.0657509600089398E-2</v>
      </c>
      <c r="K1072" s="10">
        <v>-0.66464829800000003</v>
      </c>
      <c r="L1072" s="10">
        <v>0.157659309</v>
      </c>
      <c r="M1072" s="10">
        <v>-0.25854018299999998</v>
      </c>
      <c r="N1072" s="10">
        <v>5.7139479999999999E-3</v>
      </c>
      <c r="O1072" s="9">
        <v>-0.18995380575000001</v>
      </c>
      <c r="P1072" s="10">
        <v>0.36016648905773702</v>
      </c>
      <c r="Q1072" s="10">
        <v>0.12971989984017701</v>
      </c>
    </row>
    <row r="1073" spans="1:17" x14ac:dyDescent="0.2">
      <c r="A1073" s="10">
        <v>1706</v>
      </c>
      <c r="B1073" s="10" t="s">
        <v>2825</v>
      </c>
      <c r="C1073" s="9" t="s">
        <v>982</v>
      </c>
      <c r="D1073" s="10">
        <v>-2.5372670300000002</v>
      </c>
      <c r="E1073" s="10">
        <v>-1.748812112</v>
      </c>
      <c r="F1073" s="10">
        <v>-2.1300789999999998</v>
      </c>
      <c r="G1073" s="10">
        <v>-0.93542585499999997</v>
      </c>
      <c r="H1073" s="9">
        <v>-1.8378959992499999</v>
      </c>
      <c r="I1073" s="10">
        <v>0.68236819113285596</v>
      </c>
      <c r="J1073" s="10">
        <v>0.46562634826992599</v>
      </c>
      <c r="K1073" s="10">
        <v>-0.31588359399999999</v>
      </c>
      <c r="L1073" s="10">
        <v>4.5834132E-2</v>
      </c>
      <c r="M1073" s="10">
        <v>-0.24110893999999999</v>
      </c>
      <c r="N1073" s="10">
        <v>-2.6268408E-2</v>
      </c>
      <c r="O1073" s="9">
        <v>-0.13435670224999999</v>
      </c>
      <c r="P1073" s="10">
        <v>0.17175551305526701</v>
      </c>
      <c r="Q1073" s="10">
        <v>2.9499956264878099E-2</v>
      </c>
    </row>
    <row r="1074" spans="1:17" x14ac:dyDescent="0.2">
      <c r="A1074" s="10">
        <v>1706</v>
      </c>
      <c r="B1074" s="10" t="s">
        <v>74</v>
      </c>
      <c r="C1074" s="9" t="s">
        <v>2420</v>
      </c>
      <c r="D1074" s="10">
        <v>-0.30723800400000001</v>
      </c>
      <c r="E1074" s="10">
        <v>9.3576869999999999E-3</v>
      </c>
      <c r="F1074" s="10">
        <v>-0.79492700599999999</v>
      </c>
      <c r="G1074" s="10">
        <v>-0.65236786899999999</v>
      </c>
      <c r="H1074" s="9">
        <v>-0.43629379800000001</v>
      </c>
      <c r="I1074" s="10">
        <v>0.360816863097499</v>
      </c>
      <c r="J1074" s="10">
        <v>0.13018880869551999</v>
      </c>
      <c r="K1074" s="10">
        <v>-0.24200846600000001</v>
      </c>
      <c r="L1074" s="10">
        <v>0.21600920200000001</v>
      </c>
      <c r="M1074" s="10">
        <v>-0.23574546399999999</v>
      </c>
      <c r="N1074" s="10">
        <v>0.2149585</v>
      </c>
      <c r="O1074" s="9">
        <v>-1.169655725E-2</v>
      </c>
      <c r="P1074" s="10">
        <v>0.26233815054909398</v>
      </c>
      <c r="Q1074" s="10">
        <v>6.8821305233519398E-2</v>
      </c>
    </row>
    <row r="1075" spans="1:17" x14ac:dyDescent="0.2">
      <c r="A1075" s="10">
        <v>1706</v>
      </c>
      <c r="B1075" s="10" t="s">
        <v>2818</v>
      </c>
      <c r="C1075" s="9" t="s">
        <v>983</v>
      </c>
      <c r="D1075" s="10">
        <v>-3.1251141960000002</v>
      </c>
      <c r="E1075" s="10">
        <v>-1.621489883</v>
      </c>
      <c r="F1075" s="10">
        <v>-1.645583083</v>
      </c>
      <c r="G1075" s="10">
        <v>-2.0975447030000001</v>
      </c>
      <c r="H1075" s="9">
        <v>-2.1224329662499999</v>
      </c>
      <c r="I1075" s="10">
        <v>0.70340098994151901</v>
      </c>
      <c r="J1075" s="10">
        <v>0.49477295265070897</v>
      </c>
      <c r="K1075" s="10">
        <v>0.234046114</v>
      </c>
      <c r="L1075" s="10">
        <v>-0.26336299899999999</v>
      </c>
      <c r="M1075" s="10">
        <v>6.1583803999999999E-2</v>
      </c>
      <c r="N1075" s="10">
        <v>-0.559614469</v>
      </c>
      <c r="O1075" s="9">
        <v>-0.1318368875</v>
      </c>
      <c r="P1075" s="10">
        <v>0.35193499017445701</v>
      </c>
      <c r="Q1075" s="10">
        <v>0.123858237309095</v>
      </c>
    </row>
    <row r="1076" spans="1:17" x14ac:dyDescent="0.2">
      <c r="A1076" s="10">
        <v>1706</v>
      </c>
      <c r="B1076" s="10" t="s">
        <v>2830</v>
      </c>
      <c r="C1076" s="9" t="s">
        <v>984</v>
      </c>
      <c r="D1076" s="10">
        <v>-1.3024406100000001</v>
      </c>
      <c r="E1076" s="10">
        <v>-1.141226047</v>
      </c>
      <c r="F1076" s="10">
        <v>-1.0239171300000001</v>
      </c>
      <c r="G1076" s="10">
        <v>-1.1239121270000001</v>
      </c>
      <c r="H1076" s="9">
        <v>-1.1478739785000001</v>
      </c>
      <c r="I1076" s="10">
        <v>0.11528878115966799</v>
      </c>
      <c r="J1076" s="10">
        <v>1.32915030612818E-2</v>
      </c>
      <c r="K1076" s="10">
        <v>-5.4954121000000002E-2</v>
      </c>
      <c r="L1076" s="10">
        <v>6.6575251000000002E-2</v>
      </c>
      <c r="M1076" s="10">
        <v>-0.45572738800000001</v>
      </c>
      <c r="N1076" s="10">
        <v>-7.3509615E-2</v>
      </c>
      <c r="O1076" s="9">
        <v>-0.12940396800000001</v>
      </c>
      <c r="P1076" s="10">
        <v>0.22624602179630199</v>
      </c>
      <c r="Q1076" s="10">
        <v>5.1187262378652697E-2</v>
      </c>
    </row>
    <row r="1077" spans="1:17" x14ac:dyDescent="0.2">
      <c r="A1077" s="10">
        <v>1707</v>
      </c>
      <c r="B1077" s="10" t="s">
        <v>2824</v>
      </c>
      <c r="C1077" s="9" t="s">
        <v>985</v>
      </c>
      <c r="D1077" s="10">
        <v>-0.27295767799999998</v>
      </c>
      <c r="E1077" s="10">
        <v>-5.4076365000000001E-2</v>
      </c>
      <c r="F1077" s="10">
        <v>-0.49698061799999999</v>
      </c>
      <c r="G1077" s="10">
        <v>-0.55980954800000005</v>
      </c>
      <c r="H1077" s="9">
        <v>-0.34595605200000001</v>
      </c>
      <c r="I1077" s="10">
        <v>0.23026379913537701</v>
      </c>
      <c r="J1077" s="10">
        <v>5.3021417192257399E-2</v>
      </c>
      <c r="K1077" s="10">
        <v>9.8802524000000003E-2</v>
      </c>
      <c r="L1077" s="10">
        <v>-6.3033280000000004E-3</v>
      </c>
      <c r="M1077" s="10">
        <v>0.198032177</v>
      </c>
      <c r="N1077" s="10">
        <v>0.124513232</v>
      </c>
      <c r="O1077" s="9">
        <v>0.10376115125</v>
      </c>
      <c r="P1077" s="10">
        <v>8.4570390263948705E-2</v>
      </c>
      <c r="Q1077" s="10">
        <v>7.1521509093966E-3</v>
      </c>
    </row>
    <row r="1078" spans="1:17" x14ac:dyDescent="0.2">
      <c r="A1078" s="10">
        <v>1707</v>
      </c>
      <c r="B1078" s="10" t="s">
        <v>2825</v>
      </c>
      <c r="C1078" s="9" t="s">
        <v>2419</v>
      </c>
      <c r="D1078" s="10">
        <v>-1.813812569</v>
      </c>
      <c r="E1078" s="10">
        <v>-1.1645975180000001</v>
      </c>
      <c r="F1078" s="10">
        <v>-1.924021446</v>
      </c>
      <c r="G1078" s="10">
        <v>-0.92960596100000004</v>
      </c>
      <c r="H1078" s="9">
        <v>-1.4580093734999999</v>
      </c>
      <c r="I1078" s="10">
        <v>0.48616315811784599</v>
      </c>
      <c r="J1078" s="10">
        <v>0.23635461631111801</v>
      </c>
      <c r="K1078" s="10">
        <v>-9.9510334000000006E-2</v>
      </c>
      <c r="L1078" s="10">
        <v>-0.65446843499999996</v>
      </c>
      <c r="M1078" s="10">
        <v>0.39753181700000001</v>
      </c>
      <c r="N1078" s="10">
        <v>-0.94712113899999995</v>
      </c>
      <c r="O1078" s="9">
        <v>-0.32589202299999998</v>
      </c>
      <c r="P1078" s="10">
        <v>0.59679108418378501</v>
      </c>
      <c r="Q1078" s="10">
        <v>0.35615959816125697</v>
      </c>
    </row>
    <row r="1079" spans="1:17" x14ac:dyDescent="0.2">
      <c r="A1079" s="10">
        <v>1707</v>
      </c>
      <c r="B1079" s="10" t="s">
        <v>74</v>
      </c>
      <c r="C1079" s="9" t="s">
        <v>986</v>
      </c>
      <c r="D1079" s="10">
        <v>-1.0576120659999999</v>
      </c>
      <c r="E1079" s="10">
        <v>-1.3784725710000001</v>
      </c>
      <c r="F1079" s="10">
        <v>-1.387858222</v>
      </c>
      <c r="G1079" s="10">
        <v>-1.048424531</v>
      </c>
      <c r="H1079" s="9">
        <v>-1.21809184775</v>
      </c>
      <c r="I1079" s="10">
        <v>0.19068591709917099</v>
      </c>
      <c r="J1079" s="10">
        <v>3.6361118979952201E-2</v>
      </c>
      <c r="K1079" s="10">
        <v>-5.6816251999999998E-2</v>
      </c>
      <c r="L1079" s="10">
        <v>-0.123647379</v>
      </c>
      <c r="M1079" s="10">
        <v>0.32432481299999999</v>
      </c>
      <c r="N1079" s="10">
        <v>-8.7066497000000007E-2</v>
      </c>
      <c r="O1079" s="9">
        <v>1.4198671249999999E-2</v>
      </c>
      <c r="P1079" s="10">
        <v>0.20854856428113699</v>
      </c>
      <c r="Q1079" s="10">
        <v>4.3492503663723599E-2</v>
      </c>
    </row>
    <row r="1080" spans="1:17" x14ac:dyDescent="0.2">
      <c r="A1080" s="10">
        <v>1707</v>
      </c>
      <c r="B1080" s="10" t="s">
        <v>2818</v>
      </c>
      <c r="C1080" s="9" t="s">
        <v>2418</v>
      </c>
      <c r="D1080" s="10">
        <v>-0.70296485099999995</v>
      </c>
      <c r="E1080" s="10">
        <v>-0.58841136699999996</v>
      </c>
      <c r="F1080" s="10">
        <v>0.50343759799999999</v>
      </c>
      <c r="G1080" s="10">
        <v>-0.95812059100000002</v>
      </c>
      <c r="H1080" s="9">
        <v>-0.43651480274999999</v>
      </c>
      <c r="I1080" s="10">
        <v>0.64540718631857297</v>
      </c>
      <c r="J1080" s="10">
        <v>0.41655043615165799</v>
      </c>
      <c r="K1080" s="10">
        <v>0.30181437500000002</v>
      </c>
      <c r="L1080" s="10">
        <v>1.008899228</v>
      </c>
      <c r="M1080" s="10">
        <v>5.0947593739999997</v>
      </c>
      <c r="N1080" s="10">
        <v>0.37540788899999999</v>
      </c>
      <c r="O1080" s="9">
        <v>1.6952202165000001</v>
      </c>
      <c r="P1080" s="10">
        <v>2.28847747069084</v>
      </c>
      <c r="Q1080" s="10">
        <v>5.23712913385957</v>
      </c>
    </row>
    <row r="1081" spans="1:17" x14ac:dyDescent="0.2">
      <c r="A1081" s="10">
        <v>1708</v>
      </c>
      <c r="B1081" s="10" t="s">
        <v>79</v>
      </c>
      <c r="C1081" s="9" t="s">
        <v>2417</v>
      </c>
      <c r="D1081" s="10">
        <v>-0.33159429800000001</v>
      </c>
      <c r="E1081" s="10">
        <v>-0.33309956800000001</v>
      </c>
      <c r="F1081" s="10">
        <v>-1.1616036919999999</v>
      </c>
      <c r="G1081" s="10">
        <v>-2.3474903490000001</v>
      </c>
      <c r="H1081" s="9">
        <v>-1.0434469765000001</v>
      </c>
      <c r="I1081" s="10">
        <v>0.95320823248459396</v>
      </c>
      <c r="J1081" s="10">
        <v>0.90860593447640403</v>
      </c>
      <c r="K1081" s="10">
        <v>0.46350376500000001</v>
      </c>
      <c r="L1081" s="10">
        <v>-1.48454318</v>
      </c>
      <c r="M1081" s="10">
        <v>-0.53151209300000002</v>
      </c>
      <c r="N1081" s="10">
        <v>8.1028049000000005E-2</v>
      </c>
      <c r="O1081" s="9">
        <v>-0.367880865</v>
      </c>
      <c r="P1081" s="10">
        <v>0.84979007615348601</v>
      </c>
      <c r="Q1081" s="10">
        <v>0.72214317352894797</v>
      </c>
    </row>
    <row r="1082" spans="1:17" x14ac:dyDescent="0.2">
      <c r="A1082" s="10">
        <v>1708</v>
      </c>
      <c r="B1082" s="10" t="s">
        <v>2820</v>
      </c>
      <c r="C1082" s="9" t="s">
        <v>987</v>
      </c>
      <c r="D1082" s="10">
        <v>-2.451047414</v>
      </c>
      <c r="E1082" s="10">
        <v>-1.608943644</v>
      </c>
      <c r="F1082" s="10">
        <v>-1.2551337339999999</v>
      </c>
      <c r="G1082" s="10">
        <v>-7.4760543100000003</v>
      </c>
      <c r="H1082" s="9">
        <v>-3.1977947750000002</v>
      </c>
      <c r="I1082" s="10">
        <v>2.8959463684420399</v>
      </c>
      <c r="J1082" s="10">
        <v>8.3865053688926903</v>
      </c>
      <c r="K1082" s="10">
        <v>9.8865739999999994E-2</v>
      </c>
      <c r="L1082" s="10">
        <v>-0.74095682399999996</v>
      </c>
      <c r="M1082" s="10">
        <v>-0.18757765100000001</v>
      </c>
      <c r="N1082" s="10">
        <v>0.24448292299999999</v>
      </c>
      <c r="O1082" s="9">
        <v>-0.14629645325000001</v>
      </c>
      <c r="P1082" s="10">
        <v>0.43517740280246298</v>
      </c>
      <c r="Q1082" s="10">
        <v>0.18937937190989701</v>
      </c>
    </row>
    <row r="1083" spans="1:17" x14ac:dyDescent="0.2">
      <c r="A1083" s="10">
        <v>1708</v>
      </c>
      <c r="B1083" s="10" t="s">
        <v>2824</v>
      </c>
      <c r="C1083" s="9" t="s">
        <v>988</v>
      </c>
      <c r="D1083" s="10">
        <v>-0.69891838399999995</v>
      </c>
      <c r="E1083" s="10">
        <v>-1.008940553</v>
      </c>
      <c r="F1083" s="10">
        <v>-1.6279255180000001</v>
      </c>
      <c r="G1083" s="10">
        <v>-0.73440428899999999</v>
      </c>
      <c r="H1083" s="9">
        <v>-1.01754718575</v>
      </c>
      <c r="I1083" s="10">
        <v>0.42985656363187202</v>
      </c>
      <c r="J1083" s="10">
        <v>0.184776665297402</v>
      </c>
      <c r="K1083" s="10">
        <v>0.14392680199999999</v>
      </c>
      <c r="L1083" s="10">
        <v>-0.22160581700000001</v>
      </c>
      <c r="M1083" s="10">
        <v>0.28191776000000002</v>
      </c>
      <c r="N1083" s="10">
        <v>-0.237472976</v>
      </c>
      <c r="O1083" s="9">
        <v>-8.3085580000000006E-3</v>
      </c>
      <c r="P1083" s="10">
        <v>0.261673442588504</v>
      </c>
      <c r="Q1083" s="10">
        <v>6.8472990556119495E-2</v>
      </c>
    </row>
    <row r="1084" spans="1:17" x14ac:dyDescent="0.2">
      <c r="A1084" s="10">
        <v>1708</v>
      </c>
      <c r="B1084" s="10" t="s">
        <v>2814</v>
      </c>
      <c r="C1084" s="9" t="s">
        <v>989</v>
      </c>
      <c r="D1084" s="10">
        <v>-1.7385954669999999</v>
      </c>
      <c r="E1084" s="10">
        <v>-1.681065947</v>
      </c>
      <c r="F1084" s="10">
        <v>-1.7478291960000001</v>
      </c>
      <c r="G1084" s="10">
        <v>-1.380641413</v>
      </c>
      <c r="H1084" s="9">
        <v>-1.63703300575</v>
      </c>
      <c r="I1084" s="10">
        <v>0.173461117696041</v>
      </c>
      <c r="J1084" s="10">
        <v>3.0088759352359901E-2</v>
      </c>
      <c r="K1084" s="10">
        <v>2.4424709999999999E-3</v>
      </c>
      <c r="L1084" s="10">
        <v>-0.38726060000000001</v>
      </c>
      <c r="M1084" s="10">
        <v>0.26372652099999999</v>
      </c>
      <c r="N1084" s="10">
        <v>-0.28085371999999997</v>
      </c>
      <c r="O1084" s="9">
        <v>-0.100486332</v>
      </c>
      <c r="P1084" s="10">
        <v>0.29326735027859802</v>
      </c>
      <c r="Q1084" s="10">
        <v>8.6005738739430196E-2</v>
      </c>
    </row>
    <row r="1085" spans="1:17" x14ac:dyDescent="0.2">
      <c r="A1085" s="10">
        <v>1708</v>
      </c>
      <c r="B1085" s="10" t="s">
        <v>2833</v>
      </c>
      <c r="C1085" s="9" t="s">
        <v>990</v>
      </c>
      <c r="D1085" s="10">
        <v>-1.802287754</v>
      </c>
      <c r="E1085" s="10">
        <v>-1.057154317</v>
      </c>
      <c r="F1085" s="10">
        <v>-0.82511832200000002</v>
      </c>
      <c r="G1085" s="10">
        <v>-3.1144980900000001</v>
      </c>
      <c r="H1085" s="9">
        <v>-1.6997646207499999</v>
      </c>
      <c r="I1085" s="10">
        <v>1.03117019808731</v>
      </c>
      <c r="J1085" s="10">
        <v>1.0633119774234201</v>
      </c>
      <c r="K1085" s="10">
        <v>0.250905926</v>
      </c>
      <c r="L1085" s="10">
        <v>-2.1553283999999999E-2</v>
      </c>
      <c r="M1085" s="10">
        <v>-0.36993003400000002</v>
      </c>
      <c r="N1085" s="10">
        <v>-9.2062300999999999E-2</v>
      </c>
      <c r="O1085" s="9">
        <v>-5.8159923250000002E-2</v>
      </c>
      <c r="P1085" s="10">
        <v>0.255089342769662</v>
      </c>
      <c r="Q1085" s="10">
        <v>6.5070572794658096E-2</v>
      </c>
    </row>
    <row r="1086" spans="1:17" x14ac:dyDescent="0.2">
      <c r="A1086" s="10">
        <v>1708</v>
      </c>
      <c r="B1086" s="10" t="s">
        <v>74</v>
      </c>
      <c r="C1086" s="9" t="s">
        <v>991</v>
      </c>
      <c r="D1086" s="10">
        <v>-0.504851257</v>
      </c>
      <c r="E1086" s="10">
        <v>-0.116670199</v>
      </c>
      <c r="F1086" s="10">
        <v>1.5932029329999999</v>
      </c>
      <c r="G1086" s="10">
        <v>-0.30236963500000003</v>
      </c>
      <c r="H1086" s="9">
        <v>0.16732796050000001</v>
      </c>
      <c r="I1086" s="10">
        <v>0.96371073174797495</v>
      </c>
      <c r="J1086" s="10">
        <v>0.92873837448621899</v>
      </c>
      <c r="K1086" s="10">
        <v>4.6915000999999998E-2</v>
      </c>
      <c r="L1086" s="10">
        <v>0.43877146900000003</v>
      </c>
      <c r="M1086" s="10">
        <v>1.1372401919999999</v>
      </c>
      <c r="N1086" s="10">
        <v>0.36211982700000001</v>
      </c>
      <c r="O1086" s="9">
        <v>0.4962616225</v>
      </c>
      <c r="P1086" s="10">
        <v>0.459733637323884</v>
      </c>
      <c r="Q1086" s="10">
        <v>0.211355017287049</v>
      </c>
    </row>
    <row r="1087" spans="1:17" x14ac:dyDescent="0.2">
      <c r="A1087" s="10">
        <v>1708</v>
      </c>
      <c r="B1087" s="10" t="s">
        <v>2830</v>
      </c>
      <c r="C1087" s="9" t="s">
        <v>31</v>
      </c>
      <c r="D1087" s="10">
        <v>-1.2444984050000001</v>
      </c>
      <c r="E1087" s="10">
        <v>-0.60761024100000005</v>
      </c>
      <c r="F1087" s="10">
        <v>-0.43401232099999998</v>
      </c>
      <c r="G1087" s="10">
        <v>-2.7787749069999998</v>
      </c>
      <c r="H1087" s="9">
        <v>-1.2662239685000001</v>
      </c>
      <c r="I1087" s="10">
        <v>1.0668693468825401</v>
      </c>
      <c r="J1087" s="10">
        <v>1.1382102033175701</v>
      </c>
      <c r="K1087" s="10">
        <v>1.0112545799999999</v>
      </c>
      <c r="L1087" s="10">
        <v>0.72281342599999998</v>
      </c>
      <c r="M1087" s="10">
        <v>0.93515492</v>
      </c>
      <c r="N1087" s="10">
        <v>0.82002301</v>
      </c>
      <c r="O1087" s="9">
        <v>0.87231148400000003</v>
      </c>
      <c r="P1087" s="10">
        <v>0.126935988111293</v>
      </c>
      <c r="Q1087" s="10">
        <v>1.61127450777904E-2</v>
      </c>
    </row>
    <row r="1088" spans="1:17" x14ac:dyDescent="0.2">
      <c r="A1088" s="10">
        <v>1708</v>
      </c>
      <c r="B1088" s="10" t="s">
        <v>2832</v>
      </c>
      <c r="C1088" s="9" t="s">
        <v>2416</v>
      </c>
      <c r="D1088" s="10">
        <v>-1.679550256</v>
      </c>
      <c r="E1088" s="10">
        <v>-1.6247493260000001</v>
      </c>
      <c r="F1088" s="10">
        <v>-1.9732696890000001</v>
      </c>
      <c r="G1088" s="10">
        <v>-1.591126555</v>
      </c>
      <c r="H1088" s="9">
        <v>-1.7171739564999999</v>
      </c>
      <c r="I1088" s="10">
        <v>0.17457646537834401</v>
      </c>
      <c r="J1088" s="10">
        <v>3.04769422639963E-2</v>
      </c>
      <c r="K1088" s="10">
        <v>0.124826382</v>
      </c>
      <c r="L1088" s="10">
        <v>-0.160360904</v>
      </c>
      <c r="M1088" s="10">
        <v>7.3414370000000007E-2</v>
      </c>
      <c r="N1088" s="10">
        <v>-0.264698343</v>
      </c>
      <c r="O1088" s="9">
        <v>-5.6704623750000002E-2</v>
      </c>
      <c r="P1088" s="10">
        <v>0.18609179658243299</v>
      </c>
      <c r="Q1088" s="10">
        <v>3.4630156755277801E-2</v>
      </c>
    </row>
    <row r="1089" spans="1:17" x14ac:dyDescent="0.2">
      <c r="A1089" s="10">
        <v>1709</v>
      </c>
      <c r="B1089" s="10" t="s">
        <v>79</v>
      </c>
      <c r="C1089" s="9" t="s">
        <v>2415</v>
      </c>
      <c r="D1089" s="10">
        <v>9.1513889999999994E-3</v>
      </c>
      <c r="E1089" s="10">
        <v>-0.34327860100000002</v>
      </c>
      <c r="F1089" s="10">
        <v>-0.87684133500000006</v>
      </c>
      <c r="G1089" s="10">
        <v>-9.5986387000000006E-2</v>
      </c>
      <c r="H1089" s="9">
        <v>-0.32673873349999999</v>
      </c>
      <c r="I1089" s="10">
        <v>0.39537124292758302</v>
      </c>
      <c r="J1089" s="10">
        <v>0.15631841973410199</v>
      </c>
      <c r="K1089" s="10">
        <v>-9.3719126999999999E-2</v>
      </c>
      <c r="L1089" s="10">
        <v>-9.2440932000000003E-2</v>
      </c>
      <c r="M1089" s="10">
        <v>0.367793184</v>
      </c>
      <c r="N1089" s="10">
        <v>-8.7152971999999995E-2</v>
      </c>
      <c r="O1089" s="9">
        <v>2.3620038249999999E-2</v>
      </c>
      <c r="P1089" s="10">
        <v>0.22946636832168901</v>
      </c>
      <c r="Q1089" s="10">
        <v>5.2654814190745101E-2</v>
      </c>
    </row>
    <row r="1090" spans="1:17" x14ac:dyDescent="0.2">
      <c r="A1090" s="10">
        <v>1709</v>
      </c>
      <c r="B1090" s="10" t="s">
        <v>82</v>
      </c>
      <c r="C1090" s="9" t="s">
        <v>2414</v>
      </c>
      <c r="D1090" s="10">
        <v>-6.4921649999999997E-2</v>
      </c>
      <c r="E1090" s="10">
        <v>0.11315243699999999</v>
      </c>
      <c r="F1090" s="10">
        <v>-0.118096932</v>
      </c>
      <c r="G1090" s="10">
        <v>-0.15087550599999999</v>
      </c>
      <c r="H1090" s="9">
        <v>-5.5185412750000003E-2</v>
      </c>
      <c r="I1090" s="10">
        <v>0.117681603171125</v>
      </c>
      <c r="J1090" s="10">
        <v>1.38489597249262E-2</v>
      </c>
      <c r="K1090" s="10">
        <v>-0.41734227899999998</v>
      </c>
      <c r="L1090" s="10">
        <v>-0.37572591700000002</v>
      </c>
      <c r="M1090" s="10">
        <v>0.237584453</v>
      </c>
      <c r="N1090" s="10">
        <v>0.305754949</v>
      </c>
      <c r="O1090" s="9">
        <v>-6.2432198500000001E-2</v>
      </c>
      <c r="P1090" s="10">
        <v>0.38716313790336099</v>
      </c>
      <c r="Q1090" s="10">
        <v>0.14989529535117699</v>
      </c>
    </row>
    <row r="1091" spans="1:17" x14ac:dyDescent="0.2">
      <c r="A1091" s="10">
        <v>1709</v>
      </c>
      <c r="B1091" s="10" t="s">
        <v>2814</v>
      </c>
      <c r="C1091" s="9" t="s">
        <v>2413</v>
      </c>
      <c r="D1091" s="10">
        <v>-1.418102848</v>
      </c>
      <c r="E1091" s="10">
        <v>-1.1108593899999999</v>
      </c>
      <c r="F1091" s="10">
        <v>-0.98847263299999999</v>
      </c>
      <c r="G1091" s="10">
        <v>-1.61734212</v>
      </c>
      <c r="H1091" s="9">
        <v>-1.28369424775</v>
      </c>
      <c r="I1091" s="10">
        <v>0.286597432151311</v>
      </c>
      <c r="J1091" s="10">
        <v>8.2138088115725594E-2</v>
      </c>
      <c r="K1091" s="10">
        <v>-0.313326096</v>
      </c>
      <c r="L1091" s="10">
        <v>2.6651351E-2</v>
      </c>
      <c r="M1091" s="10">
        <v>-5.1534892999999998E-2</v>
      </c>
      <c r="N1091" s="10">
        <v>9.3001150000000005E-2</v>
      </c>
      <c r="O1091" s="9">
        <v>-6.1302122000000001E-2</v>
      </c>
      <c r="P1091" s="10">
        <v>0.17809809599932899</v>
      </c>
      <c r="Q1091" s="10">
        <v>3.1718931798586203E-2</v>
      </c>
    </row>
    <row r="1092" spans="1:17" x14ac:dyDescent="0.2">
      <c r="A1092" s="10">
        <v>1709</v>
      </c>
      <c r="B1092" s="10" t="s">
        <v>74</v>
      </c>
      <c r="C1092" s="9" t="s">
        <v>992</v>
      </c>
      <c r="D1092" s="10">
        <v>0.41987801499999999</v>
      </c>
      <c r="E1092" s="10">
        <v>-5.7093171999999998E-2</v>
      </c>
      <c r="F1092" s="10">
        <v>-0.172204681</v>
      </c>
      <c r="G1092" s="10">
        <v>-0.36336121199999999</v>
      </c>
      <c r="H1092" s="9">
        <v>-4.3195262749999998E-2</v>
      </c>
      <c r="I1092" s="10">
        <v>0.33355643075997699</v>
      </c>
      <c r="J1092" s="10">
        <v>0.111259892501335</v>
      </c>
      <c r="K1092" s="10">
        <v>-0.27649945199999998</v>
      </c>
      <c r="L1092" s="10">
        <v>-5.9634976999999999E-2</v>
      </c>
      <c r="M1092" s="10">
        <v>5.7433131999999998E-2</v>
      </c>
      <c r="N1092" s="10">
        <v>-0.23323321299999999</v>
      </c>
      <c r="O1092" s="9">
        <v>-0.12798362775</v>
      </c>
      <c r="P1092" s="10">
        <v>0.155118597749688</v>
      </c>
      <c r="Q1092" s="10">
        <v>2.4061779367829501E-2</v>
      </c>
    </row>
    <row r="1093" spans="1:17" x14ac:dyDescent="0.2">
      <c r="A1093" s="10">
        <v>1709</v>
      </c>
      <c r="B1093" s="10" t="s">
        <v>2818</v>
      </c>
      <c r="C1093" s="9" t="s">
        <v>2412</v>
      </c>
      <c r="D1093" s="10">
        <v>-0.64917229300000001</v>
      </c>
      <c r="E1093" s="10">
        <v>-0.48660431300000001</v>
      </c>
      <c r="F1093" s="10">
        <v>-1.8468011999999999E-2</v>
      </c>
      <c r="G1093" s="10">
        <v>-0.88375455999999997</v>
      </c>
      <c r="H1093" s="9">
        <v>-0.50949979450000005</v>
      </c>
      <c r="I1093" s="10">
        <v>0.365700902758404</v>
      </c>
      <c r="J1093" s="10">
        <v>0.13373715027831201</v>
      </c>
      <c r="K1093" s="10">
        <v>4.3340366999999998E-2</v>
      </c>
      <c r="L1093" s="10">
        <v>0.53910379900000005</v>
      </c>
      <c r="M1093" s="10">
        <v>-0.57064377300000002</v>
      </c>
      <c r="N1093" s="10">
        <v>-0.51393271299999999</v>
      </c>
      <c r="O1093" s="9">
        <v>-0.12553307975</v>
      </c>
      <c r="P1093" s="10">
        <v>0.52257000359313799</v>
      </c>
      <c r="Q1093" s="10">
        <v>0.27307940865533198</v>
      </c>
    </row>
    <row r="1094" spans="1:17" x14ac:dyDescent="0.2">
      <c r="A1094" s="10">
        <v>1709</v>
      </c>
      <c r="B1094" s="10" t="s">
        <v>2830</v>
      </c>
      <c r="C1094" s="9" t="s">
        <v>993</v>
      </c>
      <c r="D1094" s="10">
        <v>-0.74345908400000005</v>
      </c>
      <c r="E1094" s="10">
        <v>-8.7188314000000003E-2</v>
      </c>
      <c r="F1094" s="10">
        <v>-0.44833901100000001</v>
      </c>
      <c r="G1094" s="10">
        <v>-0.50528644300000003</v>
      </c>
      <c r="H1094" s="9">
        <v>-0.44606821325000001</v>
      </c>
      <c r="I1094" s="10">
        <v>0.27126129306646901</v>
      </c>
      <c r="J1094" s="10">
        <v>7.3582689116092795E-2</v>
      </c>
      <c r="K1094" s="10">
        <v>-0.146725623</v>
      </c>
      <c r="L1094" s="10">
        <v>0.11075858500000001</v>
      </c>
      <c r="M1094" s="10">
        <v>0.39744306499999998</v>
      </c>
      <c r="N1094" s="10">
        <v>-0.27564333000000002</v>
      </c>
      <c r="O1094" s="9">
        <v>2.145817425E-2</v>
      </c>
      <c r="P1094" s="10">
        <v>0.29771031496935002</v>
      </c>
      <c r="Q1094" s="10">
        <v>8.8631431639149993E-2</v>
      </c>
    </row>
    <row r="1095" spans="1:17" x14ac:dyDescent="0.2">
      <c r="A1095" s="10">
        <v>1710</v>
      </c>
      <c r="B1095" s="10" t="s">
        <v>2826</v>
      </c>
      <c r="C1095" s="9" t="s">
        <v>2411</v>
      </c>
      <c r="D1095" s="10">
        <v>-0.85016185300000002</v>
      </c>
      <c r="E1095" s="10">
        <v>-6.5750533999999999E-2</v>
      </c>
      <c r="F1095" s="10">
        <v>-1.1003351990000001</v>
      </c>
      <c r="G1095" s="10">
        <v>0.50579330899999997</v>
      </c>
      <c r="H1095" s="9">
        <v>-0.37761356950000002</v>
      </c>
      <c r="I1095" s="10">
        <v>0.735593796393616</v>
      </c>
      <c r="J1095" s="10">
        <v>0.54109823329277296</v>
      </c>
      <c r="K1095" s="10">
        <v>-9.8145218000000006E-2</v>
      </c>
      <c r="L1095" s="10">
        <v>-6.3850041999999996E-2</v>
      </c>
      <c r="M1095" s="10">
        <v>-0.60767512300000004</v>
      </c>
      <c r="N1095" s="10">
        <v>0.16204992200000001</v>
      </c>
      <c r="O1095" s="9">
        <v>-0.15190511525</v>
      </c>
      <c r="P1095" s="10">
        <v>0.32503224858285301</v>
      </c>
      <c r="Q1095" s="10">
        <v>0.105645962618825</v>
      </c>
    </row>
    <row r="1096" spans="1:17" x14ac:dyDescent="0.2">
      <c r="A1096" s="10">
        <v>1710</v>
      </c>
      <c r="B1096" s="10" t="s">
        <v>2820</v>
      </c>
      <c r="C1096" s="9" t="s">
        <v>995</v>
      </c>
      <c r="D1096" s="10">
        <v>0.40842893800000002</v>
      </c>
      <c r="E1096" s="10">
        <v>0.137067404</v>
      </c>
      <c r="F1096" s="10">
        <v>-0.19316246000000001</v>
      </c>
      <c r="G1096" s="10">
        <v>0.37590175799999997</v>
      </c>
      <c r="H1096" s="9">
        <v>0.18205890999999999</v>
      </c>
      <c r="I1096" s="10">
        <v>0.27786912471779202</v>
      </c>
      <c r="J1096" s="10">
        <v>7.7211250471432194E-2</v>
      </c>
      <c r="K1096" s="10">
        <v>-0.21054299600000001</v>
      </c>
      <c r="L1096" s="10">
        <v>-2.4604342000000001E-2</v>
      </c>
      <c r="M1096" s="10">
        <v>0.31079925899999999</v>
      </c>
      <c r="N1096" s="10">
        <v>0.36884481499999999</v>
      </c>
      <c r="O1096" s="9">
        <v>0.111124184</v>
      </c>
      <c r="P1096" s="10">
        <v>0.27579102395266503</v>
      </c>
      <c r="Q1096" s="10">
        <v>7.6060688892859593E-2</v>
      </c>
    </row>
    <row r="1097" spans="1:17" x14ac:dyDescent="0.2">
      <c r="A1097" s="10">
        <v>1710</v>
      </c>
      <c r="B1097" s="10" t="s">
        <v>2824</v>
      </c>
      <c r="C1097" s="9" t="s">
        <v>2410</v>
      </c>
      <c r="D1097" s="10">
        <v>-0.357637498</v>
      </c>
      <c r="E1097" s="10">
        <v>-0.44970170900000001</v>
      </c>
      <c r="F1097" s="10">
        <v>3.2030283999999999E-2</v>
      </c>
      <c r="G1097" s="10">
        <v>-0.41303462800000001</v>
      </c>
      <c r="H1097" s="9">
        <v>-0.29708588749999998</v>
      </c>
      <c r="I1097" s="10">
        <v>0.22265043698783099</v>
      </c>
      <c r="J1097" s="10">
        <v>4.9573217090872403E-2</v>
      </c>
      <c r="K1097" s="10">
        <v>0.13074933899999999</v>
      </c>
      <c r="L1097" s="10">
        <v>-0.24689662600000001</v>
      </c>
      <c r="M1097" s="10">
        <v>-0.465779899</v>
      </c>
      <c r="N1097" s="10">
        <v>-2.4567110999999999E-2</v>
      </c>
      <c r="O1097" s="9">
        <v>-0.1516235745</v>
      </c>
      <c r="P1097" s="10">
        <v>0.260543635348013</v>
      </c>
      <c r="Q1097" s="10">
        <v>6.7882985920358699E-2</v>
      </c>
    </row>
    <row r="1098" spans="1:17" x14ac:dyDescent="0.2">
      <c r="A1098" s="10">
        <v>1710</v>
      </c>
      <c r="B1098" s="10" t="s">
        <v>82</v>
      </c>
      <c r="C1098" s="9" t="s">
        <v>2409</v>
      </c>
      <c r="D1098" s="10">
        <v>0.21389343899999999</v>
      </c>
      <c r="E1098" s="10">
        <v>-0.755156206</v>
      </c>
      <c r="F1098" s="10">
        <v>0.33012898000000002</v>
      </c>
      <c r="G1098" s="10">
        <v>-0.18308297400000001</v>
      </c>
      <c r="H1098" s="9">
        <v>-9.85541905E-2</v>
      </c>
      <c r="I1098" s="10">
        <v>0.48978366103439003</v>
      </c>
      <c r="J1098" s="10">
        <v>0.23988803461625099</v>
      </c>
      <c r="K1098" s="10">
        <v>0.35880983599999999</v>
      </c>
      <c r="L1098" s="10">
        <v>-0.37602964900000002</v>
      </c>
      <c r="M1098" s="10">
        <v>0.98169344999999997</v>
      </c>
      <c r="N1098" s="10">
        <v>-3.8012375000000001E-2</v>
      </c>
      <c r="O1098" s="9">
        <v>0.2316153155</v>
      </c>
      <c r="P1098" s="10">
        <v>0.58330299395391205</v>
      </c>
      <c r="Q1098" s="10">
        <v>0.34024238275559798</v>
      </c>
    </row>
    <row r="1099" spans="1:17" x14ac:dyDescent="0.2">
      <c r="A1099" s="10">
        <v>1710</v>
      </c>
      <c r="B1099" s="10" t="s">
        <v>2814</v>
      </c>
      <c r="C1099" s="9" t="s">
        <v>2408</v>
      </c>
      <c r="D1099" s="10">
        <v>-1.6310000849999999</v>
      </c>
      <c r="E1099" s="10">
        <v>-0.98852621600000001</v>
      </c>
      <c r="F1099" s="10">
        <v>-1.5925783010000001</v>
      </c>
      <c r="G1099" s="10">
        <v>-1.014268304</v>
      </c>
      <c r="H1099" s="9">
        <v>-1.3065932265</v>
      </c>
      <c r="I1099" s="10">
        <v>0.35291536103417498</v>
      </c>
      <c r="J1099" s="10">
        <v>0.124549252053882</v>
      </c>
      <c r="K1099" s="10">
        <v>-0.31454500499999999</v>
      </c>
      <c r="L1099" s="10">
        <v>-0.221226495</v>
      </c>
      <c r="M1099" s="10">
        <v>-0.48121743500000003</v>
      </c>
      <c r="N1099" s="10">
        <v>-1.5748286</v>
      </c>
      <c r="O1099" s="9">
        <v>-0.64795438375000003</v>
      </c>
      <c r="P1099" s="10">
        <v>0.627204253733185</v>
      </c>
      <c r="Q1099" s="10">
        <v>0.39338517590100103</v>
      </c>
    </row>
    <row r="1100" spans="1:17" x14ac:dyDescent="0.2">
      <c r="A1100" s="10">
        <v>1710</v>
      </c>
      <c r="B1100" s="10" t="s">
        <v>74</v>
      </c>
      <c r="C1100" s="9" t="s">
        <v>996</v>
      </c>
      <c r="D1100" s="10">
        <v>0.101129073</v>
      </c>
      <c r="E1100" s="10">
        <v>-0.113740723</v>
      </c>
      <c r="F1100" s="10">
        <v>-8.3158647000000002E-2</v>
      </c>
      <c r="G1100" s="10">
        <v>9.0615639999999994E-3</v>
      </c>
      <c r="H1100" s="9">
        <v>-2.1677183249999999E-2</v>
      </c>
      <c r="I1100" s="10">
        <v>9.7094306205843695E-2</v>
      </c>
      <c r="J1100" s="10">
        <v>9.4273042975940996E-3</v>
      </c>
      <c r="K1100" s="10">
        <v>9.669005E-2</v>
      </c>
      <c r="L1100" s="10">
        <v>0.37282352099999999</v>
      </c>
      <c r="M1100" s="10">
        <v>0.37995779000000002</v>
      </c>
      <c r="N1100" s="10">
        <v>0.281472308</v>
      </c>
      <c r="O1100" s="9">
        <v>0.28273591725000002</v>
      </c>
      <c r="P1100" s="10">
        <v>0.131886984851394</v>
      </c>
      <c r="Q1100" s="10">
        <v>1.73941767731918E-2</v>
      </c>
    </row>
    <row r="1101" spans="1:17" x14ac:dyDescent="0.2">
      <c r="A1101" s="10">
        <v>1710</v>
      </c>
      <c r="B1101" s="10" t="s">
        <v>2818</v>
      </c>
      <c r="C1101" s="9" t="s">
        <v>2407</v>
      </c>
      <c r="D1101" s="10">
        <v>2.8962407999999999E-2</v>
      </c>
      <c r="E1101" s="10">
        <v>-4.8108517000000003E-2</v>
      </c>
      <c r="F1101" s="10">
        <v>0.12768860000000001</v>
      </c>
      <c r="G1101" s="10">
        <v>-0.31963530400000001</v>
      </c>
      <c r="H1101" s="9">
        <v>-5.2773203249999998E-2</v>
      </c>
      <c r="I1101" s="10">
        <v>0.19190649866811599</v>
      </c>
      <c r="J1101" s="10">
        <v>3.6828104231055599E-2</v>
      </c>
      <c r="K1101" s="10">
        <v>0.23997389699999999</v>
      </c>
      <c r="L1101" s="10">
        <v>0.21859901500000001</v>
      </c>
      <c r="M1101" s="10">
        <v>-3.0170701000000001E-2</v>
      </c>
      <c r="N1101" s="10">
        <v>-4.8618413999999999E-2</v>
      </c>
      <c r="O1101" s="9">
        <v>9.4945949500000001E-2</v>
      </c>
      <c r="P1101" s="10">
        <v>0.15555073005626299</v>
      </c>
      <c r="Q1101" s="10">
        <v>2.41960296210364E-2</v>
      </c>
    </row>
    <row r="1102" spans="1:17" x14ac:dyDescent="0.2">
      <c r="A1102" s="10">
        <v>1710</v>
      </c>
      <c r="B1102" s="10" t="s">
        <v>2832</v>
      </c>
      <c r="C1102" s="9" t="s">
        <v>2406</v>
      </c>
      <c r="D1102" s="10">
        <v>-0.42419627300000001</v>
      </c>
      <c r="E1102" s="10">
        <v>-0.71712279700000003</v>
      </c>
      <c r="F1102" s="10">
        <v>-0.73796242499999998</v>
      </c>
      <c r="G1102" s="10">
        <v>-0.51046215800000005</v>
      </c>
      <c r="H1102" s="9">
        <v>-0.59743591350000003</v>
      </c>
      <c r="I1102" s="10">
        <v>0.154541318857498</v>
      </c>
      <c r="J1102" s="10">
        <v>2.3883019234215E-2</v>
      </c>
      <c r="K1102" s="10">
        <v>-5.2221040000000003E-2</v>
      </c>
      <c r="L1102" s="10">
        <v>0.30134438800000002</v>
      </c>
      <c r="M1102" s="10">
        <v>0.15593964900000001</v>
      </c>
      <c r="N1102" s="10">
        <v>-6.5664319999999997E-3</v>
      </c>
      <c r="O1102" s="9">
        <v>9.9624140999999999E-2</v>
      </c>
      <c r="P1102" s="10">
        <v>0.16144750568738001</v>
      </c>
      <c r="Q1102" s="10">
        <v>2.6065297092676701E-2</v>
      </c>
    </row>
    <row r="1103" spans="1:17" x14ac:dyDescent="0.2">
      <c r="A1103" s="10">
        <v>1711</v>
      </c>
      <c r="B1103" s="10" t="s">
        <v>2823</v>
      </c>
      <c r="C1103" s="9" t="s">
        <v>997</v>
      </c>
      <c r="D1103" s="10">
        <v>-0.43596706000000002</v>
      </c>
      <c r="E1103" s="10">
        <v>-1.018160518</v>
      </c>
      <c r="F1103" s="10">
        <v>-0.68439984399999998</v>
      </c>
      <c r="G1103" s="10">
        <v>-0.55395637900000005</v>
      </c>
      <c r="H1103" s="9">
        <v>-0.67312095024999996</v>
      </c>
      <c r="I1103" s="10">
        <v>0.25141047409845901</v>
      </c>
      <c r="J1103" s="10">
        <v>6.3207226486411902E-2</v>
      </c>
      <c r="K1103" s="10">
        <v>-1.052135227</v>
      </c>
      <c r="L1103" s="10">
        <v>0.14512018199999999</v>
      </c>
      <c r="M1103" s="10">
        <v>-0.53461400000000003</v>
      </c>
      <c r="N1103" s="10">
        <v>-0.118692835</v>
      </c>
      <c r="O1103" s="9">
        <v>-0.39008047000000001</v>
      </c>
      <c r="P1103" s="10">
        <v>0.52258888522837499</v>
      </c>
      <c r="Q1103" s="10">
        <v>0.27309914296423599</v>
      </c>
    </row>
    <row r="1104" spans="1:17" x14ac:dyDescent="0.2">
      <c r="A1104" s="10">
        <v>1711</v>
      </c>
      <c r="B1104" s="10" t="s">
        <v>2819</v>
      </c>
      <c r="C1104" s="9" t="s">
        <v>998</v>
      </c>
      <c r="D1104" s="10">
        <v>-1.7151587129999999</v>
      </c>
      <c r="E1104" s="10">
        <v>-1.011610742</v>
      </c>
      <c r="F1104" s="10">
        <v>-1.44507948</v>
      </c>
      <c r="G1104" s="10">
        <v>-0.75922408100000005</v>
      </c>
      <c r="H1104" s="9">
        <v>-1.232768254</v>
      </c>
      <c r="I1104" s="10">
        <v>0.42853678975327802</v>
      </c>
      <c r="J1104" s="10">
        <v>0.183643780172045</v>
      </c>
      <c r="K1104" s="10">
        <v>-0.44929656200000001</v>
      </c>
      <c r="L1104" s="10">
        <v>-0.21904690800000001</v>
      </c>
      <c r="M1104" s="10">
        <v>-0.18597787199999999</v>
      </c>
      <c r="N1104" s="10">
        <v>-0.40966917400000002</v>
      </c>
      <c r="O1104" s="9">
        <v>-0.315997629</v>
      </c>
      <c r="P1104" s="10">
        <v>0.13272470681123399</v>
      </c>
      <c r="Q1104" s="10">
        <v>1.7615847798128099E-2</v>
      </c>
    </row>
    <row r="1105" spans="1:17" x14ac:dyDescent="0.2">
      <c r="A1105" s="10">
        <v>1711</v>
      </c>
      <c r="B1105" s="10" t="s">
        <v>2826</v>
      </c>
      <c r="C1105" s="9" t="s">
        <v>2405</v>
      </c>
      <c r="D1105" s="10">
        <v>0.28323820999999999</v>
      </c>
      <c r="E1105" s="10">
        <v>5.5965655000000003E-2</v>
      </c>
      <c r="F1105" s="10">
        <v>-4.7915854000000001E-2</v>
      </c>
      <c r="G1105" s="10">
        <v>1.3110694000000001E-2</v>
      </c>
      <c r="H1105" s="9">
        <v>7.6099676249999998E-2</v>
      </c>
      <c r="I1105" s="10">
        <v>0.144521295551756</v>
      </c>
      <c r="J1105" s="10">
        <v>2.0886404867958199E-2</v>
      </c>
      <c r="K1105" s="10">
        <v>-2.4672842E-2</v>
      </c>
      <c r="L1105" s="10">
        <v>-0.24728646200000001</v>
      </c>
      <c r="M1105" s="10">
        <v>-0.26686912699999998</v>
      </c>
      <c r="N1105" s="10">
        <v>-0.109693101</v>
      </c>
      <c r="O1105" s="9">
        <v>-0.16213038299999999</v>
      </c>
      <c r="P1105" s="10">
        <v>0.115276488505774</v>
      </c>
      <c r="Q1105" s="10">
        <v>1.32886688022219E-2</v>
      </c>
    </row>
    <row r="1106" spans="1:17" x14ac:dyDescent="0.2">
      <c r="A1106" s="10">
        <v>1711</v>
      </c>
      <c r="B1106" s="10" t="s">
        <v>2834</v>
      </c>
      <c r="C1106" s="9" t="s">
        <v>999</v>
      </c>
      <c r="D1106" s="10">
        <v>0.52785075000000004</v>
      </c>
      <c r="E1106" s="10">
        <v>-0.41663992100000002</v>
      </c>
      <c r="F1106" s="10">
        <v>1.1274582360000001</v>
      </c>
      <c r="G1106" s="10">
        <v>0.76222866499999997</v>
      </c>
      <c r="H1106" s="9">
        <v>0.50022443274999995</v>
      </c>
      <c r="I1106" s="10">
        <v>0.65915903954421895</v>
      </c>
      <c r="J1106" s="10">
        <v>0.43449063941285798</v>
      </c>
      <c r="K1106" s="10">
        <v>0.46487606999999997</v>
      </c>
      <c r="L1106" s="10">
        <v>0.63544173500000001</v>
      </c>
      <c r="M1106" s="10">
        <v>0.78499956400000004</v>
      </c>
      <c r="N1106" s="10">
        <v>-0.47906125100000002</v>
      </c>
      <c r="O1106" s="9">
        <v>0.35156402975000001</v>
      </c>
      <c r="P1106" s="10">
        <v>0.56898473599187205</v>
      </c>
      <c r="Q1106" s="10">
        <v>0.32374362979174098</v>
      </c>
    </row>
    <row r="1107" spans="1:17" x14ac:dyDescent="0.2">
      <c r="A1107" s="10">
        <v>1711</v>
      </c>
      <c r="B1107" s="10" t="s">
        <v>79</v>
      </c>
      <c r="C1107" s="9" t="s">
        <v>1000</v>
      </c>
      <c r="D1107" s="10">
        <v>0.223068394</v>
      </c>
      <c r="E1107" s="10">
        <v>-0.51827167600000001</v>
      </c>
      <c r="F1107" s="10">
        <v>-0.81229711400000004</v>
      </c>
      <c r="G1107" s="10">
        <v>0.57276515699999997</v>
      </c>
      <c r="H1107" s="9">
        <v>-0.13368380974999999</v>
      </c>
      <c r="I1107" s="10">
        <v>0.64155179605766699</v>
      </c>
      <c r="J1107" s="10">
        <v>0.41158870702481798</v>
      </c>
      <c r="K1107" s="10">
        <v>-0.38998707199999999</v>
      </c>
      <c r="L1107" s="10">
        <v>-0.46625554800000002</v>
      </c>
      <c r="M1107" s="10">
        <v>1.467880434</v>
      </c>
      <c r="N1107" s="10">
        <v>-0.24306512599999999</v>
      </c>
      <c r="O1107" s="9">
        <v>9.2143172250000002E-2</v>
      </c>
      <c r="P1107" s="10">
        <v>0.92182361287837999</v>
      </c>
      <c r="Q1107" s="10">
        <v>0.84975877326015004</v>
      </c>
    </row>
    <row r="1108" spans="1:17" x14ac:dyDescent="0.2">
      <c r="A1108" s="10">
        <v>1711</v>
      </c>
      <c r="B1108" s="10" t="s">
        <v>2824</v>
      </c>
      <c r="C1108" s="9" t="s">
        <v>1001</v>
      </c>
      <c r="D1108" s="10">
        <v>-0.43751629800000003</v>
      </c>
      <c r="E1108" s="10">
        <v>0.89941606799999996</v>
      </c>
      <c r="F1108" s="10">
        <v>-0.95744578700000005</v>
      </c>
      <c r="G1108" s="10">
        <v>0.33826780899999997</v>
      </c>
      <c r="H1108" s="9">
        <v>-3.9319552000000001E-2</v>
      </c>
      <c r="I1108" s="10">
        <v>0.82164737192301496</v>
      </c>
      <c r="J1108" s="10">
        <v>0.67510440378799697</v>
      </c>
      <c r="K1108" s="10">
        <v>0.61232399999999998</v>
      </c>
      <c r="L1108" s="10">
        <v>-0.33973837699999998</v>
      </c>
      <c r="M1108" s="10">
        <v>0.14229233899999999</v>
      </c>
      <c r="N1108" s="10">
        <v>0.520902902</v>
      </c>
      <c r="O1108" s="9">
        <v>0.23394521625</v>
      </c>
      <c r="P1108" s="10">
        <v>0.433216009428537</v>
      </c>
      <c r="Q1108" s="10">
        <v>0.18767611082518601</v>
      </c>
    </row>
    <row r="1109" spans="1:17" x14ac:dyDescent="0.2">
      <c r="A1109" s="10">
        <v>1711</v>
      </c>
      <c r="B1109" s="10" t="s">
        <v>82</v>
      </c>
      <c r="C1109" s="9" t="s">
        <v>1002</v>
      </c>
      <c r="D1109" s="10">
        <v>-0.15602385699999999</v>
      </c>
      <c r="E1109" s="10">
        <v>0.22672894800000001</v>
      </c>
      <c r="F1109" s="10">
        <v>-0.120266603</v>
      </c>
      <c r="G1109" s="10">
        <v>-0.148412143</v>
      </c>
      <c r="H1109" s="9">
        <v>-4.94934135E-2</v>
      </c>
      <c r="I1109" s="10">
        <v>0.18478932850035801</v>
      </c>
      <c r="J1109" s="10">
        <v>3.4147095927613398E-2</v>
      </c>
      <c r="K1109" s="10">
        <v>0.20392401399999999</v>
      </c>
      <c r="L1109" s="10">
        <v>5.5362793E-2</v>
      </c>
      <c r="M1109" s="10">
        <v>1.010459258</v>
      </c>
      <c r="N1109" s="10">
        <v>0.31540105200000002</v>
      </c>
      <c r="O1109" s="9">
        <v>0.39628677925</v>
      </c>
      <c r="P1109" s="10">
        <v>0.423077192476699</v>
      </c>
      <c r="Q1109" s="10">
        <v>0.17899431079396499</v>
      </c>
    </row>
    <row r="1110" spans="1:17" x14ac:dyDescent="0.2">
      <c r="A1110" s="10">
        <v>1711</v>
      </c>
      <c r="B1110" s="10" t="s">
        <v>74</v>
      </c>
      <c r="C1110" s="9" t="s">
        <v>1003</v>
      </c>
      <c r="D1110" s="10">
        <v>0.28804405799999999</v>
      </c>
      <c r="E1110" s="10">
        <v>0.38840761899999998</v>
      </c>
      <c r="F1110" s="10">
        <v>0.37479873699999999</v>
      </c>
      <c r="G1110" s="10">
        <v>-0.119693408</v>
      </c>
      <c r="H1110" s="9">
        <v>0.23288925150000001</v>
      </c>
      <c r="I1110" s="10">
        <v>0.23922154945077201</v>
      </c>
      <c r="J1110" s="10">
        <v>5.7226949721628298E-2</v>
      </c>
      <c r="K1110" s="10">
        <v>-0.145015066</v>
      </c>
      <c r="L1110" s="10">
        <v>-0.32266731999999998</v>
      </c>
      <c r="M1110" s="10">
        <v>0.79216609699999996</v>
      </c>
      <c r="N1110" s="10">
        <v>-6.6016928000000002E-2</v>
      </c>
      <c r="O1110" s="9">
        <v>6.4616695749999994E-2</v>
      </c>
      <c r="P1110" s="10">
        <v>0.49676542395217199</v>
      </c>
      <c r="Q1110" s="10">
        <v>0.246775886434381</v>
      </c>
    </row>
    <row r="1111" spans="1:17" x14ac:dyDescent="0.2">
      <c r="A1111" s="10">
        <v>1711</v>
      </c>
      <c r="B1111" s="10" t="s">
        <v>2818</v>
      </c>
      <c r="C1111" s="9" t="s">
        <v>1004</v>
      </c>
      <c r="D1111" s="10">
        <v>-4.0706568999999998E-2</v>
      </c>
      <c r="E1111" s="10">
        <v>0.109317546</v>
      </c>
      <c r="F1111" s="10">
        <v>-0.462930489</v>
      </c>
      <c r="G1111" s="10">
        <v>-2.3905547999999999E-2</v>
      </c>
      <c r="H1111" s="9">
        <v>-0.104556265</v>
      </c>
      <c r="I1111" s="10">
        <v>0.24816353028542301</v>
      </c>
      <c r="J1111" s="10">
        <v>6.1585137763724103E-2</v>
      </c>
      <c r="K1111" s="10">
        <v>-0.37579240000000003</v>
      </c>
      <c r="L1111" s="10">
        <v>4.0231549999999998E-2</v>
      </c>
      <c r="M1111" s="10">
        <v>-0.17330310800000001</v>
      </c>
      <c r="N1111" s="10">
        <v>2.8842749999999999E-3</v>
      </c>
      <c r="O1111" s="9">
        <v>-0.12649492074999999</v>
      </c>
      <c r="P1111" s="10">
        <v>0.19050540840590499</v>
      </c>
      <c r="Q1111" s="10">
        <v>3.6292310631900797E-2</v>
      </c>
    </row>
    <row r="1112" spans="1:17" x14ac:dyDescent="0.2">
      <c r="A1112" s="10">
        <v>1711</v>
      </c>
      <c r="B1112" s="10" t="s">
        <v>2830</v>
      </c>
      <c r="C1112" s="9" t="s">
        <v>2404</v>
      </c>
      <c r="D1112" s="10">
        <v>0.32038539399999999</v>
      </c>
      <c r="E1112" s="10">
        <v>2.5656030999999999E-2</v>
      </c>
      <c r="F1112" s="10">
        <v>-0.80365425300000004</v>
      </c>
      <c r="G1112" s="10">
        <v>0.12913803200000001</v>
      </c>
      <c r="H1112" s="9">
        <v>-8.2118698749999997E-2</v>
      </c>
      <c r="I1112" s="10">
        <v>0.49627542735434599</v>
      </c>
      <c r="J1112" s="10">
        <v>0.24628929979573899</v>
      </c>
      <c r="K1112" s="10">
        <v>-0.60531083200000002</v>
      </c>
      <c r="L1112" s="10">
        <v>-0.269538047</v>
      </c>
      <c r="M1112" s="10">
        <v>0.60948994099999998</v>
      </c>
      <c r="N1112" s="10">
        <v>0.671940906</v>
      </c>
      <c r="O1112" s="9">
        <v>0.101645492</v>
      </c>
      <c r="P1112" s="10">
        <v>0.63788904658979195</v>
      </c>
      <c r="Q1112" s="10">
        <v>0.40690243575923402</v>
      </c>
    </row>
    <row r="1113" spans="1:17" x14ac:dyDescent="0.2">
      <c r="A1113" s="10">
        <v>1711</v>
      </c>
      <c r="B1113" s="10" t="s">
        <v>2835</v>
      </c>
      <c r="C1113" s="9" t="s">
        <v>2403</v>
      </c>
      <c r="D1113" s="10">
        <v>-0.63438100799999997</v>
      </c>
      <c r="E1113" s="10">
        <v>-0.68232262899999996</v>
      </c>
      <c r="F1113" s="10">
        <v>-0.69174164699999996</v>
      </c>
      <c r="G1113" s="10">
        <v>-0.46306778100000001</v>
      </c>
      <c r="H1113" s="9">
        <v>-0.6178782665</v>
      </c>
      <c r="I1113" s="10">
        <v>0.10621911587952</v>
      </c>
      <c r="J1113" s="10">
        <v>1.12825005782269E-2</v>
      </c>
      <c r="K1113" s="10">
        <v>-6.0171543000000001E-2</v>
      </c>
      <c r="L1113" s="10">
        <v>-0.34282657</v>
      </c>
      <c r="M1113" s="10">
        <v>-0.38296829500000001</v>
      </c>
      <c r="N1113" s="10">
        <v>0.38808122699999997</v>
      </c>
      <c r="O1113" s="9">
        <v>-9.9471295249999994E-2</v>
      </c>
      <c r="P1113" s="10">
        <v>0.35536097661164501</v>
      </c>
      <c r="Q1113" s="10">
        <v>0.12628142369838199</v>
      </c>
    </row>
    <row r="1114" spans="1:17" x14ac:dyDescent="0.2">
      <c r="A1114" s="10">
        <v>1712</v>
      </c>
      <c r="B1114" s="10" t="s">
        <v>2821</v>
      </c>
      <c r="C1114" s="9" t="s">
        <v>1005</v>
      </c>
      <c r="D1114" s="10">
        <v>-1.925872619</v>
      </c>
      <c r="E1114" s="10">
        <v>-1.125202042</v>
      </c>
      <c r="F1114" s="10">
        <v>-2.0263875339999999</v>
      </c>
      <c r="G1114" s="10">
        <v>-1.658494616</v>
      </c>
      <c r="H1114" s="9">
        <v>-1.6839892027500001</v>
      </c>
      <c r="I1114" s="10">
        <v>0.40358281647932498</v>
      </c>
      <c r="J1114" s="10">
        <v>0.16287908975738499</v>
      </c>
      <c r="K1114" s="10">
        <v>0.19760222699999999</v>
      </c>
      <c r="L1114" s="10">
        <v>4.1588577000000002E-2</v>
      </c>
      <c r="M1114" s="10">
        <v>-0.29266626499999998</v>
      </c>
      <c r="N1114" s="10">
        <v>-0.26450080300000001</v>
      </c>
      <c r="O1114" s="9">
        <v>-7.9494066249999995E-2</v>
      </c>
      <c r="P1114" s="10">
        <v>0.238825767169353</v>
      </c>
      <c r="Q1114" s="10">
        <v>5.7037747064030003E-2</v>
      </c>
    </row>
    <row r="1115" spans="1:17" x14ac:dyDescent="0.2">
      <c r="A1115" s="10">
        <v>1712</v>
      </c>
      <c r="B1115" s="10" t="s">
        <v>79</v>
      </c>
      <c r="C1115" s="9" t="s">
        <v>2402</v>
      </c>
      <c r="D1115" s="10">
        <v>-0.72203256400000004</v>
      </c>
      <c r="E1115" s="10">
        <v>-0.33089979000000003</v>
      </c>
      <c r="F1115" s="10">
        <v>-0.25856255</v>
      </c>
      <c r="G1115" s="10">
        <v>-0.20169938900000001</v>
      </c>
      <c r="H1115" s="9">
        <v>-0.37829857324999999</v>
      </c>
      <c r="I1115" s="10">
        <v>0.235176308466642</v>
      </c>
      <c r="J1115" s="10">
        <v>5.5307896063997102E-2</v>
      </c>
      <c r="K1115" s="10">
        <v>-9.9258309000000003E-2</v>
      </c>
      <c r="L1115" s="10">
        <v>0.49614660599999999</v>
      </c>
      <c r="M1115" s="10">
        <v>-6.9779982000000004E-2</v>
      </c>
      <c r="N1115" s="10">
        <v>-0.424936394</v>
      </c>
      <c r="O1115" s="9">
        <v>-2.445701975E-2</v>
      </c>
      <c r="P1115" s="10">
        <v>0.38256209436041999</v>
      </c>
      <c r="Q1115" s="10">
        <v>0.146353756041431</v>
      </c>
    </row>
    <row r="1116" spans="1:17" x14ac:dyDescent="0.2">
      <c r="A1116" s="10">
        <v>1712</v>
      </c>
      <c r="B1116" s="10" t="s">
        <v>82</v>
      </c>
      <c r="C1116" s="9" t="s">
        <v>2401</v>
      </c>
      <c r="D1116" s="10">
        <v>0.50358905099999995</v>
      </c>
      <c r="E1116" s="10">
        <v>-0.26557648099999998</v>
      </c>
      <c r="F1116" s="10">
        <v>2.0116447229999999</v>
      </c>
      <c r="G1116" s="10">
        <v>-0.19662001700000001</v>
      </c>
      <c r="H1116" s="9">
        <v>0.51325931874999997</v>
      </c>
      <c r="I1116" s="10">
        <v>1.05763355469413</v>
      </c>
      <c r="J1116" s="10">
        <v>1.11858873601495</v>
      </c>
      <c r="K1116" s="10">
        <v>0.23909934699999999</v>
      </c>
      <c r="L1116" s="10">
        <v>-1.0620853480000001</v>
      </c>
      <c r="M1116" s="10">
        <v>1.5445914110000001</v>
      </c>
      <c r="N1116" s="10">
        <v>0.98001419599999995</v>
      </c>
      <c r="O1116" s="9">
        <v>0.42540490125000002</v>
      </c>
      <c r="P1116" s="10">
        <v>1.1265739973606801</v>
      </c>
      <c r="Q1116" s="10">
        <v>1.26916897152923</v>
      </c>
    </row>
    <row r="1117" spans="1:17" x14ac:dyDescent="0.2">
      <c r="A1117" s="10">
        <v>1712</v>
      </c>
      <c r="B1117" s="10" t="s">
        <v>2814</v>
      </c>
      <c r="C1117" s="9" t="s">
        <v>1006</v>
      </c>
      <c r="D1117" s="10">
        <v>1.0151091999999999</v>
      </c>
      <c r="E1117" s="10">
        <v>-0.67900192699999995</v>
      </c>
      <c r="F1117" s="10">
        <v>-2.1833299799999999</v>
      </c>
      <c r="G1117" s="10">
        <v>-6.4959949229999996</v>
      </c>
      <c r="H1117" s="9">
        <v>-2.0858044075</v>
      </c>
      <c r="I1117" s="10">
        <v>3.2173513972737</v>
      </c>
      <c r="J1117" s="10">
        <v>10.351350013538999</v>
      </c>
      <c r="K1117" s="10">
        <v>-0.76389185199999998</v>
      </c>
      <c r="L1117" s="10">
        <v>-0.87920697400000003</v>
      </c>
      <c r="M1117" s="10">
        <v>-5.359418539</v>
      </c>
      <c r="N1117" s="10">
        <v>-0.88190988199999998</v>
      </c>
      <c r="O1117" s="9">
        <v>-1.9711068117499999</v>
      </c>
      <c r="P1117" s="10">
        <v>2.2595441669740501</v>
      </c>
      <c r="Q1117" s="10">
        <v>5.1055398425064498</v>
      </c>
    </row>
    <row r="1118" spans="1:17" x14ac:dyDescent="0.2">
      <c r="A1118" s="10">
        <v>1712</v>
      </c>
      <c r="B1118" s="10" t="s">
        <v>74</v>
      </c>
      <c r="C1118" s="9" t="s">
        <v>1007</v>
      </c>
      <c r="D1118" s="10">
        <v>0.443777123</v>
      </c>
      <c r="E1118" s="10">
        <v>0.14041705099999999</v>
      </c>
      <c r="F1118" s="10">
        <v>0.116370403</v>
      </c>
      <c r="G1118" s="10">
        <v>0.46018973000000002</v>
      </c>
      <c r="H1118" s="9">
        <v>0.29018857674999998</v>
      </c>
      <c r="I1118" s="10">
        <v>0.187202297970926</v>
      </c>
      <c r="J1118" s="10">
        <v>3.5044700365595399E-2</v>
      </c>
      <c r="K1118" s="10">
        <v>-0.29277460500000002</v>
      </c>
      <c r="L1118" s="10">
        <v>-0.29722926399999999</v>
      </c>
      <c r="M1118" s="10">
        <v>0.577712165</v>
      </c>
      <c r="N1118" s="10">
        <v>0.749593544</v>
      </c>
      <c r="O1118" s="9">
        <v>0.18432546</v>
      </c>
      <c r="P1118" s="10">
        <v>0.55791293546858101</v>
      </c>
      <c r="Q1118" s="10">
        <v>0.31126684356316903</v>
      </c>
    </row>
    <row r="1119" spans="1:17" x14ac:dyDescent="0.2">
      <c r="A1119" s="10">
        <v>1712</v>
      </c>
      <c r="B1119" s="10" t="s">
        <v>2818</v>
      </c>
      <c r="C1119" s="9" t="s">
        <v>2400</v>
      </c>
      <c r="D1119" s="10">
        <v>0.32227493899999998</v>
      </c>
      <c r="E1119" s="10">
        <v>-0.157471099</v>
      </c>
      <c r="F1119" s="10">
        <v>-0.435659079</v>
      </c>
      <c r="G1119" s="10">
        <v>-0.46489898000000002</v>
      </c>
      <c r="H1119" s="9">
        <v>-0.18393855475000001</v>
      </c>
      <c r="I1119" s="10">
        <v>0.36480799075395498</v>
      </c>
      <c r="J1119" s="10">
        <v>0.13308487011793799</v>
      </c>
      <c r="K1119" s="10">
        <v>0.101425815</v>
      </c>
      <c r="L1119" s="10">
        <v>-5.2957275999999998E-2</v>
      </c>
      <c r="M1119" s="10">
        <v>-0.663578903</v>
      </c>
      <c r="N1119" s="10">
        <v>4.8138350000000003E-2</v>
      </c>
      <c r="O1119" s="9">
        <v>-0.14174300325</v>
      </c>
      <c r="P1119" s="10">
        <v>0.35373323946742502</v>
      </c>
      <c r="Q1119" s="10">
        <v>0.12512720470411801</v>
      </c>
    </row>
    <row r="1120" spans="1:17" x14ac:dyDescent="0.2">
      <c r="A1120" s="10">
        <v>1712</v>
      </c>
      <c r="B1120" s="10" t="s">
        <v>2830</v>
      </c>
      <c r="C1120" s="9" t="s">
        <v>2399</v>
      </c>
      <c r="D1120" s="10">
        <v>-0.35809607300000001</v>
      </c>
      <c r="E1120" s="10">
        <v>-0.22493395899999999</v>
      </c>
      <c r="F1120" s="10">
        <v>-3.2483795000000003E-2</v>
      </c>
      <c r="G1120" s="10">
        <v>-0.390274397</v>
      </c>
      <c r="H1120" s="9">
        <v>-0.251447056</v>
      </c>
      <c r="I1120" s="10">
        <v>0.16257808115536501</v>
      </c>
      <c r="J1120" s="10">
        <v>2.6431632472160699E-2</v>
      </c>
      <c r="K1120" s="10">
        <v>0.34997810899999998</v>
      </c>
      <c r="L1120" s="10">
        <v>2.1016803000000001E-2</v>
      </c>
      <c r="M1120" s="10">
        <v>0.21659667199999999</v>
      </c>
      <c r="N1120" s="10">
        <v>0.13865559099999999</v>
      </c>
      <c r="O1120" s="9">
        <v>0.18156179350000001</v>
      </c>
      <c r="P1120" s="10">
        <v>0.13809071200449</v>
      </c>
      <c r="Q1120" s="10">
        <v>1.9069044741907099E-2</v>
      </c>
    </row>
    <row r="1121" spans="1:17" x14ac:dyDescent="0.2">
      <c r="A1121" s="10">
        <v>1713</v>
      </c>
      <c r="B1121" s="10" t="s">
        <v>2831</v>
      </c>
      <c r="C1121" s="9" t="s">
        <v>1008</v>
      </c>
      <c r="D1121" s="10">
        <v>-3.7363298390000002</v>
      </c>
      <c r="E1121" s="10">
        <v>-1.162912376</v>
      </c>
      <c r="F1121" s="10">
        <v>-2.055342</v>
      </c>
      <c r="G1121" s="10">
        <v>-1.993887314</v>
      </c>
      <c r="H1121" s="9">
        <v>-2.2371178822500002</v>
      </c>
      <c r="I1121" s="10">
        <v>1.0791597876154899</v>
      </c>
      <c r="J1121" s="10">
        <v>1.16458584720632</v>
      </c>
      <c r="K1121" s="10">
        <v>-0.41364973999999999</v>
      </c>
      <c r="L1121" s="10">
        <v>9.8371952999999998E-2</v>
      </c>
      <c r="M1121" s="10">
        <v>-0.15760220799999999</v>
      </c>
      <c r="N1121" s="10">
        <v>-0.24286772300000001</v>
      </c>
      <c r="O1121" s="9">
        <v>-0.17893692975</v>
      </c>
      <c r="P1121" s="10">
        <v>0.21333278887318199</v>
      </c>
      <c r="Q1121" s="10">
        <v>4.5510878808409899E-2</v>
      </c>
    </row>
    <row r="1122" spans="1:17" x14ac:dyDescent="0.2">
      <c r="A1122" s="10">
        <v>1713</v>
      </c>
      <c r="B1122" s="10" t="s">
        <v>2822</v>
      </c>
      <c r="C1122" s="9" t="s">
        <v>1009</v>
      </c>
      <c r="D1122" s="10">
        <v>-0.85009783699999997</v>
      </c>
      <c r="E1122" s="10">
        <v>-1.0267838119999999</v>
      </c>
      <c r="F1122" s="10">
        <v>-1.3252992079999999</v>
      </c>
      <c r="G1122" s="10">
        <v>-1.0227907810000001</v>
      </c>
      <c r="H1122" s="9">
        <v>-1.0562429095000001</v>
      </c>
      <c r="I1122" s="10">
        <v>0.197377781597664</v>
      </c>
      <c r="J1122" s="10">
        <v>3.8957988668415398E-2</v>
      </c>
      <c r="K1122" s="10">
        <v>-2.6124949999999998E-3</v>
      </c>
      <c r="L1122" s="10">
        <v>-0.14054639399999999</v>
      </c>
      <c r="M1122" s="10">
        <v>-0.206804876</v>
      </c>
      <c r="N1122" s="10">
        <v>-0.30470668400000001</v>
      </c>
      <c r="O1122" s="9">
        <v>-0.16366761225000001</v>
      </c>
      <c r="P1122" s="10">
        <v>0.12678878079929301</v>
      </c>
      <c r="Q1122" s="10">
        <v>1.6075394936571299E-2</v>
      </c>
    </row>
    <row r="1123" spans="1:17" x14ac:dyDescent="0.2">
      <c r="A1123" s="10">
        <v>1713</v>
      </c>
      <c r="B1123" s="10" t="s">
        <v>2823</v>
      </c>
      <c r="C1123" s="9" t="s">
        <v>1010</v>
      </c>
      <c r="D1123" s="10">
        <v>-1.714690528</v>
      </c>
      <c r="E1123" s="10">
        <v>-1.4563128080000001</v>
      </c>
      <c r="F1123" s="10">
        <v>-1.4878634900000001</v>
      </c>
      <c r="G1123" s="10">
        <v>-2.1771842440000002</v>
      </c>
      <c r="H1123" s="9">
        <v>-1.70901276775</v>
      </c>
      <c r="I1123" s="10">
        <v>0.33265649993276802</v>
      </c>
      <c r="J1123" s="10">
        <v>0.110660346947519</v>
      </c>
      <c r="K1123" s="10">
        <v>-0.701597633</v>
      </c>
      <c r="L1123" s="10">
        <v>-0.32760410699999998</v>
      </c>
      <c r="M1123" s="10">
        <v>-0.52442038300000005</v>
      </c>
      <c r="N1123" s="10">
        <v>3.6577973999999999E-2</v>
      </c>
      <c r="O1123" s="9">
        <v>-0.37926103724999999</v>
      </c>
      <c r="P1123" s="10">
        <v>0.31652416355285201</v>
      </c>
      <c r="Q1123" s="10">
        <v>0.100187546112832</v>
      </c>
    </row>
    <row r="1124" spans="1:17" x14ac:dyDescent="0.2">
      <c r="A1124" s="10">
        <v>1713</v>
      </c>
      <c r="B1124" s="10" t="s">
        <v>2819</v>
      </c>
      <c r="C1124" s="9" t="s">
        <v>1011</v>
      </c>
      <c r="D1124" s="10">
        <v>-1.5452878379999999</v>
      </c>
      <c r="E1124" s="10">
        <v>-1.5791195739999999</v>
      </c>
      <c r="F1124" s="10">
        <v>-0.882551851</v>
      </c>
      <c r="G1124" s="10">
        <v>-1.898499001</v>
      </c>
      <c r="H1124" s="9">
        <v>-1.47636456625</v>
      </c>
      <c r="I1124" s="10">
        <v>0.426661470333216</v>
      </c>
      <c r="J1124" s="10">
        <v>0.182040010266902</v>
      </c>
      <c r="K1124" s="10">
        <v>-0.25172273499999998</v>
      </c>
      <c r="L1124" s="10">
        <v>0.104187484</v>
      </c>
      <c r="M1124" s="10">
        <v>-4.4532056E-2</v>
      </c>
      <c r="N1124" s="10">
        <v>0.31114501700000002</v>
      </c>
      <c r="O1124" s="9">
        <v>2.9769427500000001E-2</v>
      </c>
      <c r="P1124" s="10">
        <v>0.23767542117976501</v>
      </c>
      <c r="Q1124" s="10">
        <v>5.6489605832978899E-2</v>
      </c>
    </row>
    <row r="1125" spans="1:17" x14ac:dyDescent="0.2">
      <c r="A1125" s="10">
        <v>1713</v>
      </c>
      <c r="B1125" s="10" t="s">
        <v>2834</v>
      </c>
      <c r="C1125" s="9" t="s">
        <v>2398</v>
      </c>
      <c r="D1125" s="10">
        <v>-1.6322616350000001</v>
      </c>
      <c r="E1125" s="10">
        <v>-1.1483818619999999</v>
      </c>
      <c r="F1125" s="10">
        <v>-1.189392966</v>
      </c>
      <c r="G1125" s="10">
        <v>-1.4957690029999999</v>
      </c>
      <c r="H1125" s="9">
        <v>-1.3664513665</v>
      </c>
      <c r="I1125" s="10">
        <v>0.23543019908986601</v>
      </c>
      <c r="J1125" s="10">
        <v>5.5427378643494001E-2</v>
      </c>
      <c r="K1125" s="10">
        <v>-0.19413886299999999</v>
      </c>
      <c r="L1125" s="10">
        <v>0.12950146400000001</v>
      </c>
      <c r="M1125" s="10">
        <v>-0.29956180599999999</v>
      </c>
      <c r="N1125" s="10">
        <v>-0.33176139300000002</v>
      </c>
      <c r="O1125" s="9">
        <v>-0.17399014925</v>
      </c>
      <c r="P1125" s="10">
        <v>0.21069182574891099</v>
      </c>
      <c r="Q1125" s="10">
        <v>4.4391045437409501E-2</v>
      </c>
    </row>
    <row r="1126" spans="1:17" x14ac:dyDescent="0.2">
      <c r="A1126" s="10">
        <v>1713</v>
      </c>
      <c r="B1126" s="10" t="s">
        <v>2824</v>
      </c>
      <c r="C1126" s="9" t="s">
        <v>1012</v>
      </c>
      <c r="D1126" s="10">
        <v>0.564554165</v>
      </c>
      <c r="E1126" s="10">
        <v>2.1850439999999999E-2</v>
      </c>
      <c r="F1126" s="10">
        <v>-0.48449822100000001</v>
      </c>
      <c r="G1126" s="10">
        <v>0.101122582</v>
      </c>
      <c r="H1126" s="9">
        <v>5.0757241750000001E-2</v>
      </c>
      <c r="I1126" s="10">
        <v>0.42967350373308399</v>
      </c>
      <c r="J1126" s="10">
        <v>0.184619319810265</v>
      </c>
      <c r="K1126" s="10">
        <v>0.186143216</v>
      </c>
      <c r="L1126" s="10">
        <v>9.1738377999999995E-2</v>
      </c>
      <c r="M1126" s="10">
        <v>-5.5545878E-2</v>
      </c>
      <c r="N1126" s="10">
        <v>0.43358572699999998</v>
      </c>
      <c r="O1126" s="9">
        <v>0.16398036075</v>
      </c>
      <c r="P1126" s="10">
        <v>0.20541739559167599</v>
      </c>
      <c r="Q1126" s="10">
        <v>4.2196306411667397E-2</v>
      </c>
    </row>
    <row r="1127" spans="1:17" x14ac:dyDescent="0.2">
      <c r="A1127" s="10">
        <v>1713</v>
      </c>
      <c r="B1127" s="10" t="s">
        <v>2814</v>
      </c>
      <c r="C1127" s="9" t="s">
        <v>1013</v>
      </c>
      <c r="D1127" s="10">
        <v>-2.4574258090000001</v>
      </c>
      <c r="E1127" s="10">
        <v>-0.37027528700000001</v>
      </c>
      <c r="F1127" s="10">
        <v>-2.2160431200000001</v>
      </c>
      <c r="G1127" s="10">
        <v>-0.39367199000000003</v>
      </c>
      <c r="H1127" s="9">
        <v>-1.35935405175</v>
      </c>
      <c r="I1127" s="10">
        <v>1.1329160591138601</v>
      </c>
      <c r="J1127" s="10">
        <v>1.28349879699809</v>
      </c>
      <c r="K1127" s="10">
        <v>-0.79784497099999996</v>
      </c>
      <c r="L1127" s="10">
        <v>-0.33985684799999999</v>
      </c>
      <c r="M1127" s="10">
        <v>0.427031202</v>
      </c>
      <c r="N1127" s="10">
        <v>0.59502822399999999</v>
      </c>
      <c r="O1127" s="9">
        <v>-2.8910598249999999E-2</v>
      </c>
      <c r="P1127" s="10">
        <v>0.65450495769855199</v>
      </c>
      <c r="Q1127" s="10">
        <v>0.42837673965198397</v>
      </c>
    </row>
    <row r="1128" spans="1:17" x14ac:dyDescent="0.2">
      <c r="A1128" s="10">
        <v>1713</v>
      </c>
      <c r="B1128" s="10" t="s">
        <v>2833</v>
      </c>
      <c r="C1128" s="9" t="s">
        <v>2397</v>
      </c>
      <c r="D1128" s="10">
        <v>-1.8017818109999999</v>
      </c>
      <c r="E1128" s="10">
        <v>-1.756625766</v>
      </c>
      <c r="F1128" s="10">
        <v>-2.2338933179999998</v>
      </c>
      <c r="G1128" s="10">
        <v>-1.4978262440000001</v>
      </c>
      <c r="H1128" s="9">
        <v>-1.82253178475</v>
      </c>
      <c r="I1128" s="10">
        <v>0.30519183254123999</v>
      </c>
      <c r="J1128" s="10">
        <v>9.3142054649880499E-2</v>
      </c>
      <c r="K1128" s="10">
        <v>0.59227601799999996</v>
      </c>
      <c r="L1128" s="10">
        <v>3.8184379999999997E-2</v>
      </c>
      <c r="M1128" s="10">
        <v>0.48030935899999999</v>
      </c>
      <c r="N1128" s="10">
        <v>-0.41554774799999999</v>
      </c>
      <c r="O1128" s="9">
        <v>0.17380550224999999</v>
      </c>
      <c r="P1128" s="10">
        <v>0.459997293156993</v>
      </c>
      <c r="Q1128" s="10">
        <v>0.211597509711761</v>
      </c>
    </row>
    <row r="1129" spans="1:17" x14ac:dyDescent="0.2">
      <c r="A1129" s="10">
        <v>1713</v>
      </c>
      <c r="B1129" s="10" t="s">
        <v>2825</v>
      </c>
      <c r="C1129" s="9" t="s">
        <v>1014</v>
      </c>
      <c r="D1129" s="10">
        <v>-1.7346399830000001</v>
      </c>
      <c r="E1129" s="10">
        <v>-1.607766671</v>
      </c>
      <c r="F1129" s="10">
        <v>-0.81646792599999995</v>
      </c>
      <c r="G1129" s="10">
        <v>-1.841650303</v>
      </c>
      <c r="H1129" s="9">
        <v>-1.5001312207499999</v>
      </c>
      <c r="I1129" s="10">
        <v>0.46569322300267402</v>
      </c>
      <c r="J1129" s="10">
        <v>0.216870177950618</v>
      </c>
      <c r="K1129" s="10">
        <v>-0.112862219</v>
      </c>
      <c r="L1129" s="10">
        <v>0.26582982300000002</v>
      </c>
      <c r="M1129" s="10">
        <v>-0.59095098499999998</v>
      </c>
      <c r="N1129" s="10">
        <v>-0.68542952800000001</v>
      </c>
      <c r="O1129" s="9">
        <v>-0.28085322725</v>
      </c>
      <c r="P1129" s="10">
        <v>0.44231434477214099</v>
      </c>
      <c r="Q1129" s="10">
        <v>0.19564197959120899</v>
      </c>
    </row>
    <row r="1130" spans="1:17" x14ac:dyDescent="0.2">
      <c r="A1130" s="10">
        <v>1713</v>
      </c>
      <c r="B1130" s="10" t="s">
        <v>74</v>
      </c>
      <c r="C1130" s="9" t="s">
        <v>2396</v>
      </c>
      <c r="D1130" s="10">
        <v>-1.430204807</v>
      </c>
      <c r="E1130" s="10">
        <v>-1.451363146</v>
      </c>
      <c r="F1130" s="10">
        <v>-1.7128588360000001</v>
      </c>
      <c r="G1130" s="10">
        <v>-1.476992971</v>
      </c>
      <c r="H1130" s="9">
        <v>-1.5178549400000001</v>
      </c>
      <c r="I1130" s="10">
        <v>0.131402593137771</v>
      </c>
      <c r="J1130" s="10">
        <v>1.72666414833306E-2</v>
      </c>
      <c r="K1130" s="10">
        <v>-0.17559135400000001</v>
      </c>
      <c r="L1130" s="10">
        <v>-0.18099636899999999</v>
      </c>
      <c r="M1130" s="10">
        <v>3.0369112E-2</v>
      </c>
      <c r="N1130" s="10">
        <v>0.26488936800000001</v>
      </c>
      <c r="O1130" s="9">
        <v>-1.5332311E-2</v>
      </c>
      <c r="P1130" s="10">
        <v>0.21114004074871501</v>
      </c>
      <c r="Q1130" s="10">
        <v>4.4580116807369001E-2</v>
      </c>
    </row>
    <row r="1131" spans="1:17" x14ac:dyDescent="0.2">
      <c r="A1131" s="10">
        <v>1713</v>
      </c>
      <c r="B1131" s="10" t="s">
        <v>2818</v>
      </c>
      <c r="C1131" s="9" t="s">
        <v>2395</v>
      </c>
      <c r="D1131" s="10">
        <v>-0.97295110799999995</v>
      </c>
      <c r="E1131" s="10">
        <v>-0.71530909600000003</v>
      </c>
      <c r="F1131" s="10">
        <v>-1.233258505</v>
      </c>
      <c r="G1131" s="10">
        <v>-0.367081769</v>
      </c>
      <c r="H1131" s="9">
        <v>-0.82215011974999996</v>
      </c>
      <c r="I1131" s="10">
        <v>0.36979870681687999</v>
      </c>
      <c r="J1131" s="10">
        <v>0.13675108356343699</v>
      </c>
      <c r="K1131" s="10">
        <v>-0.13904803800000001</v>
      </c>
      <c r="L1131" s="10">
        <v>0.62775556499999996</v>
      </c>
      <c r="M1131" s="10">
        <v>-0.456183385</v>
      </c>
      <c r="N1131" s="10">
        <v>-0.36881623000000002</v>
      </c>
      <c r="O1131" s="9">
        <v>-8.4073021999999997E-2</v>
      </c>
      <c r="P1131" s="10">
        <v>0.49304056844872901</v>
      </c>
      <c r="Q1131" s="10">
        <v>0.24308900213624601</v>
      </c>
    </row>
    <row r="1132" spans="1:17" x14ac:dyDescent="0.2">
      <c r="A1132" s="10">
        <v>1713</v>
      </c>
      <c r="B1132" s="10" t="s">
        <v>2835</v>
      </c>
      <c r="C1132" s="9" t="s">
        <v>2394</v>
      </c>
      <c r="D1132" s="10">
        <v>-2.1008046199999999</v>
      </c>
      <c r="E1132" s="10">
        <v>-0.97881581200000001</v>
      </c>
      <c r="F1132" s="10">
        <v>-2.6867531389999999</v>
      </c>
      <c r="G1132" s="10">
        <v>-3.41357401</v>
      </c>
      <c r="H1132" s="9">
        <v>-2.2949868952500001</v>
      </c>
      <c r="I1132" s="10">
        <v>1.02870970952798</v>
      </c>
      <c r="J1132" s="10">
        <v>1.05824366647715</v>
      </c>
      <c r="K1132" s="10">
        <v>-0.51435364699999997</v>
      </c>
      <c r="L1132" s="10">
        <v>-0.54315478100000003</v>
      </c>
      <c r="M1132" s="10">
        <v>-8.3728970999999999E-2</v>
      </c>
      <c r="N1132" s="10">
        <v>-0.92757780099999998</v>
      </c>
      <c r="O1132" s="9">
        <v>-0.51720379999999999</v>
      </c>
      <c r="P1132" s="10">
        <v>0.34495836698569499</v>
      </c>
      <c r="Q1132" s="10">
        <v>0.118996274953437</v>
      </c>
    </row>
    <row r="1133" spans="1:17" x14ac:dyDescent="0.2">
      <c r="A1133" s="10">
        <v>1714</v>
      </c>
      <c r="B1133" s="10" t="s">
        <v>2831</v>
      </c>
      <c r="C1133" s="9" t="s">
        <v>2393</v>
      </c>
      <c r="D1133" s="10">
        <v>-1.220679158</v>
      </c>
      <c r="E1133" s="10">
        <v>-2.0545852660000001</v>
      </c>
      <c r="F1133" s="10">
        <v>-2.9731301370000001</v>
      </c>
      <c r="G1133" s="10">
        <v>-0.80765031399999998</v>
      </c>
      <c r="H1133" s="9">
        <v>-1.7640112187500001</v>
      </c>
      <c r="I1133" s="10">
        <v>0.95851234451768597</v>
      </c>
      <c r="J1133" s="10">
        <v>0.91874591459279198</v>
      </c>
      <c r="K1133" s="10">
        <v>-0.118062262</v>
      </c>
      <c r="L1133" s="10">
        <v>6.6869133999999997E-2</v>
      </c>
      <c r="M1133" s="10">
        <v>-0.78484088200000002</v>
      </c>
      <c r="N1133" s="10">
        <v>-0.74526137800000003</v>
      </c>
      <c r="O1133" s="9">
        <v>-0.39532384700000001</v>
      </c>
      <c r="P1133" s="10">
        <v>0.43384948786414601</v>
      </c>
      <c r="Q1133" s="10">
        <v>0.188225378119981</v>
      </c>
    </row>
    <row r="1134" spans="1:17" x14ac:dyDescent="0.2">
      <c r="A1134" s="10">
        <v>1714</v>
      </c>
      <c r="B1134" s="10" t="s">
        <v>96</v>
      </c>
      <c r="C1134" s="9" t="s">
        <v>2392</v>
      </c>
      <c r="D1134" s="10">
        <v>0.160579842</v>
      </c>
      <c r="E1134" s="10">
        <v>0.110708801</v>
      </c>
      <c r="F1134" s="10">
        <v>-0.29962129900000001</v>
      </c>
      <c r="G1134" s="10">
        <v>-6.8110582000000003E-2</v>
      </c>
      <c r="H1134" s="9">
        <v>-2.41108095E-2</v>
      </c>
      <c r="I1134" s="10">
        <v>0.208269836135278</v>
      </c>
      <c r="J1134" s="10">
        <v>4.33763246438158E-2</v>
      </c>
      <c r="K1134" s="10">
        <v>-0.233854703</v>
      </c>
      <c r="L1134" s="10">
        <v>-4.4739414999999998E-2</v>
      </c>
      <c r="M1134" s="10">
        <v>3.2756420000000001E-3</v>
      </c>
      <c r="N1134" s="10">
        <v>0.34562554499999998</v>
      </c>
      <c r="O1134" s="9">
        <v>1.757676725E-2</v>
      </c>
      <c r="P1134" s="10">
        <v>0.241468847934867</v>
      </c>
      <c r="Q1134" s="10">
        <v>5.8307204522992297E-2</v>
      </c>
    </row>
    <row r="1135" spans="1:17" x14ac:dyDescent="0.2">
      <c r="A1135" s="10">
        <v>1714</v>
      </c>
      <c r="B1135" s="10" t="s">
        <v>79</v>
      </c>
      <c r="C1135" s="9" t="s">
        <v>1015</v>
      </c>
      <c r="D1135" s="10">
        <v>0.32629924999999999</v>
      </c>
      <c r="E1135" s="10">
        <v>-0.18958082300000001</v>
      </c>
      <c r="F1135" s="10">
        <v>-0.283937261</v>
      </c>
      <c r="G1135" s="10">
        <v>3.9560970000000001E-2</v>
      </c>
      <c r="H1135" s="9">
        <v>-2.6914465750000002E-2</v>
      </c>
      <c r="I1135" s="10">
        <v>0.27184552820255697</v>
      </c>
      <c r="J1135" s="10">
        <v>7.3899991203727394E-2</v>
      </c>
      <c r="K1135" s="10">
        <v>0.89099181299999997</v>
      </c>
      <c r="L1135" s="10">
        <v>7.5381759000000007E-2</v>
      </c>
      <c r="M1135" s="10">
        <v>0.30357703600000002</v>
      </c>
      <c r="N1135" s="10">
        <v>0.16491446100000001</v>
      </c>
      <c r="O1135" s="9">
        <v>0.35871626750000002</v>
      </c>
      <c r="P1135" s="10">
        <v>0.367058203875685</v>
      </c>
      <c r="Q1135" s="10">
        <v>0.13473172503244399</v>
      </c>
    </row>
    <row r="1136" spans="1:17" x14ac:dyDescent="0.2">
      <c r="A1136" s="10">
        <v>1714</v>
      </c>
      <c r="B1136" s="10" t="s">
        <v>2824</v>
      </c>
      <c r="C1136" s="9" t="s">
        <v>1016</v>
      </c>
      <c r="D1136" s="10">
        <v>-8.5711858000000002E-2</v>
      </c>
      <c r="E1136" s="10">
        <v>0.147631651</v>
      </c>
      <c r="F1136" s="10">
        <v>-0.573431048</v>
      </c>
      <c r="G1136" s="10">
        <v>0.638565783</v>
      </c>
      <c r="H1136" s="9">
        <v>3.1763632E-2</v>
      </c>
      <c r="I1136" s="10">
        <v>0.50388336604689699</v>
      </c>
      <c r="J1136" s="10">
        <v>0.25389844657875099</v>
      </c>
      <c r="K1136" s="10">
        <v>4.4837492999999999E-2</v>
      </c>
      <c r="L1136" s="10">
        <v>-9.4678539999999995E-3</v>
      </c>
      <c r="M1136" s="10">
        <v>0.224434197</v>
      </c>
      <c r="N1136" s="10">
        <v>-0.18724134100000001</v>
      </c>
      <c r="O1136" s="9">
        <v>1.8140623500000001E-2</v>
      </c>
      <c r="P1136" s="10">
        <v>0.16952260486460899</v>
      </c>
      <c r="Q1136" s="10">
        <v>2.8737913560082401E-2</v>
      </c>
    </row>
    <row r="1137" spans="1:17" x14ac:dyDescent="0.2">
      <c r="A1137" s="10">
        <v>1714</v>
      </c>
      <c r="B1137" s="10" t="s">
        <v>2833</v>
      </c>
      <c r="C1137" s="9" t="s">
        <v>2391</v>
      </c>
      <c r="D1137" s="10">
        <v>-0.96777246299999997</v>
      </c>
      <c r="E1137" s="10">
        <v>-1.1026821120000001</v>
      </c>
      <c r="F1137" s="10">
        <v>-2.069809432</v>
      </c>
      <c r="G1137" s="10">
        <v>-7.491556804</v>
      </c>
      <c r="H1137" s="9">
        <v>-2.9079552025000002</v>
      </c>
      <c r="I1137" s="10">
        <v>3.0948996735391101</v>
      </c>
      <c r="J1137" s="10">
        <v>9.5784039892725108</v>
      </c>
      <c r="K1137" s="10">
        <v>-0.79014032899999997</v>
      </c>
      <c r="L1137" s="10">
        <v>-0.119800357</v>
      </c>
      <c r="M1137" s="10">
        <v>0.13971587599999999</v>
      </c>
      <c r="N1137" s="10">
        <v>1.1060348929999999</v>
      </c>
      <c r="O1137" s="9">
        <v>8.3952520500000002E-2</v>
      </c>
      <c r="P1137" s="10">
        <v>0.78598462084793297</v>
      </c>
      <c r="Q1137" s="10">
        <v>0.61777182420946897</v>
      </c>
    </row>
    <row r="1138" spans="1:17" x14ac:dyDescent="0.2">
      <c r="A1138" s="10">
        <v>1714</v>
      </c>
      <c r="B1138" s="10" t="s">
        <v>74</v>
      </c>
      <c r="C1138" s="9" t="s">
        <v>2390</v>
      </c>
      <c r="D1138" s="10">
        <v>-1.609438836</v>
      </c>
      <c r="E1138" s="10">
        <v>-0.446213476</v>
      </c>
      <c r="F1138" s="10">
        <v>-0.99348260399999999</v>
      </c>
      <c r="G1138" s="10">
        <v>-1.2353882140000001</v>
      </c>
      <c r="H1138" s="9">
        <v>-1.0711307825</v>
      </c>
      <c r="I1138" s="10">
        <v>0.48761560812232602</v>
      </c>
      <c r="J1138" s="10">
        <v>0.23776898128450599</v>
      </c>
      <c r="K1138" s="10">
        <v>-0.140230464</v>
      </c>
      <c r="L1138" s="10">
        <v>0.24193435399999999</v>
      </c>
      <c r="M1138" s="10">
        <v>-4.1866518999999998E-2</v>
      </c>
      <c r="N1138" s="10">
        <v>-0.50246069299999996</v>
      </c>
      <c r="O1138" s="9">
        <v>-0.1106558305</v>
      </c>
      <c r="P1138" s="10">
        <v>0.30737464480537402</v>
      </c>
      <c r="Q1138" s="10">
        <v>9.4479172269230402E-2</v>
      </c>
    </row>
    <row r="1139" spans="1:17" x14ac:dyDescent="0.2">
      <c r="A1139" s="10">
        <v>1714</v>
      </c>
      <c r="B1139" s="10" t="s">
        <v>2818</v>
      </c>
      <c r="C1139" s="9" t="s">
        <v>2389</v>
      </c>
      <c r="D1139" s="10">
        <v>0.23631901499999999</v>
      </c>
      <c r="E1139" s="10">
        <v>-0.10749924299999999</v>
      </c>
      <c r="F1139" s="10">
        <v>-0.48429856700000001</v>
      </c>
      <c r="G1139" s="10">
        <v>-0.42462096500000002</v>
      </c>
      <c r="H1139" s="9">
        <v>-0.19502494000000001</v>
      </c>
      <c r="I1139" s="10">
        <v>0.33171871674854903</v>
      </c>
      <c r="J1139" s="10">
        <v>0.110037307041304</v>
      </c>
      <c r="K1139" s="10">
        <v>-0.17101334200000001</v>
      </c>
      <c r="L1139" s="10">
        <v>-5.3228729000000002E-2</v>
      </c>
      <c r="M1139" s="10">
        <v>2.4625833999999999E-2</v>
      </c>
      <c r="N1139" s="10">
        <v>-0.221890116</v>
      </c>
      <c r="O1139" s="9">
        <v>-0.10537658825</v>
      </c>
      <c r="P1139" s="10">
        <v>0.111808787082848</v>
      </c>
      <c r="Q1139" s="10">
        <v>1.25012048689377E-2</v>
      </c>
    </row>
    <row r="1140" spans="1:17" x14ac:dyDescent="0.2">
      <c r="A1140" s="10">
        <v>1714</v>
      </c>
      <c r="B1140" s="10" t="s">
        <v>2835</v>
      </c>
      <c r="C1140" s="9" t="s">
        <v>2388</v>
      </c>
      <c r="D1140" s="10">
        <v>-2.5852123840000001</v>
      </c>
      <c r="E1140" s="10">
        <v>-1.7135044530000001</v>
      </c>
      <c r="F1140" s="10">
        <v>-1.22455447</v>
      </c>
      <c r="G1140" s="10">
        <v>-1.859845489</v>
      </c>
      <c r="H1140" s="9">
        <v>-1.8457791992499999</v>
      </c>
      <c r="I1140" s="10">
        <v>0.56284280456272295</v>
      </c>
      <c r="J1140" s="10">
        <v>0.31679202264803202</v>
      </c>
      <c r="K1140" s="10">
        <v>-0.63631025500000005</v>
      </c>
      <c r="L1140" s="10">
        <v>0.27771490500000001</v>
      </c>
      <c r="M1140" s="10">
        <v>-0.16232471900000001</v>
      </c>
      <c r="N1140" s="10">
        <v>0.14121937000000001</v>
      </c>
      <c r="O1140" s="9">
        <v>-9.4925174749999994E-2</v>
      </c>
      <c r="P1140" s="10">
        <v>0.40507833758162398</v>
      </c>
      <c r="Q1140" s="10">
        <v>0.164088459577892</v>
      </c>
    </row>
    <row r="1141" spans="1:17" x14ac:dyDescent="0.2">
      <c r="A1141" s="10">
        <v>1714</v>
      </c>
      <c r="B1141" s="10" t="s">
        <v>2832</v>
      </c>
      <c r="C1141" s="9" t="s">
        <v>1018</v>
      </c>
      <c r="D1141" s="10">
        <v>-1.863425828</v>
      </c>
      <c r="E1141" s="10">
        <v>-1.216774703</v>
      </c>
      <c r="F1141" s="10">
        <v>-1.906675846</v>
      </c>
      <c r="G1141" s="10">
        <v>-1.1605247359999999</v>
      </c>
      <c r="H1141" s="9">
        <v>-1.53685027825</v>
      </c>
      <c r="I1141" s="10">
        <v>0.40310950864394901</v>
      </c>
      <c r="J1141" s="10">
        <v>0.16249727595916599</v>
      </c>
      <c r="K1141" s="10">
        <v>-0.112921261</v>
      </c>
      <c r="L1141" s="10">
        <v>6.8749947000000006E-2</v>
      </c>
      <c r="M1141" s="10">
        <v>-0.13276042099999999</v>
      </c>
      <c r="N1141" s="10">
        <v>-0.25525852199999999</v>
      </c>
      <c r="O1141" s="9">
        <v>-0.10804756425000001</v>
      </c>
      <c r="P1141" s="10">
        <v>0.13361998886721299</v>
      </c>
      <c r="Q1141" s="10">
        <v>1.7854301424874298E-2</v>
      </c>
    </row>
    <row r="1142" spans="1:17" x14ac:dyDescent="0.2">
      <c r="A1142" s="10">
        <v>1715</v>
      </c>
      <c r="B1142" s="10" t="s">
        <v>2831</v>
      </c>
      <c r="C1142" s="9" t="s">
        <v>2387</v>
      </c>
      <c r="D1142" s="10">
        <v>-6.5272473069999997</v>
      </c>
      <c r="E1142" s="10">
        <v>-1.630827459</v>
      </c>
      <c r="F1142" s="10">
        <v>-1.753219621</v>
      </c>
      <c r="G1142" s="10">
        <v>-2.451580909</v>
      </c>
      <c r="H1142" s="9">
        <v>-3.0907188250000002</v>
      </c>
      <c r="I1142" s="10">
        <v>2.3193686069336499</v>
      </c>
      <c r="J1142" s="10">
        <v>5.37947073482934</v>
      </c>
      <c r="K1142" s="10">
        <v>-0.27827611200000002</v>
      </c>
      <c r="L1142" s="10">
        <v>1.115139439</v>
      </c>
      <c r="M1142" s="10">
        <v>0.268958898</v>
      </c>
      <c r="N1142" s="10">
        <v>3.274651E-3</v>
      </c>
      <c r="O1142" s="9">
        <v>0.27727421875000002</v>
      </c>
      <c r="P1142" s="10">
        <v>0.60160873358780698</v>
      </c>
      <c r="Q1142" s="10">
        <v>0.36193306832912497</v>
      </c>
    </row>
    <row r="1143" spans="1:17" x14ac:dyDescent="0.2">
      <c r="A1143" s="10">
        <v>1715</v>
      </c>
      <c r="B1143" s="10" t="s">
        <v>2821</v>
      </c>
      <c r="C1143" s="9" t="s">
        <v>1019</v>
      </c>
      <c r="D1143" s="10">
        <v>-0.29354030800000003</v>
      </c>
      <c r="E1143" s="10">
        <v>-0.28543255000000001</v>
      </c>
      <c r="F1143" s="10">
        <v>-0.58819076599999998</v>
      </c>
      <c r="G1143" s="10">
        <v>0.31456685400000001</v>
      </c>
      <c r="H1143" s="9">
        <v>-0.21314919225000001</v>
      </c>
      <c r="I1143" s="10">
        <v>0.37895823112393801</v>
      </c>
      <c r="J1143" s="10">
        <v>0.14360934093658401</v>
      </c>
      <c r="K1143" s="10">
        <v>0.12230582500000001</v>
      </c>
      <c r="L1143" s="10">
        <v>-8.5153801000000001E-2</v>
      </c>
      <c r="M1143" s="10">
        <v>-0.82004889299999995</v>
      </c>
      <c r="N1143" s="10">
        <v>-0.231763888</v>
      </c>
      <c r="O1143" s="9">
        <v>-0.25366518924999998</v>
      </c>
      <c r="P1143" s="10">
        <v>0.40456579950861099</v>
      </c>
      <c r="Q1143" s="10">
        <v>0.163673486132042</v>
      </c>
    </row>
    <row r="1144" spans="1:17" x14ac:dyDescent="0.2">
      <c r="A1144" s="10">
        <v>1715</v>
      </c>
      <c r="B1144" s="10" t="s">
        <v>79</v>
      </c>
      <c r="C1144" s="9" t="s">
        <v>1020</v>
      </c>
      <c r="D1144" s="10">
        <v>-2.0916393360000001</v>
      </c>
      <c r="E1144" s="10">
        <v>-1.9407429460000001</v>
      </c>
      <c r="F1144" s="10">
        <v>-1.4686289029999999</v>
      </c>
      <c r="G1144" s="10">
        <v>-1.151465623</v>
      </c>
      <c r="H1144" s="9">
        <v>-1.6631192017500001</v>
      </c>
      <c r="I1144" s="10">
        <v>0.43217292441204302</v>
      </c>
      <c r="J1144" s="10">
        <v>0.18677343659485801</v>
      </c>
      <c r="K1144" s="10">
        <v>-0.15837215900000001</v>
      </c>
      <c r="L1144" s="10">
        <v>-0.61080101099999995</v>
      </c>
      <c r="M1144" s="10">
        <v>-3.1993185E-2</v>
      </c>
      <c r="N1144" s="10">
        <v>-5.5262653000000002E-2</v>
      </c>
      <c r="O1144" s="9">
        <v>-0.214107252</v>
      </c>
      <c r="P1144" s="10">
        <v>0.27010459643874901</v>
      </c>
      <c r="Q1144" s="10">
        <v>7.2956493017339905E-2</v>
      </c>
    </row>
    <row r="1145" spans="1:17" x14ac:dyDescent="0.2">
      <c r="A1145" s="10">
        <v>1715</v>
      </c>
      <c r="B1145" s="10" t="s">
        <v>2820</v>
      </c>
      <c r="C1145" s="9" t="s">
        <v>1021</v>
      </c>
      <c r="D1145" s="10">
        <v>-1.2662897660000001</v>
      </c>
      <c r="E1145" s="10">
        <v>-1.1144282560000001</v>
      </c>
      <c r="F1145" s="10">
        <v>-2.0927211130000001</v>
      </c>
      <c r="G1145" s="10">
        <v>-1.5929108009999999</v>
      </c>
      <c r="H1145" s="9">
        <v>-1.516587484</v>
      </c>
      <c r="I1145" s="10">
        <v>0.43287265236023498</v>
      </c>
      <c r="J1145" s="10">
        <v>0.18737873316138501</v>
      </c>
      <c r="K1145" s="10">
        <v>3.9463076E-2</v>
      </c>
      <c r="L1145" s="10">
        <v>-0.43168648199999998</v>
      </c>
      <c r="M1145" s="10">
        <v>-0.111059545</v>
      </c>
      <c r="N1145" s="10">
        <v>0.28449706000000002</v>
      </c>
      <c r="O1145" s="9">
        <v>-5.4696472750000003E-2</v>
      </c>
      <c r="P1145" s="10">
        <v>0.29956442616349999</v>
      </c>
      <c r="Q1145" s="10">
        <v>8.9738845422667496E-2</v>
      </c>
    </row>
    <row r="1146" spans="1:17" x14ac:dyDescent="0.2">
      <c r="A1146" s="10">
        <v>1715</v>
      </c>
      <c r="B1146" s="10" t="s">
        <v>2824</v>
      </c>
      <c r="C1146" s="9" t="s">
        <v>2386</v>
      </c>
      <c r="D1146" s="10">
        <v>-1.467614499</v>
      </c>
      <c r="E1146" s="10">
        <v>-1.9075261050000001</v>
      </c>
      <c r="F1146" s="10">
        <v>-1.1917369250000001</v>
      </c>
      <c r="G1146" s="10">
        <v>-0.90685751599999997</v>
      </c>
      <c r="H1146" s="9">
        <v>-1.3684337609999999</v>
      </c>
      <c r="I1146" s="10">
        <v>0.42611883160700198</v>
      </c>
      <c r="J1146" s="10">
        <v>0.18157725865011601</v>
      </c>
      <c r="K1146" s="10">
        <v>0.25173431800000001</v>
      </c>
      <c r="L1146" s="10">
        <v>0.11379721499999999</v>
      </c>
      <c r="M1146" s="10">
        <v>-0.117752991</v>
      </c>
      <c r="N1146" s="10">
        <v>0.19166720900000001</v>
      </c>
      <c r="O1146" s="9">
        <v>0.10986143750000001</v>
      </c>
      <c r="P1146" s="10">
        <v>0.16190935414400701</v>
      </c>
      <c r="Q1146" s="10">
        <v>2.62146389593295E-2</v>
      </c>
    </row>
    <row r="1147" spans="1:17" x14ac:dyDescent="0.2">
      <c r="A1147" s="10">
        <v>1715</v>
      </c>
      <c r="B1147" s="10" t="s">
        <v>2814</v>
      </c>
      <c r="C1147" s="9" t="s">
        <v>1022</v>
      </c>
      <c r="D1147" s="10">
        <v>-1.0728627639999999</v>
      </c>
      <c r="E1147" s="10">
        <v>-0.480035453</v>
      </c>
      <c r="F1147" s="10">
        <v>-1.2632337600000001</v>
      </c>
      <c r="G1147" s="10">
        <v>-1.5004590900000001</v>
      </c>
      <c r="H1147" s="9">
        <v>-1.0791477665</v>
      </c>
      <c r="I1147" s="10">
        <v>0.43602979628917898</v>
      </c>
      <c r="J1147" s="10">
        <v>0.19012198325198301</v>
      </c>
      <c r="K1147" s="10">
        <v>-0.65518537300000002</v>
      </c>
      <c r="L1147" s="10">
        <v>-0.41899921099999998</v>
      </c>
      <c r="M1147" s="10">
        <v>-0.17576034200000001</v>
      </c>
      <c r="N1147" s="10">
        <v>-1.013568762</v>
      </c>
      <c r="O1147" s="9">
        <v>-0.56587842224999996</v>
      </c>
      <c r="P1147" s="10">
        <v>0.35691641925110901</v>
      </c>
      <c r="Q1147" s="10">
        <v>0.127389330331033</v>
      </c>
    </row>
    <row r="1148" spans="1:17" x14ac:dyDescent="0.2">
      <c r="A1148" s="10">
        <v>1715</v>
      </c>
      <c r="B1148" s="10" t="s">
        <v>2833</v>
      </c>
      <c r="C1148" s="9" t="s">
        <v>2385</v>
      </c>
      <c r="D1148" s="10">
        <v>-2.6751904909999999</v>
      </c>
      <c r="E1148" s="10">
        <v>-1.5488890609999999</v>
      </c>
      <c r="F1148" s="10">
        <v>-1.4703323589999999</v>
      </c>
      <c r="G1148" s="10">
        <v>-1.335152041</v>
      </c>
      <c r="H1148" s="9">
        <v>-1.757390988</v>
      </c>
      <c r="I1148" s="10">
        <v>0.61820098299199</v>
      </c>
      <c r="J1148" s="10">
        <v>0.38217245537226202</v>
      </c>
      <c r="K1148" s="10">
        <v>-0.309078978</v>
      </c>
      <c r="L1148" s="10">
        <v>8.2594464000000006E-2</v>
      </c>
      <c r="M1148" s="10">
        <v>1.025114683</v>
      </c>
      <c r="N1148" s="10">
        <v>-0.94330569200000003</v>
      </c>
      <c r="O1148" s="9">
        <v>-3.616888075E-2</v>
      </c>
      <c r="P1148" s="10">
        <v>0.82417729691451103</v>
      </c>
      <c r="Q1148" s="10">
        <v>0.67926821674931004</v>
      </c>
    </row>
    <row r="1149" spans="1:17" x14ac:dyDescent="0.2">
      <c r="A1149" s="10">
        <v>1715</v>
      </c>
      <c r="B1149" s="10" t="s">
        <v>2825</v>
      </c>
      <c r="C1149" s="9" t="s">
        <v>32</v>
      </c>
      <c r="D1149" s="10">
        <v>-1.899924495</v>
      </c>
      <c r="E1149" s="10">
        <v>-1.4610373889999999</v>
      </c>
      <c r="F1149" s="10">
        <v>-1.842650635</v>
      </c>
      <c r="G1149" s="10">
        <v>-1.801112483</v>
      </c>
      <c r="H1149" s="9">
        <v>-1.75118125075</v>
      </c>
      <c r="I1149" s="10">
        <v>0.197625731649749</v>
      </c>
      <c r="J1149" s="10">
        <v>3.9055929810098602E-2</v>
      </c>
      <c r="K1149" s="10">
        <v>-5.2533371000000002E-2</v>
      </c>
      <c r="L1149" s="10">
        <v>-0.17174218699999999</v>
      </c>
      <c r="M1149" s="10">
        <v>7.2946575E-2</v>
      </c>
      <c r="N1149" s="10">
        <v>-2.2958901E-2</v>
      </c>
      <c r="O1149" s="9">
        <v>-4.3571970750000001E-2</v>
      </c>
      <c r="P1149" s="10">
        <v>0.100845395162141</v>
      </c>
      <c r="Q1149" s="10">
        <v>1.0169793725408501E-2</v>
      </c>
    </row>
    <row r="1150" spans="1:17" x14ac:dyDescent="0.2">
      <c r="A1150" s="10">
        <v>1715</v>
      </c>
      <c r="B1150" s="10" t="s">
        <v>2830</v>
      </c>
      <c r="C1150" s="9" t="s">
        <v>1023</v>
      </c>
      <c r="D1150" s="10">
        <v>-0.34353535499999999</v>
      </c>
      <c r="E1150" s="10">
        <v>-1.098698511</v>
      </c>
      <c r="F1150" s="10">
        <v>-1.6580005330000001</v>
      </c>
      <c r="G1150" s="10">
        <v>-0.41600551800000002</v>
      </c>
      <c r="H1150" s="9">
        <v>-0.87905997925000001</v>
      </c>
      <c r="I1150" s="10">
        <v>0.620804727260589</v>
      </c>
      <c r="J1150" s="10">
        <v>0.38539850938909398</v>
      </c>
      <c r="K1150" s="10">
        <v>0.14827243900000001</v>
      </c>
      <c r="L1150" s="10">
        <v>-0.329851846</v>
      </c>
      <c r="M1150" s="10">
        <v>0.68097447799999999</v>
      </c>
      <c r="N1150" s="10">
        <v>0.165091613</v>
      </c>
      <c r="O1150" s="9">
        <v>0.166121671</v>
      </c>
      <c r="P1150" s="10">
        <v>0.41286914736737901</v>
      </c>
      <c r="Q1150" s="10">
        <v>0.17046093284786701</v>
      </c>
    </row>
    <row r="1151" spans="1:17" x14ac:dyDescent="0.2">
      <c r="A1151" s="10">
        <v>1715</v>
      </c>
      <c r="B1151" s="10" t="s">
        <v>2832</v>
      </c>
      <c r="C1151" s="9" t="s">
        <v>2384</v>
      </c>
      <c r="D1151" s="10">
        <v>-1.2527557579999999</v>
      </c>
      <c r="E1151" s="10">
        <v>-1.7487060109999999</v>
      </c>
      <c r="F1151" s="10">
        <v>-1.3413041830000001</v>
      </c>
      <c r="G1151" s="10">
        <v>-1.275115454</v>
      </c>
      <c r="H1151" s="9">
        <v>-1.4044703512500001</v>
      </c>
      <c r="I1151" s="10">
        <v>0.23254975202629599</v>
      </c>
      <c r="J1151" s="10">
        <v>5.4079387167491999E-2</v>
      </c>
      <c r="K1151" s="10">
        <v>0.10671921700000001</v>
      </c>
      <c r="L1151" s="10">
        <v>-9.6022753000000002E-2</v>
      </c>
      <c r="M1151" s="10">
        <v>-5.4699085000000001E-2</v>
      </c>
      <c r="N1151" s="10">
        <v>-0.94943402300000002</v>
      </c>
      <c r="O1151" s="9">
        <v>-0.24835916099999999</v>
      </c>
      <c r="P1151" s="10">
        <v>0.47549876371731897</v>
      </c>
      <c r="Q1151" s="10">
        <v>0.22609907429669901</v>
      </c>
    </row>
    <row r="1152" spans="1:17" x14ac:dyDescent="0.2">
      <c r="A1152" s="10">
        <v>1716</v>
      </c>
      <c r="B1152" s="10" t="s">
        <v>2831</v>
      </c>
      <c r="C1152" s="9" t="s">
        <v>2383</v>
      </c>
      <c r="D1152" s="10">
        <v>-1.0839395759999999</v>
      </c>
      <c r="E1152" s="10">
        <v>-1.5570026219999999</v>
      </c>
      <c r="F1152" s="10">
        <v>-0.79148702400000004</v>
      </c>
      <c r="G1152" s="10">
        <v>-0.826122562</v>
      </c>
      <c r="H1152" s="9">
        <v>-1.06463794625</v>
      </c>
      <c r="I1152" s="10">
        <v>0.35322162150098602</v>
      </c>
      <c r="J1152" s="10">
        <v>0.124765513895786</v>
      </c>
      <c r="K1152" s="10">
        <v>0.90557001599999998</v>
      </c>
      <c r="L1152" s="10">
        <v>1.6206940999999999E-2</v>
      </c>
      <c r="M1152" s="10">
        <v>-0.290325267</v>
      </c>
      <c r="N1152" s="10">
        <v>0.167141075</v>
      </c>
      <c r="O1152" s="9">
        <v>0.19964819125</v>
      </c>
      <c r="P1152" s="10">
        <v>0.50764390975958995</v>
      </c>
      <c r="Q1152" s="10">
        <v>0.25770233911600199</v>
      </c>
    </row>
    <row r="1153" spans="1:17" x14ac:dyDescent="0.2">
      <c r="A1153" s="10">
        <v>1716</v>
      </c>
      <c r="B1153" s="10" t="s">
        <v>96</v>
      </c>
      <c r="C1153" s="9" t="s">
        <v>1024</v>
      </c>
      <c r="D1153" s="10">
        <v>7.7663014000000002E-2</v>
      </c>
      <c r="E1153" s="10">
        <v>3.679617E-3</v>
      </c>
      <c r="F1153" s="10">
        <v>-0.42412826100000001</v>
      </c>
      <c r="G1153" s="10">
        <v>0.33392038899999998</v>
      </c>
      <c r="H1153" s="9">
        <v>-2.2163105000000002E-3</v>
      </c>
      <c r="I1153" s="10">
        <v>0.31486136799610098</v>
      </c>
      <c r="J1153" s="10">
        <v>9.9137681056376395E-2</v>
      </c>
      <c r="K1153" s="10">
        <v>1.2462614350000001</v>
      </c>
      <c r="L1153" s="10">
        <v>-0.31036498499999998</v>
      </c>
      <c r="M1153" s="10">
        <v>0.353029494</v>
      </c>
      <c r="N1153" s="10">
        <v>0.14219811199999999</v>
      </c>
      <c r="O1153" s="9">
        <v>0.35778101424999997</v>
      </c>
      <c r="P1153" s="10">
        <v>0.65378770740383696</v>
      </c>
      <c r="Q1153" s="10">
        <v>0.42743836635236498</v>
      </c>
    </row>
    <row r="1154" spans="1:17" x14ac:dyDescent="0.2">
      <c r="A1154" s="10">
        <v>1716</v>
      </c>
      <c r="B1154" s="10" t="s">
        <v>2823</v>
      </c>
      <c r="C1154" s="9" t="s">
        <v>1025</v>
      </c>
      <c r="D1154" s="10">
        <v>-0.17528123500000001</v>
      </c>
      <c r="E1154" s="10">
        <v>-2.1153128E-2</v>
      </c>
      <c r="F1154" s="10">
        <v>5.0952887760000003</v>
      </c>
      <c r="G1154" s="10">
        <v>-0.77329997800000005</v>
      </c>
      <c r="H1154" s="9">
        <v>1.0313886087499999</v>
      </c>
      <c r="I1154" s="10">
        <v>2.72861880102593</v>
      </c>
      <c r="J1154" s="10">
        <v>7.44536056131221</v>
      </c>
      <c r="K1154" s="10">
        <v>-0.99686615899999997</v>
      </c>
      <c r="L1154" s="10">
        <v>-1.3343772E-2</v>
      </c>
      <c r="M1154" s="10">
        <v>-0.20073956200000001</v>
      </c>
      <c r="N1154" s="10">
        <v>-1.467580696</v>
      </c>
      <c r="O1154" s="9">
        <v>-0.66963254750000001</v>
      </c>
      <c r="P1154" s="10">
        <v>0.68175720822208197</v>
      </c>
      <c r="Q1154" s="10">
        <v>0.46479289096276699</v>
      </c>
    </row>
    <row r="1155" spans="1:17" x14ac:dyDescent="0.2">
      <c r="A1155" s="10">
        <v>1716</v>
      </c>
      <c r="B1155" s="10" t="s">
        <v>79</v>
      </c>
      <c r="C1155" s="9" t="s">
        <v>2382</v>
      </c>
      <c r="D1155" s="10">
        <v>-0.76528323099999995</v>
      </c>
      <c r="E1155" s="10">
        <v>-1.789207794</v>
      </c>
      <c r="F1155" s="10">
        <v>-0.13348664599999999</v>
      </c>
      <c r="G1155" s="10">
        <v>-0.27517750299999999</v>
      </c>
      <c r="H1155" s="9">
        <v>-0.74078879350000004</v>
      </c>
      <c r="I1155" s="10">
        <v>0.74953144258642102</v>
      </c>
      <c r="J1155" s="10">
        <v>0.56179738342568197</v>
      </c>
      <c r="K1155" s="10">
        <v>-0.85344941399999996</v>
      </c>
      <c r="L1155" s="10">
        <v>0.65579902099999998</v>
      </c>
      <c r="M1155" s="10">
        <v>6.243602E-3</v>
      </c>
      <c r="N1155" s="10">
        <v>-1.379660691</v>
      </c>
      <c r="O1155" s="9">
        <v>-0.39276687075</v>
      </c>
      <c r="P1155" s="10">
        <v>0.90275275404519895</v>
      </c>
      <c r="Q1155" s="10">
        <v>0.81496253493619297</v>
      </c>
    </row>
    <row r="1156" spans="1:17" x14ac:dyDescent="0.2">
      <c r="A1156" s="10">
        <v>1716</v>
      </c>
      <c r="B1156" s="10" t="s">
        <v>2824</v>
      </c>
      <c r="C1156" s="9" t="s">
        <v>1026</v>
      </c>
      <c r="D1156" s="10">
        <v>1.5448554999999999E-2</v>
      </c>
      <c r="E1156" s="10">
        <v>-0.52969186300000004</v>
      </c>
      <c r="F1156" s="10">
        <v>-0.15236924399999999</v>
      </c>
      <c r="G1156" s="10">
        <v>-0.16572735999999999</v>
      </c>
      <c r="H1156" s="9">
        <v>-0.208084978</v>
      </c>
      <c r="I1156" s="10">
        <v>0.22970752394632701</v>
      </c>
      <c r="J1156" s="10">
        <v>5.2765546557552598E-2</v>
      </c>
      <c r="K1156" s="10">
        <v>-0.17590871299999999</v>
      </c>
      <c r="L1156" s="10">
        <v>-0.80243437799999995</v>
      </c>
      <c r="M1156" s="10">
        <v>0.136409059</v>
      </c>
      <c r="N1156" s="10">
        <v>5.1399912999999998E-2</v>
      </c>
      <c r="O1156" s="9">
        <v>-0.19763352949999999</v>
      </c>
      <c r="P1156" s="10">
        <v>0.42420833734281199</v>
      </c>
      <c r="Q1156" s="10">
        <v>0.17995271347115299</v>
      </c>
    </row>
    <row r="1157" spans="1:17" x14ac:dyDescent="0.2">
      <c r="A1157" s="10">
        <v>1716</v>
      </c>
      <c r="B1157" s="10" t="s">
        <v>2814</v>
      </c>
      <c r="C1157" s="9" t="s">
        <v>2381</v>
      </c>
      <c r="D1157" s="10">
        <v>-1.9346859940000001</v>
      </c>
      <c r="E1157" s="10">
        <v>-1.640819324</v>
      </c>
      <c r="F1157" s="10">
        <v>-2.0828658830000002</v>
      </c>
      <c r="G1157" s="10">
        <v>-2.3546183030000001</v>
      </c>
      <c r="H1157" s="9">
        <v>-2.00324737575</v>
      </c>
      <c r="I1157" s="10">
        <v>0.29768853464430001</v>
      </c>
      <c r="J1157" s="10">
        <v>8.8618463658671001E-2</v>
      </c>
      <c r="K1157" s="10">
        <v>-0.488749402</v>
      </c>
      <c r="L1157" s="10">
        <v>0.16932829699999999</v>
      </c>
      <c r="M1157" s="10">
        <v>0.29857693400000002</v>
      </c>
      <c r="N1157" s="10">
        <v>-0.26780298800000002</v>
      </c>
      <c r="O1157" s="9">
        <v>-7.2161789749999997E-2</v>
      </c>
      <c r="P1157" s="10">
        <v>0.36859434812955399</v>
      </c>
      <c r="Q1157" s="10">
        <v>0.135861793473051</v>
      </c>
    </row>
    <row r="1158" spans="1:17" x14ac:dyDescent="0.2">
      <c r="A1158" s="10">
        <v>1716</v>
      </c>
      <c r="B1158" s="10" t="s">
        <v>2825</v>
      </c>
      <c r="C1158" s="9" t="s">
        <v>2380</v>
      </c>
      <c r="D1158" s="10">
        <v>-1.0980606420000001</v>
      </c>
      <c r="E1158" s="10">
        <v>-0.52865042299999998</v>
      </c>
      <c r="F1158" s="10">
        <v>-1.369377944</v>
      </c>
      <c r="G1158" s="10">
        <v>-1.2274712720000001</v>
      </c>
      <c r="H1158" s="9">
        <v>-1.05589007025</v>
      </c>
      <c r="I1158" s="10">
        <v>0.36854432503037998</v>
      </c>
      <c r="J1158" s="10">
        <v>0.13582491951209799</v>
      </c>
      <c r="K1158" s="10">
        <v>-2.9577883999999999E-2</v>
      </c>
      <c r="L1158" s="10">
        <v>-0.79641459800000003</v>
      </c>
      <c r="M1158" s="10">
        <v>0.91159070900000005</v>
      </c>
      <c r="N1158" s="10">
        <v>6.1094061999999998E-2</v>
      </c>
      <c r="O1158" s="9">
        <v>3.6673072250000001E-2</v>
      </c>
      <c r="P1158" s="10">
        <v>0.69868960952227899</v>
      </c>
      <c r="Q1158" s="10">
        <v>0.48816717045439501</v>
      </c>
    </row>
    <row r="1159" spans="1:17" x14ac:dyDescent="0.2">
      <c r="A1159" s="10">
        <v>1716</v>
      </c>
      <c r="B1159" s="10" t="s">
        <v>74</v>
      </c>
      <c r="C1159" s="9" t="s">
        <v>1027</v>
      </c>
      <c r="D1159" s="10">
        <v>-9.2644625999999994E-2</v>
      </c>
      <c r="E1159" s="10">
        <v>-0.46999938200000002</v>
      </c>
      <c r="F1159" s="10">
        <v>-6.2440102999999997E-2</v>
      </c>
      <c r="G1159" s="10">
        <v>-0.51897780299999996</v>
      </c>
      <c r="H1159" s="9">
        <v>-0.28601547849999998</v>
      </c>
      <c r="I1159" s="10">
        <v>0.241867564664413</v>
      </c>
      <c r="J1159" s="10">
        <v>5.8499918836694399E-2</v>
      </c>
      <c r="K1159" s="10">
        <v>2.9069008E-2</v>
      </c>
      <c r="L1159" s="10">
        <v>-0.316456507</v>
      </c>
      <c r="M1159" s="10">
        <v>-0.67242979199999997</v>
      </c>
      <c r="N1159" s="10">
        <v>-0.272803183</v>
      </c>
      <c r="O1159" s="9">
        <v>-0.30815511849999999</v>
      </c>
      <c r="P1159" s="10">
        <v>0.28736435735945798</v>
      </c>
      <c r="Q1159" s="10">
        <v>8.2578273880614506E-2</v>
      </c>
    </row>
    <row r="1160" spans="1:17" x14ac:dyDescent="0.2">
      <c r="A1160" s="10">
        <v>1716</v>
      </c>
      <c r="B1160" s="10" t="s">
        <v>2830</v>
      </c>
      <c r="C1160" s="9" t="s">
        <v>2379</v>
      </c>
      <c r="D1160" s="10">
        <v>-0.1025993</v>
      </c>
      <c r="E1160" s="10">
        <v>-7.6762100000000002E-4</v>
      </c>
      <c r="F1160" s="10">
        <v>-0.106887467</v>
      </c>
      <c r="G1160" s="10">
        <v>-9.7332762000000003E-2</v>
      </c>
      <c r="H1160" s="9">
        <v>-7.6896787499999994E-2</v>
      </c>
      <c r="I1160" s="10">
        <v>5.0902976505746503E-2</v>
      </c>
      <c r="J1160" s="10">
        <v>2.5911130171445002E-3</v>
      </c>
      <c r="K1160" s="10">
        <v>-0.31159418500000002</v>
      </c>
      <c r="L1160" s="10">
        <v>0.22148521199999999</v>
      </c>
      <c r="M1160" s="10">
        <v>0.706956853</v>
      </c>
      <c r="N1160" s="10">
        <v>-9.7050809000000002E-2</v>
      </c>
      <c r="O1160" s="9">
        <v>0.12994926775000001</v>
      </c>
      <c r="P1160" s="10">
        <v>0.44264592246951801</v>
      </c>
      <c r="Q1160" s="10">
        <v>0.19593541267889</v>
      </c>
    </row>
    <row r="1161" spans="1:17" x14ac:dyDescent="0.2">
      <c r="A1161" s="10">
        <v>1717</v>
      </c>
      <c r="B1161" s="10" t="s">
        <v>2834</v>
      </c>
      <c r="C1161" s="9" t="s">
        <v>1028</v>
      </c>
      <c r="D1161" s="10">
        <v>-0.36872096399999998</v>
      </c>
      <c r="E1161" s="10">
        <v>-0.70429635099999999</v>
      </c>
      <c r="F1161" s="10">
        <v>-0.72224237400000002</v>
      </c>
      <c r="G1161" s="10">
        <v>-1.217178256</v>
      </c>
      <c r="H1161" s="9">
        <v>-0.75310948600000005</v>
      </c>
      <c r="I1161" s="10">
        <v>0.34949957552973998</v>
      </c>
      <c r="J1161" s="10">
        <v>0.122149953295468</v>
      </c>
      <c r="K1161" s="10">
        <v>0.22386356600000001</v>
      </c>
      <c r="L1161" s="10">
        <v>2.2092072000000001E-2</v>
      </c>
      <c r="M1161" s="10">
        <v>-0.86785171100000003</v>
      </c>
      <c r="N1161" s="10">
        <v>-0.95985393600000002</v>
      </c>
      <c r="O1161" s="9">
        <v>-0.395437502</v>
      </c>
      <c r="P1161" s="10">
        <v>0.605421575935571</v>
      </c>
      <c r="Q1161" s="10">
        <v>0.36653528460831097</v>
      </c>
    </row>
    <row r="1162" spans="1:17" x14ac:dyDescent="0.2">
      <c r="A1162" s="10">
        <v>1717</v>
      </c>
      <c r="B1162" s="10" t="s">
        <v>79</v>
      </c>
      <c r="C1162" s="9" t="s">
        <v>1029</v>
      </c>
      <c r="D1162" s="10">
        <v>-0.38863899000000002</v>
      </c>
      <c r="E1162" s="10">
        <v>-8.3062444999999999E-2</v>
      </c>
      <c r="F1162" s="10">
        <v>-0.37648918799999997</v>
      </c>
      <c r="G1162" s="10">
        <v>-1.799749899</v>
      </c>
      <c r="H1162" s="9">
        <v>-0.66198513049999996</v>
      </c>
      <c r="I1162" s="10">
        <v>0.77155388447310203</v>
      </c>
      <c r="J1162" s="10">
        <v>0.59529539664553299</v>
      </c>
      <c r="K1162" s="10">
        <v>0.54452963700000001</v>
      </c>
      <c r="L1162" s="10">
        <v>3.7010739070000001</v>
      </c>
      <c r="M1162" s="10">
        <v>-0.204527236</v>
      </c>
      <c r="N1162" s="10">
        <v>0.78478762300000005</v>
      </c>
      <c r="O1162" s="9">
        <v>1.2064659827499999</v>
      </c>
      <c r="P1162" s="10">
        <v>1.71560901956085</v>
      </c>
      <c r="Q1162" s="10">
        <v>2.94331430799856</v>
      </c>
    </row>
    <row r="1163" spans="1:17" x14ac:dyDescent="0.2">
      <c r="A1163" s="10">
        <v>1717</v>
      </c>
      <c r="B1163" s="10" t="s">
        <v>2820</v>
      </c>
      <c r="C1163" s="9" t="s">
        <v>2378</v>
      </c>
      <c r="D1163" s="10">
        <v>-0.50161662100000004</v>
      </c>
      <c r="E1163" s="10">
        <v>-0.47409468500000002</v>
      </c>
      <c r="F1163" s="10">
        <v>-0.39818465800000002</v>
      </c>
      <c r="G1163" s="10">
        <v>-0.64728018099999995</v>
      </c>
      <c r="H1163" s="9">
        <v>-0.505294036</v>
      </c>
      <c r="I1163" s="10">
        <v>0.10427432907386</v>
      </c>
      <c r="J1163" s="10">
        <v>1.08731357038037E-2</v>
      </c>
      <c r="K1163" s="10">
        <v>-0.17588893799999999</v>
      </c>
      <c r="L1163" s="10">
        <v>-0.23935082099999999</v>
      </c>
      <c r="M1163" s="10">
        <v>0.52868337700000001</v>
      </c>
      <c r="N1163" s="10">
        <v>-0.40113103100000003</v>
      </c>
      <c r="O1163" s="9">
        <v>-7.1921853250000001E-2</v>
      </c>
      <c r="P1163" s="10">
        <v>0.41147982505088898</v>
      </c>
      <c r="Q1163" s="10">
        <v>0.16931564642391</v>
      </c>
    </row>
    <row r="1164" spans="1:17" x14ac:dyDescent="0.2">
      <c r="A1164" s="10">
        <v>1717</v>
      </c>
      <c r="B1164" s="10" t="s">
        <v>2824</v>
      </c>
      <c r="C1164" s="9" t="s">
        <v>1030</v>
      </c>
      <c r="D1164" s="10">
        <v>-0.182036318</v>
      </c>
      <c r="E1164" s="10">
        <v>-0.18909984799999999</v>
      </c>
      <c r="F1164" s="10">
        <v>-0.41010975199999999</v>
      </c>
      <c r="G1164" s="10">
        <v>-0.273467301</v>
      </c>
      <c r="H1164" s="9">
        <v>-0.26367830450000002</v>
      </c>
      <c r="I1164" s="10">
        <v>0.10609013998013</v>
      </c>
      <c r="J1164" s="10">
        <v>1.1255117801003601E-2</v>
      </c>
      <c r="K1164" s="10">
        <v>-3.7345228000000001E-2</v>
      </c>
      <c r="L1164" s="10">
        <v>-0.31046671599999998</v>
      </c>
      <c r="M1164" s="10">
        <v>3.6900959999999997E-2</v>
      </c>
      <c r="N1164" s="10">
        <v>-0.10273433799999999</v>
      </c>
      <c r="O1164" s="9">
        <v>-0.1034113305</v>
      </c>
      <c r="P1164" s="10">
        <v>0.14935936500969199</v>
      </c>
      <c r="Q1164" s="10">
        <v>2.23082199160985E-2</v>
      </c>
    </row>
    <row r="1165" spans="1:17" x14ac:dyDescent="0.2">
      <c r="A1165" s="10">
        <v>1717</v>
      </c>
      <c r="B1165" s="10" t="s">
        <v>2833</v>
      </c>
      <c r="C1165" s="9" t="s">
        <v>2377</v>
      </c>
      <c r="D1165" s="10">
        <v>-0.30044276800000003</v>
      </c>
      <c r="E1165" s="10">
        <v>0.22876811</v>
      </c>
      <c r="F1165" s="10">
        <v>0.147210335</v>
      </c>
      <c r="G1165" s="10">
        <v>1.7711238499999999</v>
      </c>
      <c r="H1165" s="9">
        <v>0.46166488174999998</v>
      </c>
      <c r="I1165" s="10">
        <v>0.90344035545632295</v>
      </c>
      <c r="J1165" s="10">
        <v>0.81620447586704703</v>
      </c>
      <c r="K1165" s="10">
        <v>0.381383315</v>
      </c>
      <c r="L1165" s="10">
        <v>-1.27537857</v>
      </c>
      <c r="M1165" s="10">
        <v>1.1059056169999999</v>
      </c>
      <c r="N1165" s="10">
        <v>-0.414585131</v>
      </c>
      <c r="O1165" s="9">
        <v>-5.0668692500000001E-2</v>
      </c>
      <c r="P1165" s="10">
        <v>1.0257814141483801</v>
      </c>
      <c r="Q1165" s="10">
        <v>1.05222750961225</v>
      </c>
    </row>
    <row r="1166" spans="1:17" x14ac:dyDescent="0.2">
      <c r="A1166" s="10">
        <v>1717</v>
      </c>
      <c r="B1166" s="10" t="s">
        <v>2830</v>
      </c>
      <c r="C1166" s="9" t="s">
        <v>1031</v>
      </c>
      <c r="D1166" s="10">
        <v>-0.27459367800000001</v>
      </c>
      <c r="E1166" s="10">
        <v>-1.0220086269999999</v>
      </c>
      <c r="F1166" s="10">
        <v>-0.72076968399999997</v>
      </c>
      <c r="G1166" s="10">
        <v>0.58054270500000005</v>
      </c>
      <c r="H1166" s="9">
        <v>-0.35920732100000002</v>
      </c>
      <c r="I1166" s="10">
        <v>0.69769202697708499</v>
      </c>
      <c r="J1166" s="10">
        <v>0.48677416450739303</v>
      </c>
      <c r="K1166" s="10">
        <v>-0.56661208600000001</v>
      </c>
      <c r="L1166" s="10">
        <v>-0.46019597499999998</v>
      </c>
      <c r="M1166" s="10">
        <v>0.91268763500000005</v>
      </c>
      <c r="N1166" s="10">
        <v>0.66740836699999995</v>
      </c>
      <c r="O1166" s="9">
        <v>0.13832198500000001</v>
      </c>
      <c r="P1166" s="10">
        <v>0.760423205067846</v>
      </c>
      <c r="Q1166" s="10">
        <v>0.57824345080565498</v>
      </c>
    </row>
    <row r="1167" spans="1:17" x14ac:dyDescent="0.2">
      <c r="A1167" s="10">
        <v>1717</v>
      </c>
      <c r="B1167" s="10" t="s">
        <v>2835</v>
      </c>
      <c r="C1167" s="9" t="s">
        <v>2376</v>
      </c>
      <c r="D1167" s="10">
        <v>0.39150142300000002</v>
      </c>
      <c r="E1167" s="10">
        <v>0.80727307299999995</v>
      </c>
      <c r="F1167" s="10">
        <v>0.73678473499999997</v>
      </c>
      <c r="G1167" s="10">
        <v>0.53748867899999997</v>
      </c>
      <c r="H1167" s="9">
        <v>0.61826197775000002</v>
      </c>
      <c r="I1167" s="10">
        <v>0.18948835768566399</v>
      </c>
      <c r="J1167" s="10">
        <v>3.5905837698410402E-2</v>
      </c>
      <c r="K1167" s="10">
        <v>-0.45553207299999998</v>
      </c>
      <c r="L1167" s="10">
        <v>0.180322543</v>
      </c>
      <c r="M1167" s="10">
        <v>0.77243225199999999</v>
      </c>
      <c r="N1167" s="10">
        <v>-0.251956982</v>
      </c>
      <c r="O1167" s="9">
        <v>6.1316435250000002E-2</v>
      </c>
      <c r="P1167" s="10">
        <v>0.54317608346636104</v>
      </c>
      <c r="Q1167" s="10">
        <v>0.29504025764985498</v>
      </c>
    </row>
    <row r="1168" spans="1:17" x14ac:dyDescent="0.2">
      <c r="A1168" s="10">
        <v>1717</v>
      </c>
      <c r="B1168" s="10" t="s">
        <v>2832</v>
      </c>
      <c r="C1168" s="9" t="s">
        <v>1032</v>
      </c>
      <c r="D1168" s="10">
        <v>-0.26572892599999998</v>
      </c>
      <c r="E1168" s="10">
        <v>0.14304457800000001</v>
      </c>
      <c r="F1168" s="10">
        <v>-4.9387459999999999E-3</v>
      </c>
      <c r="G1168" s="10">
        <v>0.19835143299999999</v>
      </c>
      <c r="H1168" s="9">
        <v>1.76820845E-2</v>
      </c>
      <c r="I1168" s="10">
        <v>0.20751760656957299</v>
      </c>
      <c r="J1168" s="10">
        <v>4.3063557036364199E-2</v>
      </c>
      <c r="K1168" s="10">
        <v>0.25533783700000001</v>
      </c>
      <c r="L1168" s="10">
        <v>0.17863918500000001</v>
      </c>
      <c r="M1168" s="10">
        <v>-0.125773776</v>
      </c>
      <c r="N1168" s="10">
        <v>-6.5464886E-2</v>
      </c>
      <c r="O1168" s="9">
        <v>6.0684589999999997E-2</v>
      </c>
      <c r="P1168" s="10">
        <v>0.18482747414433201</v>
      </c>
      <c r="Q1168" s="10">
        <v>3.4161195198573802E-2</v>
      </c>
    </row>
    <row r="1169" spans="1:17" x14ac:dyDescent="0.2">
      <c r="A1169" s="10">
        <v>1718</v>
      </c>
      <c r="B1169" s="10" t="s">
        <v>2826</v>
      </c>
      <c r="C1169" s="9" t="s">
        <v>1033</v>
      </c>
      <c r="D1169" s="10">
        <v>-1.0908648350000001</v>
      </c>
      <c r="E1169" s="10">
        <v>0.15418369300000001</v>
      </c>
      <c r="F1169" s="10">
        <v>-0.76667269999999998</v>
      </c>
      <c r="G1169" s="10">
        <v>-0.270273078</v>
      </c>
      <c r="H1169" s="9">
        <v>-0.49340673000000002</v>
      </c>
      <c r="I1169" s="10">
        <v>0.54796364240899698</v>
      </c>
      <c r="J1169" s="10">
        <v>0.30026415340213602</v>
      </c>
      <c r="K1169" s="10">
        <v>-0.189584799</v>
      </c>
      <c r="L1169" s="10">
        <v>0.42879669100000001</v>
      </c>
      <c r="M1169" s="10">
        <v>0.103666259</v>
      </c>
      <c r="N1169" s="10">
        <v>0.786900402</v>
      </c>
      <c r="O1169" s="9">
        <v>0.28244463824999999</v>
      </c>
      <c r="P1169" s="10">
        <v>0.42058215188099402</v>
      </c>
      <c r="Q1169" s="10">
        <v>0.176889346480847</v>
      </c>
    </row>
    <row r="1170" spans="1:17" x14ac:dyDescent="0.2">
      <c r="A1170" s="10">
        <v>1718</v>
      </c>
      <c r="B1170" s="10" t="s">
        <v>2824</v>
      </c>
      <c r="C1170" s="9" t="s">
        <v>1034</v>
      </c>
      <c r="D1170" s="10">
        <v>-0.63964330700000005</v>
      </c>
      <c r="E1170" s="10">
        <v>-0.71613322400000001</v>
      </c>
      <c r="F1170" s="10">
        <v>-0.61703160700000004</v>
      </c>
      <c r="G1170" s="10">
        <v>-0.87001070599999997</v>
      </c>
      <c r="H1170" s="9">
        <v>-0.71070471099999999</v>
      </c>
      <c r="I1170" s="10">
        <v>0.11435652196497401</v>
      </c>
      <c r="J1170" s="10">
        <v>1.30774141159257E-2</v>
      </c>
      <c r="K1170" s="10">
        <v>-0.262585603</v>
      </c>
      <c r="L1170" s="10">
        <v>-2.4694596999999999E-2</v>
      </c>
      <c r="M1170" s="10">
        <v>0.19994858800000001</v>
      </c>
      <c r="N1170" s="10">
        <v>0.17259107800000001</v>
      </c>
      <c r="O1170" s="9">
        <v>2.1314866500000001E-2</v>
      </c>
      <c r="P1170" s="10">
        <v>0.214095653028119</v>
      </c>
      <c r="Q1170" s="10">
        <v>4.58369486455368E-2</v>
      </c>
    </row>
    <row r="1171" spans="1:17" x14ac:dyDescent="0.2">
      <c r="A1171" s="10">
        <v>1718</v>
      </c>
      <c r="B1171" s="10" t="s">
        <v>2814</v>
      </c>
      <c r="C1171" s="9" t="s">
        <v>2375</v>
      </c>
      <c r="D1171" s="10">
        <v>-1.687496323</v>
      </c>
      <c r="E1171" s="10">
        <v>-1.2425330219999999</v>
      </c>
      <c r="F1171" s="10">
        <v>-1.689939611</v>
      </c>
      <c r="G1171" s="10">
        <v>-1.6218042560000001</v>
      </c>
      <c r="H1171" s="9">
        <v>-1.560443303</v>
      </c>
      <c r="I1171" s="10">
        <v>0.21427698351690999</v>
      </c>
      <c r="J1171" s="10">
        <v>4.5914625665106103E-2</v>
      </c>
      <c r="K1171" s="10">
        <v>-0.17011773499999999</v>
      </c>
      <c r="L1171" s="10">
        <v>0.170136442</v>
      </c>
      <c r="M1171" s="10">
        <v>0.13277867099999999</v>
      </c>
      <c r="N1171" s="10">
        <v>0.26488172799999998</v>
      </c>
      <c r="O1171" s="9">
        <v>9.9419776500000001E-2</v>
      </c>
      <c r="P1171" s="10">
        <v>0.18809730648567799</v>
      </c>
      <c r="Q1171" s="10">
        <v>3.5380596707167297E-2</v>
      </c>
    </row>
    <row r="1172" spans="1:17" x14ac:dyDescent="0.2">
      <c r="A1172" s="10">
        <v>1718</v>
      </c>
      <c r="B1172" s="10" t="s">
        <v>2818</v>
      </c>
      <c r="C1172" s="9" t="s">
        <v>1035</v>
      </c>
      <c r="D1172" s="10">
        <v>-0.162521586</v>
      </c>
      <c r="E1172" s="10">
        <v>-0.128364538</v>
      </c>
      <c r="F1172" s="10">
        <v>-2.571620153</v>
      </c>
      <c r="G1172" s="10">
        <v>-7.0418718330000001</v>
      </c>
      <c r="H1172" s="9">
        <v>-2.4760945274999999</v>
      </c>
      <c r="I1172" s="10">
        <v>3.2516612886228198</v>
      </c>
      <c r="J1172" s="10">
        <v>10.573301135928199</v>
      </c>
      <c r="K1172" s="10">
        <v>0.886581434</v>
      </c>
      <c r="L1172" s="10">
        <v>-0.78560192799999995</v>
      </c>
      <c r="M1172" s="10">
        <v>-0.117792444</v>
      </c>
      <c r="N1172" s="10">
        <v>-0.64440825599999996</v>
      </c>
      <c r="O1172" s="9">
        <v>-0.1653052985</v>
      </c>
      <c r="P1172" s="10">
        <v>0.75785458627333202</v>
      </c>
      <c r="Q1172" s="10">
        <v>0.57434357393552304</v>
      </c>
    </row>
    <row r="1173" spans="1:17" x14ac:dyDescent="0.2">
      <c r="A1173" s="10">
        <v>1719</v>
      </c>
      <c r="B1173" s="10" t="s">
        <v>2822</v>
      </c>
      <c r="C1173" s="9" t="s">
        <v>1036</v>
      </c>
      <c r="D1173" s="10">
        <v>5.7629246000000002E-2</v>
      </c>
      <c r="E1173" s="10">
        <v>0.16698164500000001</v>
      </c>
      <c r="F1173" s="10">
        <v>-0.49595793399999999</v>
      </c>
      <c r="G1173" s="10">
        <v>-0.32144842200000001</v>
      </c>
      <c r="H1173" s="9">
        <v>-0.14819886625000001</v>
      </c>
      <c r="I1173" s="10">
        <v>0.31233301897927801</v>
      </c>
      <c r="J1173" s="10">
        <v>9.7551914744710394E-2</v>
      </c>
      <c r="K1173" s="10">
        <v>-0.14583236799999999</v>
      </c>
      <c r="L1173" s="10">
        <v>-0.29931079399999999</v>
      </c>
      <c r="M1173" s="10">
        <v>-0.299786779</v>
      </c>
      <c r="N1173" s="10">
        <v>0.39654250800000002</v>
      </c>
      <c r="O1173" s="9">
        <v>-8.7096857999999999E-2</v>
      </c>
      <c r="P1173" s="10">
        <v>0.330468684147953</v>
      </c>
      <c r="Q1173" s="10">
        <v>0.10920955120248001</v>
      </c>
    </row>
    <row r="1174" spans="1:17" x14ac:dyDescent="0.2">
      <c r="A1174" s="10">
        <v>1719</v>
      </c>
      <c r="B1174" s="10" t="s">
        <v>2834</v>
      </c>
      <c r="C1174" s="9" t="s">
        <v>2374</v>
      </c>
      <c r="D1174" s="10">
        <v>-1.5040694560000001</v>
      </c>
      <c r="E1174" s="10">
        <v>-1.346447586</v>
      </c>
      <c r="F1174" s="10">
        <v>-1.763794225</v>
      </c>
      <c r="G1174" s="10">
        <v>-1.3989946230000001</v>
      </c>
      <c r="H1174" s="9">
        <v>-1.5033264725</v>
      </c>
      <c r="I1174" s="10">
        <v>0.18559824170005201</v>
      </c>
      <c r="J1174" s="10">
        <v>3.4446707322151E-2</v>
      </c>
      <c r="K1174" s="10">
        <v>-0.11290908</v>
      </c>
      <c r="L1174" s="10">
        <v>7.6917138999999995E-2</v>
      </c>
      <c r="M1174" s="10">
        <v>4.9606562999999999E-2</v>
      </c>
      <c r="N1174" s="10">
        <v>-0.25938324899999998</v>
      </c>
      <c r="O1174" s="9">
        <v>-6.1442156749999997E-2</v>
      </c>
      <c r="P1174" s="10">
        <v>0.156316594414982</v>
      </c>
      <c r="Q1174" s="10">
        <v>2.4434877689498102E-2</v>
      </c>
    </row>
    <row r="1175" spans="1:17" x14ac:dyDescent="0.2">
      <c r="A1175" s="10">
        <v>1719</v>
      </c>
      <c r="B1175" s="10" t="s">
        <v>2824</v>
      </c>
      <c r="C1175" s="9" t="s">
        <v>1037</v>
      </c>
      <c r="D1175" s="10">
        <v>-0.65451713</v>
      </c>
      <c r="E1175" s="10">
        <v>-0.65983415499999998</v>
      </c>
      <c r="F1175" s="10">
        <v>-3.1023044999999999E-2</v>
      </c>
      <c r="G1175" s="10">
        <v>-0.25811330100000002</v>
      </c>
      <c r="H1175" s="9">
        <v>-0.40087190774999998</v>
      </c>
      <c r="I1175" s="10">
        <v>0.310142733457619</v>
      </c>
      <c r="J1175" s="10">
        <v>9.6188515116563802E-2</v>
      </c>
      <c r="K1175" s="10">
        <v>-0.94516980799999994</v>
      </c>
      <c r="L1175" s="10">
        <v>6.3540443000000002E-2</v>
      </c>
      <c r="M1175" s="10">
        <v>0.84622483999999998</v>
      </c>
      <c r="N1175" s="10">
        <v>-1.0365607889999999</v>
      </c>
      <c r="O1175" s="9">
        <v>-0.26799132874999998</v>
      </c>
      <c r="P1175" s="10">
        <v>0.89455029565548305</v>
      </c>
      <c r="Q1175" s="10">
        <v>0.80022023145731302</v>
      </c>
    </row>
    <row r="1176" spans="1:17" x14ac:dyDescent="0.2">
      <c r="A1176" s="10">
        <v>1719</v>
      </c>
      <c r="B1176" s="10" t="s">
        <v>82</v>
      </c>
      <c r="C1176" s="9" t="s">
        <v>2373</v>
      </c>
      <c r="D1176" s="10">
        <v>-1.4514883489999999</v>
      </c>
      <c r="E1176" s="10">
        <v>-0.60641651600000002</v>
      </c>
      <c r="F1176" s="10">
        <v>-0.58618562600000002</v>
      </c>
      <c r="G1176" s="10">
        <v>-0.16312506099999999</v>
      </c>
      <c r="H1176" s="9">
        <v>-0.70180388800000004</v>
      </c>
      <c r="I1176" s="10">
        <v>0.53995925863837801</v>
      </c>
      <c r="J1176" s="10">
        <v>0.29155600098930701</v>
      </c>
      <c r="K1176" s="10">
        <v>0.29762525000000001</v>
      </c>
      <c r="L1176" s="10">
        <v>1.8866186E-2</v>
      </c>
      <c r="M1176" s="10">
        <v>0.54977821699999996</v>
      </c>
      <c r="N1176" s="10">
        <v>-1.197055357</v>
      </c>
      <c r="O1176" s="9">
        <v>-8.2696426000000003E-2</v>
      </c>
      <c r="P1176" s="10">
        <v>0.77390342690569802</v>
      </c>
      <c r="Q1176" s="10">
        <v>0.59892651417638298</v>
      </c>
    </row>
    <row r="1177" spans="1:17" x14ac:dyDescent="0.2">
      <c r="A1177" s="10">
        <v>1719</v>
      </c>
      <c r="B1177" s="10" t="s">
        <v>2818</v>
      </c>
      <c r="C1177" s="9" t="s">
        <v>1038</v>
      </c>
      <c r="D1177" s="10">
        <v>2.5707908000000002E-2</v>
      </c>
      <c r="E1177" s="10">
        <v>-0.59831847999999999</v>
      </c>
      <c r="F1177" s="10">
        <v>-1.398090279</v>
      </c>
      <c r="G1177" s="10">
        <v>-0.26598754000000002</v>
      </c>
      <c r="H1177" s="9">
        <v>-0.55917209800000001</v>
      </c>
      <c r="I1177" s="10">
        <v>0.61464297498744502</v>
      </c>
      <c r="J1177" s="10">
        <v>0.377785986701418</v>
      </c>
      <c r="K1177" s="10">
        <v>-0.50943344599999996</v>
      </c>
      <c r="L1177" s="10">
        <v>-2.2937268E-2</v>
      </c>
      <c r="M1177" s="10">
        <v>-5.3112658E-2</v>
      </c>
      <c r="N1177" s="10">
        <v>-0.54024340500000001</v>
      </c>
      <c r="O1177" s="9">
        <v>-0.2814316945</v>
      </c>
      <c r="P1177" s="10">
        <v>0.28161276671986701</v>
      </c>
      <c r="Q1177" s="10">
        <v>7.9305750379618595E-2</v>
      </c>
    </row>
    <row r="1178" spans="1:17" x14ac:dyDescent="0.2">
      <c r="A1178" s="10">
        <v>1720</v>
      </c>
      <c r="B1178" s="10" t="s">
        <v>2825</v>
      </c>
      <c r="C1178" s="9" t="s">
        <v>1039</v>
      </c>
      <c r="D1178" s="10">
        <v>-0.15070835199999999</v>
      </c>
      <c r="E1178" s="10">
        <v>-0.53557050799999995</v>
      </c>
      <c r="F1178" s="10">
        <v>-0.39001430100000001</v>
      </c>
      <c r="G1178" s="10">
        <v>-0.3084614</v>
      </c>
      <c r="H1178" s="9">
        <v>-0.34618863999999999</v>
      </c>
      <c r="I1178" s="10">
        <v>0.160646680766453</v>
      </c>
      <c r="J1178" s="10">
        <v>2.58073560412789E-2</v>
      </c>
      <c r="K1178" s="10">
        <v>-0.31359925399999999</v>
      </c>
      <c r="L1178" s="10">
        <v>-0.105659618</v>
      </c>
      <c r="M1178" s="10">
        <v>-0.29826060799999998</v>
      </c>
      <c r="N1178" s="10">
        <v>0.30970145599999999</v>
      </c>
      <c r="O1178" s="9">
        <v>-0.101954506</v>
      </c>
      <c r="P1178" s="10">
        <v>0.29028947847708603</v>
      </c>
      <c r="Q1178" s="10">
        <v>8.42679813144986E-2</v>
      </c>
    </row>
    <row r="1179" spans="1:17" x14ac:dyDescent="0.2">
      <c r="A1179" s="10">
        <v>1721</v>
      </c>
      <c r="B1179" s="10" t="s">
        <v>96</v>
      </c>
      <c r="C1179" s="9" t="s">
        <v>2372</v>
      </c>
      <c r="D1179" s="10">
        <v>-4.1866872999999999E-2</v>
      </c>
      <c r="E1179" s="10">
        <v>-0.41817226499999999</v>
      </c>
      <c r="F1179" s="10">
        <v>-0.58310352499999996</v>
      </c>
      <c r="G1179" s="10">
        <v>-0.77575202600000004</v>
      </c>
      <c r="H1179" s="9">
        <v>-0.45472367224999999</v>
      </c>
      <c r="I1179" s="10">
        <v>0.31162334773593597</v>
      </c>
      <c r="J1179" s="10">
        <v>9.7109110854152303E-2</v>
      </c>
      <c r="K1179" s="10">
        <v>0.36379629400000002</v>
      </c>
      <c r="L1179" s="10">
        <v>-0.38728026300000001</v>
      </c>
      <c r="M1179" s="10">
        <v>-6.4809454000000002E-2</v>
      </c>
      <c r="N1179" s="10">
        <v>-0.68907457500000002</v>
      </c>
      <c r="O1179" s="9">
        <v>-0.1943419995</v>
      </c>
      <c r="P1179" s="10">
        <v>0.45102938921170799</v>
      </c>
      <c r="Q1179" s="10">
        <v>0.20342750993268599</v>
      </c>
    </row>
    <row r="1180" spans="1:17" x14ac:dyDescent="0.2">
      <c r="A1180" s="10">
        <v>1721</v>
      </c>
      <c r="B1180" s="10" t="s">
        <v>2819</v>
      </c>
      <c r="C1180" s="9" t="s">
        <v>2371</v>
      </c>
      <c r="D1180" s="10">
        <v>-0.75070978899999996</v>
      </c>
      <c r="E1180" s="10">
        <v>0.87823451900000005</v>
      </c>
      <c r="F1180" s="10">
        <v>-0.57968471600000004</v>
      </c>
      <c r="G1180" s="10">
        <v>-0.53188888899999998</v>
      </c>
      <c r="H1180" s="9">
        <v>-0.246012219</v>
      </c>
      <c r="I1180" s="10">
        <v>0.75536154053805005</v>
      </c>
      <c r="J1180" s="10">
        <v>0.570571056924016</v>
      </c>
      <c r="K1180" s="10">
        <v>0.20594571</v>
      </c>
      <c r="L1180" s="10">
        <v>-0.17772906899999999</v>
      </c>
      <c r="M1180" s="10">
        <v>-0.197689745</v>
      </c>
      <c r="N1180" s="10">
        <v>1.3423882309999999</v>
      </c>
      <c r="O1180" s="9">
        <v>0.29322878175</v>
      </c>
      <c r="P1180" s="10">
        <v>0.723684134977438</v>
      </c>
      <c r="Q1180" s="10">
        <v>0.52371872721804202</v>
      </c>
    </row>
    <row r="1181" spans="1:17" x14ac:dyDescent="0.2">
      <c r="A1181" s="10">
        <v>1721</v>
      </c>
      <c r="B1181" s="10" t="s">
        <v>2821</v>
      </c>
      <c r="C1181" s="9" t="s">
        <v>2370</v>
      </c>
      <c r="D1181" s="10">
        <v>-1.20963416</v>
      </c>
      <c r="E1181" s="10">
        <v>-0.37746640999999997</v>
      </c>
      <c r="F1181" s="10">
        <v>-3.1784357779999999</v>
      </c>
      <c r="G1181" s="10">
        <v>0.27792403199999999</v>
      </c>
      <c r="H1181" s="9">
        <v>-1.121903079</v>
      </c>
      <c r="I1181" s="10">
        <v>1.5000805955539001</v>
      </c>
      <c r="J1181" s="10">
        <v>2.25024179315735</v>
      </c>
      <c r="K1181" s="10">
        <v>0.27314306300000002</v>
      </c>
      <c r="L1181" s="10">
        <v>3.847205056</v>
      </c>
      <c r="M1181" s="10">
        <v>0.229698344</v>
      </c>
      <c r="N1181" s="3">
        <v>8.4699999999999999E-5</v>
      </c>
      <c r="O1181" s="9">
        <v>1.0875327880000001</v>
      </c>
      <c r="P1181" s="10">
        <v>1.84367792996874</v>
      </c>
      <c r="Q1181" s="10">
        <v>3.3991483094538202</v>
      </c>
    </row>
    <row r="1182" spans="1:17" x14ac:dyDescent="0.2">
      <c r="A1182" s="10">
        <v>1721</v>
      </c>
      <c r="B1182" s="10" t="s">
        <v>2820</v>
      </c>
      <c r="C1182" s="9" t="s">
        <v>1040</v>
      </c>
      <c r="D1182" s="10">
        <v>0.38712154100000001</v>
      </c>
      <c r="E1182" s="10">
        <v>0.23268971099999999</v>
      </c>
      <c r="F1182" s="10">
        <v>-0.32388289399999998</v>
      </c>
      <c r="G1182" s="10">
        <v>0.242629703</v>
      </c>
      <c r="H1182" s="9">
        <v>0.13463951525000001</v>
      </c>
      <c r="I1182" s="10">
        <v>0.31372264536696598</v>
      </c>
      <c r="J1182" s="10">
        <v>9.8421898216047202E-2</v>
      </c>
      <c r="K1182" s="10">
        <v>-0.16236848800000001</v>
      </c>
      <c r="L1182" s="10">
        <v>-4.7680907000000002E-2</v>
      </c>
      <c r="M1182" s="10">
        <v>1.3971590000000001E-2</v>
      </c>
      <c r="N1182" s="10">
        <v>-0.49285683499999999</v>
      </c>
      <c r="O1182" s="9">
        <v>-0.17223366000000001</v>
      </c>
      <c r="P1182" s="10">
        <v>0.22589254478852799</v>
      </c>
      <c r="Q1182" s="10">
        <v>5.1027441791037201E-2</v>
      </c>
    </row>
    <row r="1183" spans="1:17" x14ac:dyDescent="0.2">
      <c r="A1183" s="10">
        <v>1721</v>
      </c>
      <c r="B1183" s="10" t="s">
        <v>2824</v>
      </c>
      <c r="C1183" s="9" t="s">
        <v>2369</v>
      </c>
      <c r="D1183" s="10">
        <v>-0.68564197000000005</v>
      </c>
      <c r="E1183" s="10">
        <v>-0.75565476899999995</v>
      </c>
      <c r="F1183" s="10">
        <v>-5.2303087999999998E-2</v>
      </c>
      <c r="G1183" s="10">
        <v>0.34769903299999999</v>
      </c>
      <c r="H1183" s="9">
        <v>-0.28647519849999997</v>
      </c>
      <c r="I1183" s="10">
        <v>0.52803949160359098</v>
      </c>
      <c r="J1183" s="10">
        <v>0.27882570469297902</v>
      </c>
      <c r="K1183" s="10">
        <v>3.7295189999999999E-2</v>
      </c>
      <c r="L1183" s="10">
        <v>0.48320549099999999</v>
      </c>
      <c r="M1183" s="10">
        <v>0.57187352400000002</v>
      </c>
      <c r="N1183" s="10">
        <v>0.32854910999999998</v>
      </c>
      <c r="O1183" s="9">
        <v>0.35523082849999998</v>
      </c>
      <c r="P1183" s="10">
        <v>0.23459650188213901</v>
      </c>
      <c r="Q1183" s="10">
        <v>5.5035518695336801E-2</v>
      </c>
    </row>
    <row r="1184" spans="1:17" x14ac:dyDescent="0.2">
      <c r="A1184" s="10">
        <v>1721</v>
      </c>
      <c r="B1184" s="10" t="s">
        <v>82</v>
      </c>
      <c r="C1184" s="9" t="s">
        <v>1041</v>
      </c>
      <c r="D1184" s="10">
        <v>-0.34909698500000003</v>
      </c>
      <c r="E1184" s="10">
        <v>-0.77038642000000002</v>
      </c>
      <c r="F1184" s="10">
        <v>-0.95303189799999999</v>
      </c>
      <c r="G1184" s="10">
        <v>-0.78829365399999995</v>
      </c>
      <c r="H1184" s="9">
        <v>-0.71520223949999995</v>
      </c>
      <c r="I1184" s="10">
        <v>0.25754200465542398</v>
      </c>
      <c r="J1184" s="10">
        <v>6.6327884161934497E-2</v>
      </c>
      <c r="K1184" s="10">
        <v>-0.61502684799999996</v>
      </c>
      <c r="L1184" s="10">
        <v>-0.66438403199999996</v>
      </c>
      <c r="M1184" s="10">
        <v>-0.81395442299999998</v>
      </c>
      <c r="N1184" s="10">
        <v>-0.31991542299999998</v>
      </c>
      <c r="O1184" s="9">
        <v>-0.60332018175000002</v>
      </c>
      <c r="P1184" s="10">
        <v>0.20700312454256301</v>
      </c>
      <c r="Q1184" s="10">
        <v>4.2850293570384002E-2</v>
      </c>
    </row>
    <row r="1185" spans="1:17" x14ac:dyDescent="0.2">
      <c r="A1185" s="10">
        <v>1721</v>
      </c>
      <c r="B1185" s="10" t="s">
        <v>74</v>
      </c>
      <c r="C1185" s="9" t="s">
        <v>1042</v>
      </c>
      <c r="D1185" s="10">
        <v>-0.29711449699999998</v>
      </c>
      <c r="E1185" s="10">
        <v>-4.3773695000000001E-2</v>
      </c>
      <c r="F1185" s="10">
        <v>0.231009347</v>
      </c>
      <c r="G1185" s="10">
        <v>0.37747771600000002</v>
      </c>
      <c r="H1185" s="9">
        <v>6.6899717999999997E-2</v>
      </c>
      <c r="I1185" s="10">
        <v>0.29896801180022597</v>
      </c>
      <c r="J1185" s="10">
        <v>8.93818720797801E-2</v>
      </c>
      <c r="K1185" s="10">
        <v>0.242033626</v>
      </c>
      <c r="L1185" s="10">
        <v>7.2900721000000002E-2</v>
      </c>
      <c r="M1185" s="10">
        <v>0.56508313200000004</v>
      </c>
      <c r="N1185" s="10">
        <v>-0.30069092800000002</v>
      </c>
      <c r="O1185" s="9">
        <v>0.14483163774999999</v>
      </c>
      <c r="P1185" s="10">
        <v>0.36042750464601903</v>
      </c>
      <c r="Q1185" s="10">
        <v>0.129907986105356</v>
      </c>
    </row>
    <row r="1186" spans="1:17" x14ac:dyDescent="0.2">
      <c r="A1186" s="10">
        <v>1721</v>
      </c>
      <c r="B1186" s="10" t="s">
        <v>2818</v>
      </c>
      <c r="C1186" s="9" t="s">
        <v>2368</v>
      </c>
      <c r="D1186" s="10">
        <v>3.7224620999999999E-2</v>
      </c>
      <c r="E1186" s="10">
        <v>0.297278129</v>
      </c>
      <c r="F1186" s="10">
        <v>0.31911416999999997</v>
      </c>
      <c r="G1186" s="10">
        <v>-0.20197968899999999</v>
      </c>
      <c r="H1186" s="9">
        <v>0.11290930774999999</v>
      </c>
      <c r="I1186" s="10">
        <v>0.24589669887124199</v>
      </c>
      <c r="J1186" s="10">
        <v>6.0465186515774302E-2</v>
      </c>
      <c r="K1186" s="10">
        <v>-0.104626843</v>
      </c>
      <c r="L1186" s="10">
        <v>-0.88308360399999997</v>
      </c>
      <c r="M1186" s="10">
        <v>0.39417056099999997</v>
      </c>
      <c r="N1186" s="10">
        <v>-0.36012766400000001</v>
      </c>
      <c r="O1186" s="9">
        <v>-0.23841688750000001</v>
      </c>
      <c r="P1186" s="10">
        <v>0.53181304499675897</v>
      </c>
      <c r="Q1186" s="10">
        <v>0.28282511482872502</v>
      </c>
    </row>
    <row r="1187" spans="1:17" x14ac:dyDescent="0.2">
      <c r="A1187" s="10">
        <v>1721</v>
      </c>
      <c r="B1187" s="10" t="s">
        <v>2830</v>
      </c>
      <c r="C1187" s="9" t="s">
        <v>1043</v>
      </c>
      <c r="D1187" s="10">
        <v>-2.7972599000000001E-2</v>
      </c>
      <c r="E1187" s="10">
        <v>-0.27611143300000002</v>
      </c>
      <c r="F1187" s="10">
        <v>-8.0668116999999998E-2</v>
      </c>
      <c r="G1187" s="10">
        <v>-0.31327592500000001</v>
      </c>
      <c r="H1187" s="9">
        <v>-0.1745070185</v>
      </c>
      <c r="I1187" s="10">
        <v>0.141254312016804</v>
      </c>
      <c r="J1187" s="10">
        <v>1.9952780663340702E-2</v>
      </c>
      <c r="K1187" s="10">
        <v>0.425532735</v>
      </c>
      <c r="L1187" s="10">
        <v>0.126345703</v>
      </c>
      <c r="M1187" s="10">
        <v>0.243084302</v>
      </c>
      <c r="N1187" s="10">
        <v>0.42648250300000001</v>
      </c>
      <c r="O1187" s="9">
        <v>0.30536131100000002</v>
      </c>
      <c r="P1187" s="10">
        <v>0.147237368507776</v>
      </c>
      <c r="Q1187" s="10">
        <v>2.16788426850947E-2</v>
      </c>
    </row>
    <row r="1188" spans="1:17" x14ac:dyDescent="0.2">
      <c r="A1188" s="10">
        <v>1722</v>
      </c>
      <c r="B1188" s="10" t="s">
        <v>2834</v>
      </c>
      <c r="C1188" s="9" t="s">
        <v>2367</v>
      </c>
      <c r="D1188" s="10">
        <v>-2.0910562019999999</v>
      </c>
      <c r="E1188" s="10">
        <v>-1.5259399119999999</v>
      </c>
      <c r="F1188" s="10">
        <v>-1.152825529</v>
      </c>
      <c r="G1188" s="10">
        <v>-1.82478743</v>
      </c>
      <c r="H1188" s="9">
        <v>-1.6486522685</v>
      </c>
      <c r="I1188" s="10">
        <v>0.40317378946466198</v>
      </c>
      <c r="J1188" s="10">
        <v>0.16254910451129501</v>
      </c>
      <c r="K1188" s="10">
        <v>0.183011639</v>
      </c>
      <c r="L1188" s="10">
        <v>0.59078398300000001</v>
      </c>
      <c r="M1188" s="10">
        <v>0.68403325999999998</v>
      </c>
      <c r="N1188" s="10">
        <v>0.50000749799999999</v>
      </c>
      <c r="O1188" s="9">
        <v>0.48945909524999998</v>
      </c>
      <c r="P1188" s="10">
        <v>0.21767494933836701</v>
      </c>
      <c r="Q1188" s="10">
        <v>4.7382383569460701E-2</v>
      </c>
    </row>
    <row r="1189" spans="1:17" x14ac:dyDescent="0.2">
      <c r="A1189" s="10">
        <v>1723</v>
      </c>
      <c r="B1189" s="10" t="s">
        <v>2831</v>
      </c>
      <c r="C1189" s="9" t="s">
        <v>2366</v>
      </c>
      <c r="D1189" s="10">
        <v>-2.097223455</v>
      </c>
      <c r="E1189" s="10">
        <v>-1.3335486780000001</v>
      </c>
      <c r="F1189" s="10">
        <v>-1.64376225</v>
      </c>
      <c r="G1189" s="10">
        <v>-1.45703011</v>
      </c>
      <c r="H1189" s="9">
        <v>-1.6328911235000001</v>
      </c>
      <c r="I1189" s="10">
        <v>0.334791323670318</v>
      </c>
      <c r="J1189" s="10">
        <v>0.11208523040492401</v>
      </c>
      <c r="K1189" s="10">
        <v>-0.13012732599999999</v>
      </c>
      <c r="L1189" s="10">
        <v>-7.3580310999999995E-2</v>
      </c>
      <c r="M1189" s="10">
        <v>-0.102052514</v>
      </c>
      <c r="N1189" s="10">
        <v>-0.16894989799999999</v>
      </c>
      <c r="O1189" s="9">
        <v>-0.11867751225000001</v>
      </c>
      <c r="P1189" s="10">
        <v>4.0696269818014802E-2</v>
      </c>
      <c r="Q1189" s="10">
        <v>1.6561863771005999E-3</v>
      </c>
    </row>
    <row r="1190" spans="1:17" x14ac:dyDescent="0.2">
      <c r="A1190" s="10">
        <v>1723</v>
      </c>
      <c r="B1190" s="10" t="s">
        <v>96</v>
      </c>
      <c r="C1190" s="9" t="s">
        <v>2365</v>
      </c>
      <c r="D1190" s="10">
        <v>0.21768853799999999</v>
      </c>
      <c r="E1190" s="10">
        <v>-0.13270026900000001</v>
      </c>
      <c r="F1190" s="10">
        <v>8.1983972000000002E-2</v>
      </c>
      <c r="G1190" s="10">
        <v>-6.8747330000000001E-3</v>
      </c>
      <c r="H1190" s="9">
        <v>4.0024377E-2</v>
      </c>
      <c r="I1190" s="10">
        <v>0.14760136807294499</v>
      </c>
      <c r="J1190" s="10">
        <v>2.17861638570051E-2</v>
      </c>
      <c r="K1190" s="10">
        <v>0.327880018</v>
      </c>
      <c r="L1190" s="10">
        <v>0.26723016599999999</v>
      </c>
      <c r="M1190" s="10">
        <v>-0.14332234999999999</v>
      </c>
      <c r="N1190" s="10">
        <v>-6.0518637E-2</v>
      </c>
      <c r="O1190" s="9">
        <v>9.7817299250000003E-2</v>
      </c>
      <c r="P1190" s="10">
        <v>0.23441286449885201</v>
      </c>
      <c r="Q1190" s="10">
        <v>5.4949391042557298E-2</v>
      </c>
    </row>
    <row r="1191" spans="1:17" x14ac:dyDescent="0.2">
      <c r="A1191" s="10">
        <v>1723</v>
      </c>
      <c r="B1191" s="10" t="s">
        <v>2826</v>
      </c>
      <c r="C1191" s="9" t="s">
        <v>1044</v>
      </c>
      <c r="D1191" s="10">
        <v>-0.37594724200000001</v>
      </c>
      <c r="E1191" s="10">
        <v>0.20644731699999999</v>
      </c>
      <c r="F1191" s="10">
        <v>0.23801609500000001</v>
      </c>
      <c r="G1191" s="10">
        <v>0.33963033399999998</v>
      </c>
      <c r="H1191" s="9">
        <v>0.10203662600000001</v>
      </c>
      <c r="I1191" s="10">
        <v>0.32368264114409401</v>
      </c>
      <c r="J1191" s="10">
        <v>0.104770452178016</v>
      </c>
      <c r="K1191" s="10">
        <v>-0.14545934199999999</v>
      </c>
      <c r="L1191" s="10">
        <v>0.291625513</v>
      </c>
      <c r="M1191" s="10">
        <v>4.9333215E-2</v>
      </c>
      <c r="N1191" s="10">
        <v>-0.147790589</v>
      </c>
      <c r="O1191" s="9">
        <v>1.1927199249999999E-2</v>
      </c>
      <c r="P1191" s="10">
        <v>0.20809505198265499</v>
      </c>
      <c r="Q1191" s="10">
        <v>4.3303550659664097E-2</v>
      </c>
    </row>
    <row r="1192" spans="1:17" x14ac:dyDescent="0.2">
      <c r="A1192" s="10">
        <v>1723</v>
      </c>
      <c r="B1192" s="10" t="s">
        <v>2821</v>
      </c>
      <c r="C1192" s="9" t="s">
        <v>1045</v>
      </c>
      <c r="D1192" s="10">
        <v>0.82965752299999995</v>
      </c>
      <c r="E1192" s="10">
        <v>-0.271335722</v>
      </c>
      <c r="F1192" s="10">
        <v>-0.52022397200000003</v>
      </c>
      <c r="G1192" s="10">
        <v>0.12204482799999999</v>
      </c>
      <c r="H1192" s="9">
        <v>4.0035663999999999E-2</v>
      </c>
      <c r="I1192" s="10">
        <v>0.58908719867860204</v>
      </c>
      <c r="J1192" s="10">
        <v>0.34702372764700201</v>
      </c>
      <c r="K1192" s="10">
        <v>5.1042859000000003E-2</v>
      </c>
      <c r="L1192" s="10">
        <v>0.210167771</v>
      </c>
      <c r="M1192" s="10">
        <v>0.20504676799999999</v>
      </c>
      <c r="N1192" s="10">
        <v>-7.6108266999999993E-2</v>
      </c>
      <c r="O1192" s="9">
        <v>9.7537282500000003E-2</v>
      </c>
      <c r="P1192" s="10">
        <v>0.13730552876702501</v>
      </c>
      <c r="Q1192" s="10">
        <v>1.8852808229992499E-2</v>
      </c>
    </row>
    <row r="1193" spans="1:17" x14ac:dyDescent="0.2">
      <c r="A1193" s="10">
        <v>1723</v>
      </c>
      <c r="B1193" s="10" t="s">
        <v>2824</v>
      </c>
      <c r="C1193" s="9" t="s">
        <v>1046</v>
      </c>
      <c r="D1193" s="10">
        <v>-0.36823328399999999</v>
      </c>
      <c r="E1193" s="10">
        <v>-0.26569907199999998</v>
      </c>
      <c r="F1193" s="10">
        <v>0.29857686900000002</v>
      </c>
      <c r="G1193" s="10">
        <v>-0.536410359</v>
      </c>
      <c r="H1193" s="9">
        <v>-0.21794146149999999</v>
      </c>
      <c r="I1193" s="10">
        <v>0.36197700004669398</v>
      </c>
      <c r="J1193" s="10">
        <v>0.13102734856280401</v>
      </c>
      <c r="K1193" s="10">
        <v>-0.10974591</v>
      </c>
      <c r="L1193" s="10">
        <v>-3.6137052000000003E-2</v>
      </c>
      <c r="M1193" s="10">
        <v>0.162952864</v>
      </c>
      <c r="N1193" s="10">
        <v>3.4294553999999998E-2</v>
      </c>
      <c r="O1193" s="9">
        <v>1.2841114000000001E-2</v>
      </c>
      <c r="P1193" s="10">
        <v>0.116075014213217</v>
      </c>
      <c r="Q1193" s="10">
        <v>1.3473408924598701E-2</v>
      </c>
    </row>
    <row r="1194" spans="1:17" x14ac:dyDescent="0.2">
      <c r="A1194" s="10">
        <v>1723</v>
      </c>
      <c r="B1194" s="10" t="s">
        <v>82</v>
      </c>
      <c r="C1194" s="9" t="s">
        <v>1047</v>
      </c>
      <c r="D1194" s="10">
        <v>-0.22480165499999999</v>
      </c>
      <c r="E1194" s="10">
        <v>0.148326606</v>
      </c>
      <c r="F1194" s="10">
        <v>0.73168471899999998</v>
      </c>
      <c r="G1194" s="10">
        <v>-0.29549084399999997</v>
      </c>
      <c r="H1194" s="9">
        <v>8.9929706499999998E-2</v>
      </c>
      <c r="I1194" s="10">
        <v>0.47005833843593398</v>
      </c>
      <c r="J1194" s="10">
        <v>0.22095484153315101</v>
      </c>
      <c r="K1194" s="10">
        <v>-8.8498469999999996E-2</v>
      </c>
      <c r="L1194" s="10">
        <v>0.140437377</v>
      </c>
      <c r="M1194" s="10">
        <v>0.108888376</v>
      </c>
      <c r="N1194" s="10">
        <v>-0.46389132199999999</v>
      </c>
      <c r="O1194" s="9">
        <v>-7.5766009750000002E-2</v>
      </c>
      <c r="P1194" s="10">
        <v>0.27787558377330002</v>
      </c>
      <c r="Q1194" s="10">
        <v>7.7214840057352505E-2</v>
      </c>
    </row>
    <row r="1195" spans="1:17" x14ac:dyDescent="0.2">
      <c r="A1195" s="10">
        <v>1723</v>
      </c>
      <c r="B1195" s="10" t="s">
        <v>2833</v>
      </c>
      <c r="C1195" s="9" t="s">
        <v>2364</v>
      </c>
      <c r="D1195" s="10">
        <v>-0.56681031800000004</v>
      </c>
      <c r="E1195" s="10">
        <v>5.0712969999999998E-3</v>
      </c>
      <c r="F1195" s="10">
        <v>0.13888413899999999</v>
      </c>
      <c r="G1195" s="10">
        <v>0.15128983300000001</v>
      </c>
      <c r="H1195" s="9">
        <v>-6.7891262250000001E-2</v>
      </c>
      <c r="I1195" s="10">
        <v>0.33913624514830198</v>
      </c>
      <c r="J1195" s="10">
        <v>0.11501339277328899</v>
      </c>
      <c r="K1195" s="10">
        <v>0.62742465599999997</v>
      </c>
      <c r="L1195" s="10">
        <v>-0.91875661399999997</v>
      </c>
      <c r="M1195" s="10">
        <v>0.77210162800000004</v>
      </c>
      <c r="N1195" s="10">
        <v>0.52093587500000005</v>
      </c>
      <c r="O1195" s="9">
        <v>0.250426386</v>
      </c>
      <c r="P1195" s="10">
        <v>0.78622240806419597</v>
      </c>
      <c r="Q1195" s="10">
        <v>0.61814567494226402</v>
      </c>
    </row>
    <row r="1196" spans="1:17" x14ac:dyDescent="0.2">
      <c r="A1196" s="10">
        <v>1723</v>
      </c>
      <c r="B1196" s="10" t="s">
        <v>74</v>
      </c>
      <c r="C1196" s="9" t="s">
        <v>2363</v>
      </c>
      <c r="D1196" s="10">
        <v>-0.41465406999999999</v>
      </c>
      <c r="E1196" s="10">
        <v>-0.12656726800000001</v>
      </c>
      <c r="F1196" s="10">
        <v>-8.5016956000000005E-2</v>
      </c>
      <c r="G1196" s="10">
        <v>0.503234972</v>
      </c>
      <c r="H1196" s="9">
        <v>-3.0750830749999999E-2</v>
      </c>
      <c r="I1196" s="10">
        <v>0.38498837066511299</v>
      </c>
      <c r="J1196" s="10">
        <v>0.14821604554737799</v>
      </c>
      <c r="K1196" s="10">
        <v>0.21756014900000001</v>
      </c>
      <c r="L1196" s="10">
        <v>-0.21759287799999999</v>
      </c>
      <c r="M1196" s="10">
        <v>0.171719173</v>
      </c>
      <c r="N1196" s="10">
        <v>-4.5558982999999997E-2</v>
      </c>
      <c r="O1196" s="9">
        <v>3.1531865499999999E-2</v>
      </c>
      <c r="P1196" s="10">
        <v>0.201878792176928</v>
      </c>
      <c r="Q1196" s="10">
        <v>4.0755046730815501E-2</v>
      </c>
    </row>
    <row r="1197" spans="1:17" x14ac:dyDescent="0.2">
      <c r="A1197" s="10">
        <v>1723</v>
      </c>
      <c r="B1197" s="10" t="s">
        <v>2818</v>
      </c>
      <c r="C1197" s="9" t="s">
        <v>1048</v>
      </c>
      <c r="D1197" s="10">
        <v>0.48464174599999998</v>
      </c>
      <c r="E1197" s="10">
        <v>0.10072649</v>
      </c>
      <c r="F1197" s="10">
        <v>6.4202149E-2</v>
      </c>
      <c r="G1197" s="10">
        <v>0.69043959700000002</v>
      </c>
      <c r="H1197" s="9">
        <v>0.3350024955</v>
      </c>
      <c r="I1197" s="10">
        <v>0.30383411747776601</v>
      </c>
      <c r="J1197" s="10">
        <v>9.2315170943492994E-2</v>
      </c>
      <c r="K1197" s="10">
        <v>-0.30326524500000002</v>
      </c>
      <c r="L1197" s="10">
        <v>0.11068504</v>
      </c>
      <c r="M1197" s="10">
        <v>0.70492076000000004</v>
      </c>
      <c r="N1197" s="10">
        <v>-2.7059659999999999E-2</v>
      </c>
      <c r="O1197" s="9">
        <v>0.12132022375</v>
      </c>
      <c r="P1197" s="10">
        <v>0.42543785414558599</v>
      </c>
      <c r="Q1197" s="10">
        <v>0.180997367740001</v>
      </c>
    </row>
    <row r="1198" spans="1:17" x14ac:dyDescent="0.2">
      <c r="A1198" s="10">
        <v>1723</v>
      </c>
      <c r="B1198" s="10" t="s">
        <v>2835</v>
      </c>
      <c r="C1198" s="9" t="s">
        <v>2362</v>
      </c>
      <c r="D1198" s="10">
        <v>0.26895542</v>
      </c>
      <c r="E1198" s="10">
        <v>-0.191792777</v>
      </c>
      <c r="F1198" s="10">
        <v>-1.6154801E-2</v>
      </c>
      <c r="G1198" s="10">
        <v>7.9233627000000001E-2</v>
      </c>
      <c r="H1198" s="9">
        <v>3.5060367000000002E-2</v>
      </c>
      <c r="I1198" s="10">
        <v>0.19213147850092399</v>
      </c>
      <c r="J1198" s="10">
        <v>3.6914505030951103E-2</v>
      </c>
      <c r="K1198" s="10">
        <v>-0.175249303</v>
      </c>
      <c r="L1198" s="10">
        <v>-0.39457752699999998</v>
      </c>
      <c r="M1198" s="10">
        <v>0.34298667599999999</v>
      </c>
      <c r="N1198" s="10">
        <v>0.43717414599999999</v>
      </c>
      <c r="O1198" s="9">
        <v>5.2583497999999999E-2</v>
      </c>
      <c r="P1198" s="10">
        <v>0.401706667363187</v>
      </c>
      <c r="Q1198" s="10">
        <v>0.16136824660403801</v>
      </c>
    </row>
    <row r="1199" spans="1:17" x14ac:dyDescent="0.2">
      <c r="A1199" s="10">
        <v>1723</v>
      </c>
      <c r="B1199" s="10" t="s">
        <v>2832</v>
      </c>
      <c r="C1199" s="9" t="s">
        <v>2361</v>
      </c>
      <c r="D1199" s="10">
        <v>0.25643974600000002</v>
      </c>
      <c r="E1199" s="10">
        <v>0.37486840900000001</v>
      </c>
      <c r="F1199" s="10">
        <v>0.83254723900000005</v>
      </c>
      <c r="G1199" s="10">
        <v>0.24047402700000001</v>
      </c>
      <c r="H1199" s="9">
        <v>0.42608235524999999</v>
      </c>
      <c r="I1199" s="10">
        <v>0.27752815857212598</v>
      </c>
      <c r="J1199" s="10">
        <v>7.7021878800435595E-2</v>
      </c>
      <c r="K1199" s="10">
        <v>0.193509403</v>
      </c>
      <c r="L1199" s="10">
        <v>0.14362001099999999</v>
      </c>
      <c r="M1199" s="10">
        <v>-6.9681135000000005E-2</v>
      </c>
      <c r="N1199" s="10">
        <v>-0.41212883</v>
      </c>
      <c r="O1199" s="9">
        <v>-3.6170137749999998E-2</v>
      </c>
      <c r="P1199" s="10">
        <v>0.27540583039198502</v>
      </c>
      <c r="Q1199" s="10">
        <v>7.5848371413899204E-2</v>
      </c>
    </row>
    <row r="1200" spans="1:17" x14ac:dyDescent="0.2">
      <c r="A1200" s="10">
        <v>1724</v>
      </c>
      <c r="B1200" s="10" t="s">
        <v>2822</v>
      </c>
      <c r="C1200" s="9" t="s">
        <v>2360</v>
      </c>
      <c r="D1200" s="10">
        <v>0.71044691900000001</v>
      </c>
      <c r="E1200" s="10">
        <v>-0.75134148300000003</v>
      </c>
      <c r="F1200" s="10">
        <v>-0.42672205899999999</v>
      </c>
      <c r="G1200" s="10">
        <v>1.3512892990000001</v>
      </c>
      <c r="H1200" s="9">
        <v>0.220918169</v>
      </c>
      <c r="I1200" s="10">
        <v>0.98015372679409996</v>
      </c>
      <c r="J1200" s="10">
        <v>0.96070132814836395</v>
      </c>
      <c r="K1200" s="10">
        <v>0.34937942399999999</v>
      </c>
      <c r="L1200" s="10">
        <v>-0.29153332500000001</v>
      </c>
      <c r="M1200" s="10">
        <v>0.19945663199999999</v>
      </c>
      <c r="N1200" s="10">
        <v>-0.20506646000000001</v>
      </c>
      <c r="O1200" s="9">
        <v>1.305906775E-2</v>
      </c>
      <c r="P1200" s="10">
        <v>0.30995198852071998</v>
      </c>
      <c r="Q1200" s="10">
        <v>9.6070235187948605E-2</v>
      </c>
    </row>
    <row r="1201" spans="1:17" x14ac:dyDescent="0.2">
      <c r="A1201" s="10">
        <v>1724</v>
      </c>
      <c r="B1201" s="10" t="s">
        <v>2826</v>
      </c>
      <c r="C1201" s="9" t="s">
        <v>2359</v>
      </c>
      <c r="D1201" s="10">
        <v>-0.711187872</v>
      </c>
      <c r="E1201" s="10">
        <v>-0.477297904</v>
      </c>
      <c r="F1201" s="10">
        <v>-0.74272934000000002</v>
      </c>
      <c r="G1201" s="10">
        <v>0.59462247899999998</v>
      </c>
      <c r="H1201" s="9">
        <v>-0.33414815925000002</v>
      </c>
      <c r="I1201" s="10">
        <v>0.63039783051418397</v>
      </c>
      <c r="J1201" s="10">
        <v>0.39740142471698903</v>
      </c>
      <c r="K1201" s="10">
        <v>-0.43719625499999998</v>
      </c>
      <c r="L1201" s="10">
        <v>0.77157766000000005</v>
      </c>
      <c r="M1201" s="10">
        <v>0.35971692100000002</v>
      </c>
      <c r="N1201" s="10">
        <v>1.5067293829999999</v>
      </c>
      <c r="O1201" s="9">
        <v>0.55020692724999998</v>
      </c>
      <c r="P1201" s="10">
        <v>0.81141680544399897</v>
      </c>
      <c r="Q1201" s="10">
        <v>0.65839723215694401</v>
      </c>
    </row>
    <row r="1202" spans="1:17" x14ac:dyDescent="0.2">
      <c r="A1202" s="10">
        <v>1724</v>
      </c>
      <c r="B1202" s="10" t="s">
        <v>2824</v>
      </c>
      <c r="C1202" s="9" t="s">
        <v>1049</v>
      </c>
      <c r="D1202" s="10">
        <v>0.18159293200000001</v>
      </c>
      <c r="E1202" s="10">
        <v>0.31550854299999997</v>
      </c>
      <c r="F1202" s="10">
        <v>0.10599225399999999</v>
      </c>
      <c r="G1202" s="10">
        <v>0.31793612799999998</v>
      </c>
      <c r="H1202" s="9">
        <v>0.23025746424999999</v>
      </c>
      <c r="I1202" s="10">
        <v>0.104507374034263</v>
      </c>
      <c r="J1202" s="10">
        <v>1.0921791227537401E-2</v>
      </c>
      <c r="K1202" s="10">
        <v>4.7205768000000002E-2</v>
      </c>
      <c r="L1202" s="10">
        <v>3.2925865999999998E-2</v>
      </c>
      <c r="M1202" s="10">
        <v>-1.6300420999999999E-2</v>
      </c>
      <c r="N1202" s="10">
        <v>-1.179439E-2</v>
      </c>
      <c r="O1202" s="9">
        <v>1.3009205750000001E-2</v>
      </c>
      <c r="P1202" s="10">
        <v>3.1834733691288503E-2</v>
      </c>
      <c r="Q1202" s="10">
        <v>1.0134502691951999E-3</v>
      </c>
    </row>
    <row r="1203" spans="1:17" x14ac:dyDescent="0.2">
      <c r="A1203" s="10">
        <v>1724</v>
      </c>
      <c r="B1203" s="10" t="s">
        <v>82</v>
      </c>
      <c r="C1203" s="9" t="s">
        <v>1050</v>
      </c>
      <c r="D1203" s="10">
        <v>-0.215694574</v>
      </c>
      <c r="E1203" s="10">
        <v>-0.35941573399999999</v>
      </c>
      <c r="F1203" s="10">
        <v>7.6501925999999998E-2</v>
      </c>
      <c r="G1203" s="10">
        <v>8.4327827999999994E-2</v>
      </c>
      <c r="H1203" s="9">
        <v>-0.10357013850000001</v>
      </c>
      <c r="I1203" s="10">
        <v>0.22042417592834501</v>
      </c>
      <c r="J1203" s="10">
        <v>4.8586817333690101E-2</v>
      </c>
      <c r="K1203" s="10">
        <v>-0.17554047</v>
      </c>
      <c r="L1203" s="10">
        <v>-0.535615811</v>
      </c>
      <c r="M1203" s="10">
        <v>0.36040018899999998</v>
      </c>
      <c r="N1203" s="10">
        <v>-0.122531231</v>
      </c>
      <c r="O1203" s="9">
        <v>-0.11832183075</v>
      </c>
      <c r="P1203" s="10">
        <v>0.36814885117956098</v>
      </c>
      <c r="Q1203" s="10">
        <v>0.13553357662483101</v>
      </c>
    </row>
    <row r="1204" spans="1:17" x14ac:dyDescent="0.2">
      <c r="A1204" s="10">
        <v>1724</v>
      </c>
      <c r="B1204" s="10" t="s">
        <v>2814</v>
      </c>
      <c r="C1204" s="9" t="s">
        <v>2358</v>
      </c>
      <c r="D1204" s="10">
        <v>-0.52332596499999995</v>
      </c>
      <c r="E1204" s="10">
        <v>-1.3182357760000001</v>
      </c>
      <c r="F1204" s="10">
        <v>-0.62655523999999996</v>
      </c>
      <c r="G1204" s="10">
        <v>-1.162715349</v>
      </c>
      <c r="H1204" s="9">
        <v>-0.90770808275000003</v>
      </c>
      <c r="I1204" s="10">
        <v>0.39173044567144399</v>
      </c>
      <c r="J1204" s="10">
        <v>0.153452742065948</v>
      </c>
      <c r="K1204" s="10">
        <v>-0.34015445399999999</v>
      </c>
      <c r="L1204" s="10">
        <v>-1.2889383830000001</v>
      </c>
      <c r="M1204" s="10">
        <v>0.191159313</v>
      </c>
      <c r="N1204" s="10">
        <v>0.301068738</v>
      </c>
      <c r="O1204" s="9">
        <v>-0.28421619650000002</v>
      </c>
      <c r="P1204" s="10">
        <v>0.72597890012555399</v>
      </c>
      <c r="Q1204" s="10">
        <v>0.52704536342750996</v>
      </c>
    </row>
    <row r="1205" spans="1:17" x14ac:dyDescent="0.2">
      <c r="A1205" s="10">
        <v>1724</v>
      </c>
      <c r="B1205" s="10" t="s">
        <v>2825</v>
      </c>
      <c r="C1205" s="9" t="s">
        <v>2357</v>
      </c>
      <c r="D1205" s="10">
        <v>0.17097665100000001</v>
      </c>
      <c r="E1205" s="10">
        <v>0.110477308</v>
      </c>
      <c r="F1205" s="10">
        <v>0.41721858499999998</v>
      </c>
      <c r="G1205" s="10">
        <v>0.91943116000000003</v>
      </c>
      <c r="H1205" s="9">
        <v>0.40452592599999998</v>
      </c>
      <c r="I1205" s="10">
        <v>0.36801193694128098</v>
      </c>
      <c r="J1205" s="10">
        <v>0.13543278573127299</v>
      </c>
      <c r="K1205" s="10">
        <v>-0.66809758299999999</v>
      </c>
      <c r="L1205" s="10">
        <v>-0.36269662000000003</v>
      </c>
      <c r="M1205" s="10">
        <v>0.96005795999999999</v>
      </c>
      <c r="N1205" s="10">
        <v>-6.4368499999999996E-4</v>
      </c>
      <c r="O1205" s="9">
        <v>-1.7844982249999999E-2</v>
      </c>
      <c r="P1205" s="10">
        <v>0.70671567737180896</v>
      </c>
      <c r="Q1205" s="10">
        <v>0.49944704864309503</v>
      </c>
    </row>
    <row r="1206" spans="1:17" x14ac:dyDescent="0.2">
      <c r="A1206" s="10">
        <v>1724</v>
      </c>
      <c r="B1206" s="10" t="s">
        <v>2832</v>
      </c>
      <c r="C1206" s="9" t="s">
        <v>1051</v>
      </c>
      <c r="D1206" s="10">
        <v>-0.765460056</v>
      </c>
      <c r="E1206" s="10">
        <v>0.395560246</v>
      </c>
      <c r="F1206" s="10">
        <v>-0.26696054200000002</v>
      </c>
      <c r="G1206" s="10">
        <v>-1.1118881359999999</v>
      </c>
      <c r="H1206" s="9">
        <v>-0.43718712199999998</v>
      </c>
      <c r="I1206" s="10">
        <v>0.65458125162555103</v>
      </c>
      <c r="J1206" s="10">
        <v>0.42847661497967299</v>
      </c>
      <c r="K1206" s="10">
        <v>-0.31313485099999999</v>
      </c>
      <c r="L1206" s="10">
        <v>0.78428449600000005</v>
      </c>
      <c r="M1206" s="10">
        <v>0.30188248499999998</v>
      </c>
      <c r="N1206" s="10">
        <v>2.2553772999999999E-2</v>
      </c>
      <c r="O1206" s="9">
        <v>0.19889647575</v>
      </c>
      <c r="P1206" s="10">
        <v>0.46424062752700201</v>
      </c>
      <c r="Q1206" s="10">
        <v>0.21551936024666499</v>
      </c>
    </row>
    <row r="1207" spans="1:17" x14ac:dyDescent="0.2">
      <c r="A1207" s="10">
        <v>1725</v>
      </c>
      <c r="B1207" s="10" t="s">
        <v>2822</v>
      </c>
      <c r="C1207" s="9" t="s">
        <v>1052</v>
      </c>
      <c r="D1207" s="10">
        <v>0.25601302999999997</v>
      </c>
      <c r="E1207" s="10">
        <v>-0.51039683499999999</v>
      </c>
      <c r="F1207" s="10">
        <v>-0.45126210999999999</v>
      </c>
      <c r="G1207" s="10">
        <v>-8.0140285000000006E-2</v>
      </c>
      <c r="H1207" s="9">
        <v>-0.19644655</v>
      </c>
      <c r="I1207" s="10">
        <v>0.35671770813054199</v>
      </c>
      <c r="J1207" s="10">
        <v>0.12724752329390701</v>
      </c>
      <c r="K1207" s="10">
        <v>-0.75834562900000002</v>
      </c>
      <c r="L1207" s="10">
        <v>0.50837917099999996</v>
      </c>
      <c r="M1207" s="10">
        <v>7.7216440999999997E-2</v>
      </c>
      <c r="N1207" s="10">
        <v>0.72466323099999996</v>
      </c>
      <c r="O1207" s="9">
        <v>0.13797830324999999</v>
      </c>
      <c r="P1207" s="10">
        <v>0.65535857938158903</v>
      </c>
      <c r="Q1207" s="10">
        <v>0.42949486756905503</v>
      </c>
    </row>
    <row r="1208" spans="1:17" x14ac:dyDescent="0.2">
      <c r="A1208" s="10">
        <v>1725</v>
      </c>
      <c r="B1208" s="10" t="s">
        <v>2824</v>
      </c>
      <c r="C1208" s="9" t="s">
        <v>1053</v>
      </c>
      <c r="D1208" s="10">
        <v>3.3849999999999998E-2</v>
      </c>
      <c r="E1208" s="10">
        <v>0.143068061</v>
      </c>
      <c r="F1208" s="10">
        <v>0.13731964199999999</v>
      </c>
      <c r="G1208" s="10">
        <v>-9.3983321999999994E-2</v>
      </c>
      <c r="H1208" s="9">
        <v>5.50635955E-2</v>
      </c>
      <c r="I1208" s="10">
        <v>0.1113191259159</v>
      </c>
      <c r="J1208" s="10">
        <v>1.2391947794679999E-2</v>
      </c>
      <c r="K1208" s="10">
        <v>-0.25926094599999999</v>
      </c>
      <c r="L1208" s="10">
        <v>-0.87232127999999998</v>
      </c>
      <c r="M1208" s="10">
        <v>-0.18728098300000001</v>
      </c>
      <c r="N1208" s="10">
        <v>-0.36151335499999998</v>
      </c>
      <c r="O1208" s="9">
        <v>-0.42009414125</v>
      </c>
      <c r="P1208" s="10">
        <v>0.30984424952349998</v>
      </c>
      <c r="Q1208" s="10">
        <v>9.6003458962781299E-2</v>
      </c>
    </row>
    <row r="1209" spans="1:17" x14ac:dyDescent="0.2">
      <c r="A1209" s="10">
        <v>1725</v>
      </c>
      <c r="B1209" s="10" t="s">
        <v>2825</v>
      </c>
      <c r="C1209" s="9" t="s">
        <v>2356</v>
      </c>
      <c r="D1209" s="10">
        <v>-0.35590914299999998</v>
      </c>
      <c r="E1209" s="10">
        <v>0.40248057199999998</v>
      </c>
      <c r="F1209" s="10">
        <v>-0.140735423</v>
      </c>
      <c r="G1209" s="10">
        <v>1.0183959970000001</v>
      </c>
      <c r="H1209" s="9">
        <v>0.2310580005</v>
      </c>
      <c r="I1209" s="10">
        <v>0.61428755374517796</v>
      </c>
      <c r="J1209" s="10">
        <v>0.37734919868623501</v>
      </c>
      <c r="K1209" s="10">
        <v>0.29402941399999999</v>
      </c>
      <c r="L1209" s="10">
        <v>-0.22030286399999999</v>
      </c>
      <c r="M1209" s="10">
        <v>1.054906804</v>
      </c>
      <c r="N1209" s="10">
        <v>0.209509211</v>
      </c>
      <c r="O1209" s="9">
        <v>0.33453564149999998</v>
      </c>
      <c r="P1209" s="10">
        <v>0.53042521990598201</v>
      </c>
      <c r="Q1209" s="10">
        <v>0.28135091391230899</v>
      </c>
    </row>
    <row r="1210" spans="1:17" x14ac:dyDescent="0.2">
      <c r="A1210" s="10">
        <v>1725</v>
      </c>
      <c r="B1210" s="10" t="s">
        <v>74</v>
      </c>
      <c r="C1210" s="9" t="s">
        <v>2355</v>
      </c>
      <c r="D1210" s="10">
        <v>-1.7450217000000001E-2</v>
      </c>
      <c r="E1210" s="10">
        <v>0.66099232699999999</v>
      </c>
      <c r="F1210" s="10">
        <v>0.54220930199999995</v>
      </c>
      <c r="G1210" s="10">
        <v>-0.27958473</v>
      </c>
      <c r="H1210" s="9">
        <v>0.22654167049999999</v>
      </c>
      <c r="I1210" s="10">
        <v>0.44873503724692498</v>
      </c>
      <c r="J1210" s="10">
        <v>0.20136313365299899</v>
      </c>
      <c r="K1210" s="10">
        <v>-0.26470958100000003</v>
      </c>
      <c r="L1210" s="10">
        <v>0.43226196500000003</v>
      </c>
      <c r="M1210" s="10">
        <v>0.58889124199999998</v>
      </c>
      <c r="N1210" s="10">
        <v>1.539192675</v>
      </c>
      <c r="O1210" s="9">
        <v>0.57390907499999999</v>
      </c>
      <c r="P1210" s="10">
        <v>0.742819414510142</v>
      </c>
      <c r="Q1210" s="10">
        <v>0.55178068257319102</v>
      </c>
    </row>
    <row r="1211" spans="1:17" x14ac:dyDescent="0.2">
      <c r="A1211" s="10">
        <v>1725</v>
      </c>
      <c r="B1211" s="10" t="s">
        <v>2818</v>
      </c>
      <c r="C1211" s="9" t="s">
        <v>1054</v>
      </c>
      <c r="D1211" s="10">
        <v>0.26429314799999998</v>
      </c>
      <c r="E1211" s="10">
        <v>0.46417425899999998</v>
      </c>
      <c r="F1211" s="10">
        <v>0.25152011000000002</v>
      </c>
      <c r="G1211" s="10">
        <v>0.17837651299999999</v>
      </c>
      <c r="H1211" s="9">
        <v>0.2895910075</v>
      </c>
      <c r="I1211" s="10">
        <v>0.12238920216933601</v>
      </c>
      <c r="J1211" s="10">
        <v>1.49791168076466E-2</v>
      </c>
      <c r="K1211" s="10">
        <v>8.6317775999999999E-2</v>
      </c>
      <c r="L1211" s="10">
        <v>-0.14412719600000001</v>
      </c>
      <c r="M1211" s="10">
        <v>9.8601112000000005E-2</v>
      </c>
      <c r="N1211" s="10">
        <v>0.21829253000000001</v>
      </c>
      <c r="O1211" s="9">
        <v>6.4771055499999994E-2</v>
      </c>
      <c r="P1211" s="10">
        <v>0.151455226056536</v>
      </c>
      <c r="Q1211" s="10">
        <v>2.2938685499836499E-2</v>
      </c>
    </row>
    <row r="1212" spans="1:17" x14ac:dyDescent="0.2">
      <c r="A1212" s="10">
        <v>1725</v>
      </c>
      <c r="B1212" s="10" t="s">
        <v>2830</v>
      </c>
      <c r="C1212" s="9" t="s">
        <v>1055</v>
      </c>
      <c r="D1212" s="10">
        <v>-0.25876051700000002</v>
      </c>
      <c r="E1212" s="10">
        <v>-0.38970117700000001</v>
      </c>
      <c r="F1212" s="10">
        <v>-0.53352303899999998</v>
      </c>
      <c r="G1212" s="10">
        <v>-0.59368300500000004</v>
      </c>
      <c r="H1212" s="9">
        <v>-0.44391693450000003</v>
      </c>
      <c r="I1212" s="10">
        <v>0.15020139495513901</v>
      </c>
      <c r="J1212" s="10">
        <v>2.25604590464696E-2</v>
      </c>
      <c r="K1212" s="10">
        <v>-0.27154726099999998</v>
      </c>
      <c r="L1212" s="10">
        <v>2.0790771999999999E-2</v>
      </c>
      <c r="M1212" s="10">
        <v>0.10896175299999999</v>
      </c>
      <c r="N1212" s="10">
        <v>0.11244712599999999</v>
      </c>
      <c r="O1212" s="9">
        <v>-7.3369024999999999E-3</v>
      </c>
      <c r="P1212" s="10">
        <v>0.181173830308788</v>
      </c>
      <c r="Q1212" s="10">
        <v>3.2823956788757602E-2</v>
      </c>
    </row>
    <row r="1213" spans="1:17" x14ac:dyDescent="0.2">
      <c r="A1213" s="10">
        <v>1726</v>
      </c>
      <c r="B1213" s="10" t="s">
        <v>2826</v>
      </c>
      <c r="C1213" s="9" t="s">
        <v>2354</v>
      </c>
      <c r="D1213" s="10">
        <v>2.1995086E-2</v>
      </c>
      <c r="E1213" s="10">
        <v>-6.6958617999999998E-2</v>
      </c>
      <c r="F1213" s="10">
        <v>-0.107538227</v>
      </c>
      <c r="G1213" s="10">
        <v>8.3598203999999995E-2</v>
      </c>
      <c r="H1213" s="9">
        <v>-1.7225888500000001E-2</v>
      </c>
      <c r="I1213" s="10">
        <v>8.6281410392654398E-2</v>
      </c>
      <c r="J1213" s="10">
        <v>7.4444817793456004E-3</v>
      </c>
      <c r="K1213" s="10">
        <v>0.41026201600000001</v>
      </c>
      <c r="L1213" s="10">
        <v>0.44603422500000001</v>
      </c>
      <c r="M1213" s="10">
        <v>0.50749521500000006</v>
      </c>
      <c r="N1213" s="10">
        <v>0.44177965800000002</v>
      </c>
      <c r="O1213" s="9">
        <v>0.45139277875</v>
      </c>
      <c r="P1213" s="10">
        <v>4.0662633077670603E-2</v>
      </c>
      <c r="Q1213" s="10">
        <v>1.6534497288092E-3</v>
      </c>
    </row>
    <row r="1214" spans="1:17" x14ac:dyDescent="0.2">
      <c r="A1214" s="10">
        <v>1726</v>
      </c>
      <c r="B1214" s="10" t="s">
        <v>79</v>
      </c>
      <c r="C1214" s="9" t="s">
        <v>1056</v>
      </c>
      <c r="D1214" s="10">
        <v>0.17443679000000001</v>
      </c>
      <c r="E1214" s="10">
        <v>-1.7660856410000001</v>
      </c>
      <c r="F1214" s="10">
        <v>-0.43051592900000002</v>
      </c>
      <c r="G1214" s="10">
        <v>0.77260849899999995</v>
      </c>
      <c r="H1214" s="9">
        <v>-0.31238907049999998</v>
      </c>
      <c r="I1214" s="10">
        <v>1.0864938745118</v>
      </c>
      <c r="J1214" s="10">
        <v>1.1804689393516701</v>
      </c>
      <c r="K1214" s="10">
        <v>-0.40093421099999998</v>
      </c>
      <c r="L1214" s="10">
        <v>0.28205252600000003</v>
      </c>
      <c r="M1214" s="10">
        <v>1.8553332300000001</v>
      </c>
      <c r="N1214" s="10">
        <v>0.88866266199999999</v>
      </c>
      <c r="O1214" s="9">
        <v>0.65627855199999996</v>
      </c>
      <c r="P1214" s="10">
        <v>0.95733631154365295</v>
      </c>
      <c r="Q1214" s="10">
        <v>0.91649281340000699</v>
      </c>
    </row>
    <row r="1215" spans="1:17" x14ac:dyDescent="0.2">
      <c r="A1215" s="10">
        <v>1726</v>
      </c>
      <c r="B1215" s="10" t="s">
        <v>2824</v>
      </c>
      <c r="C1215" s="9" t="s">
        <v>2353</v>
      </c>
      <c r="D1215" s="10">
        <v>-1.7407186000000002E-2</v>
      </c>
      <c r="E1215" s="10">
        <v>6.3969780000000002E-3</v>
      </c>
      <c r="F1215" s="10">
        <v>-0.79516385099999998</v>
      </c>
      <c r="G1215" s="10">
        <v>0.15424961000000001</v>
      </c>
      <c r="H1215" s="9">
        <v>-0.1629811125</v>
      </c>
      <c r="I1215" s="10">
        <v>0.42824099592530201</v>
      </c>
      <c r="J1215" s="10">
        <v>0.18339035059109399</v>
      </c>
      <c r="K1215" s="10">
        <v>0.161101468</v>
      </c>
      <c r="L1215" s="10">
        <v>-0.87628766199999997</v>
      </c>
      <c r="M1215" s="10">
        <v>0.14825271000000001</v>
      </c>
      <c r="N1215" s="10">
        <v>-1.146182692</v>
      </c>
      <c r="O1215" s="9">
        <v>-0.428279044</v>
      </c>
      <c r="P1215" s="10">
        <v>0.682118176689268</v>
      </c>
      <c r="Q1215" s="10">
        <v>0.46528520696989201</v>
      </c>
    </row>
    <row r="1216" spans="1:17" x14ac:dyDescent="0.2">
      <c r="A1216" s="10">
        <v>1726</v>
      </c>
      <c r="B1216" s="10" t="s">
        <v>74</v>
      </c>
      <c r="C1216" s="9" t="s">
        <v>1057</v>
      </c>
      <c r="D1216" s="10">
        <v>0.80040352999999997</v>
      </c>
      <c r="E1216" s="10">
        <v>0.50622661599999996</v>
      </c>
      <c r="F1216" s="10">
        <v>-0.128111419</v>
      </c>
      <c r="G1216" s="10">
        <v>0.26770830000000001</v>
      </c>
      <c r="H1216" s="9">
        <v>0.36155675674999999</v>
      </c>
      <c r="I1216" s="10">
        <v>0.39247008962214303</v>
      </c>
      <c r="J1216" s="10">
        <v>0.15403277124801301</v>
      </c>
      <c r="K1216" s="10">
        <v>-0.19864093899999999</v>
      </c>
      <c r="L1216" s="10">
        <v>-0.64511689699999997</v>
      </c>
      <c r="M1216" s="10">
        <v>-0.28859960000000001</v>
      </c>
      <c r="N1216" s="10">
        <v>0.200792103</v>
      </c>
      <c r="O1216" s="9">
        <v>-0.23289133325</v>
      </c>
      <c r="P1216" s="10">
        <v>0.347509107207846</v>
      </c>
      <c r="Q1216" s="10">
        <v>0.120762579592394</v>
      </c>
    </row>
    <row r="1217" spans="1:17" x14ac:dyDescent="0.2">
      <c r="A1217" s="10">
        <v>1726</v>
      </c>
      <c r="B1217" s="10" t="s">
        <v>2818</v>
      </c>
      <c r="C1217" s="9" t="s">
        <v>1058</v>
      </c>
      <c r="D1217" s="10">
        <v>7.0130113999999993E-2</v>
      </c>
      <c r="E1217" s="10">
        <v>4.9779706999999999E-2</v>
      </c>
      <c r="F1217" s="10">
        <v>-0.33549834499999998</v>
      </c>
      <c r="G1217" s="10">
        <v>-2.1989236999999998E-2</v>
      </c>
      <c r="H1217" s="9">
        <v>-5.939444025E-2</v>
      </c>
      <c r="I1217" s="10">
        <v>0.18826233472630299</v>
      </c>
      <c r="J1217" s="10">
        <v>3.5442706676598899E-2</v>
      </c>
      <c r="K1217" s="10">
        <v>4.3700229E-2</v>
      </c>
      <c r="L1217" s="10">
        <v>-0.35392971400000001</v>
      </c>
      <c r="M1217" s="10">
        <v>0.17416928800000001</v>
      </c>
      <c r="N1217" s="10">
        <v>-2.8929818999999999E-2</v>
      </c>
      <c r="O1217" s="9">
        <v>-4.1247504249999997E-2</v>
      </c>
      <c r="P1217" s="10">
        <v>0.22475349565813499</v>
      </c>
      <c r="Q1217" s="10">
        <v>5.0514133810551302E-2</v>
      </c>
    </row>
    <row r="1218" spans="1:17" x14ac:dyDescent="0.2">
      <c r="A1218" s="10">
        <v>1727</v>
      </c>
      <c r="B1218" s="10" t="s">
        <v>2822</v>
      </c>
      <c r="C1218" s="9" t="s">
        <v>1059</v>
      </c>
      <c r="D1218" s="10">
        <v>9.4237205000000004E-2</v>
      </c>
      <c r="E1218" s="10">
        <v>0.13684106200000001</v>
      </c>
      <c r="F1218" s="10">
        <v>-6.4901163999999997E-2</v>
      </c>
      <c r="G1218" s="10">
        <v>-7.0886633000000004E-2</v>
      </c>
      <c r="H1218" s="9">
        <v>2.3822617500000001E-2</v>
      </c>
      <c r="I1218" s="10">
        <v>0.107351656506278</v>
      </c>
      <c r="J1218" s="10">
        <v>1.1524378154642001E-2</v>
      </c>
      <c r="K1218" s="10">
        <v>-6.6599870000000005E-2</v>
      </c>
      <c r="L1218" s="10">
        <v>-0.11061647400000001</v>
      </c>
      <c r="M1218" s="10">
        <v>0.14027551099999999</v>
      </c>
      <c r="N1218" s="10">
        <v>0.182925528</v>
      </c>
      <c r="O1218" s="9">
        <v>3.6496173749999999E-2</v>
      </c>
      <c r="P1218" s="10">
        <v>0.14660904018401899</v>
      </c>
      <c r="Q1218" s="10">
        <v>2.14942106636795E-2</v>
      </c>
    </row>
    <row r="1219" spans="1:17" x14ac:dyDescent="0.2">
      <c r="A1219" s="10">
        <v>1727</v>
      </c>
      <c r="B1219" s="10" t="s">
        <v>2824</v>
      </c>
      <c r="C1219" s="9" t="s">
        <v>2352</v>
      </c>
      <c r="D1219" s="10">
        <v>4.7696742E-2</v>
      </c>
      <c r="E1219" s="10">
        <v>-0.13330953800000001</v>
      </c>
      <c r="F1219" s="10">
        <v>1.6740423000000001E-2</v>
      </c>
      <c r="G1219" s="10">
        <v>0.18416852</v>
      </c>
      <c r="H1219" s="9">
        <v>2.8824036500000001E-2</v>
      </c>
      <c r="I1219" s="10">
        <v>0.13028353344678101</v>
      </c>
      <c r="J1219" s="10">
        <v>1.6973799087378599E-2</v>
      </c>
      <c r="K1219" s="10">
        <v>-0.55847028300000001</v>
      </c>
      <c r="L1219" s="10">
        <v>0.151464977</v>
      </c>
      <c r="M1219" s="10">
        <v>2.257731E-2</v>
      </c>
      <c r="N1219" s="10">
        <v>-3.4303326000000002E-2</v>
      </c>
      <c r="O1219" s="9">
        <v>-0.1046828305</v>
      </c>
      <c r="P1219" s="10">
        <v>0.31234765318324498</v>
      </c>
      <c r="Q1219" s="10">
        <v>9.7561056449080696E-2</v>
      </c>
    </row>
    <row r="1220" spans="1:17" x14ac:dyDescent="0.2">
      <c r="A1220" s="10">
        <v>1727</v>
      </c>
      <c r="B1220" s="10" t="s">
        <v>82</v>
      </c>
      <c r="C1220" s="9" t="s">
        <v>1060</v>
      </c>
      <c r="D1220" s="10">
        <v>0.78010005100000002</v>
      </c>
      <c r="E1220" s="10">
        <v>-0.80888132700000004</v>
      </c>
      <c r="F1220" s="10">
        <v>-0.379484392</v>
      </c>
      <c r="G1220" s="10">
        <v>8.6653916999999997E-2</v>
      </c>
      <c r="H1220" s="9">
        <v>-8.0402937999999993E-2</v>
      </c>
      <c r="I1220" s="10">
        <v>0.68031950000158303</v>
      </c>
      <c r="J1220" s="10">
        <v>0.462834622082404</v>
      </c>
      <c r="K1220" s="10">
        <v>-1.995506282</v>
      </c>
      <c r="L1220" s="10">
        <v>0.44132568700000002</v>
      </c>
      <c r="M1220" s="10">
        <v>8.7140023999999996E-2</v>
      </c>
      <c r="N1220" s="10">
        <v>0.12577523700000001</v>
      </c>
      <c r="O1220" s="9">
        <v>-0.33531633350000001</v>
      </c>
      <c r="P1220" s="10">
        <v>1.11810528775023</v>
      </c>
      <c r="Q1220" s="10">
        <v>1.25015943449502</v>
      </c>
    </row>
    <row r="1221" spans="1:17" x14ac:dyDescent="0.2">
      <c r="A1221" s="10">
        <v>1727</v>
      </c>
      <c r="B1221" s="10" t="s">
        <v>2814</v>
      </c>
      <c r="C1221" s="9" t="s">
        <v>2351</v>
      </c>
      <c r="D1221" s="10">
        <v>-1.0916311620000001</v>
      </c>
      <c r="E1221" s="10">
        <v>-0.67610486800000003</v>
      </c>
      <c r="F1221" s="10">
        <v>-2.0291246080000001</v>
      </c>
      <c r="G1221" s="10">
        <v>-0.92664483799999997</v>
      </c>
      <c r="H1221" s="9">
        <v>-1.1808763689999999</v>
      </c>
      <c r="I1221" s="10">
        <v>0.59073900653206401</v>
      </c>
      <c r="J1221" s="10">
        <v>0.34897257383849001</v>
      </c>
      <c r="K1221" s="10">
        <v>0.232172934</v>
      </c>
      <c r="L1221" s="10">
        <v>0.33253335699999997</v>
      </c>
      <c r="M1221" s="10">
        <v>0.24938543499999999</v>
      </c>
      <c r="N1221" s="10">
        <v>0.114006101</v>
      </c>
      <c r="O1221" s="9">
        <v>0.23202445699999999</v>
      </c>
      <c r="P1221" s="10">
        <v>9.0058863962574898E-2</v>
      </c>
      <c r="Q1221" s="10">
        <v>8.1105989782294993E-3</v>
      </c>
    </row>
    <row r="1222" spans="1:17" x14ac:dyDescent="0.2">
      <c r="A1222" s="10">
        <v>1727</v>
      </c>
      <c r="B1222" s="10" t="s">
        <v>2825</v>
      </c>
      <c r="C1222" s="9" t="s">
        <v>2350</v>
      </c>
      <c r="D1222" s="10">
        <v>0.203121512</v>
      </c>
      <c r="E1222" s="10">
        <v>6.4128435999999997E-2</v>
      </c>
      <c r="F1222" s="10">
        <v>0.110646733</v>
      </c>
      <c r="G1222" s="10">
        <v>-8.8488887000000002E-2</v>
      </c>
      <c r="H1222" s="9">
        <v>7.2351948750000006E-2</v>
      </c>
      <c r="I1222" s="10">
        <v>0.121798426070916</v>
      </c>
      <c r="J1222" s="10">
        <v>1.48348565933525E-2</v>
      </c>
      <c r="K1222" s="10">
        <v>0.150951856</v>
      </c>
      <c r="L1222" s="10">
        <v>-5.0564620000000003E-3</v>
      </c>
      <c r="M1222" s="10">
        <v>0.101130522</v>
      </c>
      <c r="N1222" s="10">
        <v>0.12003415000000001</v>
      </c>
      <c r="O1222" s="9">
        <v>9.1765016249999998E-2</v>
      </c>
      <c r="P1222" s="10">
        <v>6.7735606763936806E-2</v>
      </c>
      <c r="Q1222" s="10">
        <v>4.5881124236786001E-3</v>
      </c>
    </row>
    <row r="1223" spans="1:17" x14ac:dyDescent="0.2">
      <c r="A1223" s="10">
        <v>1727</v>
      </c>
      <c r="B1223" s="10" t="s">
        <v>74</v>
      </c>
      <c r="C1223" s="9" t="s">
        <v>1061</v>
      </c>
      <c r="D1223" s="10">
        <v>0.37320619999999999</v>
      </c>
      <c r="E1223" s="10">
        <v>0.26027584300000001</v>
      </c>
      <c r="F1223" s="10">
        <v>0.11101549400000001</v>
      </c>
      <c r="G1223" s="10">
        <v>0.172955421</v>
      </c>
      <c r="H1223" s="9">
        <v>0.22936323924999999</v>
      </c>
      <c r="I1223" s="10">
        <v>0.1137752421713</v>
      </c>
      <c r="J1223" s="10">
        <v>1.29448057311381E-2</v>
      </c>
      <c r="K1223" s="10">
        <v>0.11851872400000001</v>
      </c>
      <c r="L1223" s="10">
        <v>0.30894628499999999</v>
      </c>
      <c r="M1223" s="10">
        <v>0.37088950700000001</v>
      </c>
      <c r="N1223" s="10">
        <v>0.202923147</v>
      </c>
      <c r="O1223" s="9">
        <v>0.25031941575</v>
      </c>
      <c r="P1223" s="10">
        <v>0.111940587425191</v>
      </c>
      <c r="Q1223" s="10">
        <v>1.2530695113096801E-2</v>
      </c>
    </row>
    <row r="1224" spans="1:17" x14ac:dyDescent="0.2">
      <c r="A1224" s="10">
        <v>1727</v>
      </c>
      <c r="B1224" s="10" t="s">
        <v>2818</v>
      </c>
      <c r="C1224" s="9" t="s">
        <v>2349</v>
      </c>
      <c r="D1224" s="10">
        <v>0.314487931</v>
      </c>
      <c r="E1224" s="10">
        <v>0.43978392799999999</v>
      </c>
      <c r="F1224" s="10">
        <v>-1.1974471069999999</v>
      </c>
      <c r="G1224" s="10">
        <v>0.16695575100000001</v>
      </c>
      <c r="H1224" s="9">
        <v>-6.9054874249999995E-2</v>
      </c>
      <c r="I1224" s="10">
        <v>0.76048056216572202</v>
      </c>
      <c r="J1224" s="10">
        <v>0.57833068543189303</v>
      </c>
      <c r="K1224" s="10">
        <v>0.77736688600000003</v>
      </c>
      <c r="L1224" s="10">
        <v>-0.97784869600000002</v>
      </c>
      <c r="M1224" s="10">
        <v>0.56163485400000002</v>
      </c>
      <c r="N1224" s="10">
        <v>-0.136597998</v>
      </c>
      <c r="O1224" s="9">
        <v>5.6138761750000002E-2</v>
      </c>
      <c r="P1224" s="10">
        <v>0.79203826250849596</v>
      </c>
      <c r="Q1224" s="10">
        <v>0.62732460927747702</v>
      </c>
    </row>
    <row r="1225" spans="1:17" x14ac:dyDescent="0.2">
      <c r="A1225" s="10">
        <v>1727</v>
      </c>
      <c r="B1225" s="10" t="s">
        <v>2832</v>
      </c>
      <c r="C1225" s="9" t="s">
        <v>1062</v>
      </c>
      <c r="D1225" s="10">
        <v>0.24614957700000001</v>
      </c>
      <c r="E1225" s="10">
        <v>4.8272783999999999E-2</v>
      </c>
      <c r="F1225" s="10">
        <v>-6.8083058000000002E-2</v>
      </c>
      <c r="G1225" s="10">
        <v>-7.9604505000000006E-2</v>
      </c>
      <c r="H1225" s="9">
        <v>3.66836995E-2</v>
      </c>
      <c r="I1225" s="10">
        <v>0.15111726208399701</v>
      </c>
      <c r="J1225" s="10">
        <v>2.28364268997635E-2</v>
      </c>
      <c r="K1225" s="10">
        <v>0.176867422</v>
      </c>
      <c r="L1225" s="10">
        <v>-5.6409058999999998E-2</v>
      </c>
      <c r="M1225" s="10">
        <v>0.147772614</v>
      </c>
      <c r="N1225" s="10">
        <v>-8.8941767000000005E-2</v>
      </c>
      <c r="O1225" s="9">
        <v>4.4822302250000001E-2</v>
      </c>
      <c r="P1225" s="10">
        <v>0.136839681211336</v>
      </c>
      <c r="Q1225" s="10">
        <v>1.8725098354020201E-2</v>
      </c>
    </row>
    <row r="1226" spans="1:17" x14ac:dyDescent="0.2">
      <c r="A1226" s="10">
        <v>1728</v>
      </c>
      <c r="B1226" s="10" t="s">
        <v>96</v>
      </c>
      <c r="C1226" s="9" t="s">
        <v>2348</v>
      </c>
      <c r="D1226" s="10">
        <v>2.8070385999999999E-2</v>
      </c>
      <c r="E1226" s="10">
        <v>-0.42075750499999998</v>
      </c>
      <c r="F1226" s="10">
        <v>-0.63019404700000003</v>
      </c>
      <c r="G1226" s="10">
        <v>-0.44159788300000002</v>
      </c>
      <c r="H1226" s="9">
        <v>-0.36611976224999998</v>
      </c>
      <c r="I1226" s="10">
        <v>0.279167411235831</v>
      </c>
      <c r="J1226" s="10">
        <v>7.7934443496115904E-2</v>
      </c>
      <c r="K1226" s="10">
        <v>0.40608306900000002</v>
      </c>
      <c r="L1226" s="10">
        <v>-0.36171024699999998</v>
      </c>
      <c r="M1226" s="10">
        <v>0.31644085999999999</v>
      </c>
      <c r="N1226" s="10">
        <v>0.13483711800000001</v>
      </c>
      <c r="O1226" s="9">
        <v>0.1239127</v>
      </c>
      <c r="P1226" s="10">
        <v>0.34284894589123099</v>
      </c>
      <c r="Q1226" s="10">
        <v>0.117545399698728</v>
      </c>
    </row>
    <row r="1227" spans="1:17" x14ac:dyDescent="0.2">
      <c r="A1227" s="10">
        <v>1728</v>
      </c>
      <c r="B1227" s="10" t="s">
        <v>2821</v>
      </c>
      <c r="C1227" s="9" t="s">
        <v>2347</v>
      </c>
      <c r="D1227" s="10">
        <v>-0.87397619599999998</v>
      </c>
      <c r="E1227" s="10">
        <v>-0.97674304599999995</v>
      </c>
      <c r="F1227" s="10">
        <v>-1.2919235090000001</v>
      </c>
      <c r="G1227" s="10">
        <v>-1.3316384080000001</v>
      </c>
      <c r="H1227" s="9">
        <v>-1.1185702900000001</v>
      </c>
      <c r="I1227" s="10">
        <v>0.227589249457614</v>
      </c>
      <c r="J1227" s="10">
        <v>5.1796866468680099E-2</v>
      </c>
      <c r="K1227" s="10">
        <v>-0.441626876</v>
      </c>
      <c r="L1227" s="10">
        <v>0.48883794000000003</v>
      </c>
      <c r="M1227" s="10">
        <v>0.23823697499999999</v>
      </c>
      <c r="N1227" s="10">
        <v>-0.130362107</v>
      </c>
      <c r="O1227" s="9">
        <v>3.8771483000000002E-2</v>
      </c>
      <c r="P1227" s="10">
        <v>0.40895600937489401</v>
      </c>
      <c r="Q1227" s="10">
        <v>0.167245017603838</v>
      </c>
    </row>
    <row r="1228" spans="1:17" x14ac:dyDescent="0.2">
      <c r="A1228" s="10">
        <v>1728</v>
      </c>
      <c r="B1228" s="10" t="s">
        <v>2820</v>
      </c>
      <c r="C1228" s="9" t="s">
        <v>1063</v>
      </c>
      <c r="D1228" s="10">
        <v>-0.78462207500000003</v>
      </c>
      <c r="E1228" s="10">
        <v>-0.41616828700000003</v>
      </c>
      <c r="F1228" s="10">
        <v>-0.43889029200000002</v>
      </c>
      <c r="G1228" s="10">
        <v>-0.59764426900000001</v>
      </c>
      <c r="H1228" s="9">
        <v>-0.55933123100000004</v>
      </c>
      <c r="I1228" s="10">
        <v>0.17051441932475001</v>
      </c>
      <c r="J1228" s="10">
        <v>2.90751671976568E-2</v>
      </c>
      <c r="K1228" s="10">
        <v>-0.56912293300000005</v>
      </c>
      <c r="L1228" s="10">
        <v>0.52873109299999999</v>
      </c>
      <c r="M1228" s="10">
        <v>-0.38255531700000001</v>
      </c>
      <c r="N1228" s="10">
        <v>-0.24294586600000001</v>
      </c>
      <c r="O1228" s="9">
        <v>-0.16647325574999999</v>
      </c>
      <c r="P1228" s="10">
        <v>0.48234682073619201</v>
      </c>
      <c r="Q1228" s="10">
        <v>0.23265845547431199</v>
      </c>
    </row>
    <row r="1229" spans="1:17" x14ac:dyDescent="0.2">
      <c r="A1229" s="10">
        <v>1728</v>
      </c>
      <c r="B1229" s="10" t="s">
        <v>2814</v>
      </c>
      <c r="C1229" s="9" t="s">
        <v>2346</v>
      </c>
      <c r="D1229" s="10">
        <v>-3.1092990000000001E-2</v>
      </c>
      <c r="E1229" s="10">
        <v>-0.129262559</v>
      </c>
      <c r="F1229" s="10">
        <v>-0.92157032400000005</v>
      </c>
      <c r="G1229" s="10">
        <v>0.145339722</v>
      </c>
      <c r="H1229" s="9">
        <v>-0.2341465375</v>
      </c>
      <c r="I1229" s="10">
        <v>0.472155580112326</v>
      </c>
      <c r="J1229" s="10">
        <v>0.22293089183120701</v>
      </c>
      <c r="K1229" s="10">
        <v>9.2184819000000001E-2</v>
      </c>
      <c r="L1229" s="10">
        <v>0.124913712</v>
      </c>
      <c r="M1229" s="10">
        <v>6.9548067000000005E-2</v>
      </c>
      <c r="N1229" s="10">
        <v>-0.58188596800000003</v>
      </c>
      <c r="O1229" s="9">
        <v>-7.38098425E-2</v>
      </c>
      <c r="P1229" s="10">
        <v>0.33947907067491701</v>
      </c>
      <c r="Q1229" s="10">
        <v>0.115246039426305</v>
      </c>
    </row>
    <row r="1230" spans="1:17" x14ac:dyDescent="0.2">
      <c r="A1230" s="10">
        <v>1728</v>
      </c>
      <c r="B1230" s="10" t="s">
        <v>2833</v>
      </c>
      <c r="C1230" s="9" t="s">
        <v>1064</v>
      </c>
      <c r="D1230" s="10">
        <v>6.3919409999999999E-3</v>
      </c>
      <c r="E1230" s="10">
        <v>0.16580041500000001</v>
      </c>
      <c r="F1230" s="10">
        <v>-1.9890712000000001E-2</v>
      </c>
      <c r="G1230" s="10">
        <v>-0.58472888499999998</v>
      </c>
      <c r="H1230" s="9">
        <v>-0.10810681025</v>
      </c>
      <c r="I1230" s="10">
        <v>0.32816957720636403</v>
      </c>
      <c r="J1230" s="10">
        <v>0.107695271403803</v>
      </c>
      <c r="K1230" s="10">
        <v>0.26367035</v>
      </c>
      <c r="L1230" s="10">
        <v>0.289201292</v>
      </c>
      <c r="M1230" s="10">
        <v>8.8213095000000005E-2</v>
      </c>
      <c r="N1230" s="10">
        <v>-0.121128193</v>
      </c>
      <c r="O1230" s="9">
        <v>0.12998913600000001</v>
      </c>
      <c r="P1230" s="10">
        <v>0.18975802848224799</v>
      </c>
      <c r="Q1230" s="10">
        <v>3.6008109373470001E-2</v>
      </c>
    </row>
    <row r="1231" spans="1:17" x14ac:dyDescent="0.2">
      <c r="A1231" s="10">
        <v>1728</v>
      </c>
      <c r="B1231" s="10" t="s">
        <v>74</v>
      </c>
      <c r="C1231" s="9" t="s">
        <v>1065</v>
      </c>
      <c r="D1231" s="10">
        <v>-0.442371297</v>
      </c>
      <c r="E1231" s="10">
        <v>-0.58828212099999999</v>
      </c>
      <c r="F1231" s="10">
        <v>-0.603533871</v>
      </c>
      <c r="G1231" s="10">
        <v>-0.25976944899999999</v>
      </c>
      <c r="H1231" s="9">
        <v>-0.47348918449999999</v>
      </c>
      <c r="I1231" s="10">
        <v>0.15993070064023401</v>
      </c>
      <c r="J1231" s="10">
        <v>2.5577829007276301E-2</v>
      </c>
      <c r="K1231" s="10">
        <v>8.4257966000000004E-2</v>
      </c>
      <c r="L1231" s="10">
        <v>-0.19568875499999999</v>
      </c>
      <c r="M1231" s="10">
        <v>0.23537597399999999</v>
      </c>
      <c r="N1231" s="10">
        <v>0.174203839</v>
      </c>
      <c r="O1231" s="9">
        <v>7.4537256250000003E-2</v>
      </c>
      <c r="P1231" s="10">
        <v>0.19054230518763601</v>
      </c>
      <c r="Q1231" s="10">
        <v>3.63063700662185E-2</v>
      </c>
    </row>
    <row r="1232" spans="1:17" x14ac:dyDescent="0.2">
      <c r="A1232" s="10">
        <v>1728</v>
      </c>
      <c r="B1232" s="10" t="s">
        <v>2818</v>
      </c>
      <c r="C1232" s="9" t="s">
        <v>47</v>
      </c>
      <c r="D1232" s="10">
        <v>-2.8833285399999999</v>
      </c>
      <c r="E1232" s="10">
        <v>-2.7809224750000001</v>
      </c>
      <c r="F1232" s="10">
        <v>-1.787260936</v>
      </c>
      <c r="G1232" s="10">
        <v>-1.7237442249999999</v>
      </c>
      <c r="H1232" s="9">
        <v>-2.2938140439999999</v>
      </c>
      <c r="I1232" s="10">
        <v>0.62353230718345498</v>
      </c>
      <c r="J1232" s="10">
        <v>0.38879253810152198</v>
      </c>
      <c r="K1232" s="10">
        <v>-0.98181096599999995</v>
      </c>
      <c r="L1232" s="10">
        <v>-0.192177078</v>
      </c>
      <c r="M1232" s="10">
        <v>-1.3669836390000001</v>
      </c>
      <c r="N1232" s="10">
        <v>-6.6076842129999998</v>
      </c>
      <c r="O1232" s="9">
        <v>-2.2871639739999998</v>
      </c>
      <c r="P1232" s="10">
        <v>2.9215602882954901</v>
      </c>
      <c r="Q1232" s="10">
        <v>8.5355145181452308</v>
      </c>
    </row>
    <row r="1233" spans="1:17" x14ac:dyDescent="0.2">
      <c r="A1233" s="10">
        <v>1728</v>
      </c>
      <c r="B1233" s="10" t="s">
        <v>2830</v>
      </c>
      <c r="C1233" s="9" t="s">
        <v>1066</v>
      </c>
      <c r="D1233" s="10">
        <v>0.37126273399999998</v>
      </c>
      <c r="E1233" s="10">
        <v>-0.19947466599999999</v>
      </c>
      <c r="F1233" s="10">
        <v>-1.008829411</v>
      </c>
      <c r="G1233" s="10">
        <v>0.40909237900000001</v>
      </c>
      <c r="H1233" s="9">
        <v>-0.10698724125</v>
      </c>
      <c r="I1233" s="10">
        <v>0.66255425844235105</v>
      </c>
      <c r="J1233" s="10">
        <v>0.438978145380094</v>
      </c>
      <c r="K1233" s="10">
        <v>-0.20619806199999999</v>
      </c>
      <c r="L1233" s="10">
        <v>-0.247671796</v>
      </c>
      <c r="M1233" s="10">
        <v>4.4965884999999997E-2</v>
      </c>
      <c r="N1233" s="10">
        <v>0.174750031</v>
      </c>
      <c r="O1233" s="9">
        <v>-5.8538485500000001E-2</v>
      </c>
      <c r="P1233" s="10">
        <v>0.20224691700676201</v>
      </c>
      <c r="Q1233" s="10">
        <v>4.09038154387402E-2</v>
      </c>
    </row>
    <row r="1234" spans="1:17" x14ac:dyDescent="0.2">
      <c r="A1234" s="10">
        <v>1729</v>
      </c>
      <c r="B1234" s="10" t="s">
        <v>2821</v>
      </c>
      <c r="C1234" s="9" t="s">
        <v>2345</v>
      </c>
      <c r="D1234" s="10">
        <v>0.148395947</v>
      </c>
      <c r="E1234" s="10">
        <v>-1.4998235090000001</v>
      </c>
      <c r="F1234" s="10">
        <v>-1.339235776</v>
      </c>
      <c r="G1234" s="10">
        <v>0.16670068099999999</v>
      </c>
      <c r="H1234" s="9">
        <v>-0.63099066425000006</v>
      </c>
      <c r="I1234" s="10">
        <v>0.91291412931641802</v>
      </c>
      <c r="J1234" s="10">
        <v>0.833412207505553</v>
      </c>
      <c r="K1234" s="10">
        <v>-0.60693507999999996</v>
      </c>
      <c r="L1234" s="10">
        <v>-0.473241527</v>
      </c>
      <c r="M1234" s="10">
        <v>-1.027914928</v>
      </c>
      <c r="N1234" s="10">
        <v>0.69732749800000005</v>
      </c>
      <c r="O1234" s="9">
        <v>-0.35269100925000002</v>
      </c>
      <c r="P1234" s="10">
        <v>0.73883662624898505</v>
      </c>
      <c r="Q1234" s="10">
        <v>0.54587956028698204</v>
      </c>
    </row>
    <row r="1235" spans="1:17" x14ac:dyDescent="0.2">
      <c r="A1235" s="10">
        <v>1729</v>
      </c>
      <c r="B1235" s="10" t="s">
        <v>79</v>
      </c>
      <c r="C1235" s="9" t="s">
        <v>1067</v>
      </c>
      <c r="D1235" s="10">
        <v>-0.70975304699999997</v>
      </c>
      <c r="E1235" s="10">
        <v>-0.36839830699999998</v>
      </c>
      <c r="F1235" s="10">
        <v>7.0454553000000003E-2</v>
      </c>
      <c r="G1235" s="10">
        <v>-0.59653883200000002</v>
      </c>
      <c r="H1235" s="9">
        <v>-0.40105890849999998</v>
      </c>
      <c r="I1235" s="10">
        <v>0.34491357898362301</v>
      </c>
      <c r="J1235" s="10">
        <v>0.11896537696729199</v>
      </c>
      <c r="K1235" s="10">
        <v>0.249794039</v>
      </c>
      <c r="L1235" s="10">
        <v>-0.28731715099999999</v>
      </c>
      <c r="M1235" s="10">
        <v>0.16723660900000001</v>
      </c>
      <c r="N1235" s="10">
        <v>3.1720623000000003E-2</v>
      </c>
      <c r="O1235" s="9">
        <v>4.0358529999999997E-2</v>
      </c>
      <c r="P1235" s="10">
        <v>0.23622534772047199</v>
      </c>
      <c r="Q1235" s="10">
        <v>5.5802414905657897E-2</v>
      </c>
    </row>
    <row r="1236" spans="1:17" x14ac:dyDescent="0.2">
      <c r="A1236" s="10">
        <v>1729</v>
      </c>
      <c r="B1236" s="10" t="s">
        <v>2814</v>
      </c>
      <c r="C1236" s="9" t="s">
        <v>1068</v>
      </c>
      <c r="D1236" s="10">
        <v>0.57560069999999997</v>
      </c>
      <c r="E1236" s="10">
        <v>-0.44782920599999998</v>
      </c>
      <c r="F1236" s="10">
        <v>-1.4564117320000001</v>
      </c>
      <c r="G1236" s="10">
        <v>-1.186433061</v>
      </c>
      <c r="H1236" s="9">
        <v>-0.62876832475</v>
      </c>
      <c r="I1236" s="10">
        <v>0.90907045566565103</v>
      </c>
      <c r="J1236" s="10">
        <v>0.82640909336415402</v>
      </c>
      <c r="K1236" s="10">
        <v>-2.7101450000000002E-3</v>
      </c>
      <c r="L1236" s="10">
        <v>-0.46423017</v>
      </c>
      <c r="M1236" s="10">
        <v>1.1155551109999999</v>
      </c>
      <c r="N1236" s="10">
        <v>0.86285391700000003</v>
      </c>
      <c r="O1236" s="9">
        <v>0.37786717850000001</v>
      </c>
      <c r="P1236" s="10">
        <v>0.73787141286951097</v>
      </c>
      <c r="Q1236" s="10">
        <v>0.544454221930048</v>
      </c>
    </row>
    <row r="1237" spans="1:17" x14ac:dyDescent="0.2">
      <c r="A1237" s="10">
        <v>1729</v>
      </c>
      <c r="B1237" s="10" t="s">
        <v>2818</v>
      </c>
      <c r="C1237" s="9" t="s">
        <v>1069</v>
      </c>
      <c r="D1237" s="10">
        <v>-0.55124650399999997</v>
      </c>
      <c r="E1237" s="10">
        <v>0.35049878400000001</v>
      </c>
      <c r="F1237" s="10">
        <v>-0.42154695800000003</v>
      </c>
      <c r="G1237" s="10">
        <v>-7.4372479000000005E-2</v>
      </c>
      <c r="H1237" s="9">
        <v>-0.17416678899999999</v>
      </c>
      <c r="I1237" s="10">
        <v>0.40357524175744602</v>
      </c>
      <c r="J1237" s="10">
        <v>0.16287297575958101</v>
      </c>
      <c r="K1237" s="10">
        <v>0.51977552100000002</v>
      </c>
      <c r="L1237" s="10">
        <v>-0.29985890700000001</v>
      </c>
      <c r="M1237" s="10">
        <v>7.6400655999999997E-2</v>
      </c>
      <c r="N1237" s="10">
        <v>-0.31835402600000001</v>
      </c>
      <c r="O1237" s="9">
        <v>-5.5091890000000003E-3</v>
      </c>
      <c r="P1237" s="10">
        <v>0.394608201381211</v>
      </c>
      <c r="Q1237" s="10">
        <v>0.155715632597314</v>
      </c>
    </row>
    <row r="1238" spans="1:17" x14ac:dyDescent="0.2">
      <c r="A1238" s="10">
        <v>1729</v>
      </c>
      <c r="B1238" s="10" t="s">
        <v>2832</v>
      </c>
      <c r="C1238" s="9" t="s">
        <v>2344</v>
      </c>
      <c r="D1238" s="10">
        <v>-0.21006482300000001</v>
      </c>
      <c r="E1238" s="10">
        <v>-0.38140313399999998</v>
      </c>
      <c r="F1238" s="10">
        <v>-0.24260282799999999</v>
      </c>
      <c r="G1238" s="10">
        <v>-0.34989796899999998</v>
      </c>
      <c r="H1238" s="9">
        <v>-0.29599218849999998</v>
      </c>
      <c r="I1238" s="10">
        <v>8.2532415326520198E-2</v>
      </c>
      <c r="J1238" s="10">
        <v>6.8115995796292003E-3</v>
      </c>
      <c r="K1238" s="10">
        <v>-4.5681383999999998E-2</v>
      </c>
      <c r="L1238" s="10">
        <v>-0.38371613500000001</v>
      </c>
      <c r="M1238" s="10">
        <v>8.8276156999999994E-2</v>
      </c>
      <c r="N1238" s="10">
        <v>-4.4672114999999998E-2</v>
      </c>
      <c r="O1238" s="9">
        <v>-9.6448369249999999E-2</v>
      </c>
      <c r="P1238" s="10">
        <v>0.20158041169123</v>
      </c>
      <c r="Q1238" s="10">
        <v>4.0634662377605997E-2</v>
      </c>
    </row>
    <row r="1239" spans="1:17" x14ac:dyDescent="0.2">
      <c r="A1239" s="10">
        <v>1730</v>
      </c>
      <c r="B1239" s="10" t="s">
        <v>2822</v>
      </c>
      <c r="C1239" s="9" t="s">
        <v>2343</v>
      </c>
      <c r="D1239" s="10">
        <v>-0.21938745900000001</v>
      </c>
      <c r="E1239" s="10">
        <v>3.9154389999999997E-3</v>
      </c>
      <c r="F1239" s="10">
        <v>-0.64812377200000004</v>
      </c>
      <c r="G1239" s="10">
        <v>0.41960258</v>
      </c>
      <c r="H1239" s="9">
        <v>-0.11099830300000001</v>
      </c>
      <c r="I1239" s="10">
        <v>0.445344227808738</v>
      </c>
      <c r="J1239" s="10">
        <v>0.198331481242561</v>
      </c>
      <c r="K1239" s="10">
        <v>0.16260807799999999</v>
      </c>
      <c r="L1239" s="10">
        <v>5.3854812000000002E-2</v>
      </c>
      <c r="M1239" s="10">
        <v>0.765891145</v>
      </c>
      <c r="N1239" s="10">
        <v>0.254201713</v>
      </c>
      <c r="O1239" s="9">
        <v>0.309138937</v>
      </c>
      <c r="P1239" s="10">
        <v>0.31532097678925702</v>
      </c>
      <c r="Q1239" s="10">
        <v>9.9427318403331605E-2</v>
      </c>
    </row>
    <row r="1240" spans="1:17" x14ac:dyDescent="0.2">
      <c r="A1240" s="10">
        <v>1730</v>
      </c>
      <c r="B1240" s="10" t="s">
        <v>2824</v>
      </c>
      <c r="C1240" s="9" t="s">
        <v>2342</v>
      </c>
      <c r="D1240" s="10">
        <v>0.187308631</v>
      </c>
      <c r="E1240" s="10">
        <v>-0.19043172899999999</v>
      </c>
      <c r="F1240" s="10">
        <v>-5.4851181999999998E-2</v>
      </c>
      <c r="G1240" s="10">
        <v>0.18665817700000001</v>
      </c>
      <c r="H1240" s="9">
        <v>3.2170973999999998E-2</v>
      </c>
      <c r="I1240" s="10">
        <v>0.18713525191512101</v>
      </c>
      <c r="J1240" s="10">
        <v>3.50196025093358E-2</v>
      </c>
      <c r="K1240" s="10">
        <v>0.27093066900000001</v>
      </c>
      <c r="L1240" s="10">
        <v>0.10010042199999999</v>
      </c>
      <c r="M1240" s="10">
        <v>0.20684077000000001</v>
      </c>
      <c r="N1240" s="10">
        <v>-0.117465888</v>
      </c>
      <c r="O1240" s="9">
        <v>0.1151014935</v>
      </c>
      <c r="P1240" s="10">
        <v>0.17030506537159301</v>
      </c>
      <c r="Q1240" s="10">
        <v>2.90038152912226E-2</v>
      </c>
    </row>
    <row r="1241" spans="1:17" x14ac:dyDescent="0.2">
      <c r="A1241" s="10">
        <v>1730</v>
      </c>
      <c r="B1241" s="10" t="s">
        <v>2830</v>
      </c>
      <c r="C1241" s="9" t="s">
        <v>2341</v>
      </c>
      <c r="D1241" s="10">
        <v>-3.0418968000000001E-2</v>
      </c>
      <c r="E1241" s="10">
        <v>9.5146014000000001E-2</v>
      </c>
      <c r="F1241" s="10">
        <v>3.3482069000000003E-2</v>
      </c>
      <c r="G1241" s="10">
        <v>-0.24032466499999999</v>
      </c>
      <c r="H1241" s="9">
        <v>-3.5528887500000002E-2</v>
      </c>
      <c r="I1241" s="10">
        <v>0.14583765375490301</v>
      </c>
      <c r="J1241" s="10">
        <v>2.1268621252735102E-2</v>
      </c>
      <c r="K1241" s="10">
        <v>-0.24197318200000001</v>
      </c>
      <c r="L1241" s="10">
        <v>0.24310105400000001</v>
      </c>
      <c r="M1241" s="10">
        <v>-0.220557485</v>
      </c>
      <c r="N1241" s="10">
        <v>0.30023265900000001</v>
      </c>
      <c r="O1241" s="9">
        <v>2.0200761250000001E-2</v>
      </c>
      <c r="P1241" s="10">
        <v>0.29143444884578001</v>
      </c>
      <c r="Q1241" s="10">
        <v>8.4934037974044002E-2</v>
      </c>
    </row>
    <row r="1242" spans="1:17" x14ac:dyDescent="0.2">
      <c r="A1242" s="10">
        <v>1731</v>
      </c>
      <c r="B1242" s="10" t="s">
        <v>2831</v>
      </c>
      <c r="C1242" s="9" t="s">
        <v>1070</v>
      </c>
      <c r="D1242" s="10">
        <v>-2.295783868</v>
      </c>
      <c r="E1242" s="10">
        <v>-0.646122525</v>
      </c>
      <c r="F1242" s="10">
        <v>-1.84265693</v>
      </c>
      <c r="G1242" s="10">
        <v>-1.0073753249999999</v>
      </c>
      <c r="H1242" s="9">
        <v>-1.4479846617500001</v>
      </c>
      <c r="I1242" s="10">
        <v>0.75534741839506703</v>
      </c>
      <c r="J1242" s="10">
        <v>0.57054972247609304</v>
      </c>
      <c r="K1242" s="10">
        <v>0.301378164</v>
      </c>
      <c r="L1242" s="10">
        <v>0.39767952200000001</v>
      </c>
      <c r="M1242" s="10">
        <v>1.329456553</v>
      </c>
      <c r="N1242" s="10">
        <v>-0.62187330900000004</v>
      </c>
      <c r="O1242" s="9">
        <v>0.35166023224999998</v>
      </c>
      <c r="P1242" s="10">
        <v>0.797600414206594</v>
      </c>
      <c r="Q1242" s="10">
        <v>0.63616642074253105</v>
      </c>
    </row>
    <row r="1243" spans="1:17" x14ac:dyDescent="0.2">
      <c r="A1243" s="10">
        <v>1731</v>
      </c>
      <c r="B1243" s="10" t="s">
        <v>2826</v>
      </c>
      <c r="C1243" s="9" t="s">
        <v>2340</v>
      </c>
      <c r="D1243" s="10">
        <v>-4.1327093000000002E-2</v>
      </c>
      <c r="E1243" s="10">
        <v>-0.35228234000000003</v>
      </c>
      <c r="F1243" s="10">
        <v>-0.14550252399999999</v>
      </c>
      <c r="G1243" s="10">
        <v>0.138326756</v>
      </c>
      <c r="H1243" s="9">
        <v>-0.1001963</v>
      </c>
      <c r="I1243" s="10">
        <v>0.20490555326166501</v>
      </c>
      <c r="J1243" s="10">
        <v>4.1986285757469197E-2</v>
      </c>
      <c r="K1243" s="10">
        <v>2.5897908000000001E-2</v>
      </c>
      <c r="L1243" s="10">
        <v>-0.133648188</v>
      </c>
      <c r="M1243" s="10">
        <v>0.27752331800000002</v>
      </c>
      <c r="N1243" s="10">
        <v>6.9098793000000006E-2</v>
      </c>
      <c r="O1243" s="9">
        <v>5.9717957750000002E-2</v>
      </c>
      <c r="P1243" s="10">
        <v>0.169372800955882</v>
      </c>
      <c r="Q1243" s="10">
        <v>2.8687145703640799E-2</v>
      </c>
    </row>
    <row r="1244" spans="1:17" x14ac:dyDescent="0.2">
      <c r="A1244" s="10">
        <v>1731</v>
      </c>
      <c r="B1244" s="10" t="s">
        <v>2821</v>
      </c>
      <c r="C1244" s="9" t="s">
        <v>1071</v>
      </c>
      <c r="D1244" s="10">
        <v>-0.82809212799999998</v>
      </c>
      <c r="E1244" s="10">
        <v>0.21770429899999999</v>
      </c>
      <c r="F1244" s="10">
        <v>-0.79676407599999999</v>
      </c>
      <c r="G1244" s="10">
        <v>-0.96027931700000002</v>
      </c>
      <c r="H1244" s="9">
        <v>-0.59185780524999998</v>
      </c>
      <c r="I1244" s="10">
        <v>0.54434010385532094</v>
      </c>
      <c r="J1244" s="10">
        <v>0.29630614866522198</v>
      </c>
      <c r="K1244" s="10">
        <v>6.4938101999999998E-2</v>
      </c>
      <c r="L1244" s="10">
        <v>-1.0351452210000001</v>
      </c>
      <c r="M1244" s="10">
        <v>0.75280385999999999</v>
      </c>
      <c r="N1244" s="10">
        <v>3.09263E-2</v>
      </c>
      <c r="O1244" s="9">
        <v>-4.6619239749999999E-2</v>
      </c>
      <c r="P1244" s="10">
        <v>0.73817776974872795</v>
      </c>
      <c r="Q1244" s="10">
        <v>0.54490641975120602</v>
      </c>
    </row>
    <row r="1245" spans="1:17" x14ac:dyDescent="0.2">
      <c r="A1245" s="10">
        <v>1731</v>
      </c>
      <c r="B1245" s="10" t="s">
        <v>2834</v>
      </c>
      <c r="C1245" s="9" t="s">
        <v>1072</v>
      </c>
      <c r="D1245" s="10">
        <v>0.66821651299999996</v>
      </c>
      <c r="E1245" s="10">
        <v>-0.28749240999999998</v>
      </c>
      <c r="F1245" s="10">
        <v>1.3052213020000001</v>
      </c>
      <c r="G1245" s="10">
        <v>0.226925882</v>
      </c>
      <c r="H1245" s="9">
        <v>0.47821782174999999</v>
      </c>
      <c r="I1245" s="10">
        <v>0.67564637126539295</v>
      </c>
      <c r="J1245" s="10">
        <v>0.45649801900409298</v>
      </c>
      <c r="K1245" s="10">
        <v>-0.23077260999999999</v>
      </c>
      <c r="L1245" s="10">
        <v>-0.14714011900000001</v>
      </c>
      <c r="M1245" s="10">
        <v>-1.1406621079999999</v>
      </c>
      <c r="N1245" s="10">
        <v>-0.41049817100000002</v>
      </c>
      <c r="O1245" s="9">
        <v>-0.48226825174999999</v>
      </c>
      <c r="P1245" s="10">
        <v>0.45247259129452699</v>
      </c>
      <c r="Q1245" s="10">
        <v>0.204731445872784</v>
      </c>
    </row>
    <row r="1246" spans="1:17" x14ac:dyDescent="0.2">
      <c r="A1246" s="10">
        <v>1731</v>
      </c>
      <c r="B1246" s="10" t="s">
        <v>79</v>
      </c>
      <c r="C1246" s="9" t="s">
        <v>2339</v>
      </c>
      <c r="D1246" s="10">
        <v>7.3435137999999997E-2</v>
      </c>
      <c r="E1246" s="10">
        <v>-8.5112569999999999E-2</v>
      </c>
      <c r="F1246" s="10">
        <v>-0.24197084799999999</v>
      </c>
      <c r="G1246" s="10">
        <v>0.71335113999999999</v>
      </c>
      <c r="H1246" s="9">
        <v>0.11492571475</v>
      </c>
      <c r="I1246" s="10">
        <v>0.41921550918081002</v>
      </c>
      <c r="J1246" s="10">
        <v>0.175741643137725</v>
      </c>
      <c r="K1246" s="10">
        <v>8.0765431999999998E-2</v>
      </c>
      <c r="L1246" s="10">
        <v>-2.7504183000000001E-2</v>
      </c>
      <c r="M1246" s="10">
        <v>0.12308860200000001</v>
      </c>
      <c r="N1246" s="10">
        <v>0.18466437299999999</v>
      </c>
      <c r="O1246" s="9">
        <v>9.0253556250000005E-2</v>
      </c>
      <c r="P1246" s="10">
        <v>8.9346613821045404E-2</v>
      </c>
      <c r="Q1246" s="10">
        <v>7.9828174012869998E-3</v>
      </c>
    </row>
    <row r="1247" spans="1:17" x14ac:dyDescent="0.2">
      <c r="A1247" s="10">
        <v>1731</v>
      </c>
      <c r="B1247" s="10" t="s">
        <v>2824</v>
      </c>
      <c r="C1247" s="9" t="s">
        <v>1073</v>
      </c>
      <c r="D1247" s="10">
        <v>-0.22452151300000001</v>
      </c>
      <c r="E1247" s="10">
        <v>0.24623667599999999</v>
      </c>
      <c r="F1247" s="10">
        <v>-0.184761487</v>
      </c>
      <c r="G1247" s="10">
        <v>-0.214615055</v>
      </c>
      <c r="H1247" s="9">
        <v>-9.4415344750000005E-2</v>
      </c>
      <c r="I1247" s="10">
        <v>0.22772923251191399</v>
      </c>
      <c r="J1247" s="10">
        <v>5.1860603340465598E-2</v>
      </c>
      <c r="K1247" s="10">
        <v>0.62934769999999995</v>
      </c>
      <c r="L1247" s="10">
        <v>-0.182853719</v>
      </c>
      <c r="M1247" s="10">
        <v>-0.681669627</v>
      </c>
      <c r="N1247" s="10">
        <v>-0.54341460900000005</v>
      </c>
      <c r="O1247" s="9">
        <v>-0.19464756375</v>
      </c>
      <c r="P1247" s="10">
        <v>0.58819957820485802</v>
      </c>
      <c r="Q1247" s="10">
        <v>0.34597874380037302</v>
      </c>
    </row>
    <row r="1248" spans="1:17" x14ac:dyDescent="0.2">
      <c r="A1248" s="10">
        <v>1731</v>
      </c>
      <c r="B1248" s="10" t="s">
        <v>2814</v>
      </c>
      <c r="C1248" s="9" t="s">
        <v>1074</v>
      </c>
      <c r="D1248" s="10">
        <v>-8.4156165000000005E-2</v>
      </c>
      <c r="E1248" s="10">
        <v>-6.2776100000000001E-4</v>
      </c>
      <c r="F1248" s="10">
        <v>9.2830139999999992E-3</v>
      </c>
      <c r="G1248" s="10">
        <v>8.7776000000000007E-2</v>
      </c>
      <c r="H1248" s="9">
        <v>3.0687717500000001E-3</v>
      </c>
      <c r="I1248" s="10">
        <v>7.0322555106102802E-2</v>
      </c>
      <c r="J1248" s="10">
        <v>4.9452617566507996E-3</v>
      </c>
      <c r="K1248" s="10">
        <v>-5.9177668000000003E-2</v>
      </c>
      <c r="L1248" s="10">
        <v>-0.22896564599999999</v>
      </c>
      <c r="M1248" s="10">
        <v>-3.3758509999999999E-2</v>
      </c>
      <c r="N1248" s="10">
        <v>-3.5695700000000002E-3</v>
      </c>
      <c r="O1248" s="9">
        <v>-8.1367848500000006E-2</v>
      </c>
      <c r="P1248" s="10">
        <v>0.10098966149635399</v>
      </c>
      <c r="Q1248" s="10">
        <v>1.01989117291482E-2</v>
      </c>
    </row>
    <row r="1249" spans="1:17" x14ac:dyDescent="0.2">
      <c r="A1249" s="10">
        <v>1731</v>
      </c>
      <c r="B1249" s="10" t="s">
        <v>2833</v>
      </c>
      <c r="C1249" s="9" t="s">
        <v>1075</v>
      </c>
      <c r="D1249" s="10">
        <v>-8.6771609999999992E-3</v>
      </c>
      <c r="E1249" s="10">
        <v>3.6460035000000002E-2</v>
      </c>
      <c r="F1249" s="10">
        <v>0.19448206400000001</v>
      </c>
      <c r="G1249" s="10">
        <v>-0.122005397</v>
      </c>
      <c r="H1249" s="9">
        <v>2.5064885249999998E-2</v>
      </c>
      <c r="I1249" s="10">
        <v>0.131149054513895</v>
      </c>
      <c r="J1249" s="10">
        <v>1.7200074499888699E-2</v>
      </c>
      <c r="K1249" s="10">
        <v>0.44805751300000002</v>
      </c>
      <c r="L1249" s="10">
        <v>-0.116045828</v>
      </c>
      <c r="M1249" s="10">
        <v>0.13353320599999999</v>
      </c>
      <c r="N1249" s="10">
        <v>0.12745432700000001</v>
      </c>
      <c r="O1249" s="9">
        <v>0.1482498045</v>
      </c>
      <c r="P1249" s="10">
        <v>0.231218420251255</v>
      </c>
      <c r="Q1249" s="10">
        <v>5.3461957863486398E-2</v>
      </c>
    </row>
    <row r="1250" spans="1:17" x14ac:dyDescent="0.2">
      <c r="A1250" s="10">
        <v>1731</v>
      </c>
      <c r="B1250" s="10" t="s">
        <v>2825</v>
      </c>
      <c r="C1250" s="9" t="s">
        <v>2338</v>
      </c>
      <c r="D1250" s="10">
        <v>-1.1390302969999999</v>
      </c>
      <c r="E1250" s="10">
        <v>-0.63803945200000001</v>
      </c>
      <c r="F1250" s="10">
        <v>0.27386724699999998</v>
      </c>
      <c r="G1250" s="10">
        <v>-1.7991883930000001</v>
      </c>
      <c r="H1250" s="9">
        <v>-0.82559772399999998</v>
      </c>
      <c r="I1250" s="10">
        <v>0.87371240432858699</v>
      </c>
      <c r="J1250" s="10">
        <v>0.76337336547764101</v>
      </c>
      <c r="K1250" s="10">
        <v>-0.24102397</v>
      </c>
      <c r="L1250" s="10">
        <v>0.22946855899999999</v>
      </c>
      <c r="M1250" s="10">
        <v>-0.28631921500000002</v>
      </c>
      <c r="N1250" s="10">
        <v>0.217322398</v>
      </c>
      <c r="O1250" s="9">
        <v>-2.0138057250000001E-2</v>
      </c>
      <c r="P1250" s="10">
        <v>0.28185925913230903</v>
      </c>
      <c r="Q1250" s="10">
        <v>7.9444641958614295E-2</v>
      </c>
    </row>
    <row r="1251" spans="1:17" x14ac:dyDescent="0.2">
      <c r="A1251" s="10">
        <v>1731</v>
      </c>
      <c r="B1251" s="10" t="s">
        <v>74</v>
      </c>
      <c r="C1251" s="9" t="s">
        <v>2337</v>
      </c>
      <c r="D1251" s="10">
        <v>-0.37970484999999998</v>
      </c>
      <c r="E1251" s="10">
        <v>-0.22419742200000001</v>
      </c>
      <c r="F1251" s="10">
        <v>0.64667170100000004</v>
      </c>
      <c r="G1251" s="10">
        <v>-5.4174278999999999E-2</v>
      </c>
      <c r="H1251" s="9">
        <v>-2.8512124999999998E-3</v>
      </c>
      <c r="I1251" s="10">
        <v>0.452963162914856</v>
      </c>
      <c r="J1251" s="10">
        <v>0.20517562695783001</v>
      </c>
      <c r="K1251" s="10">
        <v>4.1671640000000001E-3</v>
      </c>
      <c r="L1251" s="10">
        <v>-0.37608081100000001</v>
      </c>
      <c r="M1251" s="10">
        <v>-0.48157165400000002</v>
      </c>
      <c r="N1251" s="10">
        <v>0.77173760199999997</v>
      </c>
      <c r="O1251" s="9">
        <v>-2.0436925000000002E-2</v>
      </c>
      <c r="P1251" s="10">
        <v>0.56782440195371298</v>
      </c>
      <c r="Q1251" s="10">
        <v>0.32242455145409199</v>
      </c>
    </row>
    <row r="1252" spans="1:17" x14ac:dyDescent="0.2">
      <c r="A1252" s="10">
        <v>1731</v>
      </c>
      <c r="B1252" s="10" t="s">
        <v>2818</v>
      </c>
      <c r="C1252" s="9" t="s">
        <v>2336</v>
      </c>
      <c r="D1252" s="10">
        <v>1.0022873029999999</v>
      </c>
      <c r="E1252" s="10">
        <v>0.49584973100000002</v>
      </c>
      <c r="F1252" s="10">
        <v>-1.614874954</v>
      </c>
      <c r="G1252" s="10">
        <v>-0.729375675</v>
      </c>
      <c r="H1252" s="9">
        <v>-0.21152839875000001</v>
      </c>
      <c r="I1252" s="10">
        <v>1.1848037435112799</v>
      </c>
      <c r="J1252" s="10">
        <v>1.40375991063834</v>
      </c>
      <c r="K1252" s="10">
        <v>-1.7359481619999999</v>
      </c>
      <c r="L1252" s="10">
        <v>0.83340015000000001</v>
      </c>
      <c r="M1252" s="10">
        <v>-4.6668074080000004</v>
      </c>
      <c r="N1252" s="10">
        <v>0.20941094399999999</v>
      </c>
      <c r="O1252" s="9">
        <v>-1.339986119</v>
      </c>
      <c r="P1252" s="10">
        <v>2.47310634368676</v>
      </c>
      <c r="Q1252" s="10">
        <v>6.1162549871836998</v>
      </c>
    </row>
    <row r="1253" spans="1:17" x14ac:dyDescent="0.2">
      <c r="A1253" s="10">
        <v>1731</v>
      </c>
      <c r="B1253" s="10" t="s">
        <v>2832</v>
      </c>
      <c r="C1253" s="9" t="s">
        <v>1076</v>
      </c>
      <c r="D1253" s="10">
        <v>0.10951925899999999</v>
      </c>
      <c r="E1253" s="10">
        <v>0.10303018999999999</v>
      </c>
      <c r="F1253" s="10">
        <v>0.179830406</v>
      </c>
      <c r="G1253" s="10">
        <v>-3.4161849000000001E-2</v>
      </c>
      <c r="H1253" s="9">
        <v>8.9554501499999994E-2</v>
      </c>
      <c r="I1253" s="10">
        <v>8.9509142990934695E-2</v>
      </c>
      <c r="J1253" s="10">
        <v>8.0118866789716005E-3</v>
      </c>
      <c r="K1253" s="10">
        <v>0.11298852600000001</v>
      </c>
      <c r="L1253" s="10">
        <v>5.1656155000000002E-2</v>
      </c>
      <c r="M1253" s="10">
        <v>0.36844099299999999</v>
      </c>
      <c r="N1253" s="10">
        <v>-0.11414389799999999</v>
      </c>
      <c r="O1253" s="9">
        <v>0.10473544425</v>
      </c>
      <c r="P1253" s="10">
        <v>0.200278395582239</v>
      </c>
      <c r="Q1253" s="10">
        <v>4.0111435736996201E-2</v>
      </c>
    </row>
    <row r="1254" spans="1:17" x14ac:dyDescent="0.2">
      <c r="A1254" s="10">
        <v>1732</v>
      </c>
      <c r="B1254" s="10" t="s">
        <v>2814</v>
      </c>
      <c r="C1254" s="9" t="s">
        <v>1077</v>
      </c>
      <c r="D1254" s="10">
        <v>-0.53358819499999999</v>
      </c>
      <c r="E1254" s="10">
        <v>-6.4630809999999997E-2</v>
      </c>
      <c r="F1254" s="10">
        <v>-0.448597413</v>
      </c>
      <c r="G1254" s="10">
        <v>-0.102818323</v>
      </c>
      <c r="H1254" s="9">
        <v>-0.28740868549999998</v>
      </c>
      <c r="I1254" s="10">
        <v>0.238250386855862</v>
      </c>
      <c r="J1254" s="10">
        <v>5.6763246836968199E-2</v>
      </c>
      <c r="K1254" s="10">
        <v>-5.5161388999999998E-2</v>
      </c>
      <c r="L1254" s="10">
        <v>-0.11814904499999999</v>
      </c>
      <c r="M1254" s="10">
        <v>-0.137331851</v>
      </c>
      <c r="N1254" s="10">
        <v>-0.204884446</v>
      </c>
      <c r="O1254" s="9">
        <v>-0.12888168250000001</v>
      </c>
      <c r="P1254" s="10">
        <v>6.1637912004295602E-2</v>
      </c>
      <c r="Q1254" s="10">
        <v>3.7992321962492001E-3</v>
      </c>
    </row>
    <row r="1255" spans="1:17" x14ac:dyDescent="0.2">
      <c r="A1255" s="10">
        <v>1733</v>
      </c>
      <c r="B1255" s="10" t="s">
        <v>2822</v>
      </c>
      <c r="C1255" s="9" t="s">
        <v>1078</v>
      </c>
      <c r="D1255" s="10">
        <v>1.9103137999999999E-2</v>
      </c>
      <c r="E1255" s="10">
        <v>-0.114157536</v>
      </c>
      <c r="F1255" s="10">
        <v>-0.50273368200000002</v>
      </c>
      <c r="G1255" s="10">
        <v>-0.175106237</v>
      </c>
      <c r="H1255" s="9">
        <v>-0.19322357900000001</v>
      </c>
      <c r="I1255" s="10">
        <v>0.22170462019534801</v>
      </c>
      <c r="J1255" s="10">
        <v>4.9152938615963801E-2</v>
      </c>
      <c r="K1255" s="10">
        <v>0.36025575500000001</v>
      </c>
      <c r="L1255" s="10">
        <v>-0.40691854700000002</v>
      </c>
      <c r="M1255" s="10">
        <v>0.22449546400000001</v>
      </c>
      <c r="N1255" s="10">
        <v>0.210078292</v>
      </c>
      <c r="O1255" s="9">
        <v>9.6977741249999999E-2</v>
      </c>
      <c r="P1255" s="10">
        <v>0.34267539841253603</v>
      </c>
      <c r="Q1255" s="10">
        <v>0.11742642867719</v>
      </c>
    </row>
    <row r="1256" spans="1:17" x14ac:dyDescent="0.2">
      <c r="A1256" s="10">
        <v>1733</v>
      </c>
      <c r="B1256" s="10" t="s">
        <v>2821</v>
      </c>
      <c r="C1256" s="9" t="s">
        <v>1079</v>
      </c>
      <c r="D1256" s="10">
        <v>-0.17102220400000001</v>
      </c>
      <c r="E1256" s="10">
        <v>0.44203462799999999</v>
      </c>
      <c r="F1256" s="10">
        <v>0.159903936</v>
      </c>
      <c r="G1256" s="10">
        <v>0.178208212</v>
      </c>
      <c r="H1256" s="9">
        <v>0.15228114274999999</v>
      </c>
      <c r="I1256" s="10">
        <v>0.25113904258471298</v>
      </c>
      <c r="J1256" s="10">
        <v>6.3070818710366405E-2</v>
      </c>
      <c r="K1256" s="10">
        <v>0.34520572300000002</v>
      </c>
      <c r="L1256" s="10">
        <v>7.693203E-3</v>
      </c>
      <c r="M1256" s="10">
        <v>0.29121254800000002</v>
      </c>
      <c r="N1256" s="10">
        <v>-0.56925058399999995</v>
      </c>
      <c r="O1256" s="9">
        <v>1.87152225E-2</v>
      </c>
      <c r="P1256" s="10">
        <v>0.41899726086950601</v>
      </c>
      <c r="Q1256" s="10">
        <v>0.175558704616149</v>
      </c>
    </row>
    <row r="1257" spans="1:17" x14ac:dyDescent="0.2">
      <c r="A1257" s="10">
        <v>1733</v>
      </c>
      <c r="B1257" s="10" t="s">
        <v>79</v>
      </c>
      <c r="C1257" s="9" t="s">
        <v>2335</v>
      </c>
      <c r="D1257" s="10">
        <v>-4.36167E-4</v>
      </c>
      <c r="E1257" s="10">
        <v>1.7142963550000001</v>
      </c>
      <c r="F1257" s="10">
        <v>-0.22707922799999999</v>
      </c>
      <c r="G1257" s="10">
        <v>-6.3865149999999996E-2</v>
      </c>
      <c r="H1257" s="9">
        <v>0.35572895225000001</v>
      </c>
      <c r="I1257" s="10">
        <v>0.91072929852848294</v>
      </c>
      <c r="J1257" s="10">
        <v>0.82942785519818196</v>
      </c>
      <c r="K1257" s="10">
        <v>0.507561178</v>
      </c>
      <c r="L1257" s="10">
        <v>9.2616293000000002E-2</v>
      </c>
      <c r="M1257" s="10">
        <v>-0.652315227</v>
      </c>
      <c r="N1257" s="10">
        <v>0.82470722500000004</v>
      </c>
      <c r="O1257" s="9">
        <v>0.19314236725</v>
      </c>
      <c r="P1257" s="10">
        <v>0.63839313733188296</v>
      </c>
      <c r="Q1257" s="10">
        <v>0.40754579779244499</v>
      </c>
    </row>
    <row r="1258" spans="1:17" x14ac:dyDescent="0.2">
      <c r="A1258" s="10">
        <v>1733</v>
      </c>
      <c r="B1258" s="10" t="s">
        <v>2824</v>
      </c>
      <c r="C1258" s="9" t="s">
        <v>2334</v>
      </c>
      <c r="D1258" s="10">
        <v>-0.28326513199999998</v>
      </c>
      <c r="E1258" s="10">
        <v>-0.11190051199999999</v>
      </c>
      <c r="F1258" s="10">
        <v>-0.39652957500000002</v>
      </c>
      <c r="G1258" s="10">
        <v>0.67402648399999998</v>
      </c>
      <c r="H1258" s="9">
        <v>-2.9417183499999999E-2</v>
      </c>
      <c r="I1258" s="10">
        <v>0.48333797070538398</v>
      </c>
      <c r="J1258" s="10">
        <v>0.233615593925599</v>
      </c>
      <c r="K1258" s="10">
        <v>-0.54749691499999997</v>
      </c>
      <c r="L1258" s="10">
        <v>0.42857505000000001</v>
      </c>
      <c r="M1258" s="10">
        <v>-0.12671484699999999</v>
      </c>
      <c r="N1258" s="10">
        <v>3.0102853999999998E-2</v>
      </c>
      <c r="O1258" s="9">
        <v>-5.3883464499999999E-2</v>
      </c>
      <c r="P1258" s="10">
        <v>0.40364116436099801</v>
      </c>
      <c r="Q1258" s="10">
        <v>0.16292618956670199</v>
      </c>
    </row>
    <row r="1259" spans="1:17" x14ac:dyDescent="0.2">
      <c r="A1259" s="10">
        <v>1733</v>
      </c>
      <c r="B1259" s="10" t="s">
        <v>2817</v>
      </c>
      <c r="C1259" s="9" t="s">
        <v>2333</v>
      </c>
      <c r="D1259" s="10">
        <v>-0.51666536699999999</v>
      </c>
      <c r="E1259" s="10">
        <v>-0.67486178399999996</v>
      </c>
      <c r="F1259" s="10">
        <v>-0.32515137599999999</v>
      </c>
      <c r="G1259" s="10">
        <v>-0.46464359599999999</v>
      </c>
      <c r="H1259" s="9">
        <v>-0.49533053075</v>
      </c>
      <c r="I1259" s="10">
        <v>0.14444062079519601</v>
      </c>
      <c r="J1259" s="10">
        <v>2.08630929357017E-2</v>
      </c>
      <c r="K1259" s="10">
        <v>1.4717539999999999E-2</v>
      </c>
      <c r="L1259" s="10">
        <v>5.2322434000000001E-2</v>
      </c>
      <c r="M1259" s="10">
        <v>-0.443180044</v>
      </c>
      <c r="N1259" s="10">
        <v>-0.36950306100000002</v>
      </c>
      <c r="O1259" s="9">
        <v>-0.186410783</v>
      </c>
      <c r="P1259" s="10">
        <v>0.25618963475628498</v>
      </c>
      <c r="Q1259" s="10">
        <v>6.56331289565589E-2</v>
      </c>
    </row>
    <row r="1260" spans="1:17" x14ac:dyDescent="0.2">
      <c r="A1260" s="10">
        <v>1733</v>
      </c>
      <c r="B1260" s="10" t="s">
        <v>2814</v>
      </c>
      <c r="C1260" s="9" t="s">
        <v>2332</v>
      </c>
      <c r="D1260" s="10">
        <v>1.5799573000000001E-2</v>
      </c>
      <c r="E1260" s="10">
        <v>-0.102638507</v>
      </c>
      <c r="F1260" s="10">
        <v>-9.8257888000000002E-2</v>
      </c>
      <c r="G1260" s="10">
        <v>7.6686176999999994E-2</v>
      </c>
      <c r="H1260" s="9">
        <v>-2.710266125E-2</v>
      </c>
      <c r="I1260" s="10">
        <v>8.8282604809664503E-2</v>
      </c>
      <c r="J1260" s="10">
        <v>7.7938183119793999E-3</v>
      </c>
      <c r="K1260" s="10">
        <v>4.7176643999999997E-2</v>
      </c>
      <c r="L1260" s="10">
        <v>-0.34964590899999998</v>
      </c>
      <c r="M1260" s="10">
        <v>-3.7810309E-2</v>
      </c>
      <c r="N1260" s="10">
        <v>0.17476888300000001</v>
      </c>
      <c r="O1260" s="9">
        <v>-4.1377672499999997E-2</v>
      </c>
      <c r="P1260" s="10">
        <v>0.22331086862821001</v>
      </c>
      <c r="Q1260" s="10">
        <v>4.9867744047485903E-2</v>
      </c>
    </row>
    <row r="1261" spans="1:17" x14ac:dyDescent="0.2">
      <c r="A1261" s="10">
        <v>1733</v>
      </c>
      <c r="B1261" s="10" t="s">
        <v>2833</v>
      </c>
      <c r="C1261" s="9" t="s">
        <v>1080</v>
      </c>
      <c r="D1261" s="10">
        <v>0.35647147899999998</v>
      </c>
      <c r="E1261" s="10">
        <v>0.35956353499999999</v>
      </c>
      <c r="F1261" s="10">
        <v>-9.0316745000000004E-2</v>
      </c>
      <c r="G1261" s="10">
        <v>2.5401241000000001E-2</v>
      </c>
      <c r="H1261" s="9">
        <v>0.16277987725000001</v>
      </c>
      <c r="I1261" s="10">
        <v>0.230341076404983</v>
      </c>
      <c r="J1261" s="10">
        <v>5.3057011479406203E-2</v>
      </c>
      <c r="K1261" s="10">
        <v>0.380255538</v>
      </c>
      <c r="L1261" s="10">
        <v>-0.147500619</v>
      </c>
      <c r="M1261" s="10">
        <v>3.3400157E-2</v>
      </c>
      <c r="N1261" s="10">
        <v>-7.8859620000000005E-2</v>
      </c>
      <c r="O1261" s="9">
        <v>4.682386375E-2</v>
      </c>
      <c r="P1261" s="10">
        <v>0.23446052971282699</v>
      </c>
      <c r="Q1261" s="10">
        <v>5.4971739993219797E-2</v>
      </c>
    </row>
    <row r="1262" spans="1:17" x14ac:dyDescent="0.2">
      <c r="A1262" s="10">
        <v>1733</v>
      </c>
      <c r="B1262" s="10" t="s">
        <v>2825</v>
      </c>
      <c r="C1262" s="9" t="s">
        <v>2331</v>
      </c>
      <c r="D1262" s="10">
        <v>0.27984645800000002</v>
      </c>
      <c r="E1262" s="10">
        <v>-0.48168412799999999</v>
      </c>
      <c r="F1262" s="10">
        <v>-2.1064922E-2</v>
      </c>
      <c r="G1262" s="10">
        <v>-0.163651247</v>
      </c>
      <c r="H1262" s="9">
        <v>-9.6638459499999996E-2</v>
      </c>
      <c r="I1262" s="10">
        <v>0.31633480849377299</v>
      </c>
      <c r="J1262" s="10">
        <v>0.10006771106479199</v>
      </c>
      <c r="K1262" s="10">
        <v>-0.41916175300000003</v>
      </c>
      <c r="L1262" s="10">
        <v>-0.17480989399999999</v>
      </c>
      <c r="M1262" s="10">
        <v>5.8633559000000002E-2</v>
      </c>
      <c r="N1262" s="10">
        <v>-0.29635552700000001</v>
      </c>
      <c r="O1262" s="9">
        <v>-0.20792340375000001</v>
      </c>
      <c r="P1262" s="10">
        <v>0.203789924133355</v>
      </c>
      <c r="Q1262" s="10">
        <v>4.1530333178278797E-2</v>
      </c>
    </row>
    <row r="1263" spans="1:17" x14ac:dyDescent="0.2">
      <c r="A1263" s="10">
        <v>1733</v>
      </c>
      <c r="B1263" s="10" t="s">
        <v>74</v>
      </c>
      <c r="C1263" s="9" t="s">
        <v>2330</v>
      </c>
      <c r="D1263" s="10">
        <v>-7.6984212999999996E-2</v>
      </c>
      <c r="E1263" s="10">
        <v>6.3131505000000004E-2</v>
      </c>
      <c r="F1263" s="10">
        <v>-0.61754868900000004</v>
      </c>
      <c r="G1263" s="10">
        <v>0.287809276</v>
      </c>
      <c r="H1263" s="9">
        <v>-8.589803E-2</v>
      </c>
      <c r="I1263" s="10">
        <v>0.38496702551808998</v>
      </c>
      <c r="J1263" s="10">
        <v>0.14819961073624499</v>
      </c>
      <c r="K1263" s="10">
        <v>-0.34997383900000001</v>
      </c>
      <c r="L1263" s="10">
        <v>0.33046310600000001</v>
      </c>
      <c r="M1263" s="10">
        <v>0.73078874400000005</v>
      </c>
      <c r="N1263" s="10">
        <v>-0.80482923900000003</v>
      </c>
      <c r="O1263" s="9">
        <v>-2.338780725E-2</v>
      </c>
      <c r="P1263" s="10">
        <v>0.68588188649186099</v>
      </c>
      <c r="Q1263" s="10">
        <v>0.47043396221763401</v>
      </c>
    </row>
    <row r="1264" spans="1:17" x14ac:dyDescent="0.2">
      <c r="A1264" s="10">
        <v>1733</v>
      </c>
      <c r="B1264" s="10" t="s">
        <v>2818</v>
      </c>
      <c r="C1264" s="9" t="s">
        <v>1081</v>
      </c>
      <c r="D1264" s="10">
        <v>0.441636476</v>
      </c>
      <c r="E1264" s="10">
        <v>-0.249202537</v>
      </c>
      <c r="F1264" s="10">
        <v>0.21989525500000001</v>
      </c>
      <c r="G1264" s="10">
        <v>-0.88297862100000002</v>
      </c>
      <c r="H1264" s="9">
        <v>-0.11766235675</v>
      </c>
      <c r="I1264" s="10">
        <v>0.58588170845648002</v>
      </c>
      <c r="J1264" s="10">
        <v>0.34325737630388398</v>
      </c>
      <c r="K1264" s="10">
        <v>0.35027467200000001</v>
      </c>
      <c r="L1264" s="10">
        <v>-0.21891954799999999</v>
      </c>
      <c r="M1264" s="10">
        <v>6.7240327000000003E-2</v>
      </c>
      <c r="N1264" s="10">
        <v>0.449054334</v>
      </c>
      <c r="O1264" s="9">
        <v>0.16191244625000001</v>
      </c>
      <c r="P1264" s="10">
        <v>0.30106843618344997</v>
      </c>
      <c r="Q1264" s="10">
        <v>9.0642203265948601E-2</v>
      </c>
    </row>
    <row r="1265" spans="1:17" x14ac:dyDescent="0.2">
      <c r="A1265" s="10">
        <v>1733</v>
      </c>
      <c r="B1265" s="10" t="s">
        <v>2830</v>
      </c>
      <c r="C1265" s="9" t="s">
        <v>1082</v>
      </c>
      <c r="D1265" s="10">
        <v>0.137665394</v>
      </c>
      <c r="E1265" s="10">
        <v>0.37194386299999999</v>
      </c>
      <c r="F1265" s="10">
        <v>-0.32289938200000001</v>
      </c>
      <c r="G1265" s="10">
        <v>-0.102426663</v>
      </c>
      <c r="H1265" s="9">
        <v>2.1070802999999999E-2</v>
      </c>
      <c r="I1265" s="10">
        <v>0.300151803349336</v>
      </c>
      <c r="J1265" s="10">
        <v>9.00911050538587E-2</v>
      </c>
      <c r="K1265" s="10">
        <v>0.31711737000000001</v>
      </c>
      <c r="L1265" s="10">
        <v>2.9286031000000001E-2</v>
      </c>
      <c r="M1265" s="10">
        <v>0.20858438900000001</v>
      </c>
      <c r="N1265" s="10">
        <v>4.9206284000000003E-2</v>
      </c>
      <c r="O1265" s="9">
        <v>0.15104851825000001</v>
      </c>
      <c r="P1265" s="10">
        <v>0.13673232234657401</v>
      </c>
      <c r="Q1265" s="10">
        <v>1.86957279742874E-2</v>
      </c>
    </row>
    <row r="1266" spans="1:17" x14ac:dyDescent="0.2">
      <c r="A1266" s="10">
        <v>1734</v>
      </c>
      <c r="B1266" s="10" t="s">
        <v>2831</v>
      </c>
      <c r="C1266" s="9" t="s">
        <v>2329</v>
      </c>
      <c r="D1266" s="10">
        <v>-4.7432460000000003E-2</v>
      </c>
      <c r="E1266" s="10">
        <v>-1.710195683</v>
      </c>
      <c r="F1266" s="10">
        <v>-2.2150422970000001</v>
      </c>
      <c r="G1266" s="10">
        <v>-0.36030945599999997</v>
      </c>
      <c r="H1266" s="9">
        <v>-1.0832449740000001</v>
      </c>
      <c r="I1266" s="10">
        <v>1.04396291428551</v>
      </c>
      <c r="J1266" s="10">
        <v>1.0898585664034901</v>
      </c>
      <c r="K1266" s="10">
        <v>-9.8682058000000003E-2</v>
      </c>
      <c r="L1266" s="10">
        <v>-0.57699264500000003</v>
      </c>
      <c r="M1266" s="10">
        <v>-0.33149141700000001</v>
      </c>
      <c r="N1266" s="10">
        <v>-3.9404127999999997E-2</v>
      </c>
      <c r="O1266" s="9">
        <v>-0.26164256200000002</v>
      </c>
      <c r="P1266" s="10">
        <v>0.24513301477879601</v>
      </c>
      <c r="Q1266" s="10">
        <v>6.0090194934541402E-2</v>
      </c>
    </row>
    <row r="1267" spans="1:17" x14ac:dyDescent="0.2">
      <c r="A1267" s="10">
        <v>1734</v>
      </c>
      <c r="B1267" s="10" t="s">
        <v>2821</v>
      </c>
      <c r="C1267" s="9" t="s">
        <v>2328</v>
      </c>
      <c r="D1267" s="10">
        <v>-0.38728828799999998</v>
      </c>
      <c r="E1267" s="10">
        <v>-0.68016655599999998</v>
      </c>
      <c r="F1267" s="10">
        <v>-2.7782237169999999</v>
      </c>
      <c r="G1267" s="10">
        <v>-2.2379947850000002</v>
      </c>
      <c r="H1267" s="9">
        <v>-1.5209183367500001</v>
      </c>
      <c r="I1267" s="10">
        <v>1.1671898012039601</v>
      </c>
      <c r="J1267" s="10">
        <v>1.36233203203455</v>
      </c>
      <c r="K1267" s="10">
        <v>-0.34622833200000003</v>
      </c>
      <c r="L1267" s="10">
        <v>-0.180571868</v>
      </c>
      <c r="M1267" s="10">
        <v>-1.276367507</v>
      </c>
      <c r="N1267" s="10">
        <v>0.17607372800000001</v>
      </c>
      <c r="O1267" s="9">
        <v>-0.40677349475000002</v>
      </c>
      <c r="P1267" s="10">
        <v>0.61933769030182795</v>
      </c>
      <c r="Q1267" s="10">
        <v>0.38357917462840302</v>
      </c>
    </row>
    <row r="1268" spans="1:17" x14ac:dyDescent="0.2">
      <c r="A1268" s="10">
        <v>1734</v>
      </c>
      <c r="B1268" s="10" t="s">
        <v>2834</v>
      </c>
      <c r="C1268" s="9" t="s">
        <v>2327</v>
      </c>
      <c r="D1268" s="10">
        <v>-0.62428088199999998</v>
      </c>
      <c r="E1268" s="10">
        <v>-1.0244251609999999</v>
      </c>
      <c r="F1268" s="10">
        <v>-0.129388225</v>
      </c>
      <c r="G1268" s="10">
        <v>-1.1734014109999999</v>
      </c>
      <c r="H1268" s="9">
        <v>-0.73787391975000005</v>
      </c>
      <c r="I1268" s="10">
        <v>0.46724512782803002</v>
      </c>
      <c r="J1268" s="10">
        <v>0.21831800947903199</v>
      </c>
      <c r="K1268" s="10">
        <v>0.35225274699999998</v>
      </c>
      <c r="L1268" s="10">
        <v>1.156789429</v>
      </c>
      <c r="M1268" s="10">
        <v>0.129094926</v>
      </c>
      <c r="N1268" s="10">
        <v>3.4895158000000003E-2</v>
      </c>
      <c r="O1268" s="9">
        <v>0.41825806524999998</v>
      </c>
      <c r="P1268" s="10">
        <v>0.51002212927016</v>
      </c>
      <c r="Q1268" s="10">
        <v>0.26012257234526798</v>
      </c>
    </row>
    <row r="1269" spans="1:17" x14ac:dyDescent="0.2">
      <c r="A1269" s="10">
        <v>1734</v>
      </c>
      <c r="B1269" s="10" t="s">
        <v>79</v>
      </c>
      <c r="C1269" s="9" t="s">
        <v>1083</v>
      </c>
      <c r="D1269" s="10">
        <v>-1.9345335749999999</v>
      </c>
      <c r="E1269" s="10">
        <v>-1.926538729</v>
      </c>
      <c r="F1269" s="10">
        <v>-1.7189992869999999</v>
      </c>
      <c r="G1269" s="10">
        <v>-1.592768242</v>
      </c>
      <c r="H1269" s="9">
        <v>-1.793209958</v>
      </c>
      <c r="I1269" s="10">
        <v>0.16676633463384999</v>
      </c>
      <c r="J1269" s="10">
        <v>2.7811010367209298E-2</v>
      </c>
      <c r="K1269" s="10">
        <v>0.12727418600000001</v>
      </c>
      <c r="L1269" s="10">
        <v>-0.23062556200000001</v>
      </c>
      <c r="M1269" s="10">
        <v>-4.5503648000000001E-2</v>
      </c>
      <c r="N1269" s="10">
        <v>6.6501182000000006E-2</v>
      </c>
      <c r="O1269" s="9">
        <v>-2.0588460499999999E-2</v>
      </c>
      <c r="P1269" s="10">
        <v>0.15725172880389701</v>
      </c>
      <c r="Q1269" s="10">
        <v>2.4728106211814399E-2</v>
      </c>
    </row>
    <row r="1270" spans="1:17" x14ac:dyDescent="0.2">
      <c r="A1270" s="10">
        <v>1734</v>
      </c>
      <c r="B1270" s="10" t="s">
        <v>2824</v>
      </c>
      <c r="C1270" s="9" t="s">
        <v>1084</v>
      </c>
      <c r="D1270" s="10">
        <v>-1.4400867209999999</v>
      </c>
      <c r="E1270" s="10">
        <v>-1.2225355120000001</v>
      </c>
      <c r="F1270" s="10">
        <v>-1.5849784760000001</v>
      </c>
      <c r="G1270" s="10">
        <v>-1.6334797910000001</v>
      </c>
      <c r="H1270" s="9">
        <v>-1.4702701250000001</v>
      </c>
      <c r="I1270" s="10">
        <v>0.18446217066583701</v>
      </c>
      <c r="J1270" s="10">
        <v>3.4026292406752499E-2</v>
      </c>
      <c r="K1270" s="10">
        <v>0.327183948</v>
      </c>
      <c r="L1270" s="10">
        <v>8.6374234999999994E-2</v>
      </c>
      <c r="M1270" s="10">
        <v>0.37286148400000002</v>
      </c>
      <c r="N1270" s="10">
        <v>-3.1448079999999998E-3</v>
      </c>
      <c r="O1270" s="9">
        <v>0.19581871475000001</v>
      </c>
      <c r="P1270" s="10">
        <v>0.18272524381647701</v>
      </c>
      <c r="Q1270" s="10">
        <v>3.3388514727791099E-2</v>
      </c>
    </row>
    <row r="1271" spans="1:17" x14ac:dyDescent="0.2">
      <c r="A1271" s="10">
        <v>1734</v>
      </c>
      <c r="B1271" s="10" t="s">
        <v>2817</v>
      </c>
      <c r="C1271" s="9" t="s">
        <v>1085</v>
      </c>
      <c r="D1271" s="10">
        <v>-0.13966115800000001</v>
      </c>
      <c r="E1271" s="10">
        <v>-0.87710600999999999</v>
      </c>
      <c r="F1271" s="10">
        <v>-1.2380248709999999</v>
      </c>
      <c r="G1271" s="10">
        <v>-0.659966622</v>
      </c>
      <c r="H1271" s="9">
        <v>-0.72868966525000001</v>
      </c>
      <c r="I1271" s="10">
        <v>0.45939351404217299</v>
      </c>
      <c r="J1271" s="10">
        <v>0.21104240074401601</v>
      </c>
      <c r="K1271" s="10">
        <v>5.2330236000000002E-2</v>
      </c>
      <c r="L1271" s="10">
        <v>-0.19710730500000001</v>
      </c>
      <c r="M1271" s="10">
        <v>6.8320515999999998E-2</v>
      </c>
      <c r="N1271" s="10">
        <v>0.148381818</v>
      </c>
      <c r="O1271" s="9">
        <v>1.7981316250000001E-2</v>
      </c>
      <c r="P1271" s="10">
        <v>0.14942254310884001</v>
      </c>
      <c r="Q1271" s="10">
        <v>2.2327096389113298E-2</v>
      </c>
    </row>
    <row r="1272" spans="1:17" x14ac:dyDescent="0.2">
      <c r="A1272" s="10">
        <v>1734</v>
      </c>
      <c r="B1272" s="10" t="s">
        <v>2814</v>
      </c>
      <c r="C1272" s="9" t="s">
        <v>1086</v>
      </c>
      <c r="D1272" s="10">
        <v>-1.49297635</v>
      </c>
      <c r="E1272" s="10">
        <v>-1.3639967019999999</v>
      </c>
      <c r="F1272" s="10">
        <v>-1.994194013</v>
      </c>
      <c r="G1272" s="10">
        <v>-1.8984753320000001</v>
      </c>
      <c r="H1272" s="9">
        <v>-1.6874105994999999</v>
      </c>
      <c r="I1272" s="10">
        <v>0.306085832503878</v>
      </c>
      <c r="J1272" s="10">
        <v>9.36885368595924E-2</v>
      </c>
      <c r="K1272" s="10">
        <v>-8.9445838E-2</v>
      </c>
      <c r="L1272" s="10">
        <v>-0.19993851800000001</v>
      </c>
      <c r="M1272" s="10">
        <v>0.43124328499999998</v>
      </c>
      <c r="N1272" s="10">
        <v>-0.14414976600000001</v>
      </c>
      <c r="O1272" s="9">
        <v>-5.7270925E-4</v>
      </c>
      <c r="P1272" s="10">
        <v>0.29139010668830401</v>
      </c>
      <c r="Q1272" s="10">
        <v>8.49081942758214E-2</v>
      </c>
    </row>
    <row r="1273" spans="1:17" x14ac:dyDescent="0.2">
      <c r="A1273" s="10">
        <v>1734</v>
      </c>
      <c r="B1273" s="10" t="s">
        <v>2833</v>
      </c>
      <c r="C1273" s="9" t="s">
        <v>2326</v>
      </c>
      <c r="D1273" s="10">
        <v>-1.6891940059999999</v>
      </c>
      <c r="E1273" s="10">
        <v>-1.1772857800000001</v>
      </c>
      <c r="F1273" s="10">
        <v>-1.6107119519999999</v>
      </c>
      <c r="G1273" s="10">
        <v>-2.6175119470000001</v>
      </c>
      <c r="H1273" s="9">
        <v>-1.77367592125</v>
      </c>
      <c r="I1273" s="10">
        <v>0.60592488209121897</v>
      </c>
      <c r="J1273" s="10">
        <v>0.367144962737257</v>
      </c>
      <c r="K1273" s="10">
        <v>-0.159569929</v>
      </c>
      <c r="L1273" s="10">
        <v>-7.8127889000000006E-2</v>
      </c>
      <c r="M1273" s="10">
        <v>-0.65348342999999998</v>
      </c>
      <c r="N1273" s="10">
        <v>0.65951914899999997</v>
      </c>
      <c r="O1273" s="9">
        <v>-5.7915524750000003E-2</v>
      </c>
      <c r="P1273" s="10">
        <v>0.54165050184125096</v>
      </c>
      <c r="Q1273" s="10">
        <v>0.29338526614487898</v>
      </c>
    </row>
    <row r="1274" spans="1:17" x14ac:dyDescent="0.2">
      <c r="A1274" s="10">
        <v>1734</v>
      </c>
      <c r="B1274" s="10" t="s">
        <v>2825</v>
      </c>
      <c r="C1274" s="9" t="s">
        <v>2325</v>
      </c>
      <c r="D1274" s="10">
        <v>-1.140265203</v>
      </c>
      <c r="E1274" s="10">
        <v>-1.835642759</v>
      </c>
      <c r="F1274" s="10">
        <v>-1.679304905</v>
      </c>
      <c r="G1274" s="10">
        <v>-2.2946144249999998</v>
      </c>
      <c r="H1274" s="9">
        <v>-1.737456823</v>
      </c>
      <c r="I1274" s="10">
        <v>0.47612482539067003</v>
      </c>
      <c r="J1274" s="10">
        <v>0.22669484935329601</v>
      </c>
      <c r="K1274" s="10">
        <v>0.36568631600000001</v>
      </c>
      <c r="L1274" s="10">
        <v>0.22950601600000001</v>
      </c>
      <c r="M1274" s="10">
        <v>0.53345447700000004</v>
      </c>
      <c r="N1274" s="10">
        <v>0.22881464200000001</v>
      </c>
      <c r="O1274" s="9">
        <v>0.33936536249999999</v>
      </c>
      <c r="P1274" s="10">
        <v>0.14451518348950901</v>
      </c>
      <c r="Q1274" s="10">
        <v>2.08846382590064E-2</v>
      </c>
    </row>
    <row r="1275" spans="1:17" x14ac:dyDescent="0.2">
      <c r="A1275" s="10">
        <v>1734</v>
      </c>
      <c r="B1275" s="10" t="s">
        <v>74</v>
      </c>
      <c r="C1275" s="9" t="s">
        <v>48</v>
      </c>
      <c r="D1275" s="10">
        <v>-3.4633835880000001</v>
      </c>
      <c r="E1275" s="10">
        <v>-1.6250118849999999</v>
      </c>
      <c r="F1275" s="10">
        <v>-0.95104361000000004</v>
      </c>
      <c r="G1275" s="10">
        <v>-2.083757817</v>
      </c>
      <c r="H1275" s="9">
        <v>-2.030799225</v>
      </c>
      <c r="I1275" s="10">
        <v>1.06233047635956</v>
      </c>
      <c r="J1275" s="10">
        <v>1.12854604100234</v>
      </c>
      <c r="K1275" s="10">
        <v>-0.17313405800000001</v>
      </c>
      <c r="L1275" s="10">
        <v>-0.117661026</v>
      </c>
      <c r="M1275" s="10">
        <v>0.392396258</v>
      </c>
      <c r="N1275" s="10">
        <v>-0.92281541600000005</v>
      </c>
      <c r="O1275" s="9">
        <v>-0.20530356050000001</v>
      </c>
      <c r="P1275" s="10">
        <v>0.54184389712741199</v>
      </c>
      <c r="Q1275" s="10">
        <v>0.29359480885422201</v>
      </c>
    </row>
    <row r="1276" spans="1:17" x14ac:dyDescent="0.2">
      <c r="A1276" s="10">
        <v>1734</v>
      </c>
      <c r="B1276" s="10" t="s">
        <v>2818</v>
      </c>
      <c r="C1276" s="9" t="s">
        <v>1087</v>
      </c>
      <c r="D1276" s="10">
        <v>-1.578478786</v>
      </c>
      <c r="E1276" s="10">
        <v>-1.310710598</v>
      </c>
      <c r="F1276" s="10">
        <v>-0.85099761600000001</v>
      </c>
      <c r="G1276" s="10">
        <v>-1.329923282</v>
      </c>
      <c r="H1276" s="9">
        <v>-1.2675275705</v>
      </c>
      <c r="I1276" s="10">
        <v>0.30328526730585698</v>
      </c>
      <c r="J1276" s="10">
        <v>9.1981953364785499E-2</v>
      </c>
      <c r="K1276" s="10">
        <v>1.9383311E-2</v>
      </c>
      <c r="L1276" s="10">
        <v>-0.52366696499999998</v>
      </c>
      <c r="M1276" s="10">
        <v>1.0977244000000001E-2</v>
      </c>
      <c r="N1276" s="10">
        <v>0.35477985699999998</v>
      </c>
      <c r="O1276" s="9">
        <v>-3.4631638249999999E-2</v>
      </c>
      <c r="P1276" s="10">
        <v>0.36322382829548899</v>
      </c>
      <c r="Q1276" s="10">
        <v>0.13193154944163099</v>
      </c>
    </row>
    <row r="1277" spans="1:17" x14ac:dyDescent="0.2">
      <c r="A1277" s="10">
        <v>1734</v>
      </c>
      <c r="B1277" s="10" t="s">
        <v>2830</v>
      </c>
      <c r="C1277" s="9" t="s">
        <v>1088</v>
      </c>
      <c r="D1277" s="10">
        <v>-1.389259534</v>
      </c>
      <c r="E1277" s="10">
        <v>-1.1439693209999999</v>
      </c>
      <c r="F1277" s="10">
        <v>-1.7327910049999999</v>
      </c>
      <c r="G1277" s="10">
        <v>-1.587927203</v>
      </c>
      <c r="H1277" s="9">
        <v>-1.4634867657499999</v>
      </c>
      <c r="I1277" s="10">
        <v>0.255350266062017</v>
      </c>
      <c r="J1277" s="10">
        <v>6.5203758377943302E-2</v>
      </c>
      <c r="K1277" s="10">
        <v>-7.6324502000000002E-2</v>
      </c>
      <c r="L1277" s="10">
        <v>9.8709856999999998E-2</v>
      </c>
      <c r="M1277" s="10">
        <v>0.321038353</v>
      </c>
      <c r="N1277" s="10">
        <v>1.1358042E-2</v>
      </c>
      <c r="O1277" s="9">
        <v>8.8695437500000002E-2</v>
      </c>
      <c r="P1277" s="10">
        <v>0.170583481181765</v>
      </c>
      <c r="Q1277" s="10">
        <v>2.90987240520897E-2</v>
      </c>
    </row>
    <row r="1278" spans="1:17" x14ac:dyDescent="0.2">
      <c r="A1278" s="10">
        <v>1735</v>
      </c>
      <c r="B1278" s="10" t="s">
        <v>2831</v>
      </c>
      <c r="C1278" s="9" t="s">
        <v>1089</v>
      </c>
      <c r="D1278" s="10">
        <v>-2.040367834</v>
      </c>
      <c r="E1278" s="10">
        <v>-1.0976464889999999</v>
      </c>
      <c r="F1278" s="10">
        <v>-1.6651461750000001</v>
      </c>
      <c r="G1278" s="10">
        <v>-6.32364982</v>
      </c>
      <c r="H1278" s="9">
        <v>-2.7817025800000001</v>
      </c>
      <c r="I1278" s="10">
        <v>2.3928860245702701</v>
      </c>
      <c r="J1278" s="10">
        <v>5.7259035265837399</v>
      </c>
      <c r="K1278" s="10">
        <v>-0.31304347900000001</v>
      </c>
      <c r="L1278" s="10">
        <v>0.66564237999999998</v>
      </c>
      <c r="M1278" s="10">
        <v>0.41078461799999999</v>
      </c>
      <c r="N1278" s="10">
        <v>-0.46536371199999998</v>
      </c>
      <c r="O1278" s="9">
        <v>7.4504951999999999E-2</v>
      </c>
      <c r="P1278" s="10">
        <v>0.54899284551720495</v>
      </c>
      <c r="Q1278" s="10">
        <v>0.301393144429077</v>
      </c>
    </row>
    <row r="1279" spans="1:17" x14ac:dyDescent="0.2">
      <c r="A1279" s="10">
        <v>1735</v>
      </c>
      <c r="B1279" s="10" t="s">
        <v>2822</v>
      </c>
      <c r="C1279" s="9" t="s">
        <v>1090</v>
      </c>
      <c r="D1279" s="10">
        <v>-0.20233363700000001</v>
      </c>
      <c r="E1279" s="10">
        <v>-0.55990089200000004</v>
      </c>
      <c r="F1279" s="10">
        <v>-0.35386546600000002</v>
      </c>
      <c r="G1279" s="10">
        <v>-0.49768154100000001</v>
      </c>
      <c r="H1279" s="9">
        <v>-0.40344538375</v>
      </c>
      <c r="I1279" s="10">
        <v>0.159439520738476</v>
      </c>
      <c r="J1279" s="10">
        <v>2.5420960773315099E-2</v>
      </c>
      <c r="K1279" s="10">
        <v>-0.337267647</v>
      </c>
      <c r="L1279" s="10">
        <v>-0.158877726</v>
      </c>
      <c r="M1279" s="10">
        <v>0.227152667</v>
      </c>
      <c r="N1279" s="10">
        <v>-4.9220827000000002E-2</v>
      </c>
      <c r="O1279" s="9">
        <v>-7.9553383500000005E-2</v>
      </c>
      <c r="P1279" s="10">
        <v>0.23643015763754199</v>
      </c>
      <c r="Q1279" s="10">
        <v>5.5899219440512897E-2</v>
      </c>
    </row>
    <row r="1280" spans="1:17" x14ac:dyDescent="0.2">
      <c r="A1280" s="10">
        <v>1735</v>
      </c>
      <c r="B1280" s="10" t="s">
        <v>96</v>
      </c>
      <c r="C1280" s="9" t="s">
        <v>2324</v>
      </c>
      <c r="D1280" s="10">
        <v>-0.18266432099999999</v>
      </c>
      <c r="E1280" s="10">
        <v>0.53710164500000002</v>
      </c>
      <c r="F1280" s="10">
        <v>-0.26722623699999998</v>
      </c>
      <c r="G1280" s="10">
        <v>0.214249351</v>
      </c>
      <c r="H1280" s="9">
        <v>7.5365109499999999E-2</v>
      </c>
      <c r="I1280" s="10">
        <v>0.37257548606665403</v>
      </c>
      <c r="J1280" s="10">
        <v>0.138812492817803</v>
      </c>
      <c r="K1280" s="10">
        <v>0.65902443300000002</v>
      </c>
      <c r="L1280" s="10">
        <v>-0.54743620599999998</v>
      </c>
      <c r="M1280" s="10">
        <v>-0.268469976</v>
      </c>
      <c r="N1280" s="10">
        <v>0.2544573</v>
      </c>
      <c r="O1280" s="9">
        <v>2.4393887999999999E-2</v>
      </c>
      <c r="P1280" s="10">
        <v>0.53803469573040796</v>
      </c>
      <c r="Q1280" s="10">
        <v>0.28948133380971203</v>
      </c>
    </row>
    <row r="1281" spans="1:17" x14ac:dyDescent="0.2">
      <c r="A1281" s="10">
        <v>1735</v>
      </c>
      <c r="B1281" s="10" t="s">
        <v>2825</v>
      </c>
      <c r="C1281" s="9" t="s">
        <v>1091</v>
      </c>
      <c r="D1281" s="10">
        <v>-1.1783884</v>
      </c>
      <c r="E1281" s="10">
        <v>-1.7075475470000001</v>
      </c>
      <c r="F1281" s="10">
        <v>-1.0879369679999999</v>
      </c>
      <c r="G1281" s="10">
        <v>-0.40554304600000002</v>
      </c>
      <c r="H1281" s="9">
        <v>-1.0948539902500001</v>
      </c>
      <c r="I1281" s="10">
        <v>0.53465528307339605</v>
      </c>
      <c r="J1281" s="10">
        <v>0.28585627171829298</v>
      </c>
      <c r="K1281" s="10">
        <v>9.0073353999999994E-2</v>
      </c>
      <c r="L1281" s="10">
        <v>-0.32047287000000002</v>
      </c>
      <c r="M1281" s="10">
        <v>0.121973096</v>
      </c>
      <c r="N1281" s="10">
        <v>0.14233627400000001</v>
      </c>
      <c r="O1281" s="9">
        <v>8.4774632499999992E-3</v>
      </c>
      <c r="P1281" s="10">
        <v>0.22035248353588599</v>
      </c>
      <c r="Q1281" s="10">
        <v>4.8555217000432999E-2</v>
      </c>
    </row>
    <row r="1282" spans="1:17" x14ac:dyDescent="0.2">
      <c r="A1282" s="10">
        <v>1735</v>
      </c>
      <c r="B1282" s="10" t="s">
        <v>2818</v>
      </c>
      <c r="C1282" s="9" t="s">
        <v>2323</v>
      </c>
      <c r="D1282" s="10">
        <v>0.34274147799999999</v>
      </c>
      <c r="E1282" s="10">
        <v>-0.11780650300000001</v>
      </c>
      <c r="F1282" s="10">
        <v>-1.1745668170000001</v>
      </c>
      <c r="G1282" s="10">
        <v>0.75621385799999996</v>
      </c>
      <c r="H1282" s="9">
        <v>-4.8354495999999997E-2</v>
      </c>
      <c r="I1282" s="10">
        <v>0.83135713753392604</v>
      </c>
      <c r="J1282" s="10">
        <v>0.69115469012860398</v>
      </c>
      <c r="K1282" s="10">
        <v>0.426088411</v>
      </c>
      <c r="L1282" s="10">
        <v>-0.363032935</v>
      </c>
      <c r="M1282" s="10">
        <v>-0.52221677</v>
      </c>
      <c r="N1282" s="10">
        <v>3.7614535999999997E-2</v>
      </c>
      <c r="O1282" s="9">
        <v>-0.10538668950000001</v>
      </c>
      <c r="P1282" s="10">
        <v>0.42545819879899999</v>
      </c>
      <c r="Q1282" s="10">
        <v>0.181014678925289</v>
      </c>
    </row>
    <row r="1283" spans="1:17" x14ac:dyDescent="0.2">
      <c r="A1283" s="10">
        <v>1736</v>
      </c>
      <c r="B1283" s="10" t="s">
        <v>2831</v>
      </c>
      <c r="C1283" s="9" t="s">
        <v>2322</v>
      </c>
      <c r="D1283" s="10">
        <v>-1.692442317</v>
      </c>
      <c r="E1283" s="10">
        <v>-1.4252095520000001</v>
      </c>
      <c r="F1283" s="10">
        <v>-2.5340863269999998</v>
      </c>
      <c r="G1283" s="10">
        <v>-6.5302306310000002</v>
      </c>
      <c r="H1283" s="9">
        <v>-3.0454922075000002</v>
      </c>
      <c r="I1283" s="10">
        <v>2.3707240627231299</v>
      </c>
      <c r="J1283" s="10">
        <v>5.6203325815744796</v>
      </c>
      <c r="K1283" s="10">
        <v>0.218879662</v>
      </c>
      <c r="L1283" s="10">
        <v>-0.91684300699999999</v>
      </c>
      <c r="M1283" s="10">
        <v>0.75779431799999997</v>
      </c>
      <c r="N1283" s="10">
        <v>1.1468076000000001E-2</v>
      </c>
      <c r="O1283" s="9">
        <v>1.7824762250000001E-2</v>
      </c>
      <c r="P1283" s="10">
        <v>0.69800245044583797</v>
      </c>
      <c r="Q1283" s="10">
        <v>0.48720742082839502</v>
      </c>
    </row>
    <row r="1284" spans="1:17" x14ac:dyDescent="0.2">
      <c r="A1284" s="10">
        <v>1736</v>
      </c>
      <c r="B1284" s="10" t="s">
        <v>2822</v>
      </c>
      <c r="C1284" s="9" t="s">
        <v>49</v>
      </c>
      <c r="D1284" s="10">
        <v>-0.931080134</v>
      </c>
      <c r="E1284" s="10">
        <v>0.251635</v>
      </c>
      <c r="F1284" s="10">
        <v>-0.70810778399999996</v>
      </c>
      <c r="G1284" s="10">
        <v>-0.152076352</v>
      </c>
      <c r="H1284" s="9">
        <v>-0.38490731750000001</v>
      </c>
      <c r="I1284" s="10">
        <v>0.53608446706754798</v>
      </c>
      <c r="J1284" s="10">
        <v>0.28738655583109701</v>
      </c>
      <c r="K1284" s="10">
        <v>0.31036267699999998</v>
      </c>
      <c r="L1284" s="10">
        <v>-0.31190100799999998</v>
      </c>
      <c r="M1284" s="10">
        <v>-0.440620962</v>
      </c>
      <c r="N1284" s="10">
        <v>0.89881079100000005</v>
      </c>
      <c r="O1284" s="9">
        <v>0.11416287425</v>
      </c>
      <c r="P1284" s="10">
        <v>0.61738217569062304</v>
      </c>
      <c r="Q1284" s="10">
        <v>0.38116075086048701</v>
      </c>
    </row>
    <row r="1285" spans="1:17" x14ac:dyDescent="0.2">
      <c r="A1285" s="10">
        <v>1736</v>
      </c>
      <c r="B1285" s="10" t="s">
        <v>2819</v>
      </c>
      <c r="C1285" s="9" t="s">
        <v>1092</v>
      </c>
      <c r="D1285" s="10">
        <v>-2.5371003280000002</v>
      </c>
      <c r="E1285" s="10">
        <v>-1.6911590729999999</v>
      </c>
      <c r="F1285" s="10">
        <v>-1.3148906600000001</v>
      </c>
      <c r="G1285" s="10">
        <v>-1.5293161369999999</v>
      </c>
      <c r="H1285" s="9">
        <v>-1.7681165492499999</v>
      </c>
      <c r="I1285" s="10">
        <v>0.53531854962212899</v>
      </c>
      <c r="J1285" s="10">
        <v>0.28656594956954001</v>
      </c>
      <c r="K1285" s="10">
        <v>0.33312631799999998</v>
      </c>
      <c r="L1285" s="10">
        <v>0.29916401399999998</v>
      </c>
      <c r="M1285" s="10">
        <v>0.147240973</v>
      </c>
      <c r="N1285" s="10">
        <v>0.333129656</v>
      </c>
      <c r="O1285" s="9">
        <v>0.27816524025</v>
      </c>
      <c r="P1285" s="10">
        <v>8.8739167076200498E-2</v>
      </c>
      <c r="Q1285" s="10">
        <v>7.8746397733778003E-3</v>
      </c>
    </row>
    <row r="1286" spans="1:17" x14ac:dyDescent="0.2">
      <c r="A1286" s="10">
        <v>1736</v>
      </c>
      <c r="B1286" s="10" t="s">
        <v>2826</v>
      </c>
      <c r="C1286" s="9" t="s">
        <v>1093</v>
      </c>
      <c r="D1286" s="10">
        <v>-1.954792216</v>
      </c>
      <c r="E1286" s="10">
        <v>-0.108144222</v>
      </c>
      <c r="F1286" s="10">
        <v>-1.6294441150000001</v>
      </c>
      <c r="G1286" s="10">
        <v>-2.1466192319999999</v>
      </c>
      <c r="H1286" s="9">
        <v>-1.4597499462500001</v>
      </c>
      <c r="I1286" s="10">
        <v>0.92601123270348196</v>
      </c>
      <c r="J1286" s="10">
        <v>0.85749680309302201</v>
      </c>
      <c r="K1286" s="10">
        <v>0.88930459799999995</v>
      </c>
      <c r="L1286" s="10">
        <v>-0.13611147000000001</v>
      </c>
      <c r="M1286" s="10">
        <v>0.69592759299999996</v>
      </c>
      <c r="N1286" s="10">
        <v>0.30042274299999999</v>
      </c>
      <c r="O1286" s="9">
        <v>0.43738586600000001</v>
      </c>
      <c r="P1286" s="10">
        <v>0.45414111477734898</v>
      </c>
      <c r="Q1286" s="10">
        <v>0.206244152131213</v>
      </c>
    </row>
    <row r="1287" spans="1:17" x14ac:dyDescent="0.2">
      <c r="A1287" s="10">
        <v>1736</v>
      </c>
      <c r="B1287" s="10" t="s">
        <v>79</v>
      </c>
      <c r="C1287" s="9" t="s">
        <v>1094</v>
      </c>
      <c r="D1287" s="10">
        <v>-0.44830721400000001</v>
      </c>
      <c r="E1287" s="10">
        <v>-0.30329257399999998</v>
      </c>
      <c r="F1287" s="10">
        <v>-0.147463913</v>
      </c>
      <c r="G1287" s="10">
        <v>-0.49004205699999998</v>
      </c>
      <c r="H1287" s="9">
        <v>-0.34727643949999998</v>
      </c>
      <c r="I1287" s="10">
        <v>0.15540148552149399</v>
      </c>
      <c r="J1287" s="10">
        <v>2.41496217022871E-2</v>
      </c>
      <c r="K1287" s="10">
        <v>0.36076970800000002</v>
      </c>
      <c r="L1287" s="10">
        <v>0.78238226700000002</v>
      </c>
      <c r="M1287" s="10">
        <v>5.939420449</v>
      </c>
      <c r="N1287" s="10">
        <v>4.813619922</v>
      </c>
      <c r="O1287" s="9">
        <v>2.9740480874999999</v>
      </c>
      <c r="P1287" s="10">
        <v>2.81721379700724</v>
      </c>
      <c r="Q1287" s="10">
        <v>7.9366935780479499</v>
      </c>
    </row>
    <row r="1288" spans="1:17" x14ac:dyDescent="0.2">
      <c r="A1288" s="10">
        <v>1736</v>
      </c>
      <c r="B1288" s="10" t="s">
        <v>82</v>
      </c>
      <c r="C1288" s="9" t="s">
        <v>1095</v>
      </c>
      <c r="D1288" s="10">
        <v>-2.1687139169999998</v>
      </c>
      <c r="E1288" s="10">
        <v>-1.343618177</v>
      </c>
      <c r="F1288" s="10">
        <v>-1.3354673610000001</v>
      </c>
      <c r="G1288" s="10">
        <v>-2.5562626470000001</v>
      </c>
      <c r="H1288" s="9">
        <v>-1.8510155255</v>
      </c>
      <c r="I1288" s="10">
        <v>0.61143213020194698</v>
      </c>
      <c r="J1288" s="10">
        <v>0.37384924984328999</v>
      </c>
      <c r="K1288" s="10">
        <v>-0.363327346</v>
      </c>
      <c r="L1288" s="10">
        <v>0.18651859800000001</v>
      </c>
      <c r="M1288" s="10">
        <v>-6.6756412000000001E-2</v>
      </c>
      <c r="N1288" s="10">
        <v>-0.70683011100000004</v>
      </c>
      <c r="O1288" s="9">
        <v>-0.23759881775</v>
      </c>
      <c r="P1288" s="10">
        <v>0.38516160215589301</v>
      </c>
      <c r="Q1288" s="10">
        <v>0.14834945977529401</v>
      </c>
    </row>
    <row r="1289" spans="1:17" x14ac:dyDescent="0.2">
      <c r="A1289" s="10">
        <v>1736</v>
      </c>
      <c r="B1289" s="10" t="s">
        <v>2833</v>
      </c>
      <c r="C1289" s="9" t="s">
        <v>2321</v>
      </c>
      <c r="D1289" s="10">
        <v>-2.1427623740000001</v>
      </c>
      <c r="E1289" s="10">
        <v>-1.0151535389999999</v>
      </c>
      <c r="F1289" s="10">
        <v>-1.345053769</v>
      </c>
      <c r="G1289" s="10">
        <v>-1.6866886480000001</v>
      </c>
      <c r="H1289" s="9">
        <v>-1.5474145822500001</v>
      </c>
      <c r="I1289" s="10">
        <v>0.48238572927790002</v>
      </c>
      <c r="J1289" s="10">
        <v>0.232695991810972</v>
      </c>
      <c r="K1289" s="10">
        <v>0.76771513999999996</v>
      </c>
      <c r="L1289" s="10">
        <v>0.27647142099999999</v>
      </c>
      <c r="M1289" s="10">
        <v>-0.153928276</v>
      </c>
      <c r="N1289" s="10">
        <v>0.14291748800000001</v>
      </c>
      <c r="O1289" s="9">
        <v>0.25829394300000003</v>
      </c>
      <c r="P1289" s="10">
        <v>0.38430858298378001</v>
      </c>
      <c r="Q1289" s="10">
        <v>0.147693086955001</v>
      </c>
    </row>
    <row r="1290" spans="1:17" x14ac:dyDescent="0.2">
      <c r="A1290" s="10">
        <v>1736</v>
      </c>
      <c r="B1290" s="10" t="s">
        <v>74</v>
      </c>
      <c r="C1290" s="9" t="s">
        <v>1096</v>
      </c>
      <c r="D1290" s="10">
        <v>-1.047280991</v>
      </c>
      <c r="E1290" s="10">
        <v>-1.8463272230000001</v>
      </c>
      <c r="F1290" s="10">
        <v>-1.4087805799999999</v>
      </c>
      <c r="G1290" s="10">
        <v>-2.2702503200000002</v>
      </c>
      <c r="H1290" s="9">
        <v>-1.6431597787500001</v>
      </c>
      <c r="I1290" s="10">
        <v>0.53057349344063398</v>
      </c>
      <c r="J1290" s="10">
        <v>0.28150823194179803</v>
      </c>
      <c r="K1290" s="10">
        <v>0.323980253</v>
      </c>
      <c r="L1290" s="10">
        <v>-0.13521607499999999</v>
      </c>
      <c r="M1290" s="10">
        <v>0.25156411499999998</v>
      </c>
      <c r="N1290" s="10">
        <v>2.1895336000000001E-2</v>
      </c>
      <c r="O1290" s="9">
        <v>0.115555907</v>
      </c>
      <c r="P1290" s="10">
        <v>0.211027510185404</v>
      </c>
      <c r="Q1290" s="10">
        <v>4.4532610055051103E-2</v>
      </c>
    </row>
    <row r="1291" spans="1:17" x14ac:dyDescent="0.2">
      <c r="A1291" s="10">
        <v>1736</v>
      </c>
      <c r="B1291" s="10" t="s">
        <v>2818</v>
      </c>
      <c r="C1291" s="9" t="s">
        <v>1097</v>
      </c>
      <c r="D1291" s="10">
        <v>-1.6780082620000001</v>
      </c>
      <c r="E1291" s="10">
        <v>-1.198928821</v>
      </c>
      <c r="F1291" s="10">
        <v>-0.25021086799999998</v>
      </c>
      <c r="G1291" s="10">
        <v>-1.450510169</v>
      </c>
      <c r="H1291" s="9">
        <v>-1.1444145299999999</v>
      </c>
      <c r="I1291" s="10">
        <v>0.62742564183653105</v>
      </c>
      <c r="J1291" s="10">
        <v>0.393662936033983</v>
      </c>
      <c r="K1291" s="10">
        <v>-0.44132077199999997</v>
      </c>
      <c r="L1291" s="10">
        <v>-0.60292652300000005</v>
      </c>
      <c r="M1291" s="10">
        <v>1.3008548170000001</v>
      </c>
      <c r="N1291" s="10">
        <v>-0.329754033</v>
      </c>
      <c r="O1291" s="9">
        <v>-1.8286627499999999E-2</v>
      </c>
      <c r="P1291" s="10">
        <v>0.88654907555636597</v>
      </c>
      <c r="Q1291" s="10">
        <v>0.78596926336984796</v>
      </c>
    </row>
    <row r="1292" spans="1:17" x14ac:dyDescent="0.2">
      <c r="A1292" s="10">
        <v>1736</v>
      </c>
      <c r="B1292" s="10" t="s">
        <v>2832</v>
      </c>
      <c r="C1292" s="9" t="s">
        <v>1098</v>
      </c>
      <c r="D1292" s="10">
        <v>-2.7165559049999999</v>
      </c>
      <c r="E1292" s="10">
        <v>-1.548529338</v>
      </c>
      <c r="F1292" s="10">
        <v>-0.68678324999999996</v>
      </c>
      <c r="G1292" s="10">
        <v>-2.3056477129999999</v>
      </c>
      <c r="H1292" s="9">
        <v>-1.81437905175</v>
      </c>
      <c r="I1292" s="10">
        <v>0.89394562371761299</v>
      </c>
      <c r="J1292" s="10">
        <v>0.79913877816387302</v>
      </c>
      <c r="K1292" s="10">
        <v>9.3456492000000002E-2</v>
      </c>
      <c r="L1292" s="10">
        <v>-0.23566353000000001</v>
      </c>
      <c r="M1292" s="10">
        <v>0.110179904</v>
      </c>
      <c r="N1292" s="10">
        <v>0.112772209</v>
      </c>
      <c r="O1292" s="9">
        <v>2.0186269E-2</v>
      </c>
      <c r="P1292" s="10">
        <v>0.170781201007807</v>
      </c>
      <c r="Q1292" s="10">
        <v>2.9166218617668899E-2</v>
      </c>
    </row>
    <row r="1293" spans="1:17" x14ac:dyDescent="0.2">
      <c r="A1293" s="10">
        <v>1737</v>
      </c>
      <c r="B1293" s="10" t="s">
        <v>2822</v>
      </c>
      <c r="C1293" s="9" t="s">
        <v>2320</v>
      </c>
      <c r="D1293" s="10">
        <v>-1.2663821E-2</v>
      </c>
      <c r="E1293" s="10">
        <v>-0.79091325199999996</v>
      </c>
      <c r="F1293" s="10">
        <v>-0.44571884000000001</v>
      </c>
      <c r="G1293" s="10">
        <v>0.132139545</v>
      </c>
      <c r="H1293" s="9">
        <v>-0.27928909200000002</v>
      </c>
      <c r="I1293" s="10">
        <v>0.42024623757766499</v>
      </c>
      <c r="J1293" s="10">
        <v>0.17660690019818301</v>
      </c>
      <c r="K1293" s="10">
        <v>-9.8838252000000001E-2</v>
      </c>
      <c r="L1293" s="10">
        <v>-0.37034337299999998</v>
      </c>
      <c r="M1293" s="10">
        <v>0.798776712</v>
      </c>
      <c r="N1293" s="10">
        <v>1.143457218</v>
      </c>
      <c r="O1293" s="9">
        <v>0.36826307624999999</v>
      </c>
      <c r="P1293" s="10">
        <v>0.71879322147072999</v>
      </c>
      <c r="Q1293" s="10">
        <v>0.51666369523226996</v>
      </c>
    </row>
    <row r="1294" spans="1:17" x14ac:dyDescent="0.2">
      <c r="A1294" s="10">
        <v>1737</v>
      </c>
      <c r="B1294" s="10" t="s">
        <v>2823</v>
      </c>
      <c r="C1294" s="9" t="s">
        <v>2319</v>
      </c>
      <c r="D1294" s="10">
        <v>-0.54617519400000003</v>
      </c>
      <c r="E1294" s="10">
        <v>-0.53939556899999996</v>
      </c>
      <c r="F1294" s="10">
        <v>-0.46347485100000002</v>
      </c>
      <c r="G1294" s="10">
        <v>-0.50694639200000002</v>
      </c>
      <c r="H1294" s="9">
        <v>-0.51399800149999997</v>
      </c>
      <c r="I1294" s="10">
        <v>3.7783250632545499E-2</v>
      </c>
      <c r="J1294" s="10">
        <v>1.4275740283617E-3</v>
      </c>
      <c r="K1294" s="10">
        <v>6.4391701999999995E-2</v>
      </c>
      <c r="L1294" s="10">
        <v>0.26562174</v>
      </c>
      <c r="M1294" s="10">
        <v>-0.213091958</v>
      </c>
      <c r="N1294" s="10">
        <v>-0.28833978399999999</v>
      </c>
      <c r="O1294" s="9">
        <v>-4.2854574999999999E-2</v>
      </c>
      <c r="P1294" s="10">
        <v>0.25554070468635798</v>
      </c>
      <c r="Q1294" s="10">
        <v>6.5301051751600697E-2</v>
      </c>
    </row>
    <row r="1295" spans="1:17" x14ac:dyDescent="0.2">
      <c r="A1295" s="10">
        <v>1737</v>
      </c>
      <c r="B1295" s="10" t="s">
        <v>2819</v>
      </c>
      <c r="C1295" s="9" t="s">
        <v>2318</v>
      </c>
      <c r="D1295" s="10">
        <v>-0.50176246199999996</v>
      </c>
      <c r="E1295" s="10">
        <v>-5.2765076000000001E-2</v>
      </c>
      <c r="F1295" s="10">
        <v>-1.1065539259999999</v>
      </c>
      <c r="G1295" s="10">
        <v>-0.90456958300000001</v>
      </c>
      <c r="H1295" s="9">
        <v>-0.64141276199999997</v>
      </c>
      <c r="I1295" s="10">
        <v>0.46605297245747501</v>
      </c>
      <c r="J1295" s="10">
        <v>0.217205373136448</v>
      </c>
      <c r="K1295" s="10">
        <v>-5.0652638999999999E-2</v>
      </c>
      <c r="L1295" s="10">
        <v>1.96504185</v>
      </c>
      <c r="M1295" s="10">
        <v>0.53259797900000005</v>
      </c>
      <c r="N1295" s="10">
        <v>-0.79648296699999999</v>
      </c>
      <c r="O1295" s="9">
        <v>0.41262605600000002</v>
      </c>
      <c r="P1295" s="10">
        <v>1.16918202724666</v>
      </c>
      <c r="Q1295" s="10">
        <v>1.3669866128366199</v>
      </c>
    </row>
    <row r="1296" spans="1:17" x14ac:dyDescent="0.2">
      <c r="A1296" s="10">
        <v>1737</v>
      </c>
      <c r="B1296" s="10" t="s">
        <v>2821</v>
      </c>
      <c r="C1296" s="9" t="s">
        <v>1099</v>
      </c>
      <c r="D1296" s="10">
        <v>-0.55558370999999995</v>
      </c>
      <c r="E1296" s="10">
        <v>-0.15555107400000001</v>
      </c>
      <c r="F1296" s="10">
        <v>-0.25395467599999999</v>
      </c>
      <c r="G1296" s="10">
        <v>-0.71907215800000002</v>
      </c>
      <c r="H1296" s="9">
        <v>-0.42104040450000002</v>
      </c>
      <c r="I1296" s="10">
        <v>0.261614890266121</v>
      </c>
      <c r="J1296" s="10">
        <v>6.8442350808954999E-2</v>
      </c>
      <c r="K1296" s="10">
        <v>9.2355035000000002E-2</v>
      </c>
      <c r="L1296" s="10">
        <v>0.170594467</v>
      </c>
      <c r="M1296" s="10">
        <v>-0.76490026600000005</v>
      </c>
      <c r="N1296" s="10">
        <v>2.7083177999999999E-2</v>
      </c>
      <c r="O1296" s="9">
        <v>-0.11871689674999999</v>
      </c>
      <c r="P1296" s="10">
        <v>0.43476546706622898</v>
      </c>
      <c r="Q1296" s="10">
        <v>0.189021011353316</v>
      </c>
    </row>
    <row r="1297" spans="1:17" x14ac:dyDescent="0.2">
      <c r="A1297" s="10">
        <v>1737</v>
      </c>
      <c r="B1297" s="10" t="s">
        <v>2820</v>
      </c>
      <c r="C1297" s="9" t="s">
        <v>1100</v>
      </c>
      <c r="D1297" s="10">
        <v>0.142983677</v>
      </c>
      <c r="E1297" s="10">
        <v>-0.156957446</v>
      </c>
      <c r="F1297" s="10">
        <v>0.677131649</v>
      </c>
      <c r="G1297" s="10">
        <v>0.28301671</v>
      </c>
      <c r="H1297" s="9">
        <v>0.23654364775</v>
      </c>
      <c r="I1297" s="10">
        <v>0.34634958797413001</v>
      </c>
      <c r="J1297" s="10">
        <v>0.11995803708984901</v>
      </c>
      <c r="K1297" s="10">
        <v>-2.0406628859999998</v>
      </c>
      <c r="L1297" s="10">
        <v>0.194135434</v>
      </c>
      <c r="M1297" s="10">
        <v>1.3155234179999999</v>
      </c>
      <c r="N1297" s="10">
        <v>0.206316309</v>
      </c>
      <c r="O1297" s="9">
        <v>-8.1171931249999996E-2</v>
      </c>
      <c r="P1297" s="10">
        <v>1.40816740647866</v>
      </c>
      <c r="Q1297" s="10">
        <v>1.9829354446688601</v>
      </c>
    </row>
    <row r="1298" spans="1:17" x14ac:dyDescent="0.2">
      <c r="A1298" s="10">
        <v>1737</v>
      </c>
      <c r="B1298" s="10" t="s">
        <v>2814</v>
      </c>
      <c r="C1298" s="9" t="s">
        <v>2317</v>
      </c>
      <c r="D1298" s="10">
        <v>-0.20389668999999999</v>
      </c>
      <c r="E1298" s="10">
        <v>-0.70757485099999995</v>
      </c>
      <c r="F1298" s="10">
        <v>0.33750940699999998</v>
      </c>
      <c r="G1298" s="10">
        <v>-0.62298096700000005</v>
      </c>
      <c r="H1298" s="9">
        <v>-0.29923577525</v>
      </c>
      <c r="I1298" s="10">
        <v>0.47822091068894801</v>
      </c>
      <c r="J1298" s="10">
        <v>0.22869523942016701</v>
      </c>
      <c r="K1298" s="10">
        <v>0.60484689000000003</v>
      </c>
      <c r="L1298" s="10">
        <v>0.53221101199999998</v>
      </c>
      <c r="M1298" s="10">
        <v>-0.29230325899999998</v>
      </c>
      <c r="N1298" s="10">
        <v>0.52786456199999998</v>
      </c>
      <c r="O1298" s="9">
        <v>0.34315480124999997</v>
      </c>
      <c r="P1298" s="10">
        <v>0.42510768917632302</v>
      </c>
      <c r="Q1298" s="10">
        <v>0.18071654739683299</v>
      </c>
    </row>
    <row r="1299" spans="1:17" x14ac:dyDescent="0.2">
      <c r="A1299" s="10">
        <v>1737</v>
      </c>
      <c r="B1299" s="10" t="s">
        <v>74</v>
      </c>
      <c r="C1299" s="9" t="s">
        <v>2316</v>
      </c>
      <c r="D1299" s="10">
        <v>-3.2613339999999998E-2</v>
      </c>
      <c r="E1299" s="10">
        <v>0.40852841499999998</v>
      </c>
      <c r="F1299" s="10">
        <v>4.0654669999999997E-2</v>
      </c>
      <c r="G1299" s="10">
        <v>-0.39595155199999998</v>
      </c>
      <c r="H1299" s="9">
        <v>5.15454825E-3</v>
      </c>
      <c r="I1299" s="10">
        <v>0.32978945407726301</v>
      </c>
      <c r="J1299" s="10">
        <v>0.108761084020579</v>
      </c>
      <c r="K1299" s="10">
        <v>8.6869830000000006E-3</v>
      </c>
      <c r="L1299" s="10">
        <v>6.8430510000000002E-3</v>
      </c>
      <c r="M1299" s="10">
        <v>-4.7265830000000002E-2</v>
      </c>
      <c r="N1299" s="10">
        <v>0.320948077</v>
      </c>
      <c r="O1299" s="9">
        <v>7.2303070250000004E-2</v>
      </c>
      <c r="P1299" s="10">
        <v>0.16778267884966699</v>
      </c>
      <c r="Q1299" s="10">
        <v>2.8151027321970602E-2</v>
      </c>
    </row>
    <row r="1300" spans="1:17" x14ac:dyDescent="0.2">
      <c r="A1300" s="10">
        <v>1737</v>
      </c>
      <c r="B1300" s="10" t="s">
        <v>2818</v>
      </c>
      <c r="C1300" s="9" t="s">
        <v>1101</v>
      </c>
      <c r="D1300" s="10">
        <v>-0.13036930299999999</v>
      </c>
      <c r="E1300" s="10">
        <v>-0.18915525</v>
      </c>
      <c r="F1300" s="10">
        <v>-3.7434112999999998E-2</v>
      </c>
      <c r="G1300" s="10">
        <v>0.31514430500000001</v>
      </c>
      <c r="H1300" s="9">
        <v>-1.04535905E-2</v>
      </c>
      <c r="I1300" s="10">
        <v>0.22587312025474099</v>
      </c>
      <c r="J1300" s="10">
        <v>5.1018666453612797E-2</v>
      </c>
      <c r="K1300" s="10">
        <v>-0.42952043400000001</v>
      </c>
      <c r="L1300" s="10">
        <v>-0.89470592199999999</v>
      </c>
      <c r="M1300" s="10">
        <v>-4.861592E-2</v>
      </c>
      <c r="N1300" s="10">
        <v>-2.7377958000000001E-2</v>
      </c>
      <c r="O1300" s="9">
        <v>-0.35005505850000002</v>
      </c>
      <c r="P1300" s="10">
        <v>0.40740862960151802</v>
      </c>
      <c r="Q1300" s="10">
        <v>0.165981791473787</v>
      </c>
    </row>
    <row r="1301" spans="1:17" x14ac:dyDescent="0.2">
      <c r="A1301" s="10">
        <v>1737</v>
      </c>
      <c r="B1301" s="10" t="s">
        <v>2830</v>
      </c>
      <c r="C1301" s="9" t="s">
        <v>2315</v>
      </c>
      <c r="D1301" s="10">
        <v>-6.7644266999999994E-2</v>
      </c>
      <c r="E1301" s="10">
        <v>0.22387961100000001</v>
      </c>
      <c r="F1301" s="10">
        <v>0.69883194400000004</v>
      </c>
      <c r="G1301" s="10">
        <v>0.431235488</v>
      </c>
      <c r="H1301" s="9">
        <v>0.32157569400000002</v>
      </c>
      <c r="I1301" s="10">
        <v>0.32423461220674199</v>
      </c>
      <c r="J1301" s="10">
        <v>0.105128083752856</v>
      </c>
      <c r="K1301" s="10">
        <v>-0.56428594499999996</v>
      </c>
      <c r="L1301" s="10">
        <v>-1.142601003</v>
      </c>
      <c r="M1301" s="10">
        <v>0.26887246399999998</v>
      </c>
      <c r="N1301" s="10">
        <v>9.1313352E-2</v>
      </c>
      <c r="O1301" s="9">
        <v>-0.33667528325000001</v>
      </c>
      <c r="P1301" s="10">
        <v>0.64580317569146295</v>
      </c>
      <c r="Q1301" s="10">
        <v>0.417061741733178</v>
      </c>
    </row>
    <row r="1302" spans="1:17" x14ac:dyDescent="0.2">
      <c r="A1302" s="10">
        <v>1737</v>
      </c>
      <c r="B1302" s="10" t="s">
        <v>2832</v>
      </c>
      <c r="C1302" s="9" t="s">
        <v>2314</v>
      </c>
      <c r="D1302" s="10">
        <v>-0.89362187100000001</v>
      </c>
      <c r="E1302" s="10">
        <v>-0.33738121500000001</v>
      </c>
      <c r="F1302" s="10">
        <v>-2.7650449999999998E-3</v>
      </c>
      <c r="G1302" s="10">
        <v>0.304559156</v>
      </c>
      <c r="H1302" s="9">
        <v>-0.23230224350000001</v>
      </c>
      <c r="I1302" s="10">
        <v>0.51293038115536405</v>
      </c>
      <c r="J1302" s="10">
        <v>0.26309757591218702</v>
      </c>
      <c r="K1302" s="10">
        <v>-0.91255503800000004</v>
      </c>
      <c r="L1302" s="10">
        <v>9.4828056999999993E-2</v>
      </c>
      <c r="M1302" s="10">
        <v>-0.50822173900000001</v>
      </c>
      <c r="N1302" s="10">
        <v>0.31586319699999998</v>
      </c>
      <c r="O1302" s="9">
        <v>-0.25252138075000002</v>
      </c>
      <c r="P1302" s="10">
        <v>0.56117132322826202</v>
      </c>
      <c r="Q1302" s="10">
        <v>0.31491325401375803</v>
      </c>
    </row>
    <row r="1303" spans="1:17" x14ac:dyDescent="0.2">
      <c r="A1303" s="10">
        <v>1738</v>
      </c>
      <c r="B1303" s="10" t="s">
        <v>2826</v>
      </c>
      <c r="C1303" s="9" t="s">
        <v>2313</v>
      </c>
      <c r="D1303" s="10">
        <v>-1.9853271450000001</v>
      </c>
      <c r="E1303" s="10">
        <v>-1.9648436199999999</v>
      </c>
      <c r="F1303" s="10">
        <v>-2.8480701599999998</v>
      </c>
      <c r="G1303" s="10">
        <v>-1.54573344</v>
      </c>
      <c r="H1303" s="9">
        <v>-2.0859935912499998</v>
      </c>
      <c r="I1303" s="10">
        <v>0.54694691290256103</v>
      </c>
      <c r="J1303" s="10">
        <v>0.29915092553364198</v>
      </c>
      <c r="K1303" s="10">
        <v>5.8320913000000002E-2</v>
      </c>
      <c r="L1303" s="10">
        <v>-0.165246224</v>
      </c>
      <c r="M1303" s="10">
        <v>-0.73937992500000005</v>
      </c>
      <c r="N1303" s="10">
        <v>-0.76063232300000005</v>
      </c>
      <c r="O1303" s="9">
        <v>-0.40173438974999998</v>
      </c>
      <c r="P1303" s="10">
        <v>0.412468086884134</v>
      </c>
      <c r="Q1303" s="10">
        <v>0.17012992269785801</v>
      </c>
    </row>
    <row r="1304" spans="1:17" x14ac:dyDescent="0.2">
      <c r="A1304" s="10">
        <v>1738</v>
      </c>
      <c r="B1304" s="10" t="s">
        <v>2824</v>
      </c>
      <c r="C1304" s="9" t="s">
        <v>1103</v>
      </c>
      <c r="D1304" s="10">
        <v>-1.342933524</v>
      </c>
      <c r="E1304" s="10">
        <v>-1.7894552029999999</v>
      </c>
      <c r="F1304" s="10">
        <v>-1.7973707649999999</v>
      </c>
      <c r="G1304" s="10">
        <v>-1.7336660049999999</v>
      </c>
      <c r="H1304" s="9">
        <v>-1.6658563742500001</v>
      </c>
      <c r="I1304" s="10">
        <v>0.21714052184299901</v>
      </c>
      <c r="J1304" s="10">
        <v>4.71500062262502E-2</v>
      </c>
      <c r="K1304" s="10">
        <v>4.1127405999999998E-2</v>
      </c>
      <c r="L1304" s="10">
        <v>-0.24720113499999999</v>
      </c>
      <c r="M1304" s="10">
        <v>-0.197831275</v>
      </c>
      <c r="N1304" s="10">
        <v>0.162649712</v>
      </c>
      <c r="O1304" s="9">
        <v>-6.0313822750000003E-2</v>
      </c>
      <c r="P1304" s="10">
        <v>0.19479987839821999</v>
      </c>
      <c r="Q1304" s="10">
        <v>3.7946992623961402E-2</v>
      </c>
    </row>
    <row r="1305" spans="1:17" x14ac:dyDescent="0.2">
      <c r="A1305" s="10">
        <v>1738</v>
      </c>
      <c r="B1305" s="10" t="s">
        <v>74</v>
      </c>
      <c r="C1305" s="9" t="s">
        <v>1104</v>
      </c>
      <c r="D1305" s="10">
        <v>-2.3164990589999999</v>
      </c>
      <c r="E1305" s="10">
        <v>-0.62010452199999999</v>
      </c>
      <c r="F1305" s="10">
        <v>-0.81899679999999997</v>
      </c>
      <c r="G1305" s="10">
        <v>-1.38931301</v>
      </c>
      <c r="H1305" s="9">
        <v>-1.2862283475</v>
      </c>
      <c r="I1305" s="10">
        <v>0.760287326496909</v>
      </c>
      <c r="J1305" s="10">
        <v>0.57803681883181801</v>
      </c>
      <c r="K1305" s="10">
        <v>0.28471141300000002</v>
      </c>
      <c r="L1305" s="10">
        <v>5.3787463000000001E-2</v>
      </c>
      <c r="M1305" s="10">
        <v>0.28143538299999998</v>
      </c>
      <c r="N1305" s="10">
        <v>0.23210430200000001</v>
      </c>
      <c r="O1305" s="9">
        <v>0.21300964024999999</v>
      </c>
      <c r="P1305" s="10">
        <v>0.108841680622145</v>
      </c>
      <c r="Q1305" s="10">
        <v>1.1846511440653001E-2</v>
      </c>
    </row>
    <row r="1306" spans="1:17" x14ac:dyDescent="0.2">
      <c r="A1306" s="10">
        <v>1738</v>
      </c>
      <c r="B1306" s="10" t="s">
        <v>2830</v>
      </c>
      <c r="C1306" s="9" t="s">
        <v>1105</v>
      </c>
      <c r="D1306" s="10">
        <v>-1.5612741510000001</v>
      </c>
      <c r="E1306" s="10">
        <v>-2.0056071640000002</v>
      </c>
      <c r="F1306" s="10">
        <v>-1.5043899540000001</v>
      </c>
      <c r="G1306" s="10">
        <v>-1.863827116</v>
      </c>
      <c r="H1306" s="9">
        <v>-1.7337745959999999</v>
      </c>
      <c r="I1306" s="10">
        <v>0.240263966291584</v>
      </c>
      <c r="J1306" s="10">
        <v>5.77267734981637E-2</v>
      </c>
      <c r="K1306" s="10">
        <v>-0.157010276</v>
      </c>
      <c r="L1306" s="10">
        <v>-0.63085819399999998</v>
      </c>
      <c r="M1306" s="10">
        <v>-0.75608545800000004</v>
      </c>
      <c r="N1306" s="10">
        <v>-0.22119789100000001</v>
      </c>
      <c r="O1306" s="9">
        <v>-0.44128795474999999</v>
      </c>
      <c r="P1306" s="10">
        <v>0.29680957894397703</v>
      </c>
      <c r="Q1306" s="10">
        <v>8.8095926152901002E-2</v>
      </c>
    </row>
    <row r="1307" spans="1:17" x14ac:dyDescent="0.2">
      <c r="A1307" s="10">
        <v>1738</v>
      </c>
      <c r="B1307" s="10" t="s">
        <v>2832</v>
      </c>
      <c r="C1307" s="9" t="s">
        <v>2312</v>
      </c>
      <c r="D1307" s="10">
        <v>-1.483779551</v>
      </c>
      <c r="E1307" s="10">
        <v>-1.734255796</v>
      </c>
      <c r="F1307" s="10">
        <v>-1.5169461980000001</v>
      </c>
      <c r="G1307" s="10">
        <v>-1.715968964</v>
      </c>
      <c r="H1307" s="9">
        <v>-1.61273762725</v>
      </c>
      <c r="I1307" s="10">
        <v>0.1306771563452</v>
      </c>
      <c r="J1307" s="10">
        <v>1.70765191904679E-2</v>
      </c>
      <c r="K1307" s="10">
        <v>-7.8375671999999993E-2</v>
      </c>
      <c r="L1307" s="10">
        <v>-0.12321942399999999</v>
      </c>
      <c r="M1307" s="10">
        <v>-0.28542573399999999</v>
      </c>
      <c r="N1307" s="10">
        <v>-1.4413699E-2</v>
      </c>
      <c r="O1307" s="9">
        <v>-0.12535863224999999</v>
      </c>
      <c r="P1307" s="10">
        <v>0.115675163053385</v>
      </c>
      <c r="Q1307" s="10">
        <v>1.33807433474272E-2</v>
      </c>
    </row>
    <row r="1308" spans="1:17" x14ac:dyDescent="0.2">
      <c r="A1308" s="10">
        <v>1739</v>
      </c>
      <c r="B1308" s="10" t="s">
        <v>2831</v>
      </c>
      <c r="C1308" s="9" t="s">
        <v>2311</v>
      </c>
      <c r="D1308" s="10">
        <v>-2.1038513239999999</v>
      </c>
      <c r="E1308" s="10">
        <v>-1.2741946580000001</v>
      </c>
      <c r="F1308" s="10">
        <v>-2.0655784690000001</v>
      </c>
      <c r="G1308" s="10">
        <v>-1.1502351529999999</v>
      </c>
      <c r="H1308" s="9">
        <v>-1.6484649012499999</v>
      </c>
      <c r="I1308" s="10">
        <v>0.50651476432901998</v>
      </c>
      <c r="J1308" s="10">
        <v>0.25655720648328201</v>
      </c>
      <c r="K1308" s="10">
        <v>-0.98409778199999998</v>
      </c>
      <c r="L1308" s="10">
        <v>0.74674613499999998</v>
      </c>
      <c r="M1308" s="10">
        <v>-0.64547694799999999</v>
      </c>
      <c r="N1308" s="10">
        <v>-0.239275286</v>
      </c>
      <c r="O1308" s="9">
        <v>-0.2805259705</v>
      </c>
      <c r="P1308" s="10">
        <v>0.74948695955427103</v>
      </c>
      <c r="Q1308" s="10">
        <v>0.56173070254190605</v>
      </c>
    </row>
    <row r="1309" spans="1:17" x14ac:dyDescent="0.2">
      <c r="A1309" s="10">
        <v>1739</v>
      </c>
      <c r="B1309" s="10" t="s">
        <v>2822</v>
      </c>
      <c r="C1309" s="9" t="s">
        <v>1106</v>
      </c>
      <c r="D1309" s="10">
        <v>-1.2493170300000001</v>
      </c>
      <c r="E1309" s="10">
        <v>-1.4498796110000001</v>
      </c>
      <c r="F1309" s="10">
        <v>-1.5487749479999999</v>
      </c>
      <c r="G1309" s="10">
        <v>-1.9323277860000001</v>
      </c>
      <c r="H1309" s="9">
        <v>-1.5450748437499999</v>
      </c>
      <c r="I1309" s="10">
        <v>0.28665504750788801</v>
      </c>
      <c r="J1309" s="10">
        <v>8.2171116261749694E-2</v>
      </c>
      <c r="K1309" s="10">
        <v>8.3341534999999994E-2</v>
      </c>
      <c r="L1309" s="10">
        <v>0.131214581</v>
      </c>
      <c r="M1309" s="10">
        <v>4.6040412000000003E-2</v>
      </c>
      <c r="N1309" s="10">
        <v>-4.2899527999999999E-2</v>
      </c>
      <c r="O1309" s="9">
        <v>5.442425E-2</v>
      </c>
      <c r="P1309" s="10">
        <v>7.3654985825048494E-2</v>
      </c>
      <c r="Q1309" s="10">
        <v>5.4250569368881002E-3</v>
      </c>
    </row>
    <row r="1310" spans="1:17" x14ac:dyDescent="0.2">
      <c r="A1310" s="10">
        <v>1739</v>
      </c>
      <c r="B1310" s="10" t="s">
        <v>2826</v>
      </c>
      <c r="C1310" s="9" t="s">
        <v>2310</v>
      </c>
      <c r="D1310" s="10">
        <v>-0.88029133599999998</v>
      </c>
      <c r="E1310" s="10">
        <v>-0.55448178100000001</v>
      </c>
      <c r="F1310" s="10">
        <v>-2.4031894789999999</v>
      </c>
      <c r="G1310" s="10">
        <v>-6.9643481139999999</v>
      </c>
      <c r="H1310" s="9">
        <v>-2.7005776775000001</v>
      </c>
      <c r="I1310" s="10">
        <v>2.95450774454922</v>
      </c>
      <c r="J1310" s="10">
        <v>8.7291160126013505</v>
      </c>
      <c r="K1310" s="10">
        <v>0.79382939200000002</v>
      </c>
      <c r="L1310" s="10">
        <v>-1.31139999</v>
      </c>
      <c r="M1310" s="10">
        <v>-0.78734346600000005</v>
      </c>
      <c r="N1310" s="10">
        <v>-0.37773775700000001</v>
      </c>
      <c r="O1310" s="9">
        <v>-0.42066295525000003</v>
      </c>
      <c r="P1310" s="10">
        <v>0.89530279723542305</v>
      </c>
      <c r="Q1310" s="10">
        <v>0.80156709873757304</v>
      </c>
    </row>
    <row r="1311" spans="1:17" x14ac:dyDescent="0.2">
      <c r="A1311" s="10">
        <v>1739</v>
      </c>
      <c r="B1311" s="10" t="s">
        <v>2821</v>
      </c>
      <c r="C1311" s="9" t="s">
        <v>50</v>
      </c>
      <c r="D1311" s="10">
        <v>-0.65071220699999999</v>
      </c>
      <c r="E1311" s="10">
        <v>-2.205028725</v>
      </c>
      <c r="F1311" s="10">
        <v>-1.013223886</v>
      </c>
      <c r="G1311" s="10">
        <v>-1.0828459610000001</v>
      </c>
      <c r="H1311" s="9">
        <v>-1.2379526947499999</v>
      </c>
      <c r="I1311" s="10">
        <v>0.67197434848703896</v>
      </c>
      <c r="J1311" s="10">
        <v>0.45154952502458101</v>
      </c>
      <c r="K1311" s="10">
        <v>0.49592544900000002</v>
      </c>
      <c r="L1311" s="10">
        <v>0.55165884300000001</v>
      </c>
      <c r="M1311" s="10">
        <v>-0.539443538</v>
      </c>
      <c r="N1311" s="10">
        <v>-0.58897181200000004</v>
      </c>
      <c r="O1311" s="9">
        <v>-2.0207764249999999E-2</v>
      </c>
      <c r="P1311" s="10">
        <v>0.62889406661273795</v>
      </c>
      <c r="Q1311" s="10">
        <v>0.39550774702070701</v>
      </c>
    </row>
    <row r="1312" spans="1:17" x14ac:dyDescent="0.2">
      <c r="A1312" s="10">
        <v>1739</v>
      </c>
      <c r="B1312" s="10" t="s">
        <v>2820</v>
      </c>
      <c r="C1312" s="9" t="s">
        <v>1107</v>
      </c>
      <c r="D1312" s="10">
        <v>-1.150157461</v>
      </c>
      <c r="E1312" s="10">
        <v>-0.98947170600000001</v>
      </c>
      <c r="F1312" s="10">
        <v>-1.6054132249999999</v>
      </c>
      <c r="G1312" s="10">
        <v>-1.481019654</v>
      </c>
      <c r="H1312" s="9">
        <v>-1.3065155115</v>
      </c>
      <c r="I1312" s="10">
        <v>0.28563155372336502</v>
      </c>
      <c r="J1312" s="10">
        <v>8.1585384482423501E-2</v>
      </c>
      <c r="K1312" s="10">
        <v>-6.2633431000000003E-2</v>
      </c>
      <c r="L1312" s="10">
        <v>-1.398159637</v>
      </c>
      <c r="M1312" s="10">
        <v>-5.9632365E-2</v>
      </c>
      <c r="N1312" s="10">
        <v>-0.115569725</v>
      </c>
      <c r="O1312" s="9">
        <v>-0.40899878974999998</v>
      </c>
      <c r="P1312" s="10">
        <v>0.65994082013894995</v>
      </c>
      <c r="Q1312" s="10">
        <v>0.43552188608567</v>
      </c>
    </row>
    <row r="1313" spans="1:17" x14ac:dyDescent="0.2">
      <c r="A1313" s="10">
        <v>1739</v>
      </c>
      <c r="B1313" s="10" t="s">
        <v>2824</v>
      </c>
      <c r="C1313" s="9" t="s">
        <v>1108</v>
      </c>
      <c r="D1313" s="10">
        <v>-1.7415602809999999</v>
      </c>
      <c r="E1313" s="10">
        <v>-1.457739659</v>
      </c>
      <c r="F1313" s="10">
        <v>-1.600223312</v>
      </c>
      <c r="G1313" s="10">
        <v>-1.6339111980000001</v>
      </c>
      <c r="H1313" s="9">
        <v>-1.60835861275</v>
      </c>
      <c r="I1313" s="10">
        <v>0.117115144743082</v>
      </c>
      <c r="J1313" s="10">
        <v>1.3715957128193E-2</v>
      </c>
      <c r="K1313" s="10">
        <v>-4.291888E-2</v>
      </c>
      <c r="L1313" s="10">
        <v>-0.116247831</v>
      </c>
      <c r="M1313" s="10">
        <v>0.17570356000000001</v>
      </c>
      <c r="N1313" s="10">
        <v>0.102405871</v>
      </c>
      <c r="O1313" s="9">
        <v>2.973568E-2</v>
      </c>
      <c r="P1313" s="10">
        <v>0.13313833560668001</v>
      </c>
      <c r="Q1313" s="10">
        <v>1.7725816408117202E-2</v>
      </c>
    </row>
    <row r="1314" spans="1:17" x14ac:dyDescent="0.2">
      <c r="A1314" s="10">
        <v>1739</v>
      </c>
      <c r="B1314" s="10" t="s">
        <v>2817</v>
      </c>
      <c r="C1314" s="9" t="s">
        <v>2309</v>
      </c>
      <c r="D1314" s="10">
        <v>-1.1409848170000001</v>
      </c>
      <c r="E1314" s="10">
        <v>-3.0514881900000002</v>
      </c>
      <c r="F1314" s="10">
        <v>-1.772017628</v>
      </c>
      <c r="G1314" s="10">
        <v>-1.5802471769999999</v>
      </c>
      <c r="H1314" s="9">
        <v>-1.8861844532500001</v>
      </c>
      <c r="I1314" s="10">
        <v>0.82054595194044999</v>
      </c>
      <c r="J1314" s="10">
        <v>0.67329565924585899</v>
      </c>
      <c r="K1314" s="10">
        <v>0.33561728899999999</v>
      </c>
      <c r="L1314" s="10">
        <v>2.9520765000000001E-2</v>
      </c>
      <c r="M1314" s="10">
        <v>0.42054934300000002</v>
      </c>
      <c r="N1314" s="10">
        <v>-0.52500875800000002</v>
      </c>
      <c r="O1314" s="9">
        <v>6.5169659749999997E-2</v>
      </c>
      <c r="P1314" s="10">
        <v>0.42779202420046902</v>
      </c>
      <c r="Q1314" s="10">
        <v>0.183006015969535</v>
      </c>
    </row>
    <row r="1315" spans="1:17" x14ac:dyDescent="0.2">
      <c r="A1315" s="10">
        <v>1739</v>
      </c>
      <c r="B1315" s="10" t="s">
        <v>2814</v>
      </c>
      <c r="C1315" s="9" t="s">
        <v>2308</v>
      </c>
      <c r="D1315" s="10">
        <v>-1.163138099</v>
      </c>
      <c r="E1315" s="10">
        <v>-0.669306489</v>
      </c>
      <c r="F1315" s="10">
        <v>-2.5717835720000002</v>
      </c>
      <c r="G1315" s="10">
        <v>-6.0918482059999999</v>
      </c>
      <c r="H1315" s="9">
        <v>-2.6240190925000002</v>
      </c>
      <c r="I1315" s="10">
        <v>2.44837646543523</v>
      </c>
      <c r="J1315" s="10">
        <v>5.9945473164971297</v>
      </c>
      <c r="K1315" s="10">
        <v>0.37018803300000003</v>
      </c>
      <c r="L1315" s="10">
        <v>-0.46887194900000001</v>
      </c>
      <c r="M1315" s="10">
        <v>-0.17159685799999999</v>
      </c>
      <c r="N1315" s="10">
        <v>-0.57056436899999996</v>
      </c>
      <c r="O1315" s="9">
        <v>-0.21021128575</v>
      </c>
      <c r="P1315" s="10">
        <v>0.42234035506789802</v>
      </c>
      <c r="Q1315" s="10">
        <v>0.17837137551887799</v>
      </c>
    </row>
    <row r="1316" spans="1:17" x14ac:dyDescent="0.2">
      <c r="A1316" s="10">
        <v>1739</v>
      </c>
      <c r="B1316" s="10" t="s">
        <v>74</v>
      </c>
      <c r="C1316" s="9" t="s">
        <v>2307</v>
      </c>
      <c r="D1316" s="10">
        <v>-1.25724861</v>
      </c>
      <c r="E1316" s="10">
        <v>-1.096138536</v>
      </c>
      <c r="F1316" s="10">
        <v>-2.0538571669999999</v>
      </c>
      <c r="G1316" s="10">
        <v>-1.2969702970000001</v>
      </c>
      <c r="H1316" s="9">
        <v>-1.4260536525</v>
      </c>
      <c r="I1316" s="10">
        <v>0.42744937008349299</v>
      </c>
      <c r="J1316" s="10">
        <v>0.18271296398477499</v>
      </c>
      <c r="K1316" s="10">
        <v>8.6097355E-2</v>
      </c>
      <c r="L1316" s="10">
        <v>0.25095951500000002</v>
      </c>
      <c r="M1316" s="10">
        <v>-0.24847499100000001</v>
      </c>
      <c r="N1316" s="10">
        <v>-0.21480688100000001</v>
      </c>
      <c r="O1316" s="9">
        <v>-3.1556250500000001E-2</v>
      </c>
      <c r="P1316" s="10">
        <v>0.24103392721216199</v>
      </c>
      <c r="Q1316" s="10">
        <v>5.8097354067318099E-2</v>
      </c>
    </row>
    <row r="1317" spans="1:17" x14ac:dyDescent="0.2">
      <c r="A1317" s="10">
        <v>1739</v>
      </c>
      <c r="B1317" s="10" t="s">
        <v>2830</v>
      </c>
      <c r="C1317" s="9" t="s">
        <v>51</v>
      </c>
      <c r="D1317" s="10">
        <v>-1.17291473</v>
      </c>
      <c r="E1317" s="10">
        <v>-1.3170799630000001</v>
      </c>
      <c r="F1317" s="10">
        <v>-1.846906173</v>
      </c>
      <c r="G1317" s="10">
        <v>-1.3177991449999999</v>
      </c>
      <c r="H1317" s="9">
        <v>-1.4136750025</v>
      </c>
      <c r="I1317" s="10">
        <v>0.29674766924916801</v>
      </c>
      <c r="J1317" s="10">
        <v>8.8059179204813695E-2</v>
      </c>
      <c r="K1317" s="10">
        <v>-6.0153341999999999E-2</v>
      </c>
      <c r="L1317" s="10">
        <v>-0.27657846699999999</v>
      </c>
      <c r="M1317" s="10">
        <v>-9.5480455000000006E-2</v>
      </c>
      <c r="N1317" s="10">
        <v>-0.55386422599999996</v>
      </c>
      <c r="O1317" s="9">
        <v>-0.24651912249999999</v>
      </c>
      <c r="P1317" s="10">
        <v>0.22576496632467499</v>
      </c>
      <c r="Q1317" s="10">
        <v>5.0969820019581703E-2</v>
      </c>
    </row>
    <row r="1318" spans="1:17" x14ac:dyDescent="0.2">
      <c r="A1318" s="10">
        <v>1740</v>
      </c>
      <c r="B1318" s="10" t="s">
        <v>2831</v>
      </c>
      <c r="C1318" s="9" t="s">
        <v>1109</v>
      </c>
      <c r="D1318" s="10">
        <v>-1.764368962</v>
      </c>
      <c r="E1318" s="10">
        <v>-1.3754812089999999</v>
      </c>
      <c r="F1318" s="10">
        <v>-1.6541007210000001</v>
      </c>
      <c r="G1318" s="10">
        <v>-1.8182019899999999</v>
      </c>
      <c r="H1318" s="9">
        <v>-1.6530382205</v>
      </c>
      <c r="I1318" s="10">
        <v>0.19724150028033499</v>
      </c>
      <c r="J1318" s="10">
        <v>3.8904209432837497E-2</v>
      </c>
      <c r="K1318" s="10">
        <v>-1.2618279E-2</v>
      </c>
      <c r="L1318" s="10">
        <v>2.2703221999999999E-2</v>
      </c>
      <c r="M1318" s="10">
        <v>-0.23606517399999999</v>
      </c>
      <c r="N1318" s="10">
        <v>1.43082E-2</v>
      </c>
      <c r="O1318" s="9">
        <v>-5.2918007500000003E-2</v>
      </c>
      <c r="P1318" s="10">
        <v>0.123024233439428</v>
      </c>
      <c r="Q1318" s="10">
        <v>1.5134962013359E-2</v>
      </c>
    </row>
    <row r="1319" spans="1:17" x14ac:dyDescent="0.2">
      <c r="A1319" s="10">
        <v>1740</v>
      </c>
      <c r="B1319" s="10" t="s">
        <v>2823</v>
      </c>
      <c r="C1319" s="9" t="s">
        <v>1110</v>
      </c>
      <c r="D1319" s="10">
        <v>-0.16541228499999999</v>
      </c>
      <c r="E1319" s="10">
        <v>-2.8766211E-2</v>
      </c>
      <c r="F1319" s="10">
        <v>-0.27060100799999998</v>
      </c>
      <c r="G1319" s="10">
        <v>-0.71798097299999997</v>
      </c>
      <c r="H1319" s="9">
        <v>-0.29569011924999999</v>
      </c>
      <c r="I1319" s="10">
        <v>0.29842906223341298</v>
      </c>
      <c r="J1319" s="10">
        <v>8.9059905185514501E-2</v>
      </c>
      <c r="K1319" s="10">
        <v>-0.19007200199999999</v>
      </c>
      <c r="L1319" s="10">
        <v>-0.38053298200000002</v>
      </c>
      <c r="M1319" s="10">
        <v>-0.38382368500000003</v>
      </c>
      <c r="N1319" s="10">
        <v>-0.135490624</v>
      </c>
      <c r="O1319" s="9">
        <v>-0.27247982300000001</v>
      </c>
      <c r="P1319" s="10">
        <v>0.128620929322802</v>
      </c>
      <c r="Q1319" s="10">
        <v>1.65433434598613E-2</v>
      </c>
    </row>
    <row r="1320" spans="1:17" x14ac:dyDescent="0.2">
      <c r="A1320" s="10">
        <v>1740</v>
      </c>
      <c r="B1320" s="10" t="s">
        <v>2820</v>
      </c>
      <c r="C1320" s="9" t="s">
        <v>1111</v>
      </c>
      <c r="D1320" s="10">
        <v>0.16461166499999999</v>
      </c>
      <c r="E1320" s="10">
        <v>0.322252712</v>
      </c>
      <c r="F1320" s="10">
        <v>-1.9198211590000001</v>
      </c>
      <c r="G1320" s="10">
        <v>-0.50759356200000005</v>
      </c>
      <c r="H1320" s="9">
        <v>-0.48513758624999997</v>
      </c>
      <c r="I1320" s="10">
        <v>1.0219058025691901</v>
      </c>
      <c r="J1320" s="10">
        <v>1.0442914693245799</v>
      </c>
      <c r="K1320" s="10">
        <v>0.38134325800000002</v>
      </c>
      <c r="L1320" s="10">
        <v>0.39081177099999997</v>
      </c>
      <c r="M1320" s="10">
        <v>-0.37948344899999997</v>
      </c>
      <c r="N1320" s="10">
        <v>-1.526721803</v>
      </c>
      <c r="O1320" s="9">
        <v>-0.28351255575000001</v>
      </c>
      <c r="P1320" s="10">
        <v>0.90397754314347301</v>
      </c>
      <c r="Q1320" s="10">
        <v>0.81717539850771004</v>
      </c>
    </row>
    <row r="1321" spans="1:17" x14ac:dyDescent="0.2">
      <c r="A1321" s="10">
        <v>1740</v>
      </c>
      <c r="B1321" s="10" t="s">
        <v>2824</v>
      </c>
      <c r="C1321" s="9" t="s">
        <v>1112</v>
      </c>
      <c r="D1321" s="10">
        <v>-0.15869254299999999</v>
      </c>
      <c r="E1321" s="10">
        <v>-2.6096951E-2</v>
      </c>
      <c r="F1321" s="10">
        <v>-0.24114622399999999</v>
      </c>
      <c r="G1321" s="10">
        <v>0.120756297</v>
      </c>
      <c r="H1321" s="9">
        <v>-7.6294855250000002E-2</v>
      </c>
      <c r="I1321" s="10">
        <v>0.15844487886900299</v>
      </c>
      <c r="J1321" s="10">
        <v>2.51047796398132E-2</v>
      </c>
      <c r="K1321" s="10">
        <v>1.5611877999999999E-2</v>
      </c>
      <c r="L1321" s="10">
        <v>0.149461591</v>
      </c>
      <c r="M1321" s="10">
        <v>2.7473755999999998E-2</v>
      </c>
      <c r="N1321" s="10">
        <v>0.131682303</v>
      </c>
      <c r="O1321" s="9">
        <v>8.1057381999999997E-2</v>
      </c>
      <c r="P1321" s="10">
        <v>6.9273220906527794E-2</v>
      </c>
      <c r="Q1321" s="10">
        <v>4.7987791347646001E-3</v>
      </c>
    </row>
    <row r="1322" spans="1:17" x14ac:dyDescent="0.2">
      <c r="A1322" s="10">
        <v>1740</v>
      </c>
      <c r="B1322" s="10" t="s">
        <v>82</v>
      </c>
      <c r="C1322" s="9" t="s">
        <v>2306</v>
      </c>
      <c r="D1322" s="10">
        <v>-0.88574562599999995</v>
      </c>
      <c r="E1322" s="10">
        <v>-1.3335688809999999</v>
      </c>
      <c r="F1322" s="10">
        <v>-0.19648955600000001</v>
      </c>
      <c r="G1322" s="10">
        <v>-0.97041922400000002</v>
      </c>
      <c r="H1322" s="9">
        <v>-0.84655582149999997</v>
      </c>
      <c r="I1322" s="10">
        <v>0.47491959070994</v>
      </c>
      <c r="J1322" s="10">
        <v>0.22554861764009701</v>
      </c>
      <c r="K1322" s="10">
        <v>-1.200809553</v>
      </c>
      <c r="L1322" s="10">
        <v>-0.19274623900000001</v>
      </c>
      <c r="M1322" s="10">
        <v>-1.715162761</v>
      </c>
      <c r="N1322" s="10">
        <v>-0.56322855800000005</v>
      </c>
      <c r="O1322" s="9">
        <v>-0.91798677799999995</v>
      </c>
      <c r="P1322" s="10">
        <v>0.675106288914887</v>
      </c>
      <c r="Q1322" s="10">
        <v>0.45576850133243102</v>
      </c>
    </row>
    <row r="1323" spans="1:17" x14ac:dyDescent="0.2">
      <c r="A1323" s="10">
        <v>1740</v>
      </c>
      <c r="B1323" s="10" t="s">
        <v>2814</v>
      </c>
      <c r="C1323" s="9" t="s">
        <v>1113</v>
      </c>
      <c r="D1323" s="10">
        <v>0.13908451799999999</v>
      </c>
      <c r="E1323" s="10">
        <v>-0.40637220000000002</v>
      </c>
      <c r="F1323" s="10">
        <v>-0.47565804099999998</v>
      </c>
      <c r="G1323" s="10">
        <v>-0.30911612100000002</v>
      </c>
      <c r="H1323" s="9">
        <v>-0.26301546074999999</v>
      </c>
      <c r="I1323" s="10">
        <v>0.276633141790113</v>
      </c>
      <c r="J1323" s="10">
        <v>7.6525895136668798E-2</v>
      </c>
      <c r="K1323" s="10">
        <v>-0.21646207100000001</v>
      </c>
      <c r="L1323" s="10">
        <v>-0.63714767800000005</v>
      </c>
      <c r="M1323" s="10">
        <v>-0.351393819</v>
      </c>
      <c r="N1323" s="10">
        <v>0.23856675699999999</v>
      </c>
      <c r="O1323" s="9">
        <v>-0.24160920275</v>
      </c>
      <c r="P1323" s="10">
        <v>0.365013551312523</v>
      </c>
      <c r="Q1323" s="10">
        <v>0.13323489264178001</v>
      </c>
    </row>
    <row r="1324" spans="1:17" x14ac:dyDescent="0.2">
      <c r="A1324" s="10">
        <v>1740</v>
      </c>
      <c r="B1324" s="10" t="s">
        <v>2833</v>
      </c>
      <c r="C1324" s="9" t="s">
        <v>1114</v>
      </c>
      <c r="D1324" s="10">
        <v>-4.3021933999999998E-2</v>
      </c>
      <c r="E1324" s="10">
        <v>-0.4804949</v>
      </c>
      <c r="F1324" s="10">
        <v>-0.128743577</v>
      </c>
      <c r="G1324" s="10">
        <v>0.81222647400000003</v>
      </c>
      <c r="H1324" s="9">
        <v>3.9991515999999998E-2</v>
      </c>
      <c r="I1324" s="10">
        <v>0.54851791343838696</v>
      </c>
      <c r="J1324" s="10">
        <v>0.30087190136280201</v>
      </c>
      <c r="K1324" s="10">
        <v>-8.6651768000000004E-2</v>
      </c>
      <c r="L1324" s="10">
        <v>-0.40142348300000003</v>
      </c>
      <c r="M1324" s="10">
        <v>0.53215338199999995</v>
      </c>
      <c r="N1324" s="10">
        <v>0.56527721200000003</v>
      </c>
      <c r="O1324" s="9">
        <v>0.15233883575000001</v>
      </c>
      <c r="P1324" s="10">
        <v>0.47558609682203201</v>
      </c>
      <c r="Q1324" s="10">
        <v>0.22618213549041499</v>
      </c>
    </row>
    <row r="1325" spans="1:17" x14ac:dyDescent="0.2">
      <c r="A1325" s="10">
        <v>1740</v>
      </c>
      <c r="B1325" s="10" t="s">
        <v>2825</v>
      </c>
      <c r="C1325" s="9" t="s">
        <v>2305</v>
      </c>
      <c r="D1325" s="10">
        <v>-0.32824268699999998</v>
      </c>
      <c r="E1325" s="10">
        <v>-5.5178047000000001E-2</v>
      </c>
      <c r="F1325" s="10">
        <v>-0.55684106600000005</v>
      </c>
      <c r="G1325" s="10">
        <v>-0.32644820200000002</v>
      </c>
      <c r="H1325" s="9">
        <v>-0.31667750049999999</v>
      </c>
      <c r="I1325" s="10">
        <v>0.20517449688907299</v>
      </c>
      <c r="J1325" s="10">
        <v>4.2096574173684398E-2</v>
      </c>
      <c r="K1325" s="10">
        <v>-0.366099856</v>
      </c>
      <c r="L1325" s="10">
        <v>-0.40032544399999997</v>
      </c>
      <c r="M1325" s="10">
        <v>-0.79722123899999997</v>
      </c>
      <c r="N1325" s="10">
        <v>0.62975610199999998</v>
      </c>
      <c r="O1325" s="9">
        <v>-0.23347260924999999</v>
      </c>
      <c r="P1325" s="10">
        <v>0.607839392305767</v>
      </c>
      <c r="Q1325" s="10">
        <v>0.36946872683864401</v>
      </c>
    </row>
    <row r="1326" spans="1:17" x14ac:dyDescent="0.2">
      <c r="A1326" s="10">
        <v>1740</v>
      </c>
      <c r="B1326" s="10" t="s">
        <v>74</v>
      </c>
      <c r="C1326" s="9" t="s">
        <v>2304</v>
      </c>
      <c r="D1326" s="10">
        <v>0.133859176</v>
      </c>
      <c r="E1326" s="10">
        <v>-9.5447109000000002E-2</v>
      </c>
      <c r="F1326" s="10">
        <v>-1.9300151000000001E-2</v>
      </c>
      <c r="G1326" s="10">
        <v>2.9655734999999999E-2</v>
      </c>
      <c r="H1326" s="9">
        <v>1.2191912750000001E-2</v>
      </c>
      <c r="I1326" s="10">
        <v>9.6065632281365193E-2</v>
      </c>
      <c r="J1326" s="10">
        <v>9.2286057056183996E-3</v>
      </c>
      <c r="K1326" s="10">
        <v>0.17129925700000001</v>
      </c>
      <c r="L1326" s="10">
        <v>-0.18902791299999999</v>
      </c>
      <c r="M1326" s="10">
        <v>-0.24279202599999999</v>
      </c>
      <c r="N1326" s="10">
        <v>0.36231720699999997</v>
      </c>
      <c r="O1326" s="9">
        <v>2.5449131E-2</v>
      </c>
      <c r="P1326" s="10">
        <v>0.29023328582012198</v>
      </c>
      <c r="Q1326" s="10">
        <v>8.4235360197944698E-2</v>
      </c>
    </row>
    <row r="1327" spans="1:17" x14ac:dyDescent="0.2">
      <c r="A1327" s="10">
        <v>1740</v>
      </c>
      <c r="B1327" s="10" t="s">
        <v>2835</v>
      </c>
      <c r="C1327" s="9" t="s">
        <v>1115</v>
      </c>
      <c r="D1327" s="10">
        <v>-9.6003240000000004E-3</v>
      </c>
      <c r="E1327" s="10">
        <v>-0.122512257</v>
      </c>
      <c r="F1327" s="10">
        <v>-0.70224273599999998</v>
      </c>
      <c r="G1327" s="10">
        <v>0.223893391</v>
      </c>
      <c r="H1327" s="9">
        <v>-0.15261548150000001</v>
      </c>
      <c r="I1327" s="10">
        <v>0.39378868671766698</v>
      </c>
      <c r="J1327" s="10">
        <v>0.15506952978682501</v>
      </c>
      <c r="K1327" s="10">
        <v>0.44679351299999998</v>
      </c>
      <c r="L1327" s="10">
        <v>-6.5021190000000006E-2</v>
      </c>
      <c r="M1327" s="10">
        <v>-4.7831065999999998E-2</v>
      </c>
      <c r="N1327" s="10">
        <v>9.9425109999999994E-3</v>
      </c>
      <c r="O1327" s="9">
        <v>8.5970942250000001E-2</v>
      </c>
      <c r="P1327" s="10">
        <v>0.242675950830257</v>
      </c>
      <c r="Q1327" s="10">
        <v>5.8891617111369698E-2</v>
      </c>
    </row>
    <row r="1328" spans="1:17" x14ac:dyDescent="0.2">
      <c r="A1328" s="10">
        <v>1741</v>
      </c>
      <c r="B1328" s="10" t="s">
        <v>2823</v>
      </c>
      <c r="C1328" s="9" t="s">
        <v>52</v>
      </c>
      <c r="D1328" s="10">
        <v>7.9341999999999998E-4</v>
      </c>
      <c r="E1328" s="10">
        <v>-1.4829377189999999</v>
      </c>
      <c r="F1328" s="10">
        <v>-0.677308986</v>
      </c>
      <c r="G1328" s="10">
        <v>-0.46441739599999998</v>
      </c>
      <c r="H1328" s="9">
        <v>-0.65596767050000004</v>
      </c>
      <c r="I1328" s="10">
        <v>0.61977456937156705</v>
      </c>
      <c r="J1328" s="10">
        <v>0.38412051683971199</v>
      </c>
      <c r="K1328" s="10">
        <v>-7.4949686000000001E-2</v>
      </c>
      <c r="L1328" s="10">
        <v>-0.96498967899999999</v>
      </c>
      <c r="M1328" s="10">
        <v>0.213355299</v>
      </c>
      <c r="N1328" s="10">
        <v>-0.209672832</v>
      </c>
      <c r="O1328" s="9">
        <v>-0.25906422424999997</v>
      </c>
      <c r="P1328" s="10">
        <v>0.50260939984417097</v>
      </c>
      <c r="Q1328" s="10">
        <v>0.25261620881171798</v>
      </c>
    </row>
    <row r="1329" spans="1:17" x14ac:dyDescent="0.2">
      <c r="A1329" s="10">
        <v>1741</v>
      </c>
      <c r="B1329" s="10" t="s">
        <v>2819</v>
      </c>
      <c r="C1329" s="9" t="s">
        <v>2303</v>
      </c>
      <c r="D1329" s="10">
        <v>-0.32944402900000003</v>
      </c>
      <c r="E1329" s="10">
        <v>-0.66553114000000002</v>
      </c>
      <c r="F1329" s="10">
        <v>-0.74106202399999999</v>
      </c>
      <c r="G1329" s="10">
        <v>-0.44999784300000001</v>
      </c>
      <c r="H1329" s="9">
        <v>-0.54650875875000005</v>
      </c>
      <c r="I1329" s="10">
        <v>0.19013044120480399</v>
      </c>
      <c r="J1329" s="10">
        <v>3.6149584672733701E-2</v>
      </c>
      <c r="K1329" s="10">
        <v>-0.31007015399999999</v>
      </c>
      <c r="L1329" s="10">
        <v>6.4686665000000004E-2</v>
      </c>
      <c r="M1329" s="10">
        <v>0.135201879</v>
      </c>
      <c r="N1329" s="10">
        <v>-0.71576183100000002</v>
      </c>
      <c r="O1329" s="9">
        <v>-0.20648586024999999</v>
      </c>
      <c r="P1329" s="10">
        <v>0.39173833524402402</v>
      </c>
      <c r="Q1329" s="10">
        <v>0.15345892329975899</v>
      </c>
    </row>
    <row r="1330" spans="1:17" x14ac:dyDescent="0.2">
      <c r="A1330" s="10">
        <v>1741</v>
      </c>
      <c r="B1330" s="10" t="s">
        <v>2826</v>
      </c>
      <c r="C1330" s="9" t="s">
        <v>53</v>
      </c>
      <c r="D1330" s="10">
        <v>-0.77289761599999995</v>
      </c>
      <c r="E1330" s="10">
        <v>-0.38341495399999997</v>
      </c>
      <c r="F1330" s="10">
        <v>-0.737591687</v>
      </c>
      <c r="G1330" s="10">
        <v>-0.45740192800000001</v>
      </c>
      <c r="H1330" s="9">
        <v>-0.58782654675000001</v>
      </c>
      <c r="I1330" s="10">
        <v>0.196193423551109</v>
      </c>
      <c r="J1330" s="10">
        <v>3.8491859444704998E-2</v>
      </c>
      <c r="K1330" s="10">
        <v>-4.1796853000000002E-2</v>
      </c>
      <c r="L1330" s="10">
        <v>0.15202539600000001</v>
      </c>
      <c r="M1330" s="10">
        <v>0.21170777800000001</v>
      </c>
      <c r="N1330" s="10">
        <v>0.21207900900000001</v>
      </c>
      <c r="O1330" s="9">
        <v>0.1335038325</v>
      </c>
      <c r="P1330" s="10">
        <v>0.120226583451175</v>
      </c>
      <c r="Q1330" s="10">
        <v>1.4454431368342501E-2</v>
      </c>
    </row>
    <row r="1331" spans="1:17" x14ac:dyDescent="0.2">
      <c r="A1331" s="10">
        <v>1741</v>
      </c>
      <c r="B1331" s="10" t="s">
        <v>2834</v>
      </c>
      <c r="C1331" s="9" t="s">
        <v>2302</v>
      </c>
      <c r="D1331" s="10">
        <v>-0.40481737299999998</v>
      </c>
      <c r="E1331" s="10">
        <v>-0.44036190400000003</v>
      </c>
      <c r="F1331" s="10">
        <v>0.105731216</v>
      </c>
      <c r="G1331" s="10">
        <v>-0.43088370199999998</v>
      </c>
      <c r="H1331" s="9">
        <v>-0.29258294099999999</v>
      </c>
      <c r="I1331" s="10">
        <v>0.26596770342249998</v>
      </c>
      <c r="J1331" s="10">
        <v>7.0738819263839195E-2</v>
      </c>
      <c r="K1331" s="10">
        <v>-0.106792095</v>
      </c>
      <c r="L1331" s="10">
        <v>0.22376709</v>
      </c>
      <c r="M1331" s="10">
        <v>0.16592880300000001</v>
      </c>
      <c r="N1331" s="10">
        <v>6.1798357999999998E-2</v>
      </c>
      <c r="O1331" s="9">
        <v>8.6175538999999995E-2</v>
      </c>
      <c r="P1331" s="10">
        <v>0.14505490081379899</v>
      </c>
      <c r="Q1331" s="10">
        <v>2.10409242501013E-2</v>
      </c>
    </row>
    <row r="1332" spans="1:17" x14ac:dyDescent="0.2">
      <c r="A1332" s="10">
        <v>1741</v>
      </c>
      <c r="B1332" s="10" t="s">
        <v>2824</v>
      </c>
      <c r="C1332" s="9" t="s">
        <v>1118</v>
      </c>
      <c r="D1332" s="10">
        <v>-1.4421451830000001</v>
      </c>
      <c r="E1332" s="10">
        <v>-1.3135821860000001</v>
      </c>
      <c r="F1332" s="10">
        <v>-0.72714944199999998</v>
      </c>
      <c r="G1332" s="10">
        <v>0.11722629599999999</v>
      </c>
      <c r="H1332" s="9">
        <v>-0.84141262875</v>
      </c>
      <c r="I1332" s="10">
        <v>0.71083714881855797</v>
      </c>
      <c r="J1332" s="10">
        <v>0.50528945214049703</v>
      </c>
      <c r="K1332" s="10">
        <v>0.18508529500000001</v>
      </c>
      <c r="L1332" s="10">
        <v>-0.75465764499999999</v>
      </c>
      <c r="M1332" s="10">
        <v>-0.49442941800000001</v>
      </c>
      <c r="N1332" s="10">
        <v>-9.3814532000000006E-2</v>
      </c>
      <c r="O1332" s="9">
        <v>-0.28945407525</v>
      </c>
      <c r="P1332" s="10">
        <v>0.41708979738339202</v>
      </c>
      <c r="Q1332" s="10">
        <v>0.17396389908131901</v>
      </c>
    </row>
    <row r="1333" spans="1:17" x14ac:dyDescent="0.2">
      <c r="A1333" s="10">
        <v>1741</v>
      </c>
      <c r="B1333" s="10" t="s">
        <v>82</v>
      </c>
      <c r="C1333" s="9" t="s">
        <v>1119</v>
      </c>
      <c r="D1333" s="10">
        <v>-0.51334663999999997</v>
      </c>
      <c r="E1333" s="10">
        <v>-0.158072131</v>
      </c>
      <c r="F1333" s="10">
        <v>-0.77567859699999997</v>
      </c>
      <c r="G1333" s="10">
        <v>-0.89948499500000001</v>
      </c>
      <c r="H1333" s="9">
        <v>-0.58664559049999998</v>
      </c>
      <c r="I1333" s="10">
        <v>0.32794812439700599</v>
      </c>
      <c r="J1333" s="10">
        <v>0.107549972295514</v>
      </c>
      <c r="K1333" s="10">
        <v>-8.9112687999999995E-2</v>
      </c>
      <c r="L1333" s="10">
        <v>-0.436152386</v>
      </c>
      <c r="M1333" s="10">
        <v>-0.67450530500000005</v>
      </c>
      <c r="N1333" s="10">
        <v>-0.178141571</v>
      </c>
      <c r="O1333" s="9">
        <v>-0.34447798750000003</v>
      </c>
      <c r="P1333" s="10">
        <v>0.264702011879628</v>
      </c>
      <c r="Q1333" s="10">
        <v>7.0067155093122904E-2</v>
      </c>
    </row>
    <row r="1334" spans="1:17" x14ac:dyDescent="0.2">
      <c r="A1334" s="10">
        <v>1741</v>
      </c>
      <c r="B1334" s="10" t="s">
        <v>2814</v>
      </c>
      <c r="C1334" s="9" t="s">
        <v>1120</v>
      </c>
      <c r="D1334" s="10">
        <v>-1.3008586470000001</v>
      </c>
      <c r="E1334" s="10">
        <v>-1.476764918</v>
      </c>
      <c r="F1334" s="10">
        <v>-0.84680893599999996</v>
      </c>
      <c r="G1334" s="10">
        <v>-0.33007311099999997</v>
      </c>
      <c r="H1334" s="9">
        <v>-0.98862640275000002</v>
      </c>
      <c r="I1334" s="10">
        <v>0.51302138239064099</v>
      </c>
      <c r="J1334" s="10">
        <v>0.26319093879000399</v>
      </c>
      <c r="K1334" s="10">
        <v>-0.26918289299999998</v>
      </c>
      <c r="L1334" s="10">
        <v>-0.56882103799999995</v>
      </c>
      <c r="M1334" s="10">
        <v>2.6985195E-2</v>
      </c>
      <c r="N1334" s="10">
        <v>-0.41713926400000001</v>
      </c>
      <c r="O1334" s="9">
        <v>-0.30703950000000002</v>
      </c>
      <c r="P1334" s="10">
        <v>0.25407161144967</v>
      </c>
      <c r="Q1334" s="10">
        <v>6.4552383744632194E-2</v>
      </c>
    </row>
    <row r="1335" spans="1:17" x14ac:dyDescent="0.2">
      <c r="A1335" s="10">
        <v>1741</v>
      </c>
      <c r="B1335" s="10" t="s">
        <v>2833</v>
      </c>
      <c r="C1335" s="9" t="s">
        <v>2301</v>
      </c>
      <c r="D1335" s="10">
        <v>-0.39468250300000002</v>
      </c>
      <c r="E1335" s="10">
        <v>-0.101561002</v>
      </c>
      <c r="F1335" s="10">
        <v>-0.89854877499999997</v>
      </c>
      <c r="G1335" s="10">
        <v>-0.71712486399999997</v>
      </c>
      <c r="H1335" s="9">
        <v>-0.52797928599999999</v>
      </c>
      <c r="I1335" s="10">
        <v>0.35246672710216098</v>
      </c>
      <c r="J1335" s="10">
        <v>0.124232793714109</v>
      </c>
      <c r="K1335" s="10">
        <v>-0.29619446399999999</v>
      </c>
      <c r="L1335" s="10">
        <v>-0.43728839800000002</v>
      </c>
      <c r="M1335" s="10">
        <v>-2.7535068999999999E-2</v>
      </c>
      <c r="N1335" s="10">
        <v>-0.247192675</v>
      </c>
      <c r="O1335" s="9">
        <v>-0.25205265175000002</v>
      </c>
      <c r="P1335" s="10">
        <v>0.16999269162273001</v>
      </c>
      <c r="Q1335" s="10">
        <v>2.8897515205140702E-2</v>
      </c>
    </row>
    <row r="1336" spans="1:17" x14ac:dyDescent="0.2">
      <c r="A1336" s="10">
        <v>1741</v>
      </c>
      <c r="B1336" s="10" t="s">
        <v>2825</v>
      </c>
      <c r="C1336" s="9" t="s">
        <v>1121</v>
      </c>
      <c r="D1336" s="10">
        <v>-0.45085491300000002</v>
      </c>
      <c r="E1336" s="10">
        <v>-8.3083400000000002E-2</v>
      </c>
      <c r="F1336" s="10">
        <v>-0.79256477400000003</v>
      </c>
      <c r="G1336" s="10">
        <v>-0.65070989800000001</v>
      </c>
      <c r="H1336" s="9">
        <v>-0.49430324599999997</v>
      </c>
      <c r="I1336" s="10">
        <v>0.30790285224373698</v>
      </c>
      <c r="J1336" s="10">
        <v>9.4804166419828806E-2</v>
      </c>
      <c r="K1336" s="10">
        <v>0.31028570700000002</v>
      </c>
      <c r="L1336" s="10">
        <v>-0.107050069</v>
      </c>
      <c r="M1336" s="10">
        <v>0.33980194499999999</v>
      </c>
      <c r="N1336" s="10">
        <v>-0.24777197500000001</v>
      </c>
      <c r="O1336" s="9">
        <v>7.3816402000000003E-2</v>
      </c>
      <c r="P1336" s="10">
        <v>0.29597173617632</v>
      </c>
      <c r="Q1336" s="10">
        <v>8.7599268615225198E-2</v>
      </c>
    </row>
    <row r="1337" spans="1:17" x14ac:dyDescent="0.2">
      <c r="A1337" s="10">
        <v>1741</v>
      </c>
      <c r="B1337" s="10" t="s">
        <v>74</v>
      </c>
      <c r="C1337" s="9" t="s">
        <v>1122</v>
      </c>
      <c r="D1337" s="10">
        <v>-0.159284442</v>
      </c>
      <c r="E1337" s="10">
        <v>-0.73204567700000001</v>
      </c>
      <c r="F1337" s="10">
        <v>-0.41036169700000003</v>
      </c>
      <c r="G1337" s="10">
        <v>-7.7875319999999998E-2</v>
      </c>
      <c r="H1337" s="9">
        <v>-0.34489178399999998</v>
      </c>
      <c r="I1337" s="10">
        <v>0.29434805011791199</v>
      </c>
      <c r="J1337" s="10">
        <v>8.6640774608217105E-2</v>
      </c>
      <c r="K1337" s="10">
        <v>0.14592186700000001</v>
      </c>
      <c r="L1337" s="10">
        <v>0.40695086000000003</v>
      </c>
      <c r="M1337" s="10">
        <v>0.30240181599999999</v>
      </c>
      <c r="N1337" s="10">
        <v>4.2746056999999997E-2</v>
      </c>
      <c r="O1337" s="9">
        <v>0.22450514974999999</v>
      </c>
      <c r="P1337" s="10">
        <v>0.161829156753411</v>
      </c>
      <c r="Q1337" s="10">
        <v>2.61886759755201E-2</v>
      </c>
    </row>
    <row r="1338" spans="1:17" x14ac:dyDescent="0.2">
      <c r="A1338" s="10">
        <v>1741</v>
      </c>
      <c r="B1338" s="10" t="s">
        <v>2818</v>
      </c>
      <c r="C1338" s="9" t="s">
        <v>1123</v>
      </c>
      <c r="D1338" s="10">
        <v>-7.6773360999999998E-2</v>
      </c>
      <c r="E1338" s="10">
        <v>0.36706924699999999</v>
      </c>
      <c r="F1338" s="10">
        <v>-1.8365484000000001E-2</v>
      </c>
      <c r="G1338" s="10">
        <v>-1.4134099000000001E-2</v>
      </c>
      <c r="H1338" s="9">
        <v>6.4449075999999994E-2</v>
      </c>
      <c r="I1338" s="10">
        <v>0.203761552923478</v>
      </c>
      <c r="J1338" s="10">
        <v>4.1518770449787398E-2</v>
      </c>
      <c r="K1338" s="10">
        <v>-0.17068930600000001</v>
      </c>
      <c r="L1338" s="10">
        <v>0.19231443500000001</v>
      </c>
      <c r="M1338" s="10">
        <v>0.390678733</v>
      </c>
      <c r="N1338" s="10">
        <v>8.0277029E-2</v>
      </c>
      <c r="O1338" s="9">
        <v>0.1231452225</v>
      </c>
      <c r="P1338" s="10">
        <v>0.23419007333865499</v>
      </c>
      <c r="Q1338" s="10">
        <v>5.4844990450364797E-2</v>
      </c>
    </row>
    <row r="1339" spans="1:17" x14ac:dyDescent="0.2">
      <c r="A1339" s="10">
        <v>1741</v>
      </c>
      <c r="B1339" s="10" t="s">
        <v>2832</v>
      </c>
      <c r="C1339" s="9" t="s">
        <v>2300</v>
      </c>
      <c r="D1339" s="10">
        <v>0.181392778</v>
      </c>
      <c r="E1339" s="10">
        <v>0.28798737699999999</v>
      </c>
      <c r="F1339" s="10">
        <v>-0.30271253599999998</v>
      </c>
      <c r="G1339" s="10">
        <v>0.31698115399999999</v>
      </c>
      <c r="H1339" s="9">
        <v>0.12091219324999999</v>
      </c>
      <c r="I1339" s="10">
        <v>0.28837069127456899</v>
      </c>
      <c r="J1339" s="10">
        <v>8.3157655586172996E-2</v>
      </c>
      <c r="K1339" s="10">
        <v>-0.203638396</v>
      </c>
      <c r="L1339" s="10">
        <v>-0.24465340499999999</v>
      </c>
      <c r="M1339" s="10">
        <v>0.211545399</v>
      </c>
      <c r="N1339" s="10">
        <v>0.70845238600000005</v>
      </c>
      <c r="O1339" s="9">
        <v>0.11792649575</v>
      </c>
      <c r="P1339" s="10">
        <v>0.44435477197668499</v>
      </c>
      <c r="Q1339" s="10">
        <v>0.197451163378452</v>
      </c>
    </row>
    <row r="1340" spans="1:17" x14ac:dyDescent="0.2">
      <c r="A1340" s="10">
        <v>1742</v>
      </c>
      <c r="B1340" s="10" t="s">
        <v>2831</v>
      </c>
      <c r="C1340" s="9" t="s">
        <v>1124</v>
      </c>
      <c r="D1340" s="10">
        <v>-1.640433228</v>
      </c>
      <c r="E1340" s="10">
        <v>-0.99989541299999996</v>
      </c>
      <c r="F1340" s="10">
        <v>-1.423729169</v>
      </c>
      <c r="G1340" s="10">
        <v>-1.457531626</v>
      </c>
      <c r="H1340" s="9">
        <v>-1.3803973592500001</v>
      </c>
      <c r="I1340" s="10">
        <v>0.270941398940727</v>
      </c>
      <c r="J1340" s="10">
        <v>7.3409241659958505E-2</v>
      </c>
      <c r="K1340" s="10">
        <v>-0.15025649699999999</v>
      </c>
      <c r="L1340" s="10">
        <v>-0.179639092</v>
      </c>
      <c r="M1340" s="10">
        <v>0.13005497999999999</v>
      </c>
      <c r="N1340" s="10">
        <v>-0.10590891199999999</v>
      </c>
      <c r="O1340" s="9">
        <v>-7.6437380250000006E-2</v>
      </c>
      <c r="P1340" s="10">
        <v>0.14095805680081699</v>
      </c>
      <c r="Q1340" s="10">
        <v>1.9869173777062401E-2</v>
      </c>
    </row>
    <row r="1341" spans="1:17" x14ac:dyDescent="0.2">
      <c r="A1341" s="10">
        <v>1742</v>
      </c>
      <c r="B1341" s="10" t="s">
        <v>2822</v>
      </c>
      <c r="C1341" s="9" t="s">
        <v>1125</v>
      </c>
      <c r="D1341" s="10">
        <v>-0.33021352199999998</v>
      </c>
      <c r="E1341" s="10">
        <v>-0.291638444</v>
      </c>
      <c r="F1341" s="10">
        <v>-0.787839014</v>
      </c>
      <c r="G1341" s="10">
        <v>-0.35462690600000002</v>
      </c>
      <c r="H1341" s="9">
        <v>-0.44107947149999999</v>
      </c>
      <c r="I1341" s="10">
        <v>0.23262280330693599</v>
      </c>
      <c r="J1341" s="10">
        <v>5.4113368618377802E-2</v>
      </c>
      <c r="K1341" s="10">
        <v>2.6906124999999999E-2</v>
      </c>
      <c r="L1341" s="10">
        <v>-0.23925170400000001</v>
      </c>
      <c r="M1341" s="10">
        <v>0.15852152999999999</v>
      </c>
      <c r="N1341" s="10">
        <v>0.20020565800000001</v>
      </c>
      <c r="O1341" s="9">
        <v>3.6595402249999999E-2</v>
      </c>
      <c r="P1341" s="10">
        <v>0.19817484244543199</v>
      </c>
      <c r="Q1341" s="10">
        <v>3.9273268178271897E-2</v>
      </c>
    </row>
    <row r="1342" spans="1:17" x14ac:dyDescent="0.2">
      <c r="A1342" s="10">
        <v>1742</v>
      </c>
      <c r="B1342" s="10" t="s">
        <v>96</v>
      </c>
      <c r="C1342" s="9" t="s">
        <v>1126</v>
      </c>
      <c r="D1342" s="10">
        <v>0.61091066000000005</v>
      </c>
      <c r="E1342" s="10">
        <v>-0.28245090900000003</v>
      </c>
      <c r="F1342" s="10">
        <v>0.32054013999999997</v>
      </c>
      <c r="G1342" s="10">
        <v>0.743204698</v>
      </c>
      <c r="H1342" s="9">
        <v>0.34805114725000003</v>
      </c>
      <c r="I1342" s="10">
        <v>0.455898801113027</v>
      </c>
      <c r="J1342" s="10">
        <v>0.20784371685629499</v>
      </c>
      <c r="K1342" s="10">
        <v>0.12326454100000001</v>
      </c>
      <c r="L1342" s="10">
        <v>8.4633809000000004E-2</v>
      </c>
      <c r="M1342" s="10">
        <v>0.79952299100000002</v>
      </c>
      <c r="N1342" s="10">
        <v>0.43350736400000001</v>
      </c>
      <c r="O1342" s="9">
        <v>0.36023217624999998</v>
      </c>
      <c r="P1342" s="10">
        <v>0.33189044038174098</v>
      </c>
      <c r="Q1342" s="10">
        <v>0.11015126441678599</v>
      </c>
    </row>
    <row r="1343" spans="1:17" x14ac:dyDescent="0.2">
      <c r="A1343" s="10">
        <v>1742</v>
      </c>
      <c r="B1343" s="10" t="s">
        <v>2821</v>
      </c>
      <c r="C1343" s="9" t="s">
        <v>1127</v>
      </c>
      <c r="D1343" s="10">
        <v>6.5350613000000002E-2</v>
      </c>
      <c r="E1343" s="10">
        <v>-0.35522847600000002</v>
      </c>
      <c r="F1343" s="10">
        <v>-0.61475938900000004</v>
      </c>
      <c r="G1343" s="10">
        <v>0.31115786000000001</v>
      </c>
      <c r="H1343" s="9">
        <v>-0.148369848</v>
      </c>
      <c r="I1343" s="10">
        <v>0.41519146017310199</v>
      </c>
      <c r="J1343" s="10">
        <v>0.17238394860067199</v>
      </c>
      <c r="K1343" s="10">
        <v>0.141696128</v>
      </c>
      <c r="L1343" s="10">
        <v>-0.70616800899999999</v>
      </c>
      <c r="M1343" s="10">
        <v>0.104338678</v>
      </c>
      <c r="N1343" s="10">
        <v>-0.47927845499999999</v>
      </c>
      <c r="O1343" s="9">
        <v>-0.23485291450000001</v>
      </c>
      <c r="P1343" s="10">
        <v>0.42376167869161702</v>
      </c>
      <c r="Q1343" s="10">
        <v>0.179573960327537</v>
      </c>
    </row>
    <row r="1344" spans="1:17" x14ac:dyDescent="0.2">
      <c r="A1344" s="10">
        <v>1742</v>
      </c>
      <c r="B1344" s="10" t="s">
        <v>79</v>
      </c>
      <c r="C1344" s="9" t="s">
        <v>1128</v>
      </c>
      <c r="D1344" s="10">
        <v>-0.23088263000000001</v>
      </c>
      <c r="E1344" s="10">
        <v>0.74468078900000001</v>
      </c>
      <c r="F1344" s="10">
        <v>0.19440223700000001</v>
      </c>
      <c r="G1344" s="10">
        <v>-0.32687108399999998</v>
      </c>
      <c r="H1344" s="9">
        <v>9.5332327999999994E-2</v>
      </c>
      <c r="I1344" s="10">
        <v>0.48858305012205799</v>
      </c>
      <c r="J1344" s="10">
        <v>0.238713396866573</v>
      </c>
      <c r="K1344" s="10">
        <v>0.15447643999999999</v>
      </c>
      <c r="L1344" s="10">
        <v>-0.148949001</v>
      </c>
      <c r="M1344" s="10">
        <v>6.8942929E-2</v>
      </c>
      <c r="N1344" s="10">
        <v>-2.051799E-3</v>
      </c>
      <c r="O1344" s="9">
        <v>1.8104642000000001E-2</v>
      </c>
      <c r="P1344" s="10">
        <v>0.128445838739142</v>
      </c>
      <c r="Q1344" s="10">
        <v>1.64983334894017E-2</v>
      </c>
    </row>
    <row r="1345" spans="1:17" x14ac:dyDescent="0.2">
      <c r="A1345" s="10">
        <v>1742</v>
      </c>
      <c r="B1345" s="10" t="s">
        <v>2820</v>
      </c>
      <c r="C1345" s="9" t="s">
        <v>1129</v>
      </c>
      <c r="D1345" s="10">
        <v>0.141736325</v>
      </c>
      <c r="E1345" s="10">
        <v>-0.29493522300000002</v>
      </c>
      <c r="F1345" s="10">
        <v>-8.9145792000000001E-2</v>
      </c>
      <c r="G1345" s="10">
        <v>9.9992176000000002E-2</v>
      </c>
      <c r="H1345" s="9">
        <v>-3.5588128250000003E-2</v>
      </c>
      <c r="I1345" s="10">
        <v>0.19996276280227501</v>
      </c>
      <c r="J1345" s="10">
        <v>3.9985106507519103E-2</v>
      </c>
      <c r="K1345" s="10">
        <v>-0.14645592599999999</v>
      </c>
      <c r="L1345" s="10">
        <v>0.17839734500000001</v>
      </c>
      <c r="M1345" s="10">
        <v>3.1148195E-2</v>
      </c>
      <c r="N1345" s="10">
        <v>0.14895573500000001</v>
      </c>
      <c r="O1345" s="9">
        <v>5.3011337249999999E-2</v>
      </c>
      <c r="P1345" s="10">
        <v>0.14741343730766401</v>
      </c>
      <c r="Q1345" s="10">
        <v>2.17307214988606E-2</v>
      </c>
    </row>
    <row r="1346" spans="1:17" x14ac:dyDescent="0.2">
      <c r="A1346" s="10">
        <v>1742</v>
      </c>
      <c r="B1346" s="10" t="s">
        <v>2824</v>
      </c>
      <c r="C1346" s="9" t="s">
        <v>1130</v>
      </c>
      <c r="D1346" s="10">
        <v>-0.38913540699999999</v>
      </c>
      <c r="E1346" s="10">
        <v>-0.33188571300000003</v>
      </c>
      <c r="F1346" s="10">
        <v>-0.34926995900000002</v>
      </c>
      <c r="G1346" s="10">
        <v>-0.48621439599999999</v>
      </c>
      <c r="H1346" s="9">
        <v>-0.38912636875000001</v>
      </c>
      <c r="I1346" s="10">
        <v>6.9019589455546607E-2</v>
      </c>
      <c r="J1346" s="10">
        <v>4.7637037286122003E-3</v>
      </c>
      <c r="K1346" s="10">
        <v>8.4576576000000001E-2</v>
      </c>
      <c r="L1346" s="10">
        <v>-0.55279282299999999</v>
      </c>
      <c r="M1346" s="10">
        <v>4.2471569999999997E-3</v>
      </c>
      <c r="N1346" s="10">
        <v>-0.272798608</v>
      </c>
      <c r="O1346" s="9">
        <v>-0.18419192475000001</v>
      </c>
      <c r="P1346" s="10">
        <v>0.28951888886763999</v>
      </c>
      <c r="Q1346" s="10">
        <v>8.3821187011152806E-2</v>
      </c>
    </row>
    <row r="1347" spans="1:17" x14ac:dyDescent="0.2">
      <c r="A1347" s="10">
        <v>1742</v>
      </c>
      <c r="B1347" s="10" t="s">
        <v>2817</v>
      </c>
      <c r="C1347" s="9" t="s">
        <v>1131</v>
      </c>
      <c r="D1347" s="10">
        <v>-0.80934684300000004</v>
      </c>
      <c r="E1347" s="10">
        <v>-0.112805156</v>
      </c>
      <c r="F1347" s="10">
        <v>-0.31688593500000001</v>
      </c>
      <c r="G1347" s="10">
        <v>-0.40783977999999999</v>
      </c>
      <c r="H1347" s="9">
        <v>-0.41171942825000002</v>
      </c>
      <c r="I1347" s="10">
        <v>0.29238430545434302</v>
      </c>
      <c r="J1347" s="10">
        <v>8.5488582076019004E-2</v>
      </c>
      <c r="K1347" s="10">
        <v>-7.0477740999999997E-2</v>
      </c>
      <c r="L1347" s="10">
        <v>-0.189813011</v>
      </c>
      <c r="M1347" s="10">
        <v>-0.183352296</v>
      </c>
      <c r="N1347" s="10">
        <v>-0.136125255</v>
      </c>
      <c r="O1347" s="9">
        <v>-0.14494207575000001</v>
      </c>
      <c r="P1347" s="10">
        <v>5.5110251096509202E-2</v>
      </c>
      <c r="Q1347" s="10">
        <v>3.0371397759202E-3</v>
      </c>
    </row>
    <row r="1348" spans="1:17" x14ac:dyDescent="0.2">
      <c r="A1348" s="10">
        <v>1742</v>
      </c>
      <c r="B1348" s="10" t="s">
        <v>2833</v>
      </c>
      <c r="C1348" s="9" t="s">
        <v>1132</v>
      </c>
      <c r="D1348" s="10">
        <v>-1.355127212</v>
      </c>
      <c r="E1348" s="10">
        <v>-0.89218425999999995</v>
      </c>
      <c r="F1348" s="10">
        <v>-1.5993261599999999</v>
      </c>
      <c r="G1348" s="10">
        <v>-1.669960551</v>
      </c>
      <c r="H1348" s="9">
        <v>-1.3791495455</v>
      </c>
      <c r="I1348" s="10">
        <v>0.35154944852821801</v>
      </c>
      <c r="J1348" s="10">
        <v>0.123587014760494</v>
      </c>
      <c r="K1348" s="10">
        <v>1.0138300929999999</v>
      </c>
      <c r="L1348" s="10">
        <v>-0.70234964099999997</v>
      </c>
      <c r="M1348" s="10">
        <v>0.72221529500000003</v>
      </c>
      <c r="N1348" s="10">
        <v>8.9491509999999996E-2</v>
      </c>
      <c r="O1348" s="9">
        <v>0.28079681449999999</v>
      </c>
      <c r="P1348" s="10">
        <v>0.76056179560625603</v>
      </c>
      <c r="Q1348" s="10">
        <v>0.57845424493581199</v>
      </c>
    </row>
    <row r="1349" spans="1:17" x14ac:dyDescent="0.2">
      <c r="A1349" s="10">
        <v>1742</v>
      </c>
      <c r="B1349" s="10" t="s">
        <v>2825</v>
      </c>
      <c r="C1349" s="9" t="s">
        <v>1133</v>
      </c>
      <c r="D1349" s="10">
        <v>4.7122672999999997E-2</v>
      </c>
      <c r="E1349" s="10">
        <v>1.3406387000000001E-2</v>
      </c>
      <c r="F1349" s="10">
        <v>-0.24368036200000001</v>
      </c>
      <c r="G1349" s="10">
        <v>-7.9472929999999994E-3</v>
      </c>
      <c r="H1349" s="9">
        <v>-4.7774648750000002E-2</v>
      </c>
      <c r="I1349" s="10">
        <v>0.13255676464669</v>
      </c>
      <c r="J1349" s="10">
        <v>1.7571295853597999E-2</v>
      </c>
      <c r="K1349" s="10">
        <v>0.261801016</v>
      </c>
      <c r="L1349" s="10">
        <v>0.24660464900000001</v>
      </c>
      <c r="M1349" s="10">
        <v>0.27693308999999999</v>
      </c>
      <c r="N1349" s="10">
        <v>0.64548419599999995</v>
      </c>
      <c r="O1349" s="9">
        <v>0.35770573750000001</v>
      </c>
      <c r="P1349" s="10">
        <v>0.192251423256693</v>
      </c>
      <c r="Q1349" s="10">
        <v>3.6960609744224202E-2</v>
      </c>
    </row>
    <row r="1350" spans="1:17" x14ac:dyDescent="0.2">
      <c r="A1350" s="10">
        <v>1742</v>
      </c>
      <c r="B1350" s="10" t="s">
        <v>74</v>
      </c>
      <c r="C1350" s="9" t="s">
        <v>1134</v>
      </c>
      <c r="D1350" s="10">
        <v>-0.49348413000000002</v>
      </c>
      <c r="E1350" s="10">
        <v>-0.26184773500000003</v>
      </c>
      <c r="F1350" s="10">
        <v>-0.40508729700000001</v>
      </c>
      <c r="G1350" s="10">
        <v>-0.356394402</v>
      </c>
      <c r="H1350" s="9">
        <v>-0.37920339125000002</v>
      </c>
      <c r="I1350" s="10">
        <v>9.66482692905834E-2</v>
      </c>
      <c r="J1350" s="10">
        <v>9.3408879568651002E-3</v>
      </c>
      <c r="K1350" s="10">
        <v>-1.5149423E-2</v>
      </c>
      <c r="L1350" s="10">
        <v>2.8309839999999999E-3</v>
      </c>
      <c r="M1350" s="10">
        <v>-2.4089350999999998E-2</v>
      </c>
      <c r="N1350" s="10">
        <v>0.42344406200000001</v>
      </c>
      <c r="O1350" s="9">
        <v>9.6759068000000004E-2</v>
      </c>
      <c r="P1350" s="10">
        <v>0.21807752520712101</v>
      </c>
      <c r="Q1350" s="10">
        <v>4.7557807000462499E-2</v>
      </c>
    </row>
    <row r="1351" spans="1:17" x14ac:dyDescent="0.2">
      <c r="A1351" s="10">
        <v>1742</v>
      </c>
      <c r="B1351" s="10" t="s">
        <v>2818</v>
      </c>
      <c r="C1351" s="9" t="s">
        <v>1135</v>
      </c>
      <c r="D1351" s="10">
        <v>0.12632028200000001</v>
      </c>
      <c r="E1351" s="10">
        <v>-0.12754726899999999</v>
      </c>
      <c r="F1351" s="10">
        <v>-0.26781402599999998</v>
      </c>
      <c r="G1351" s="10">
        <v>-4.2399114000000002E-2</v>
      </c>
      <c r="H1351" s="9">
        <v>-7.7860031750000003E-2</v>
      </c>
      <c r="I1351" s="10">
        <v>0.164821538527571</v>
      </c>
      <c r="J1351" s="10">
        <v>2.7166139562595799E-2</v>
      </c>
      <c r="K1351" s="10">
        <v>6.0022540000000003E-3</v>
      </c>
      <c r="L1351" s="10">
        <v>-0.30343836899999999</v>
      </c>
      <c r="M1351" s="10">
        <v>0.23503821899999999</v>
      </c>
      <c r="N1351" s="10">
        <v>-0.26239864299999999</v>
      </c>
      <c r="O1351" s="9">
        <v>-8.1199134749999999E-2</v>
      </c>
      <c r="P1351" s="10">
        <v>0.25155097901936202</v>
      </c>
      <c r="Q1351" s="10">
        <v>6.3277895045599802E-2</v>
      </c>
    </row>
    <row r="1352" spans="1:17" x14ac:dyDescent="0.2">
      <c r="A1352" s="10">
        <v>1742</v>
      </c>
      <c r="B1352" s="10" t="s">
        <v>2830</v>
      </c>
      <c r="C1352" s="9" t="s">
        <v>2299</v>
      </c>
      <c r="D1352" s="10">
        <v>-0.43288680499999999</v>
      </c>
      <c r="E1352" s="10">
        <v>0.49618099399999999</v>
      </c>
      <c r="F1352" s="10">
        <v>7.9909815999999995E-2</v>
      </c>
      <c r="G1352" s="10">
        <v>-1.7010694E-2</v>
      </c>
      <c r="H1352" s="9">
        <v>3.1548327750000001E-2</v>
      </c>
      <c r="I1352" s="10">
        <v>0.38134862406034897</v>
      </c>
      <c r="J1352" s="10">
        <v>0.14542677307272101</v>
      </c>
      <c r="K1352" s="10">
        <v>0.26976848199999998</v>
      </c>
      <c r="L1352" s="10">
        <v>0.40963579300000003</v>
      </c>
      <c r="M1352" s="10">
        <v>0.347972909</v>
      </c>
      <c r="N1352" s="10">
        <v>0.317624024</v>
      </c>
      <c r="O1352" s="9">
        <v>0.336250302</v>
      </c>
      <c r="P1352" s="10">
        <v>5.8565121664785003E-2</v>
      </c>
      <c r="Q1352" s="10">
        <v>3.4298734756110002E-3</v>
      </c>
    </row>
    <row r="1353" spans="1:17" x14ac:dyDescent="0.2">
      <c r="A1353" s="10">
        <v>1742</v>
      </c>
      <c r="B1353" s="10" t="s">
        <v>2832</v>
      </c>
      <c r="C1353" s="9" t="s">
        <v>1136</v>
      </c>
      <c r="D1353" s="10">
        <v>-0.68191592000000001</v>
      </c>
      <c r="E1353" s="10">
        <v>-0.86798024799999995</v>
      </c>
      <c r="F1353" s="10">
        <v>-4.0962236999999999E-2</v>
      </c>
      <c r="G1353" s="10">
        <v>-1.320685855</v>
      </c>
      <c r="H1353" s="9">
        <v>-0.72788606499999997</v>
      </c>
      <c r="I1353" s="10">
        <v>0.53072766740264998</v>
      </c>
      <c r="J1353" s="10">
        <v>0.28167185694665797</v>
      </c>
      <c r="K1353" s="10">
        <v>0.58333920900000003</v>
      </c>
      <c r="L1353" s="10">
        <v>-1.3403685E-2</v>
      </c>
      <c r="M1353" s="10">
        <v>0.15988575099999999</v>
      </c>
      <c r="N1353" s="10">
        <v>-1.2218727629999999</v>
      </c>
      <c r="O1353" s="9">
        <v>-0.123012872</v>
      </c>
      <c r="P1353" s="10">
        <v>0.77426785355621797</v>
      </c>
      <c r="Q1353" s="10">
        <v>0.59949070905055302</v>
      </c>
    </row>
    <row r="1354" spans="1:17" x14ac:dyDescent="0.2">
      <c r="A1354" s="10">
        <v>1743</v>
      </c>
      <c r="B1354" s="10" t="s">
        <v>2822</v>
      </c>
      <c r="C1354" s="9" t="s">
        <v>1137</v>
      </c>
      <c r="D1354" s="10">
        <v>-0.39815163100000001</v>
      </c>
      <c r="E1354" s="10">
        <v>-0.55986973900000003</v>
      </c>
      <c r="F1354" s="10">
        <v>-1.1197412849999999</v>
      </c>
      <c r="G1354" s="10">
        <v>-0.49955563800000002</v>
      </c>
      <c r="H1354" s="9">
        <v>-0.64432957349999997</v>
      </c>
      <c r="I1354" s="10">
        <v>0.32388929736810601</v>
      </c>
      <c r="J1354" s="10">
        <v>0.104904276949606</v>
      </c>
      <c r="K1354" s="10">
        <v>-0.48992075099999999</v>
      </c>
      <c r="L1354" s="10">
        <v>0.52578633699999999</v>
      </c>
      <c r="M1354" s="10">
        <v>0.48103000000000001</v>
      </c>
      <c r="N1354" s="10">
        <v>-8.7283517000000005E-2</v>
      </c>
      <c r="O1354" s="9">
        <v>0.10740301725</v>
      </c>
      <c r="P1354" s="10">
        <v>0.48625790660874402</v>
      </c>
      <c r="Q1354" s="10">
        <v>0.23644675173951801</v>
      </c>
    </row>
    <row r="1355" spans="1:17" x14ac:dyDescent="0.2">
      <c r="A1355" s="10">
        <v>1743</v>
      </c>
      <c r="B1355" s="10" t="s">
        <v>96</v>
      </c>
      <c r="C1355" s="9" t="s">
        <v>1138</v>
      </c>
      <c r="D1355" s="10">
        <v>-0.81091031999999996</v>
      </c>
      <c r="E1355" s="10">
        <v>-0.58099642100000004</v>
      </c>
      <c r="F1355" s="10">
        <v>-0.91259303800000002</v>
      </c>
      <c r="G1355" s="10">
        <v>-0.42573030299999998</v>
      </c>
      <c r="H1355" s="9">
        <v>-0.68255752074999998</v>
      </c>
      <c r="I1355" s="10">
        <v>0.22035248809685201</v>
      </c>
      <c r="J1355" s="10">
        <v>4.8555219010473702E-2</v>
      </c>
      <c r="K1355" s="10">
        <v>3.3194998000000003E-2</v>
      </c>
      <c r="L1355" s="10">
        <v>-0.40618949500000001</v>
      </c>
      <c r="M1355" s="10">
        <v>1.3607657E-2</v>
      </c>
      <c r="N1355" s="10">
        <v>-0.360701785</v>
      </c>
      <c r="O1355" s="9">
        <v>-0.18002215599999999</v>
      </c>
      <c r="P1355" s="10">
        <v>0.23576178147174501</v>
      </c>
      <c r="Q1355" s="10">
        <v>5.5583617602730999E-2</v>
      </c>
    </row>
    <row r="1356" spans="1:17" x14ac:dyDescent="0.2">
      <c r="A1356" s="10">
        <v>1743</v>
      </c>
      <c r="B1356" s="10" t="s">
        <v>2826</v>
      </c>
      <c r="C1356" s="9" t="s">
        <v>2298</v>
      </c>
      <c r="D1356" s="10">
        <v>-1.496304984</v>
      </c>
      <c r="E1356" s="10">
        <v>-0.666010298</v>
      </c>
      <c r="F1356" s="10">
        <v>-0.74658573500000003</v>
      </c>
      <c r="G1356" s="10">
        <v>-0.90928242699999995</v>
      </c>
      <c r="H1356" s="9">
        <v>-0.95454586100000005</v>
      </c>
      <c r="I1356" s="10">
        <v>0.37507861884004301</v>
      </c>
      <c r="J1356" s="10">
        <v>0.140683970310954</v>
      </c>
      <c r="K1356" s="10">
        <v>-0.16042894799999999</v>
      </c>
      <c r="L1356" s="10">
        <v>-0.23817132199999999</v>
      </c>
      <c r="M1356" s="10">
        <v>-0.24247803200000001</v>
      </c>
      <c r="N1356" s="10">
        <v>1.1788866E-2</v>
      </c>
      <c r="O1356" s="9">
        <v>-0.15732235875</v>
      </c>
      <c r="P1356" s="10">
        <v>0.11887851050333299</v>
      </c>
      <c r="Q1356" s="10">
        <v>1.4132100259491199E-2</v>
      </c>
    </row>
    <row r="1357" spans="1:17" x14ac:dyDescent="0.2">
      <c r="A1357" s="10">
        <v>1743</v>
      </c>
      <c r="B1357" s="10" t="s">
        <v>2834</v>
      </c>
      <c r="C1357" s="9" t="s">
        <v>2297</v>
      </c>
      <c r="D1357" s="10">
        <v>-0.83012061299999995</v>
      </c>
      <c r="E1357" s="10">
        <v>-0.12589378000000001</v>
      </c>
      <c r="F1357" s="10">
        <v>0.59487074699999998</v>
      </c>
      <c r="G1357" s="10">
        <v>-1.735272473</v>
      </c>
      <c r="H1357" s="9">
        <v>-0.52410403000000005</v>
      </c>
      <c r="I1357" s="10">
        <v>0.99519698237037502</v>
      </c>
      <c r="J1357" s="10">
        <v>0.99041703371909995</v>
      </c>
      <c r="K1357" s="10">
        <v>-4.7223061680000002</v>
      </c>
      <c r="L1357" s="10">
        <v>0.77813543900000004</v>
      </c>
      <c r="M1357" s="10">
        <v>-0.19338311599999999</v>
      </c>
      <c r="N1357" s="10">
        <v>-0.54390946500000004</v>
      </c>
      <c r="O1357" s="9">
        <v>-1.17036582775</v>
      </c>
      <c r="P1357" s="10">
        <v>2.4330968031646401</v>
      </c>
      <c r="Q1357" s="10">
        <v>5.9199600535699899</v>
      </c>
    </row>
    <row r="1358" spans="1:17" x14ac:dyDescent="0.2">
      <c r="A1358" s="10">
        <v>1743</v>
      </c>
      <c r="B1358" s="10" t="s">
        <v>2824</v>
      </c>
      <c r="C1358" s="9" t="s">
        <v>1140</v>
      </c>
      <c r="D1358" s="10">
        <v>-5.7277004999999999E-2</v>
      </c>
      <c r="E1358" s="10">
        <v>-1.4518725159999999</v>
      </c>
      <c r="F1358" s="10">
        <v>-1.1126582220000001</v>
      </c>
      <c r="G1358" s="10">
        <v>-8.8021989999999994E-2</v>
      </c>
      <c r="H1358" s="9">
        <v>-0.67745743349999998</v>
      </c>
      <c r="I1358" s="10">
        <v>0.71208060224082903</v>
      </c>
      <c r="J1358" s="10">
        <v>0.50705878408766203</v>
      </c>
      <c r="K1358" s="10">
        <v>0.618559686</v>
      </c>
      <c r="L1358" s="10">
        <v>0.38129075400000001</v>
      </c>
      <c r="M1358" s="10">
        <v>-0.40398996300000001</v>
      </c>
      <c r="N1358" s="10">
        <v>-0.40193800099999999</v>
      </c>
      <c r="O1358" s="9">
        <v>4.8480619000000003E-2</v>
      </c>
      <c r="P1358" s="10">
        <v>0.53020728317908195</v>
      </c>
      <c r="Q1358" s="10">
        <v>0.28111976313614301</v>
      </c>
    </row>
    <row r="1359" spans="1:17" x14ac:dyDescent="0.2">
      <c r="A1359" s="10">
        <v>1743</v>
      </c>
      <c r="B1359" s="10" t="s">
        <v>2833</v>
      </c>
      <c r="C1359" s="9" t="s">
        <v>1142</v>
      </c>
      <c r="D1359" s="10">
        <v>-0.98187715200000003</v>
      </c>
      <c r="E1359" s="10">
        <v>-1.078869981</v>
      </c>
      <c r="F1359" s="10">
        <v>-1.5340796219999999</v>
      </c>
      <c r="G1359" s="10">
        <v>-1.3225883249999999</v>
      </c>
      <c r="H1359" s="9">
        <v>-1.2293537702499999</v>
      </c>
      <c r="I1359" s="10">
        <v>0.24862325872136201</v>
      </c>
      <c r="J1359" s="10">
        <v>6.1813524777229401E-2</v>
      </c>
      <c r="K1359" s="10">
        <v>-0.435557001</v>
      </c>
      <c r="L1359" s="10">
        <v>-1.2793788269999999</v>
      </c>
      <c r="M1359" s="10">
        <v>0.20547359200000001</v>
      </c>
      <c r="N1359" s="10">
        <v>-0.50354460099999998</v>
      </c>
      <c r="O1359" s="9">
        <v>-0.50325170924999996</v>
      </c>
      <c r="P1359" s="10">
        <v>0.60807003841373797</v>
      </c>
      <c r="Q1359" s="10">
        <v>0.36974917161648502</v>
      </c>
    </row>
    <row r="1360" spans="1:17" x14ac:dyDescent="0.2">
      <c r="A1360" s="10">
        <v>1743</v>
      </c>
      <c r="B1360" s="10" t="s">
        <v>2825</v>
      </c>
      <c r="C1360" s="9" t="s">
        <v>1143</v>
      </c>
      <c r="D1360" s="10">
        <v>-1.5615024660000001</v>
      </c>
      <c r="E1360" s="10">
        <v>-1.289294419</v>
      </c>
      <c r="F1360" s="10">
        <v>-0.90088457</v>
      </c>
      <c r="G1360" s="10">
        <v>-1.460298968</v>
      </c>
      <c r="H1360" s="9">
        <v>-1.30299510575</v>
      </c>
      <c r="I1360" s="10">
        <v>0.29066082877973298</v>
      </c>
      <c r="J1360" s="10">
        <v>8.44837173869213E-2</v>
      </c>
      <c r="K1360" s="10">
        <v>-0.22810550800000001</v>
      </c>
      <c r="L1360" s="10">
        <v>-0.231969234</v>
      </c>
      <c r="M1360" s="10">
        <v>-0.334572229</v>
      </c>
      <c r="N1360" s="10">
        <v>-0.40714347000000001</v>
      </c>
      <c r="O1360" s="9">
        <v>-0.30044760999999998</v>
      </c>
      <c r="P1360" s="10">
        <v>8.6547027417488501E-2</v>
      </c>
      <c r="Q1360" s="10">
        <v>7.4903879548035004E-3</v>
      </c>
    </row>
    <row r="1361" spans="1:17" x14ac:dyDescent="0.2">
      <c r="A1361" s="10">
        <v>1743</v>
      </c>
      <c r="B1361" s="10" t="s">
        <v>74</v>
      </c>
      <c r="C1361" s="9" t="s">
        <v>1144</v>
      </c>
      <c r="D1361" s="10">
        <v>-0.25671007200000001</v>
      </c>
      <c r="E1361" s="10">
        <v>-0.26517163199999999</v>
      </c>
      <c r="F1361" s="10">
        <v>-5.3630739999999998E-3</v>
      </c>
      <c r="G1361" s="10">
        <v>-1.036732991</v>
      </c>
      <c r="H1361" s="9">
        <v>-0.39099444225000002</v>
      </c>
      <c r="I1361" s="10">
        <v>0.44704716275905698</v>
      </c>
      <c r="J1361" s="10">
        <v>0.19985116573092301</v>
      </c>
      <c r="K1361" s="10">
        <v>-2.2653029000000002E-2</v>
      </c>
      <c r="L1361" s="10">
        <v>0.26576271699999998</v>
      </c>
      <c r="M1361" s="10">
        <v>0.79605524999999999</v>
      </c>
      <c r="N1361" s="10">
        <v>-2.6717264000000001E-2</v>
      </c>
      <c r="O1361" s="9">
        <v>0.25311191875</v>
      </c>
      <c r="P1361" s="10">
        <v>0.38699620220845499</v>
      </c>
      <c r="Q1361" s="10">
        <v>0.14976606052376701</v>
      </c>
    </row>
    <row r="1362" spans="1:17" x14ac:dyDescent="0.2">
      <c r="A1362" s="10">
        <v>1743</v>
      </c>
      <c r="B1362" s="10" t="s">
        <v>2818</v>
      </c>
      <c r="C1362" s="9" t="s">
        <v>1145</v>
      </c>
      <c r="D1362" s="10">
        <v>-1.0121680630000001</v>
      </c>
      <c r="E1362" s="10">
        <v>-1.072295757</v>
      </c>
      <c r="F1362" s="10">
        <v>-0.856992745</v>
      </c>
      <c r="G1362" s="10">
        <v>-0.28144718400000002</v>
      </c>
      <c r="H1362" s="9">
        <v>-0.80572593724999997</v>
      </c>
      <c r="I1362" s="10">
        <v>0.36109754765712798</v>
      </c>
      <c r="J1362" s="10">
        <v>0.13039143892399199</v>
      </c>
      <c r="K1362" s="10">
        <v>5.382609E-2</v>
      </c>
      <c r="L1362" s="10">
        <v>1.161707389</v>
      </c>
      <c r="M1362" s="10">
        <v>-0.443129781</v>
      </c>
      <c r="N1362" s="10">
        <v>0.259219749</v>
      </c>
      <c r="O1362" s="9">
        <v>0.25790586175000002</v>
      </c>
      <c r="P1362" s="10">
        <v>0.670810070636633</v>
      </c>
      <c r="Q1362" s="10">
        <v>0.44998615086752503</v>
      </c>
    </row>
    <row r="1363" spans="1:17" x14ac:dyDescent="0.2">
      <c r="A1363" s="10">
        <v>1743</v>
      </c>
      <c r="B1363" s="10" t="s">
        <v>2830</v>
      </c>
      <c r="C1363" s="9" t="s">
        <v>1146</v>
      </c>
      <c r="D1363" s="10">
        <v>-1.638664766</v>
      </c>
      <c r="E1363" s="10">
        <v>-1.032773063</v>
      </c>
      <c r="F1363" s="10">
        <v>-1.2373484699999999</v>
      </c>
      <c r="G1363" s="10">
        <v>-1.5209536050000001</v>
      </c>
      <c r="H1363" s="9">
        <v>-1.35743497625</v>
      </c>
      <c r="I1363" s="10">
        <v>0.27425940487647299</v>
      </c>
      <c r="J1363" s="10">
        <v>7.5218221163197097E-2</v>
      </c>
      <c r="K1363" s="10">
        <v>-9.6084128000000005E-2</v>
      </c>
      <c r="L1363" s="10">
        <v>-0.25105013999999998</v>
      </c>
      <c r="M1363" s="10">
        <v>0.20270535000000001</v>
      </c>
      <c r="N1363" s="10">
        <v>-0.142763788</v>
      </c>
      <c r="O1363" s="9">
        <v>-7.1798176749999998E-2</v>
      </c>
      <c r="P1363" s="10">
        <v>0.19417292802668601</v>
      </c>
      <c r="Q1363" s="10">
        <v>3.7703125978456903E-2</v>
      </c>
    </row>
    <row r="1364" spans="1:17" x14ac:dyDescent="0.2">
      <c r="A1364" s="10">
        <v>1744</v>
      </c>
      <c r="B1364" s="10" t="s">
        <v>2831</v>
      </c>
      <c r="C1364" s="9" t="s">
        <v>1147</v>
      </c>
      <c r="D1364" s="10">
        <v>-2.4667835230000001</v>
      </c>
      <c r="E1364" s="10">
        <v>-5.8386601689999997</v>
      </c>
      <c r="F1364" s="10">
        <v>-0.84666754099999997</v>
      </c>
      <c r="G1364" s="10">
        <v>-1.275361881</v>
      </c>
      <c r="H1364" s="9">
        <v>-2.6068682774999998</v>
      </c>
      <c r="I1364" s="10">
        <v>2.2609230036354599</v>
      </c>
      <c r="J1364" s="10">
        <v>5.1117728283680099</v>
      </c>
      <c r="K1364" s="10">
        <v>-0.44333546499999998</v>
      </c>
      <c r="L1364" s="10">
        <v>0.51763102599999999</v>
      </c>
      <c r="M1364" s="10">
        <v>-0.30242117499999999</v>
      </c>
      <c r="N1364" s="10">
        <v>-0.39239558699999999</v>
      </c>
      <c r="O1364" s="9">
        <v>-0.15513030050000001</v>
      </c>
      <c r="P1364" s="10">
        <v>0.45227551970283603</v>
      </c>
      <c r="Q1364" s="10">
        <v>0.20455314572247099</v>
      </c>
    </row>
    <row r="1365" spans="1:17" x14ac:dyDescent="0.2">
      <c r="A1365" s="10">
        <v>1744</v>
      </c>
      <c r="B1365" s="10" t="s">
        <v>2822</v>
      </c>
      <c r="C1365" s="9" t="s">
        <v>2296</v>
      </c>
      <c r="D1365" s="10">
        <v>-0.139495603</v>
      </c>
      <c r="E1365" s="10">
        <v>-0.23646599099999999</v>
      </c>
      <c r="F1365" s="10">
        <v>-0.20683336799999999</v>
      </c>
      <c r="G1365" s="10">
        <v>-6.6146578999999997E-2</v>
      </c>
      <c r="H1365" s="9">
        <v>-0.16223538500000001</v>
      </c>
      <c r="I1365" s="10">
        <v>7.5827258244663506E-2</v>
      </c>
      <c r="J1365" s="10">
        <v>5.7497730929027997E-3</v>
      </c>
      <c r="K1365" s="10">
        <v>-2.9287555E-2</v>
      </c>
      <c r="L1365" s="10">
        <v>-4.0682502000000002E-2</v>
      </c>
      <c r="M1365" s="10">
        <v>-1.7033454999999999E-2</v>
      </c>
      <c r="N1365" s="10">
        <v>-0.28301555299999998</v>
      </c>
      <c r="O1365" s="9">
        <v>-9.2504766000000002E-2</v>
      </c>
      <c r="P1365" s="10">
        <v>0.12737378270288099</v>
      </c>
      <c r="Q1365" s="10">
        <v>1.62240805200407E-2</v>
      </c>
    </row>
    <row r="1366" spans="1:17" x14ac:dyDescent="0.2">
      <c r="A1366" s="10">
        <v>1744</v>
      </c>
      <c r="B1366" s="10" t="s">
        <v>96</v>
      </c>
      <c r="C1366" s="9" t="s">
        <v>1148</v>
      </c>
      <c r="D1366" s="10">
        <v>4.0369910000000002E-2</v>
      </c>
      <c r="E1366" s="10">
        <v>-2.8715748999999999E-2</v>
      </c>
      <c r="F1366" s="10">
        <v>-0.28431227100000001</v>
      </c>
      <c r="G1366" s="10">
        <v>5.2450364999999999E-2</v>
      </c>
      <c r="H1366" s="9">
        <v>-5.5051936500000002E-2</v>
      </c>
      <c r="I1366" s="10">
        <v>0.156967055316663</v>
      </c>
      <c r="J1366" s="10">
        <v>2.46386564547845E-2</v>
      </c>
      <c r="K1366" s="10">
        <v>-0.196701285</v>
      </c>
      <c r="L1366" s="10">
        <v>-0.13015887300000001</v>
      </c>
      <c r="M1366" s="10">
        <v>0.14744922899999999</v>
      </c>
      <c r="N1366" s="10">
        <v>0.14728002500000001</v>
      </c>
      <c r="O1366" s="9">
        <v>-8.0327257500000006E-3</v>
      </c>
      <c r="P1366" s="10">
        <v>0.18148214778136501</v>
      </c>
      <c r="Q1366" s="10">
        <v>3.2935769963337302E-2</v>
      </c>
    </row>
    <row r="1367" spans="1:17" x14ac:dyDescent="0.2">
      <c r="A1367" s="10">
        <v>1744</v>
      </c>
      <c r="B1367" s="10" t="s">
        <v>2823</v>
      </c>
      <c r="C1367" s="9" t="s">
        <v>2295</v>
      </c>
      <c r="D1367" s="10">
        <v>-0.29807223300000002</v>
      </c>
      <c r="E1367" s="10">
        <v>0.121293705</v>
      </c>
      <c r="F1367" s="10">
        <v>0.63267112400000003</v>
      </c>
      <c r="G1367" s="10">
        <v>-0.245718138</v>
      </c>
      <c r="H1367" s="9">
        <v>5.2543614250000002E-2</v>
      </c>
      <c r="I1367" s="10">
        <v>0.42940503325141399</v>
      </c>
      <c r="J1367" s="10">
        <v>0.18438868258164801</v>
      </c>
      <c r="K1367" s="10">
        <v>-1.5095395629999999</v>
      </c>
      <c r="L1367" s="10">
        <v>0.11066205</v>
      </c>
      <c r="M1367" s="10">
        <v>-0.423065103</v>
      </c>
      <c r="N1367" s="10">
        <v>-0.40107866800000003</v>
      </c>
      <c r="O1367" s="9">
        <v>-0.55575532100000002</v>
      </c>
      <c r="P1367" s="10">
        <v>0.68199414796957403</v>
      </c>
      <c r="Q1367" s="10">
        <v>0.46511601786474499</v>
      </c>
    </row>
    <row r="1368" spans="1:17" x14ac:dyDescent="0.2">
      <c r="A1368" s="10">
        <v>1744</v>
      </c>
      <c r="B1368" s="10" t="s">
        <v>2819</v>
      </c>
      <c r="C1368" s="9" t="s">
        <v>1149</v>
      </c>
      <c r="D1368" s="10">
        <v>-0.184649011</v>
      </c>
      <c r="E1368" s="10">
        <v>-0.136627691</v>
      </c>
      <c r="F1368" s="10">
        <v>-7.0360420000000007E-2</v>
      </c>
      <c r="G1368" s="10">
        <v>-0.35967678400000003</v>
      </c>
      <c r="H1368" s="9">
        <v>-0.18782847675</v>
      </c>
      <c r="I1368" s="10">
        <v>0.12377696948569</v>
      </c>
      <c r="J1368" s="10">
        <v>1.53207381750614E-2</v>
      </c>
      <c r="K1368" s="10">
        <v>4.4437863000000001E-2</v>
      </c>
      <c r="L1368" s="10">
        <v>4.7786527000000002E-2</v>
      </c>
      <c r="M1368" s="10">
        <v>0.14809483000000001</v>
      </c>
      <c r="N1368" s="10">
        <v>-0.127616225</v>
      </c>
      <c r="O1368" s="9">
        <v>2.817574875E-2</v>
      </c>
      <c r="P1368" s="10">
        <v>0.114456344102916</v>
      </c>
      <c r="Q1368" s="10">
        <v>1.3100254705405099E-2</v>
      </c>
    </row>
    <row r="1369" spans="1:17" x14ac:dyDescent="0.2">
      <c r="A1369" s="10">
        <v>1744</v>
      </c>
      <c r="B1369" s="10" t="s">
        <v>2821</v>
      </c>
      <c r="C1369" s="9" t="s">
        <v>1150</v>
      </c>
      <c r="D1369" s="10">
        <v>-0.12572829099999999</v>
      </c>
      <c r="E1369" s="10">
        <v>-0.25664953499999998</v>
      </c>
      <c r="F1369" s="10">
        <v>-0.43388109899999999</v>
      </c>
      <c r="G1369" s="10">
        <v>0.26193632999999999</v>
      </c>
      <c r="H1369" s="9">
        <v>-0.13858064875000001</v>
      </c>
      <c r="I1369" s="10">
        <v>0.29536511370670798</v>
      </c>
      <c r="J1369" s="10">
        <v>8.7240550394976593E-2</v>
      </c>
      <c r="K1369" s="10">
        <v>0.52530875200000005</v>
      </c>
      <c r="L1369" s="10">
        <v>-6.8947180000000002E-3</v>
      </c>
      <c r="M1369" s="10">
        <v>-5.035019E-3</v>
      </c>
      <c r="N1369" s="10">
        <v>0.10518543800000001</v>
      </c>
      <c r="O1369" s="9">
        <v>0.15464111324999999</v>
      </c>
      <c r="P1369" s="10">
        <v>0.25260684486561402</v>
      </c>
      <c r="Q1369" s="10">
        <v>6.3810218072960598E-2</v>
      </c>
    </row>
    <row r="1370" spans="1:17" x14ac:dyDescent="0.2">
      <c r="A1370" s="10">
        <v>1744</v>
      </c>
      <c r="B1370" s="10" t="s">
        <v>2820</v>
      </c>
      <c r="C1370" s="9" t="s">
        <v>1151</v>
      </c>
      <c r="D1370" s="10">
        <v>-0.84875639999999997</v>
      </c>
      <c r="E1370" s="10">
        <v>-1.2874641689999999</v>
      </c>
      <c r="F1370" s="10">
        <v>-0.97064135600000001</v>
      </c>
      <c r="G1370" s="10">
        <v>-0.97510683099999995</v>
      </c>
      <c r="H1370" s="9">
        <v>-1.0204921892500001</v>
      </c>
      <c r="I1370" s="10">
        <v>0.18736075327217799</v>
      </c>
      <c r="J1370" s="10">
        <v>3.5104051866718299E-2</v>
      </c>
      <c r="K1370" s="10">
        <v>-0.65207593600000002</v>
      </c>
      <c r="L1370" s="10">
        <v>-0.65571526800000002</v>
      </c>
      <c r="M1370" s="10">
        <v>-0.27280446000000003</v>
      </c>
      <c r="N1370" s="10">
        <v>-0.51324002700000004</v>
      </c>
      <c r="O1370" s="9">
        <v>-0.52345892275000006</v>
      </c>
      <c r="P1370" s="10">
        <v>0.17978335340355101</v>
      </c>
      <c r="Q1370" s="10">
        <v>3.2322054161026098E-2</v>
      </c>
    </row>
    <row r="1371" spans="1:17" x14ac:dyDescent="0.2">
      <c r="A1371" s="10">
        <v>1744</v>
      </c>
      <c r="B1371" s="10" t="s">
        <v>2824</v>
      </c>
      <c r="C1371" s="9" t="s">
        <v>1152</v>
      </c>
      <c r="D1371" s="10">
        <v>3.0946437E-2</v>
      </c>
      <c r="E1371" s="10">
        <v>-3.729797E-2</v>
      </c>
      <c r="F1371" s="10">
        <v>6.9505182999999998E-2</v>
      </c>
      <c r="G1371" s="10">
        <v>7.9615369000000005E-2</v>
      </c>
      <c r="H1371" s="9">
        <v>3.5692254499999999E-2</v>
      </c>
      <c r="I1371" s="10">
        <v>5.2986318288874998E-2</v>
      </c>
      <c r="J1371" s="10">
        <v>2.8075499258099E-3</v>
      </c>
      <c r="K1371" s="10">
        <v>9.5710118999999996E-2</v>
      </c>
      <c r="L1371" s="10">
        <v>-4.8110879999999998E-3</v>
      </c>
      <c r="M1371" s="10">
        <v>0.214246981</v>
      </c>
      <c r="N1371" s="10">
        <v>6.4437152999999997E-2</v>
      </c>
      <c r="O1371" s="9">
        <v>9.2395791249999998E-2</v>
      </c>
      <c r="P1371" s="10">
        <v>9.14504602471439E-2</v>
      </c>
      <c r="Q1371" s="10">
        <v>8.3631866794143996E-3</v>
      </c>
    </row>
    <row r="1372" spans="1:17" x14ac:dyDescent="0.2">
      <c r="A1372" s="10">
        <v>1744</v>
      </c>
      <c r="B1372" s="10" t="s">
        <v>2833</v>
      </c>
      <c r="C1372" s="9" t="s">
        <v>1153</v>
      </c>
      <c r="D1372" s="10">
        <v>-1.75099E-3</v>
      </c>
      <c r="E1372" s="10">
        <v>-0.992363781</v>
      </c>
      <c r="F1372" s="10">
        <v>0.139597211</v>
      </c>
      <c r="G1372" s="10">
        <v>-1.0597636000000001E-2</v>
      </c>
      <c r="H1372" s="9">
        <v>-0.21627879899999999</v>
      </c>
      <c r="I1372" s="10">
        <v>0.521945896119139</v>
      </c>
      <c r="J1372" s="10">
        <v>0.27242751847561097</v>
      </c>
      <c r="K1372" s="10">
        <v>-0.32432478399999998</v>
      </c>
      <c r="L1372" s="10">
        <v>-0.36913180499999998</v>
      </c>
      <c r="M1372" s="10">
        <v>-1.0379500189999999</v>
      </c>
      <c r="N1372" s="10">
        <v>-0.15201145999999999</v>
      </c>
      <c r="O1372" s="9">
        <v>-0.47085451699999997</v>
      </c>
      <c r="P1372" s="10">
        <v>0.38947686117638303</v>
      </c>
      <c r="Q1372" s="10">
        <v>0.15169222539180699</v>
      </c>
    </row>
    <row r="1373" spans="1:17" x14ac:dyDescent="0.2">
      <c r="A1373" s="10">
        <v>1744</v>
      </c>
      <c r="B1373" s="10" t="s">
        <v>74</v>
      </c>
      <c r="C1373" s="9" t="s">
        <v>1154</v>
      </c>
      <c r="D1373" s="10">
        <v>-0.48200085399999998</v>
      </c>
      <c r="E1373" s="10">
        <v>0.44397929899999999</v>
      </c>
      <c r="F1373" s="10">
        <v>-7.5002734000000001E-2</v>
      </c>
      <c r="G1373" s="10">
        <v>-0.34069435100000001</v>
      </c>
      <c r="H1373" s="9">
        <v>-0.11342966</v>
      </c>
      <c r="I1373" s="10">
        <v>0.40811572747493402</v>
      </c>
      <c r="J1373" s="10">
        <v>0.166558447012394</v>
      </c>
      <c r="K1373" s="10">
        <v>-0.21555751400000001</v>
      </c>
      <c r="L1373" s="10">
        <v>9.5077902000000006E-2</v>
      </c>
      <c r="M1373" s="10">
        <v>0.65510694700000005</v>
      </c>
      <c r="N1373" s="10">
        <v>2.3549112000000001E-2</v>
      </c>
      <c r="O1373" s="9">
        <v>0.13954411175000001</v>
      </c>
      <c r="P1373" s="10">
        <v>0.36848079347407198</v>
      </c>
      <c r="Q1373" s="10">
        <v>0.13577809515928099</v>
      </c>
    </row>
    <row r="1374" spans="1:17" x14ac:dyDescent="0.2">
      <c r="A1374" s="10">
        <v>1744</v>
      </c>
      <c r="B1374" s="10" t="s">
        <v>2830</v>
      </c>
      <c r="C1374" s="9" t="s">
        <v>2294</v>
      </c>
      <c r="D1374" s="10">
        <v>0.72466792400000002</v>
      </c>
      <c r="E1374" s="10">
        <v>-0.15064528299999999</v>
      </c>
      <c r="F1374" s="10">
        <v>-3.0338416E-2</v>
      </c>
      <c r="G1374" s="10">
        <v>-0.496488286</v>
      </c>
      <c r="H1374" s="9">
        <v>1.179898475E-2</v>
      </c>
      <c r="I1374" s="10">
        <v>0.51468494402585796</v>
      </c>
      <c r="J1374" s="10">
        <v>0.26490059160690099</v>
      </c>
      <c r="K1374" s="10">
        <v>0.96780269699999999</v>
      </c>
      <c r="L1374" s="10">
        <v>0.22361502899999999</v>
      </c>
      <c r="M1374" s="10">
        <v>-0.14990115100000001</v>
      </c>
      <c r="N1374" s="10">
        <v>1.6075598999999999E-2</v>
      </c>
      <c r="O1374" s="9">
        <v>0.26439804324999999</v>
      </c>
      <c r="P1374" s="10">
        <v>0.49320354819045598</v>
      </c>
      <c r="Q1374" s="10">
        <v>0.243249739947655</v>
      </c>
    </row>
    <row r="1375" spans="1:17" x14ac:dyDescent="0.2">
      <c r="A1375" s="10">
        <v>1745</v>
      </c>
      <c r="B1375" s="10" t="s">
        <v>2822</v>
      </c>
      <c r="C1375" s="9" t="s">
        <v>2293</v>
      </c>
      <c r="D1375" s="10">
        <v>-2.3064498840000001</v>
      </c>
      <c r="E1375" s="10">
        <v>-1.6684929340000001</v>
      </c>
      <c r="F1375" s="10">
        <v>-1.0460871679999999</v>
      </c>
      <c r="G1375" s="10">
        <v>-0.67192393100000003</v>
      </c>
      <c r="H1375" s="9">
        <v>-1.4232384792499999</v>
      </c>
      <c r="I1375" s="10">
        <v>0.71808281672912</v>
      </c>
      <c r="J1375" s="10">
        <v>0.515642931681628</v>
      </c>
      <c r="K1375" s="10">
        <v>-0.17969284099999999</v>
      </c>
      <c r="L1375" s="10">
        <v>-0.24987774700000001</v>
      </c>
      <c r="M1375" s="10">
        <v>-0.38615371799999998</v>
      </c>
      <c r="N1375" s="10">
        <v>4.3158455999999998E-2</v>
      </c>
      <c r="O1375" s="9">
        <v>-0.1931414625</v>
      </c>
      <c r="P1375" s="10">
        <v>0.17934255272654301</v>
      </c>
      <c r="Q1375" s="10">
        <v>3.2163751218473001E-2</v>
      </c>
    </row>
    <row r="1376" spans="1:17" x14ac:dyDescent="0.2">
      <c r="A1376" s="10">
        <v>1745</v>
      </c>
      <c r="B1376" s="10" t="s">
        <v>2819</v>
      </c>
      <c r="C1376" s="9" t="s">
        <v>1155</v>
      </c>
      <c r="D1376" s="10">
        <v>-0.455863132</v>
      </c>
      <c r="E1376" s="10">
        <v>-0.953154312</v>
      </c>
      <c r="F1376" s="10">
        <v>8.6727016000000004E-2</v>
      </c>
      <c r="G1376" s="10">
        <v>-0.13426067999999999</v>
      </c>
      <c r="H1376" s="9">
        <v>-0.36413777725000002</v>
      </c>
      <c r="I1376" s="10">
        <v>0.451470397901997</v>
      </c>
      <c r="J1376" s="10">
        <v>0.20382552018178701</v>
      </c>
      <c r="K1376" s="10">
        <v>0.20795740200000001</v>
      </c>
      <c r="L1376" s="10">
        <v>-0.45795328099999999</v>
      </c>
      <c r="M1376" s="10">
        <v>-0.618794446</v>
      </c>
      <c r="N1376" s="10">
        <v>-8.4192954E-2</v>
      </c>
      <c r="O1376" s="9">
        <v>-0.23824581975</v>
      </c>
      <c r="P1376" s="10">
        <v>0.37234313297259802</v>
      </c>
      <c r="Q1376" s="10">
        <v>0.13863940867184901</v>
      </c>
    </row>
    <row r="1377" spans="1:17" x14ac:dyDescent="0.2">
      <c r="A1377" s="10">
        <v>1745</v>
      </c>
      <c r="B1377" s="10" t="s">
        <v>2826</v>
      </c>
      <c r="C1377" s="9" t="s">
        <v>1156</v>
      </c>
      <c r="D1377" s="10">
        <v>0.96709961700000002</v>
      </c>
      <c r="E1377" s="10">
        <v>-1.9742963760000001</v>
      </c>
      <c r="F1377" s="10">
        <v>0.44780743899999997</v>
      </c>
      <c r="G1377" s="10">
        <v>-0.67811042200000005</v>
      </c>
      <c r="H1377" s="9">
        <v>-0.3093749355</v>
      </c>
      <c r="I1377" s="10">
        <v>1.30520007322945</v>
      </c>
      <c r="J1377" s="10">
        <v>1.7035472311581701</v>
      </c>
      <c r="K1377" s="10">
        <v>0.16043212500000001</v>
      </c>
      <c r="L1377" s="10">
        <v>-4.6341979999999998E-2</v>
      </c>
      <c r="M1377" s="10">
        <v>0.34117573000000001</v>
      </c>
      <c r="N1377" s="10">
        <v>1.0286609200000001</v>
      </c>
      <c r="O1377" s="9">
        <v>0.370981699</v>
      </c>
      <c r="P1377" s="10">
        <v>0.46616182086226599</v>
      </c>
      <c r="Q1377" s="10">
        <v>0.21730684322962401</v>
      </c>
    </row>
    <row r="1378" spans="1:17" x14ac:dyDescent="0.2">
      <c r="A1378" s="10">
        <v>1745</v>
      </c>
      <c r="B1378" s="10" t="s">
        <v>2821</v>
      </c>
      <c r="C1378" s="9" t="s">
        <v>1157</v>
      </c>
      <c r="D1378" s="10">
        <v>-0.23594685000000001</v>
      </c>
      <c r="E1378" s="10">
        <v>-0.1745401</v>
      </c>
      <c r="F1378" s="10">
        <v>-0.31167151100000001</v>
      </c>
      <c r="G1378" s="10">
        <v>0.36813042400000001</v>
      </c>
      <c r="H1378" s="9">
        <v>-8.8507008999999998E-2</v>
      </c>
      <c r="I1378" s="10">
        <v>0.309548240522031</v>
      </c>
      <c r="J1378" s="10">
        <v>9.5820113210285607E-2</v>
      </c>
      <c r="K1378" s="10">
        <v>-0.40311111799999999</v>
      </c>
      <c r="L1378" s="10">
        <v>-8.1784234999999997E-2</v>
      </c>
      <c r="M1378" s="10">
        <v>0.20972750000000001</v>
      </c>
      <c r="N1378" s="10">
        <v>-0.62612050799999996</v>
      </c>
      <c r="O1378" s="9">
        <v>-0.22532209025</v>
      </c>
      <c r="P1378" s="10">
        <v>0.36611454124160597</v>
      </c>
      <c r="Q1378" s="10">
        <v>0.134039857308552</v>
      </c>
    </row>
    <row r="1379" spans="1:17" x14ac:dyDescent="0.2">
      <c r="A1379" s="10">
        <v>1745</v>
      </c>
      <c r="B1379" s="10" t="s">
        <v>79</v>
      </c>
      <c r="C1379" s="9" t="s">
        <v>1158</v>
      </c>
      <c r="D1379" s="10">
        <v>-2.3823359999999998E-2</v>
      </c>
      <c r="E1379" s="10">
        <v>-0.28781687900000003</v>
      </c>
      <c r="F1379" s="10">
        <v>-0.114637111</v>
      </c>
      <c r="G1379" s="10">
        <v>-0.242232963</v>
      </c>
      <c r="H1379" s="9">
        <v>-0.16712757850000001</v>
      </c>
      <c r="I1379" s="10">
        <v>0.12041328035054399</v>
      </c>
      <c r="J1379" s="10">
        <v>1.4499358084778801E-2</v>
      </c>
      <c r="K1379" s="10">
        <v>0.33008511600000001</v>
      </c>
      <c r="L1379" s="10">
        <v>0.250197275</v>
      </c>
      <c r="M1379" s="10">
        <v>8.8317898000000006E-2</v>
      </c>
      <c r="N1379" s="10">
        <v>-0.17388010800000001</v>
      </c>
      <c r="O1379" s="9">
        <v>0.123680045</v>
      </c>
      <c r="P1379" s="10">
        <v>0.22241267118820701</v>
      </c>
      <c r="Q1379" s="10">
        <v>4.9467396305073602E-2</v>
      </c>
    </row>
    <row r="1380" spans="1:17" x14ac:dyDescent="0.2">
      <c r="A1380" s="10">
        <v>1745</v>
      </c>
      <c r="B1380" s="10" t="s">
        <v>2824</v>
      </c>
      <c r="C1380" s="9" t="s">
        <v>2292</v>
      </c>
      <c r="D1380" s="10">
        <v>-0.107079381</v>
      </c>
      <c r="E1380" s="10">
        <v>-0.44850865299999998</v>
      </c>
      <c r="F1380" s="10">
        <v>-0.40788280900000001</v>
      </c>
      <c r="G1380" s="10">
        <v>-7.1807809999999998E-3</v>
      </c>
      <c r="H1380" s="9">
        <v>-0.24266290600000001</v>
      </c>
      <c r="I1380" s="10">
        <v>0.21871199582347101</v>
      </c>
      <c r="J1380" s="10">
        <v>4.7834937117086203E-2</v>
      </c>
      <c r="K1380" s="10">
        <v>3.9245161000000001E-2</v>
      </c>
      <c r="L1380" s="10">
        <v>9.9937213999999996E-2</v>
      </c>
      <c r="M1380" s="10">
        <v>0.11526148899999999</v>
      </c>
      <c r="N1380" s="10">
        <v>-0.109776742</v>
      </c>
      <c r="O1380" s="9">
        <v>3.6166780500000002E-2</v>
      </c>
      <c r="P1380" s="10">
        <v>0.10268337951796</v>
      </c>
      <c r="Q1380" s="10">
        <v>1.05438764292295E-2</v>
      </c>
    </row>
    <row r="1381" spans="1:17" x14ac:dyDescent="0.2">
      <c r="A1381" s="10">
        <v>1745</v>
      </c>
      <c r="B1381" s="10" t="s">
        <v>2814</v>
      </c>
      <c r="C1381" s="9" t="s">
        <v>2291</v>
      </c>
      <c r="D1381" s="10">
        <v>-1.4411056870000001</v>
      </c>
      <c r="E1381" s="10">
        <v>-3.9242416000000002E-2</v>
      </c>
      <c r="F1381" s="10">
        <v>-1.2157930139999999</v>
      </c>
      <c r="G1381" s="10">
        <v>-0.62436762700000004</v>
      </c>
      <c r="H1381" s="9">
        <v>-0.83012718600000002</v>
      </c>
      <c r="I1381" s="10">
        <v>0.62978000791518696</v>
      </c>
      <c r="J1381" s="10">
        <v>0.396622858369653</v>
      </c>
      <c r="K1381" s="10">
        <v>9.9981859999999992E-3</v>
      </c>
      <c r="L1381" s="10">
        <v>-7.0108242000000001E-2</v>
      </c>
      <c r="M1381" s="10">
        <v>0.16286655799999999</v>
      </c>
      <c r="N1381" s="10">
        <v>-9.3265012999999994E-2</v>
      </c>
      <c r="O1381" s="9">
        <v>2.3728719999999998E-3</v>
      </c>
      <c r="P1381" s="10">
        <v>0.11578210223435401</v>
      </c>
      <c r="Q1381" s="10">
        <v>1.34054951978064E-2</v>
      </c>
    </row>
    <row r="1382" spans="1:17" x14ac:dyDescent="0.2">
      <c r="A1382" s="10">
        <v>1745</v>
      </c>
      <c r="B1382" s="10" t="s">
        <v>74</v>
      </c>
      <c r="C1382" s="9" t="s">
        <v>2290</v>
      </c>
      <c r="D1382" s="10">
        <v>0.29001489600000002</v>
      </c>
      <c r="E1382" s="10">
        <v>-0.97805670199999994</v>
      </c>
      <c r="F1382" s="10">
        <v>-0.119809263</v>
      </c>
      <c r="G1382" s="10">
        <v>-0.51073363000000005</v>
      </c>
      <c r="H1382" s="9">
        <v>-0.32964617475000002</v>
      </c>
      <c r="I1382" s="10">
        <v>0.54198408661551301</v>
      </c>
      <c r="J1382" s="10">
        <v>0.29374675014445201</v>
      </c>
      <c r="K1382" s="10">
        <v>-3.5429084E-2</v>
      </c>
      <c r="L1382" s="10">
        <v>-0.37619337400000002</v>
      </c>
      <c r="M1382" s="10">
        <v>-0.59715164499999995</v>
      </c>
      <c r="N1382" s="10">
        <v>0.10333735600000001</v>
      </c>
      <c r="O1382" s="9">
        <v>-0.22635918675</v>
      </c>
      <c r="P1382" s="10">
        <v>0.318899903418702</v>
      </c>
      <c r="Q1382" s="10">
        <v>0.101697148400458</v>
      </c>
    </row>
    <row r="1383" spans="1:17" x14ac:dyDescent="0.2">
      <c r="A1383" s="10">
        <v>1746</v>
      </c>
      <c r="B1383" s="10" t="s">
        <v>2831</v>
      </c>
      <c r="C1383" s="9" t="s">
        <v>2289</v>
      </c>
      <c r="D1383" s="10">
        <v>-1.795506249</v>
      </c>
      <c r="E1383" s="10">
        <v>-0.38439027100000001</v>
      </c>
      <c r="F1383" s="10">
        <v>-4.9627281730000004</v>
      </c>
      <c r="G1383" s="10">
        <v>-2.5890921869999999</v>
      </c>
      <c r="H1383" s="9">
        <v>-2.4329292197500001</v>
      </c>
      <c r="I1383" s="10">
        <v>1.9172106026195599</v>
      </c>
      <c r="J1383" s="10">
        <v>3.67569649479687</v>
      </c>
      <c r="K1383" s="10">
        <v>-1.57968413</v>
      </c>
      <c r="L1383" s="10">
        <v>-8.5032485000000005E-2</v>
      </c>
      <c r="M1383" s="10">
        <v>-0.37093872</v>
      </c>
      <c r="N1383" s="10">
        <v>-1.787513691</v>
      </c>
      <c r="O1383" s="9">
        <v>-0.95579225649999999</v>
      </c>
      <c r="P1383" s="10">
        <v>0.85269726031485205</v>
      </c>
      <c r="Q1383" s="10">
        <v>0.72709261774845502</v>
      </c>
    </row>
    <row r="1384" spans="1:17" x14ac:dyDescent="0.2">
      <c r="A1384" s="10">
        <v>1746</v>
      </c>
      <c r="B1384" s="10" t="s">
        <v>2822</v>
      </c>
      <c r="C1384" s="9" t="s">
        <v>2288</v>
      </c>
      <c r="D1384" s="10">
        <v>-0.63309871900000003</v>
      </c>
      <c r="E1384" s="10">
        <v>-0.49146977400000003</v>
      </c>
      <c r="F1384" s="10">
        <v>-0.71299439899999995</v>
      </c>
      <c r="G1384" s="10">
        <v>-1.052021595</v>
      </c>
      <c r="H1384" s="9">
        <v>-0.72239612175000001</v>
      </c>
      <c r="I1384" s="10">
        <v>0.23807726282939001</v>
      </c>
      <c r="J1384" s="10">
        <v>5.6680783076334597E-2</v>
      </c>
      <c r="K1384" s="10">
        <v>0.67012888299999995</v>
      </c>
      <c r="L1384" s="10">
        <v>6.6458057000000001E-2</v>
      </c>
      <c r="M1384" s="10">
        <v>-0.53095423399999997</v>
      </c>
      <c r="N1384" s="10">
        <v>-0.373698048</v>
      </c>
      <c r="O1384" s="9">
        <v>-4.2016335500000002E-2</v>
      </c>
      <c r="P1384" s="10">
        <v>0.53789420677836697</v>
      </c>
      <c r="Q1384" s="10">
        <v>0.289330177685728</v>
      </c>
    </row>
    <row r="1385" spans="1:17" x14ac:dyDescent="0.2">
      <c r="A1385" s="10">
        <v>1746</v>
      </c>
      <c r="B1385" s="10" t="s">
        <v>96</v>
      </c>
      <c r="C1385" s="9" t="s">
        <v>2287</v>
      </c>
      <c r="D1385" s="10">
        <v>-0.59707258600000002</v>
      </c>
      <c r="E1385" s="10">
        <v>-0.226537655</v>
      </c>
      <c r="F1385" s="10">
        <v>-1.1010722100000001</v>
      </c>
      <c r="G1385" s="10">
        <v>-0.74486731100000003</v>
      </c>
      <c r="H1385" s="9">
        <v>-0.66738744049999998</v>
      </c>
      <c r="I1385" s="10">
        <v>0.362113390053317</v>
      </c>
      <c r="J1385" s="10">
        <v>0.13112610725590501</v>
      </c>
      <c r="K1385" s="10">
        <v>-0.28187333999999997</v>
      </c>
      <c r="L1385" s="10">
        <v>-5.059699E-3</v>
      </c>
      <c r="M1385" s="10">
        <v>0.26566013300000002</v>
      </c>
      <c r="N1385" s="10">
        <v>-1.3813387E-2</v>
      </c>
      <c r="O1385" s="9">
        <v>-8.7715732499999994E-3</v>
      </c>
      <c r="P1385" s="10">
        <v>0.22355948820063901</v>
      </c>
      <c r="Q1385" s="10">
        <v>4.9978844764531703E-2</v>
      </c>
    </row>
    <row r="1386" spans="1:17" x14ac:dyDescent="0.2">
      <c r="A1386" s="10">
        <v>1746</v>
      </c>
      <c r="B1386" s="10" t="s">
        <v>2823</v>
      </c>
      <c r="C1386" s="9" t="s">
        <v>54</v>
      </c>
      <c r="D1386" s="10">
        <v>-1.1561190400000001</v>
      </c>
      <c r="E1386" s="10">
        <v>-0.88451773700000003</v>
      </c>
      <c r="F1386" s="10">
        <v>-0.46436889199999998</v>
      </c>
      <c r="G1386" s="10">
        <v>-0.36725206599999999</v>
      </c>
      <c r="H1386" s="9">
        <v>-0.71806443374999995</v>
      </c>
      <c r="I1386" s="10">
        <v>0.36834281382514</v>
      </c>
      <c r="J1386" s="10">
        <v>0.13567642849662201</v>
      </c>
      <c r="K1386" s="10">
        <v>0.36594207000000001</v>
      </c>
      <c r="L1386" s="10">
        <v>9.2710057999999998E-2</v>
      </c>
      <c r="M1386" s="10">
        <v>0.81677367599999995</v>
      </c>
      <c r="N1386" s="10">
        <v>-0.69674544599999999</v>
      </c>
      <c r="O1386" s="9">
        <v>0.14467008924999999</v>
      </c>
      <c r="P1386" s="10">
        <v>0.63544327535844003</v>
      </c>
      <c r="Q1386" s="10">
        <v>0.40378815619826203</v>
      </c>
    </row>
    <row r="1387" spans="1:17" x14ac:dyDescent="0.2">
      <c r="A1387" s="10">
        <v>1746</v>
      </c>
      <c r="B1387" s="10" t="s">
        <v>2819</v>
      </c>
      <c r="C1387" s="9" t="s">
        <v>1159</v>
      </c>
      <c r="D1387" s="10">
        <v>-0.40000565399999999</v>
      </c>
      <c r="E1387" s="10">
        <v>-1.2952803639999999</v>
      </c>
      <c r="F1387" s="10">
        <v>-1.538310171</v>
      </c>
      <c r="G1387" s="10">
        <v>-0.98555062000000004</v>
      </c>
      <c r="H1387" s="9">
        <v>-1.0547867022499999</v>
      </c>
      <c r="I1387" s="10">
        <v>0.49165163900423497</v>
      </c>
      <c r="J1387" s="10">
        <v>0.241721334135551</v>
      </c>
      <c r="K1387" s="10">
        <v>-0.83328472600000003</v>
      </c>
      <c r="L1387" s="10">
        <v>-0.737028876</v>
      </c>
      <c r="M1387" s="10">
        <v>-1.849541498</v>
      </c>
      <c r="N1387" s="10">
        <v>-1.1717400259999999</v>
      </c>
      <c r="O1387" s="9">
        <v>-1.1478987814999999</v>
      </c>
      <c r="P1387" s="10">
        <v>0.50354310961444104</v>
      </c>
      <c r="Q1387" s="10">
        <v>0.25355566324018097</v>
      </c>
    </row>
    <row r="1388" spans="1:17" x14ac:dyDescent="0.2">
      <c r="A1388" s="10">
        <v>1746</v>
      </c>
      <c r="B1388" s="10" t="s">
        <v>2826</v>
      </c>
      <c r="C1388" s="9" t="s">
        <v>2286</v>
      </c>
      <c r="D1388" s="10">
        <v>-2.7163112999999999E-2</v>
      </c>
      <c r="E1388" s="10">
        <v>-1.9018743119999999</v>
      </c>
      <c r="F1388" s="10">
        <v>-1.362362726</v>
      </c>
      <c r="G1388" s="10">
        <v>-4.765990232</v>
      </c>
      <c r="H1388" s="9">
        <v>-2.0143475954999999</v>
      </c>
      <c r="I1388" s="10">
        <v>1.9965114471707599</v>
      </c>
      <c r="J1388" s="10">
        <v>3.98605795868388</v>
      </c>
      <c r="K1388" s="10">
        <v>0.115804294</v>
      </c>
      <c r="L1388" s="10">
        <v>0.46883533599999999</v>
      </c>
      <c r="M1388" s="10">
        <v>3.7089689000000002E-2</v>
      </c>
      <c r="N1388" s="10">
        <v>-0.34421898099999998</v>
      </c>
      <c r="O1388" s="9">
        <v>6.9377584749999999E-2</v>
      </c>
      <c r="P1388" s="10">
        <v>0.33357985639505999</v>
      </c>
      <c r="Q1388" s="10">
        <v>0.111275520592549</v>
      </c>
    </row>
    <row r="1389" spans="1:17" x14ac:dyDescent="0.2">
      <c r="A1389" s="10">
        <v>1746</v>
      </c>
      <c r="B1389" s="10" t="s">
        <v>79</v>
      </c>
      <c r="C1389" s="9" t="s">
        <v>2285</v>
      </c>
      <c r="D1389" s="10">
        <v>-0.37930379400000003</v>
      </c>
      <c r="E1389" s="10">
        <v>5.2731242999999997E-2</v>
      </c>
      <c r="F1389" s="10">
        <v>-0.821104626</v>
      </c>
      <c r="G1389" s="10">
        <v>-0.34607248000000002</v>
      </c>
      <c r="H1389" s="9">
        <v>-0.37343741424999999</v>
      </c>
      <c r="I1389" s="10">
        <v>0.35721557960432598</v>
      </c>
      <c r="J1389" s="10">
        <v>0.127602970312055</v>
      </c>
      <c r="K1389" s="10">
        <v>-9.3726671999999997E-2</v>
      </c>
      <c r="L1389" s="10">
        <v>2.6596851000000001E-2</v>
      </c>
      <c r="M1389" s="10">
        <v>-2.0518155E-2</v>
      </c>
      <c r="N1389" s="10">
        <v>0.17076434099999999</v>
      </c>
      <c r="O1389" s="9">
        <v>2.0779091E-2</v>
      </c>
      <c r="P1389" s="10">
        <v>0.111574270983318</v>
      </c>
      <c r="Q1389" s="10">
        <v>1.24488179454589E-2</v>
      </c>
    </row>
    <row r="1390" spans="1:17" x14ac:dyDescent="0.2">
      <c r="A1390" s="10">
        <v>1746</v>
      </c>
      <c r="B1390" s="10" t="s">
        <v>2824</v>
      </c>
      <c r="C1390" s="9" t="s">
        <v>55</v>
      </c>
      <c r="D1390" s="10">
        <v>-0.61076682999999998</v>
      </c>
      <c r="E1390" s="10">
        <v>-0.62936301299999997</v>
      </c>
      <c r="F1390" s="10">
        <v>-0.28549928499999999</v>
      </c>
      <c r="G1390" s="10">
        <v>-0.55600484900000002</v>
      </c>
      <c r="H1390" s="9">
        <v>-0.52040849425000002</v>
      </c>
      <c r="I1390" s="10">
        <v>0.159671697614722</v>
      </c>
      <c r="J1390" s="10">
        <v>2.5495051019167301E-2</v>
      </c>
      <c r="K1390" s="10">
        <v>0.29989433599999998</v>
      </c>
      <c r="L1390" s="10">
        <v>-0.187919314</v>
      </c>
      <c r="M1390" s="10">
        <v>0.23575210499999999</v>
      </c>
      <c r="N1390" s="10">
        <v>4.4432916000000003E-2</v>
      </c>
      <c r="O1390" s="9">
        <v>9.8040010750000003E-2</v>
      </c>
      <c r="P1390" s="10">
        <v>0.21935986076450101</v>
      </c>
      <c r="Q1390" s="10">
        <v>4.8118748514621598E-2</v>
      </c>
    </row>
    <row r="1391" spans="1:17" x14ac:dyDescent="0.2">
      <c r="A1391" s="10">
        <v>1746</v>
      </c>
      <c r="B1391" s="10" t="s">
        <v>2814</v>
      </c>
      <c r="C1391" s="9" t="s">
        <v>1160</v>
      </c>
      <c r="D1391" s="10">
        <v>-2.0190166029999999</v>
      </c>
      <c r="E1391" s="10">
        <v>-0.148094158</v>
      </c>
      <c r="F1391" s="10">
        <v>-0.414149037</v>
      </c>
      <c r="G1391" s="10">
        <v>-1.6868436499999999</v>
      </c>
      <c r="H1391" s="9">
        <v>-1.0670258619999999</v>
      </c>
      <c r="I1391" s="10">
        <v>0.923966825975436</v>
      </c>
      <c r="J1391" s="10">
        <v>0.85371469550312196</v>
      </c>
      <c r="K1391" s="10">
        <v>-0.34777502900000001</v>
      </c>
      <c r="L1391" s="10">
        <v>-0.54034813000000004</v>
      </c>
      <c r="M1391" s="10">
        <v>-0.83841895899999996</v>
      </c>
      <c r="N1391" s="10">
        <v>-1.2596091760000001</v>
      </c>
      <c r="O1391" s="9">
        <v>-0.74653782324999995</v>
      </c>
      <c r="P1391" s="10">
        <v>0.397160887550633</v>
      </c>
      <c r="Q1391" s="10">
        <v>0.15773677060000699</v>
      </c>
    </row>
    <row r="1392" spans="1:17" x14ac:dyDescent="0.2">
      <c r="A1392" s="10">
        <v>1746</v>
      </c>
      <c r="B1392" s="10" t="s">
        <v>2833</v>
      </c>
      <c r="C1392" s="9" t="s">
        <v>1161</v>
      </c>
      <c r="D1392" s="10">
        <v>-1.6083873900000001</v>
      </c>
      <c r="E1392" s="10">
        <v>-0.33238885099999999</v>
      </c>
      <c r="F1392" s="10">
        <v>-1.365907003</v>
      </c>
      <c r="G1392" s="10">
        <v>7.8847194999999995E-2</v>
      </c>
      <c r="H1392" s="9">
        <v>-0.80695901225</v>
      </c>
      <c r="I1392" s="10">
        <v>0.80923415972097501</v>
      </c>
      <c r="J1392" s="10">
        <v>0.65485992525931302</v>
      </c>
      <c r="K1392" s="10">
        <v>0.661548727</v>
      </c>
      <c r="L1392" s="10">
        <v>0.81041856800000001</v>
      </c>
      <c r="M1392" s="10">
        <v>0.81264897899999999</v>
      </c>
      <c r="N1392" s="10">
        <v>0.77741333300000004</v>
      </c>
      <c r="O1392" s="9">
        <v>0.76550740174999998</v>
      </c>
      <c r="P1392" s="10">
        <v>7.1153586028765606E-2</v>
      </c>
      <c r="Q1392" s="10">
        <v>5.0628328047529004E-3</v>
      </c>
    </row>
    <row r="1393" spans="1:17" x14ac:dyDescent="0.2">
      <c r="A1393" s="10">
        <v>1746</v>
      </c>
      <c r="B1393" s="10" t="s">
        <v>2825</v>
      </c>
      <c r="C1393" s="9" t="s">
        <v>1162</v>
      </c>
      <c r="D1393" s="10">
        <v>-0.22452609200000001</v>
      </c>
      <c r="E1393" s="10">
        <v>-0.49996715000000003</v>
      </c>
      <c r="F1393" s="10">
        <v>-0.77465411399999995</v>
      </c>
      <c r="G1393" s="10">
        <v>-0.333028722</v>
      </c>
      <c r="H1393" s="9">
        <v>-0.45804401924999999</v>
      </c>
      <c r="I1393" s="10">
        <v>0.239554411274437</v>
      </c>
      <c r="J1393" s="10">
        <v>5.7386315961042503E-2</v>
      </c>
      <c r="K1393" s="10">
        <v>1.5441398E-2</v>
      </c>
      <c r="L1393" s="10">
        <v>-1.694610366</v>
      </c>
      <c r="M1393" s="10">
        <v>0.101652745</v>
      </c>
      <c r="N1393" s="10">
        <v>-0.57411516200000001</v>
      </c>
      <c r="O1393" s="9">
        <v>-0.53790784624999999</v>
      </c>
      <c r="P1393" s="10">
        <v>0.82754754644912798</v>
      </c>
      <c r="Q1393" s="10">
        <v>0.68483494163397096</v>
      </c>
    </row>
    <row r="1394" spans="1:17" x14ac:dyDescent="0.2">
      <c r="A1394" s="10">
        <v>1746</v>
      </c>
      <c r="B1394" s="10" t="s">
        <v>74</v>
      </c>
      <c r="C1394" s="9" t="s">
        <v>2284</v>
      </c>
      <c r="D1394" s="10">
        <v>-0.76077434200000005</v>
      </c>
      <c r="E1394" s="10">
        <v>-0.37993948900000002</v>
      </c>
      <c r="F1394" s="10">
        <v>-1.118784936</v>
      </c>
      <c r="G1394" s="10">
        <v>0.50563357200000003</v>
      </c>
      <c r="H1394" s="9">
        <v>-0.43846629874999998</v>
      </c>
      <c r="I1394" s="10">
        <v>0.69796510809233103</v>
      </c>
      <c r="J1394" s="10">
        <v>0.48715529211434</v>
      </c>
      <c r="K1394" s="10">
        <v>-0.31955337499999997</v>
      </c>
      <c r="L1394" s="10">
        <v>1.5047160690000001</v>
      </c>
      <c r="M1394" s="10">
        <v>-1.2081867770000001</v>
      </c>
      <c r="N1394" s="10">
        <v>1.948563021</v>
      </c>
      <c r="O1394" s="9">
        <v>0.48138473474999999</v>
      </c>
      <c r="P1394" s="10">
        <v>1.4939849276647601</v>
      </c>
      <c r="Q1394" s="10">
        <v>2.2319909640894799</v>
      </c>
    </row>
    <row r="1395" spans="1:17" x14ac:dyDescent="0.2">
      <c r="A1395" s="10">
        <v>1746</v>
      </c>
      <c r="B1395" s="10" t="s">
        <v>2818</v>
      </c>
      <c r="C1395" s="9" t="s">
        <v>1163</v>
      </c>
      <c r="D1395" s="10">
        <v>-5.8037377000000001E-2</v>
      </c>
      <c r="E1395" s="10">
        <v>-9.7498984999999996E-2</v>
      </c>
      <c r="F1395" s="10">
        <v>-0.28769776699999999</v>
      </c>
      <c r="G1395" s="10">
        <v>-0.626563906</v>
      </c>
      <c r="H1395" s="9">
        <v>-0.26744950899999997</v>
      </c>
      <c r="I1395" s="10">
        <v>0.25955716372401599</v>
      </c>
      <c r="J1395" s="10">
        <v>6.7369921240456002E-2</v>
      </c>
      <c r="K1395" s="10">
        <v>5.2415534E-2</v>
      </c>
      <c r="L1395" s="10">
        <v>-0.13184933700000001</v>
      </c>
      <c r="M1395" s="10">
        <v>-0.157986074</v>
      </c>
      <c r="N1395" s="10">
        <v>-0.184499624</v>
      </c>
      <c r="O1395" s="9">
        <v>-0.105479875</v>
      </c>
      <c r="P1395" s="10">
        <v>0.107435764335248</v>
      </c>
      <c r="Q1395" s="10">
        <v>1.15424434582991E-2</v>
      </c>
    </row>
    <row r="1396" spans="1:17" x14ac:dyDescent="0.2">
      <c r="A1396" s="10">
        <v>1746</v>
      </c>
      <c r="B1396" s="10" t="s">
        <v>2830</v>
      </c>
      <c r="C1396" s="9" t="s">
        <v>2283</v>
      </c>
      <c r="D1396" s="10">
        <v>-0.56645191500000003</v>
      </c>
      <c r="E1396" s="10">
        <v>0.33373557300000001</v>
      </c>
      <c r="F1396" s="10">
        <v>-0.68549594700000005</v>
      </c>
      <c r="G1396" s="10">
        <v>1.9308222999999999E-2</v>
      </c>
      <c r="H1396" s="9">
        <v>-0.22472601675000001</v>
      </c>
      <c r="I1396" s="10">
        <v>0.48322443907354101</v>
      </c>
      <c r="J1396" s="10">
        <v>0.23350585851793901</v>
      </c>
      <c r="K1396" s="10">
        <v>0.46837466799999999</v>
      </c>
      <c r="L1396" s="10">
        <v>-0.355022222</v>
      </c>
      <c r="M1396" s="10">
        <v>9.8473429000000001E-2</v>
      </c>
      <c r="N1396" s="10">
        <v>-0.27109766299999999</v>
      </c>
      <c r="O1396" s="9">
        <v>-1.481794725E-2</v>
      </c>
      <c r="P1396" s="10">
        <v>0.37759249667148997</v>
      </c>
      <c r="Q1396" s="10">
        <v>0.142576093542609</v>
      </c>
    </row>
    <row r="1397" spans="1:17" x14ac:dyDescent="0.2">
      <c r="A1397" s="10">
        <v>1747</v>
      </c>
      <c r="B1397" s="10" t="s">
        <v>2822</v>
      </c>
      <c r="C1397" s="9" t="s">
        <v>2282</v>
      </c>
      <c r="D1397" s="10">
        <v>-0.66957720099999996</v>
      </c>
      <c r="E1397" s="10">
        <v>-0.60203965599999998</v>
      </c>
      <c r="F1397" s="10">
        <v>-0.70211749300000004</v>
      </c>
      <c r="G1397" s="10">
        <v>-0.68351375999999997</v>
      </c>
      <c r="H1397" s="9">
        <v>-0.66431202749999996</v>
      </c>
      <c r="I1397" s="10">
        <v>4.3602484856149898E-2</v>
      </c>
      <c r="J1397" s="10">
        <v>1.9011766856307001E-3</v>
      </c>
      <c r="K1397" s="10">
        <v>-0.109111047</v>
      </c>
      <c r="L1397" s="10">
        <v>-0.11574109</v>
      </c>
      <c r="M1397" s="10">
        <v>0.13026897000000001</v>
      </c>
      <c r="N1397" s="10">
        <v>-0.31510320000000003</v>
      </c>
      <c r="O1397" s="9">
        <v>-0.10242159175</v>
      </c>
      <c r="P1397" s="10">
        <v>0.18220914892920001</v>
      </c>
      <c r="Q1397" s="10">
        <v>3.3200173953503498E-2</v>
      </c>
    </row>
    <row r="1398" spans="1:17" x14ac:dyDescent="0.2">
      <c r="A1398" s="10">
        <v>1747</v>
      </c>
      <c r="B1398" s="10" t="s">
        <v>96</v>
      </c>
      <c r="C1398" s="9" t="s">
        <v>2281</v>
      </c>
      <c r="D1398" s="10">
        <v>-0.33319760900000001</v>
      </c>
      <c r="E1398" s="10">
        <v>9.2218343999999994E-2</v>
      </c>
      <c r="F1398" s="10">
        <v>-0.39805204</v>
      </c>
      <c r="G1398" s="10">
        <v>-0.33085457699999998</v>
      </c>
      <c r="H1398" s="9">
        <v>-0.24247147024999999</v>
      </c>
      <c r="I1398" s="10">
        <v>0.22528899311602699</v>
      </c>
      <c r="J1398" s="10">
        <v>5.07551304192334E-2</v>
      </c>
      <c r="K1398" s="10">
        <v>0.114011904</v>
      </c>
      <c r="L1398" s="10">
        <v>-8.2030585000000003E-2</v>
      </c>
      <c r="M1398" s="10">
        <v>0.207181321</v>
      </c>
      <c r="N1398" s="10">
        <v>0.44422668599999998</v>
      </c>
      <c r="O1398" s="9">
        <v>0.1708473315</v>
      </c>
      <c r="P1398" s="10">
        <v>0.21850548180179999</v>
      </c>
      <c r="Q1398" s="10">
        <v>4.77446455774371E-2</v>
      </c>
    </row>
    <row r="1399" spans="1:17" x14ac:dyDescent="0.2">
      <c r="A1399" s="10">
        <v>1747</v>
      </c>
      <c r="B1399" s="10" t="s">
        <v>2823</v>
      </c>
      <c r="C1399" s="9" t="s">
        <v>1164</v>
      </c>
      <c r="D1399" s="10">
        <v>-8.9655926999999996E-2</v>
      </c>
      <c r="E1399" s="10">
        <v>-0.16405520700000001</v>
      </c>
      <c r="F1399" s="10">
        <v>-6.6295979000000005E-2</v>
      </c>
      <c r="G1399" s="10">
        <v>-9.8642184999999993E-2</v>
      </c>
      <c r="H1399" s="9">
        <v>-0.1046623245</v>
      </c>
      <c r="I1399" s="10">
        <v>4.1876504964843297E-2</v>
      </c>
      <c r="J1399" s="10">
        <v>1.7536416680705E-3</v>
      </c>
      <c r="K1399" s="10">
        <v>-0.34080304700000003</v>
      </c>
      <c r="L1399" s="10">
        <v>-2.4324202E-2</v>
      </c>
      <c r="M1399" s="10">
        <v>-0.14273441000000001</v>
      </c>
      <c r="N1399" s="10">
        <v>0.26656621699999999</v>
      </c>
      <c r="O1399" s="9">
        <v>-6.032386025E-2</v>
      </c>
      <c r="P1399" s="10">
        <v>0.25404275946427202</v>
      </c>
      <c r="Q1399" s="10">
        <v>6.4537723636222094E-2</v>
      </c>
    </row>
    <row r="1400" spans="1:17" x14ac:dyDescent="0.2">
      <c r="A1400" s="10">
        <v>1747</v>
      </c>
      <c r="B1400" s="10" t="s">
        <v>2834</v>
      </c>
      <c r="C1400" s="9" t="s">
        <v>1165</v>
      </c>
      <c r="D1400" s="10">
        <v>-0.33937571300000002</v>
      </c>
      <c r="E1400" s="10">
        <v>0.11176918499999999</v>
      </c>
      <c r="F1400" s="10">
        <v>-0.201151256</v>
      </c>
      <c r="G1400" s="10">
        <v>-0.28369359399999999</v>
      </c>
      <c r="H1400" s="9">
        <v>-0.17811284475</v>
      </c>
      <c r="I1400" s="10">
        <v>0.201424400088728</v>
      </c>
      <c r="J1400" s="10">
        <v>4.0571788951103999E-2</v>
      </c>
      <c r="K1400" s="10">
        <v>0.38364366999999999</v>
      </c>
      <c r="L1400" s="10">
        <v>0.57909069000000002</v>
      </c>
      <c r="M1400" s="10">
        <v>0.29631106699999998</v>
      </c>
      <c r="N1400" s="10">
        <v>0.14029502899999999</v>
      </c>
      <c r="O1400" s="9">
        <v>0.34983511425000002</v>
      </c>
      <c r="P1400" s="10">
        <v>0.183005472062961</v>
      </c>
      <c r="Q1400" s="10">
        <v>3.3491002804987402E-2</v>
      </c>
    </row>
    <row r="1401" spans="1:17" x14ac:dyDescent="0.2">
      <c r="A1401" s="10">
        <v>1747</v>
      </c>
      <c r="B1401" s="10" t="s">
        <v>79</v>
      </c>
      <c r="C1401" s="9" t="s">
        <v>1166</v>
      </c>
      <c r="D1401" s="10">
        <v>-0.49932668200000002</v>
      </c>
      <c r="E1401" s="10">
        <v>-0.13350068800000001</v>
      </c>
      <c r="F1401" s="10">
        <v>-0.34126432299999998</v>
      </c>
      <c r="G1401" s="10">
        <v>4.0882381000000002E-2</v>
      </c>
      <c r="H1401" s="9">
        <v>-0.233302328</v>
      </c>
      <c r="I1401" s="10">
        <v>0.23633477052802401</v>
      </c>
      <c r="J1401" s="10">
        <v>5.5854123760533801E-2</v>
      </c>
      <c r="K1401" s="10">
        <v>-0.201900155</v>
      </c>
      <c r="L1401" s="10">
        <v>-0.33460911500000001</v>
      </c>
      <c r="M1401" s="10">
        <v>-0.29441719399999999</v>
      </c>
      <c r="N1401" s="10">
        <v>0.102172844</v>
      </c>
      <c r="O1401" s="9">
        <v>-0.182188405</v>
      </c>
      <c r="P1401" s="10">
        <v>0.19754935833711099</v>
      </c>
      <c r="Q1401" s="10">
        <v>3.90257489794043E-2</v>
      </c>
    </row>
    <row r="1402" spans="1:17" x14ac:dyDescent="0.2">
      <c r="A1402" s="10">
        <v>1747</v>
      </c>
      <c r="B1402" s="10" t="s">
        <v>2824</v>
      </c>
      <c r="C1402" s="9" t="s">
        <v>1167</v>
      </c>
      <c r="D1402" s="10">
        <v>-4.3608539000000002E-2</v>
      </c>
      <c r="E1402" s="10">
        <v>2.3816408000000001E-2</v>
      </c>
      <c r="F1402" s="10">
        <v>-0.36986878499999998</v>
      </c>
      <c r="G1402" s="10">
        <v>-0.25420360400000003</v>
      </c>
      <c r="H1402" s="9">
        <v>-0.16096613000000001</v>
      </c>
      <c r="I1402" s="10">
        <v>0.18280311479749101</v>
      </c>
      <c r="J1402" s="10">
        <v>3.3416978779664798E-2</v>
      </c>
      <c r="K1402" s="10">
        <v>-5.3996666999999998E-2</v>
      </c>
      <c r="L1402" s="10">
        <v>-0.14113978799999999</v>
      </c>
      <c r="M1402" s="10">
        <v>2.6017065999999998E-2</v>
      </c>
      <c r="N1402" s="10">
        <v>5.984283E-2</v>
      </c>
      <c r="O1402" s="9">
        <v>-2.7319139749999999E-2</v>
      </c>
      <c r="P1402" s="10">
        <v>8.9645208540354501E-2</v>
      </c>
      <c r="Q1402" s="10">
        <v>8.0362634142435996E-3</v>
      </c>
    </row>
    <row r="1403" spans="1:17" x14ac:dyDescent="0.2">
      <c r="A1403" s="10">
        <v>1747</v>
      </c>
      <c r="B1403" s="10" t="s">
        <v>2814</v>
      </c>
      <c r="C1403" s="9" t="s">
        <v>56</v>
      </c>
      <c r="D1403" s="10">
        <v>-0.75362864900000004</v>
      </c>
      <c r="E1403" s="10">
        <v>-0.968055942</v>
      </c>
      <c r="F1403" s="10">
        <v>-1.1359170240000001</v>
      </c>
      <c r="G1403" s="10">
        <v>-0.44963610500000001</v>
      </c>
      <c r="H1403" s="9">
        <v>-0.82680942999999996</v>
      </c>
      <c r="I1403" s="10">
        <v>0.29614930109656901</v>
      </c>
      <c r="J1403" s="10">
        <v>8.7704408539986803E-2</v>
      </c>
      <c r="K1403" s="10">
        <v>1.7425045E-2</v>
      </c>
      <c r="L1403" s="10">
        <v>-0.31750173100000001</v>
      </c>
      <c r="M1403" s="10">
        <v>1.2254618E-2</v>
      </c>
      <c r="N1403" s="10">
        <v>-0.19906895399999999</v>
      </c>
      <c r="O1403" s="9">
        <v>-0.1217227555</v>
      </c>
      <c r="P1403" s="10">
        <v>0.16494836430852799</v>
      </c>
      <c r="Q1403" s="10">
        <v>2.7207962888059101E-2</v>
      </c>
    </row>
    <row r="1404" spans="1:17" x14ac:dyDescent="0.2">
      <c r="A1404" s="10">
        <v>1747</v>
      </c>
      <c r="B1404" s="10" t="s">
        <v>74</v>
      </c>
      <c r="C1404" s="9" t="s">
        <v>2280</v>
      </c>
      <c r="D1404" s="10">
        <v>-0.144932858</v>
      </c>
      <c r="E1404" s="10">
        <v>8.1488540000000005E-3</v>
      </c>
      <c r="F1404" s="10">
        <v>-0.15224117100000001</v>
      </c>
      <c r="G1404" s="10">
        <v>-6.7066668999999995E-2</v>
      </c>
      <c r="H1404" s="9">
        <v>-8.9022960750000005E-2</v>
      </c>
      <c r="I1404" s="10">
        <v>7.5381029989730994E-2</v>
      </c>
      <c r="J1404" s="10">
        <v>5.6822996823127003E-3</v>
      </c>
      <c r="K1404" s="10">
        <v>-0.23869650100000001</v>
      </c>
      <c r="L1404" s="10">
        <v>-0.26707786999999999</v>
      </c>
      <c r="M1404" s="10">
        <v>-2.0393805000000001E-2</v>
      </c>
      <c r="N1404" s="10">
        <v>-0.37106138599999999</v>
      </c>
      <c r="O1404" s="9">
        <v>-0.22430739050000001</v>
      </c>
      <c r="P1404" s="10">
        <v>0.14737010773821599</v>
      </c>
      <c r="Q1404" s="10">
        <v>2.1717948654773601E-2</v>
      </c>
    </row>
    <row r="1405" spans="1:17" x14ac:dyDescent="0.2">
      <c r="A1405" s="10">
        <v>1747</v>
      </c>
      <c r="B1405" s="10" t="s">
        <v>2818</v>
      </c>
      <c r="C1405" s="9" t="s">
        <v>2279</v>
      </c>
      <c r="D1405" s="10">
        <v>-0.25321729500000001</v>
      </c>
      <c r="E1405" s="10">
        <v>0.15584297999999999</v>
      </c>
      <c r="F1405" s="10">
        <v>0.29646214700000001</v>
      </c>
      <c r="G1405" s="10">
        <v>-0.122009276</v>
      </c>
      <c r="H1405" s="9">
        <v>1.9269639000000002E-2</v>
      </c>
      <c r="I1405" s="10">
        <v>0.25146028512638502</v>
      </c>
      <c r="J1405" s="10">
        <v>6.3232274995843302E-2</v>
      </c>
      <c r="K1405" s="10">
        <v>0.14501396599999999</v>
      </c>
      <c r="L1405" s="10">
        <v>-0.61140908599999999</v>
      </c>
      <c r="M1405" s="10">
        <v>9.5669664000000001E-2</v>
      </c>
      <c r="N1405" s="10">
        <v>-2.6730435E-2</v>
      </c>
      <c r="O1405" s="9">
        <v>-9.9363972750000001E-2</v>
      </c>
      <c r="P1405" s="10">
        <v>0.34891475808135702</v>
      </c>
      <c r="Q1405" s="10">
        <v>0.121741508406971</v>
      </c>
    </row>
    <row r="1406" spans="1:17" x14ac:dyDescent="0.2">
      <c r="A1406" s="10">
        <v>1747</v>
      </c>
      <c r="B1406" s="10" t="s">
        <v>2830</v>
      </c>
      <c r="C1406" s="9" t="s">
        <v>2278</v>
      </c>
      <c r="D1406" s="10">
        <v>-0.34938058999999999</v>
      </c>
      <c r="E1406" s="10">
        <v>-0.372746458</v>
      </c>
      <c r="F1406" s="10">
        <v>-0.31200343000000003</v>
      </c>
      <c r="G1406" s="10">
        <v>0.58183495399999996</v>
      </c>
      <c r="H1406" s="9">
        <v>-0.113073881</v>
      </c>
      <c r="I1406" s="10">
        <v>0.463947540996692</v>
      </c>
      <c r="J1406" s="10">
        <v>0.215247320796877</v>
      </c>
      <c r="K1406" s="10">
        <v>6.6305163E-2</v>
      </c>
      <c r="L1406" s="10">
        <v>3.2025897999999997E-2</v>
      </c>
      <c r="M1406" s="10">
        <v>0.13453805599999999</v>
      </c>
      <c r="N1406" s="10">
        <v>-0.22195426700000001</v>
      </c>
      <c r="O1406" s="9">
        <v>2.7287127499999999E-3</v>
      </c>
      <c r="P1406" s="10">
        <v>0.15573100146010099</v>
      </c>
      <c r="Q1406" s="10">
        <v>2.4252144815766201E-2</v>
      </c>
    </row>
    <row r="1407" spans="1:17" x14ac:dyDescent="0.2">
      <c r="A1407" s="10">
        <v>1748</v>
      </c>
      <c r="B1407" s="10" t="s">
        <v>2822</v>
      </c>
      <c r="C1407" s="9" t="s">
        <v>1168</v>
      </c>
      <c r="D1407" s="10">
        <v>7.5036696E-2</v>
      </c>
      <c r="E1407" s="10">
        <v>-0.85501544500000004</v>
      </c>
      <c r="F1407" s="10">
        <v>-0.20490993699999999</v>
      </c>
      <c r="G1407" s="10">
        <v>-0.51429372500000003</v>
      </c>
      <c r="H1407" s="9">
        <v>-0.37479560275000001</v>
      </c>
      <c r="I1407" s="10">
        <v>0.40053341909172402</v>
      </c>
      <c r="J1407" s="10">
        <v>0.16042701980930599</v>
      </c>
      <c r="K1407" s="10">
        <v>0.33838902900000001</v>
      </c>
      <c r="L1407" s="10">
        <v>0.40762799500000002</v>
      </c>
      <c r="M1407" s="10">
        <v>-0.72081295000000001</v>
      </c>
      <c r="N1407" s="10">
        <v>0.46087624799999999</v>
      </c>
      <c r="O1407" s="9">
        <v>0.1215200805</v>
      </c>
      <c r="P1407" s="10">
        <v>0.56378997929330499</v>
      </c>
      <c r="Q1407" s="10">
        <v>0.31785914075154498</v>
      </c>
    </row>
    <row r="1408" spans="1:17" x14ac:dyDescent="0.2">
      <c r="A1408" s="10">
        <v>1748</v>
      </c>
      <c r="B1408" s="10" t="s">
        <v>96</v>
      </c>
      <c r="C1408" s="9" t="s">
        <v>1169</v>
      </c>
      <c r="D1408" s="10">
        <v>-1.565076645</v>
      </c>
      <c r="E1408" s="10">
        <v>-1.24176084</v>
      </c>
      <c r="F1408" s="10">
        <v>-1.381549637</v>
      </c>
      <c r="G1408" s="10">
        <v>-0.88369306000000003</v>
      </c>
      <c r="H1408" s="9">
        <v>-1.2680200454999999</v>
      </c>
      <c r="I1408" s="10">
        <v>0.28840270982873201</v>
      </c>
      <c r="J1408" s="10">
        <v>8.3176123036556193E-2</v>
      </c>
      <c r="K1408" s="10">
        <v>0.139603071</v>
      </c>
      <c r="L1408" s="10">
        <v>-0.49072084500000002</v>
      </c>
      <c r="M1408" s="10">
        <v>0.82174420199999998</v>
      </c>
      <c r="N1408" s="10">
        <v>0.83855316499999999</v>
      </c>
      <c r="O1408" s="9">
        <v>0.327294898</v>
      </c>
      <c r="P1408" s="10">
        <v>0.635149092082682</v>
      </c>
      <c r="Q1408" s="10">
        <v>0.40341436917345502</v>
      </c>
    </row>
    <row r="1409" spans="1:17" x14ac:dyDescent="0.2">
      <c r="A1409" s="10">
        <v>1748</v>
      </c>
      <c r="B1409" s="10" t="s">
        <v>2823</v>
      </c>
      <c r="C1409" s="9" t="s">
        <v>1170</v>
      </c>
      <c r="D1409" s="10">
        <v>-1.545768303</v>
      </c>
      <c r="E1409" s="10">
        <v>-1.751284418</v>
      </c>
      <c r="F1409" s="10">
        <v>-2.2844309119999999</v>
      </c>
      <c r="G1409" s="10">
        <v>-0.78136886999999999</v>
      </c>
      <c r="H1409" s="9">
        <v>-1.5907131255</v>
      </c>
      <c r="I1409" s="10">
        <v>0.62291938169182703</v>
      </c>
      <c r="J1409" s="10">
        <v>0.388028556087328</v>
      </c>
      <c r="K1409" s="10">
        <v>5.9777439000000002E-2</v>
      </c>
      <c r="L1409" s="10">
        <v>0.33483707299999999</v>
      </c>
      <c r="M1409" s="10">
        <v>1.4798438229999999</v>
      </c>
      <c r="N1409" s="10">
        <v>0.36638640900000002</v>
      </c>
      <c r="O1409" s="9">
        <v>0.56021118599999997</v>
      </c>
      <c r="P1409" s="10">
        <v>0.62836286150643605</v>
      </c>
      <c r="Q1409" s="10">
        <v>0.39483988572055601</v>
      </c>
    </row>
    <row r="1410" spans="1:17" x14ac:dyDescent="0.2">
      <c r="A1410" s="10">
        <v>1748</v>
      </c>
      <c r="B1410" s="10" t="s">
        <v>74</v>
      </c>
      <c r="C1410" s="9" t="s">
        <v>1171</v>
      </c>
      <c r="D1410" s="10">
        <v>0.18579694999999999</v>
      </c>
      <c r="E1410" s="10">
        <v>-0.339270085</v>
      </c>
      <c r="F1410" s="10">
        <v>-1.1921651E-2</v>
      </c>
      <c r="G1410" s="10">
        <v>4.6663625E-2</v>
      </c>
      <c r="H1410" s="9">
        <v>-2.968279025E-2</v>
      </c>
      <c r="I1410" s="10">
        <v>0.22242605117043099</v>
      </c>
      <c r="J1410" s="10">
        <v>4.9473348239271402E-2</v>
      </c>
      <c r="K1410" s="10">
        <v>0.22050250499999999</v>
      </c>
      <c r="L1410" s="10">
        <v>2.4251893E-2</v>
      </c>
      <c r="M1410" s="10">
        <v>0.21948711300000001</v>
      </c>
      <c r="N1410" s="10">
        <v>-0.32588692000000002</v>
      </c>
      <c r="O1410" s="9">
        <v>3.458864775E-2</v>
      </c>
      <c r="P1410" s="10">
        <v>0.25742370275017101</v>
      </c>
      <c r="Q1410" s="10">
        <v>6.6266962737608404E-2</v>
      </c>
    </row>
    <row r="1411" spans="1:17" x14ac:dyDescent="0.2">
      <c r="A1411" s="10">
        <v>1748</v>
      </c>
      <c r="B1411" s="10" t="s">
        <v>2818</v>
      </c>
      <c r="C1411" s="9" t="s">
        <v>1172</v>
      </c>
      <c r="D1411" s="10">
        <v>0.41072333500000002</v>
      </c>
      <c r="E1411" s="10">
        <v>-0.33155340599999999</v>
      </c>
      <c r="F1411" s="10">
        <v>-0.24616431499999999</v>
      </c>
      <c r="G1411" s="10">
        <v>-0.25313002499999998</v>
      </c>
      <c r="H1411" s="9">
        <v>-0.1050311025</v>
      </c>
      <c r="I1411" s="10">
        <v>0.34600908865718</v>
      </c>
      <c r="J1411" s="10">
        <v>0.119722289433372</v>
      </c>
      <c r="K1411" s="10">
        <v>-6.0983628999999998E-2</v>
      </c>
      <c r="L1411" s="10">
        <v>-0.166969232</v>
      </c>
      <c r="M1411" s="10">
        <v>0.10245910799999999</v>
      </c>
      <c r="N1411" s="10">
        <v>-0.13504539600000001</v>
      </c>
      <c r="O1411" s="9">
        <v>-6.5134787E-2</v>
      </c>
      <c r="P1411" s="10">
        <v>0.120225750421475</v>
      </c>
      <c r="Q1411" s="10">
        <v>1.44542310644069E-2</v>
      </c>
    </row>
    <row r="1412" spans="1:17" x14ac:dyDescent="0.2">
      <c r="A1412" s="10">
        <v>1749</v>
      </c>
      <c r="B1412" s="10" t="s">
        <v>2831</v>
      </c>
      <c r="C1412" s="9" t="s">
        <v>2277</v>
      </c>
      <c r="D1412" s="10">
        <v>-1.023830008</v>
      </c>
      <c r="E1412" s="10">
        <v>-0.98907572700000002</v>
      </c>
      <c r="F1412" s="10">
        <v>-1.865197507</v>
      </c>
      <c r="G1412" s="10">
        <v>-0.52148650399999996</v>
      </c>
      <c r="H1412" s="9">
        <v>-1.0998974365</v>
      </c>
      <c r="I1412" s="10">
        <v>0.55925876828707499</v>
      </c>
      <c r="J1412" s="10">
        <v>0.31277036990597601</v>
      </c>
      <c r="K1412" s="10">
        <v>-8.9512461000000001E-2</v>
      </c>
      <c r="L1412" s="10">
        <v>0.60054983799999995</v>
      </c>
      <c r="M1412" s="10">
        <v>6.7148497000000001E-2</v>
      </c>
      <c r="N1412" s="10">
        <v>-0.320762098</v>
      </c>
      <c r="O1412" s="9">
        <v>6.4355943999999998E-2</v>
      </c>
      <c r="P1412" s="10">
        <v>0.39136644492780998</v>
      </c>
      <c r="Q1412" s="10">
        <v>0.153167694215432</v>
      </c>
    </row>
    <row r="1413" spans="1:17" x14ac:dyDescent="0.2">
      <c r="A1413" s="10">
        <v>1749</v>
      </c>
      <c r="B1413" s="10" t="s">
        <v>2822</v>
      </c>
      <c r="C1413" s="9" t="s">
        <v>1173</v>
      </c>
      <c r="D1413" s="10">
        <v>0.125478011</v>
      </c>
      <c r="E1413" s="10">
        <v>0.28864844200000001</v>
      </c>
      <c r="F1413" s="10">
        <v>-0.57490700100000003</v>
      </c>
      <c r="G1413" s="10">
        <v>0.156488407</v>
      </c>
      <c r="H1413" s="9">
        <v>-1.073035E-3</v>
      </c>
      <c r="I1413" s="10">
        <v>0.389043583684897</v>
      </c>
      <c r="J1413" s="10">
        <v>0.15135491000638801</v>
      </c>
      <c r="K1413" s="10">
        <v>1.169861262</v>
      </c>
      <c r="L1413" s="10">
        <v>-0.368819285</v>
      </c>
      <c r="M1413" s="10">
        <v>-0.100679244</v>
      </c>
      <c r="N1413" s="10">
        <v>0.26701826299999998</v>
      </c>
      <c r="O1413" s="9">
        <v>0.24184524925000001</v>
      </c>
      <c r="P1413" s="10">
        <v>0.67133737231702995</v>
      </c>
      <c r="Q1413" s="10">
        <v>0.45069386746953399</v>
      </c>
    </row>
    <row r="1414" spans="1:17" x14ac:dyDescent="0.2">
      <c r="A1414" s="10">
        <v>1749</v>
      </c>
      <c r="B1414" s="10" t="s">
        <v>2823</v>
      </c>
      <c r="C1414" s="9" t="s">
        <v>2276</v>
      </c>
      <c r="D1414" s="10">
        <v>-2.0664852319999998</v>
      </c>
      <c r="E1414" s="10">
        <v>-1.0965679660000001</v>
      </c>
      <c r="F1414" s="10">
        <v>-3.4373993829999998</v>
      </c>
      <c r="G1414" s="10">
        <v>-2.4197193499999998</v>
      </c>
      <c r="H1414" s="9">
        <v>-2.2550429830000001</v>
      </c>
      <c r="I1414" s="10">
        <v>0.96655804325531003</v>
      </c>
      <c r="J1414" s="10">
        <v>0.93423445098153501</v>
      </c>
      <c r="K1414" s="10">
        <v>0.76840543100000003</v>
      </c>
      <c r="L1414" s="10">
        <v>5.5468217E-2</v>
      </c>
      <c r="M1414" s="10">
        <v>1.1944397659999999</v>
      </c>
      <c r="N1414" s="10">
        <v>-0.72216612700000005</v>
      </c>
      <c r="O1414" s="9">
        <v>0.32403682174999998</v>
      </c>
      <c r="P1414" s="10">
        <v>0.84097848796831198</v>
      </c>
      <c r="Q1414" s="10">
        <v>0.70724481722546795</v>
      </c>
    </row>
    <row r="1415" spans="1:17" x14ac:dyDescent="0.2">
      <c r="A1415" s="10">
        <v>1749</v>
      </c>
      <c r="B1415" s="10" t="s">
        <v>2819</v>
      </c>
      <c r="C1415" s="9" t="s">
        <v>1174</v>
      </c>
      <c r="D1415" s="10">
        <v>-2.416858387</v>
      </c>
      <c r="E1415" s="10">
        <v>-1.6238646029999999</v>
      </c>
      <c r="F1415" s="10">
        <v>-2.7134489409999998</v>
      </c>
      <c r="G1415" s="10">
        <v>-2.0484720169999999</v>
      </c>
      <c r="H1415" s="9">
        <v>-2.200660987</v>
      </c>
      <c r="I1415" s="10">
        <v>0.47100897115285101</v>
      </c>
      <c r="J1415" s="10">
        <v>0.22184945090646699</v>
      </c>
      <c r="K1415" s="10">
        <v>1.0286965E-2</v>
      </c>
      <c r="L1415" s="10">
        <v>-0.68076179299999995</v>
      </c>
      <c r="M1415" s="10">
        <v>-0.156872018</v>
      </c>
      <c r="N1415" s="10">
        <v>-0.34859857900000002</v>
      </c>
      <c r="O1415" s="9">
        <v>-0.29398635649999999</v>
      </c>
      <c r="P1415" s="10">
        <v>0.29662565023111198</v>
      </c>
      <c r="Q1415" s="10">
        <v>8.7986776375029899E-2</v>
      </c>
    </row>
    <row r="1416" spans="1:17" x14ac:dyDescent="0.2">
      <c r="A1416" s="10">
        <v>1749</v>
      </c>
      <c r="B1416" s="10" t="s">
        <v>79</v>
      </c>
      <c r="C1416" s="9" t="s">
        <v>2275</v>
      </c>
      <c r="D1416" s="10">
        <v>-0.32063894700000001</v>
      </c>
      <c r="E1416" s="10">
        <v>-0.55886708500000004</v>
      </c>
      <c r="F1416" s="10">
        <v>-0.58885216299999998</v>
      </c>
      <c r="G1416" s="10">
        <v>-1.149477434</v>
      </c>
      <c r="H1416" s="9">
        <v>-0.65445890699999998</v>
      </c>
      <c r="I1416" s="10">
        <v>0.35115103543404802</v>
      </c>
      <c r="J1416" s="10">
        <v>0.123307049686404</v>
      </c>
      <c r="K1416" s="10">
        <v>-1.9359283970000001</v>
      </c>
      <c r="L1416" s="10">
        <v>-3.2409182000000002E-2</v>
      </c>
      <c r="M1416" s="10">
        <v>4.3597988999999997E-2</v>
      </c>
      <c r="N1416" s="10">
        <v>0.47964443299999998</v>
      </c>
      <c r="O1416" s="9">
        <v>-0.36127378924999998</v>
      </c>
      <c r="P1416" s="10">
        <v>1.07374014189427</v>
      </c>
      <c r="Q1416" s="10">
        <v>1.15291789231514</v>
      </c>
    </row>
    <row r="1417" spans="1:17" x14ac:dyDescent="0.2">
      <c r="A1417" s="10">
        <v>1749</v>
      </c>
      <c r="B1417" s="10" t="s">
        <v>2824</v>
      </c>
      <c r="C1417" s="9" t="s">
        <v>1175</v>
      </c>
      <c r="D1417" s="10">
        <v>-1.076590876</v>
      </c>
      <c r="E1417" s="10">
        <v>-1.189067361</v>
      </c>
      <c r="F1417" s="10">
        <v>-1.31797553</v>
      </c>
      <c r="G1417" s="10">
        <v>-1.290052126</v>
      </c>
      <c r="H1417" s="9">
        <v>-1.2184214735000001</v>
      </c>
      <c r="I1417" s="10">
        <v>0.109574240967864</v>
      </c>
      <c r="J1417" s="10">
        <v>1.20065142836835E-2</v>
      </c>
      <c r="K1417" s="10">
        <v>-0.197039986</v>
      </c>
      <c r="L1417" s="10">
        <v>-0.28486524000000002</v>
      </c>
      <c r="M1417" s="10">
        <v>0.44889300900000001</v>
      </c>
      <c r="N1417" s="10">
        <v>1.6122443E-2</v>
      </c>
      <c r="O1417" s="9">
        <v>-4.2224434999999999E-3</v>
      </c>
      <c r="P1417" s="10">
        <v>0.32744796615852101</v>
      </c>
      <c r="Q1417" s="10">
        <v>0.107222170541352</v>
      </c>
    </row>
    <row r="1418" spans="1:17" x14ac:dyDescent="0.2">
      <c r="A1418" s="10">
        <v>1749</v>
      </c>
      <c r="B1418" s="10" t="s">
        <v>74</v>
      </c>
      <c r="C1418" s="9" t="s">
        <v>1177</v>
      </c>
      <c r="D1418" s="10">
        <v>-0.83197801599999999</v>
      </c>
      <c r="E1418" s="10">
        <v>-1.1483696839999999</v>
      </c>
      <c r="F1418" s="10">
        <v>-0.65841698699999995</v>
      </c>
      <c r="G1418" s="10">
        <v>-0.71265909999999999</v>
      </c>
      <c r="H1418" s="9">
        <v>-0.83785594674999997</v>
      </c>
      <c r="I1418" s="10">
        <v>0.21933681998482599</v>
      </c>
      <c r="J1418" s="10">
        <v>4.8108640601056303E-2</v>
      </c>
      <c r="K1418" s="10">
        <v>-0.30123878300000001</v>
      </c>
      <c r="L1418" s="10">
        <v>-0.30833082000000001</v>
      </c>
      <c r="M1418" s="10">
        <v>0.19336984300000001</v>
      </c>
      <c r="N1418" s="10">
        <v>-0.48180051600000001</v>
      </c>
      <c r="O1418" s="9">
        <v>-0.224500069</v>
      </c>
      <c r="P1418" s="10">
        <v>0.29082366273561999</v>
      </c>
      <c r="Q1418" s="10">
        <v>8.4578402806961703E-2</v>
      </c>
    </row>
    <row r="1419" spans="1:17" x14ac:dyDescent="0.2">
      <c r="A1419" s="10">
        <v>1750</v>
      </c>
      <c r="B1419" s="10" t="s">
        <v>2822</v>
      </c>
      <c r="C1419" s="9" t="s">
        <v>1178</v>
      </c>
      <c r="D1419" s="10">
        <v>-0.71636111099999999</v>
      </c>
      <c r="E1419" s="10">
        <v>-0.43444157</v>
      </c>
      <c r="F1419" s="10">
        <v>-0.32567052000000002</v>
      </c>
      <c r="G1419" s="10">
        <v>0.200535878</v>
      </c>
      <c r="H1419" s="9">
        <v>-0.31898433100000001</v>
      </c>
      <c r="I1419" s="10">
        <v>0.383486041468447</v>
      </c>
      <c r="J1419" s="10">
        <v>0.14706154400113899</v>
      </c>
      <c r="K1419" s="10">
        <v>-0.28702588800000001</v>
      </c>
      <c r="L1419" s="10">
        <v>-0.39537011999999999</v>
      </c>
      <c r="M1419" s="10">
        <v>-1.293459825</v>
      </c>
      <c r="N1419" s="10">
        <v>0.40730761999999998</v>
      </c>
      <c r="O1419" s="9">
        <v>-0.39213705324999998</v>
      </c>
      <c r="P1419" s="10">
        <v>0.69822473322078804</v>
      </c>
      <c r="Q1419" s="10">
        <v>0.48751777808124103</v>
      </c>
    </row>
    <row r="1420" spans="1:17" x14ac:dyDescent="0.2">
      <c r="A1420" s="10">
        <v>1750</v>
      </c>
      <c r="B1420" s="10" t="s">
        <v>2824</v>
      </c>
      <c r="C1420" s="9" t="s">
        <v>1179</v>
      </c>
      <c r="D1420" s="10">
        <v>-0.16153291</v>
      </c>
      <c r="E1420" s="10">
        <v>-0.156577525</v>
      </c>
      <c r="F1420" s="10">
        <v>-0.12992279500000001</v>
      </c>
      <c r="G1420" s="10">
        <v>-0.50458842699999995</v>
      </c>
      <c r="H1420" s="9">
        <v>-0.23815541425</v>
      </c>
      <c r="I1420" s="10">
        <v>0.17816360489241601</v>
      </c>
      <c r="J1420" s="10">
        <v>3.1742270108261202E-2</v>
      </c>
      <c r="K1420" s="10">
        <v>0.40085523499999998</v>
      </c>
      <c r="L1420" s="10">
        <v>0.199781243</v>
      </c>
      <c r="M1420" s="10">
        <v>-0.30954176999999999</v>
      </c>
      <c r="N1420" s="10">
        <v>0.20118643</v>
      </c>
      <c r="O1420" s="9">
        <v>0.12307028424999999</v>
      </c>
      <c r="P1420" s="10">
        <v>0.30348221900948502</v>
      </c>
      <c r="Q1420" s="10">
        <v>9.2101457254921401E-2</v>
      </c>
    </row>
    <row r="1421" spans="1:17" x14ac:dyDescent="0.2">
      <c r="A1421" s="10">
        <v>1750</v>
      </c>
      <c r="B1421" s="10" t="s">
        <v>82</v>
      </c>
      <c r="C1421" s="9" t="s">
        <v>1180</v>
      </c>
      <c r="D1421" s="10">
        <v>-0.74662556800000002</v>
      </c>
      <c r="E1421" s="10">
        <v>-0.200160118</v>
      </c>
      <c r="F1421" s="10">
        <v>-0.62532226000000002</v>
      </c>
      <c r="G1421" s="10">
        <v>-0.111398196</v>
      </c>
      <c r="H1421" s="9">
        <v>-0.42087653575</v>
      </c>
      <c r="I1421" s="10">
        <v>0.31219815609893597</v>
      </c>
      <c r="J1421" s="10">
        <v>9.7467688671575806E-2</v>
      </c>
      <c r="K1421" s="10">
        <v>0.63550993099999997</v>
      </c>
      <c r="L1421" s="10">
        <v>-0.27599845099999998</v>
      </c>
      <c r="M1421" s="10">
        <v>0.230048116</v>
      </c>
      <c r="N1421" s="10">
        <v>0.48999431999999998</v>
      </c>
      <c r="O1421" s="9">
        <v>0.26988847900000001</v>
      </c>
      <c r="P1421" s="10">
        <v>0.40070996255550401</v>
      </c>
      <c r="Q1421" s="10">
        <v>0.16056847409123401</v>
      </c>
    </row>
    <row r="1422" spans="1:17" x14ac:dyDescent="0.2">
      <c r="A1422" s="10">
        <v>1750</v>
      </c>
      <c r="B1422" s="10" t="s">
        <v>2814</v>
      </c>
      <c r="C1422" s="9" t="s">
        <v>1181</v>
      </c>
      <c r="D1422" s="10">
        <v>-1.0632983810000001</v>
      </c>
      <c r="E1422" s="10">
        <v>-0.66764770299999998</v>
      </c>
      <c r="F1422" s="10">
        <v>-1.6343783059999999</v>
      </c>
      <c r="G1422" s="10">
        <v>-1.0641157640000001</v>
      </c>
      <c r="H1422" s="9">
        <v>-1.1073600385</v>
      </c>
      <c r="I1422" s="10">
        <v>0.39787212736767702</v>
      </c>
      <c r="J1422" s="10">
        <v>0.15830222973608099</v>
      </c>
      <c r="K1422" s="10">
        <v>-0.99193193499999999</v>
      </c>
      <c r="L1422" s="10">
        <v>-5.1414611999999998E-2</v>
      </c>
      <c r="M1422" s="10">
        <v>0.27059776099999999</v>
      </c>
      <c r="N1422" s="10">
        <v>-0.38632237000000003</v>
      </c>
      <c r="O1422" s="9">
        <v>-0.28976778925000002</v>
      </c>
      <c r="P1422" s="10">
        <v>0.53949947842198698</v>
      </c>
      <c r="Q1422" s="10">
        <v>0.29105968721759601</v>
      </c>
    </row>
    <row r="1423" spans="1:17" x14ac:dyDescent="0.2">
      <c r="A1423" s="10">
        <v>1750</v>
      </c>
      <c r="B1423" s="10" t="s">
        <v>2825</v>
      </c>
      <c r="C1423" s="9" t="s">
        <v>1182</v>
      </c>
      <c r="D1423" s="10">
        <v>3.1140108E-2</v>
      </c>
      <c r="E1423" s="10">
        <v>5.9954822999999997E-2</v>
      </c>
      <c r="F1423" s="10">
        <v>5.9588786999999997E-2</v>
      </c>
      <c r="G1423" s="10">
        <v>0.22639668900000001</v>
      </c>
      <c r="H1423" s="9">
        <v>9.4270101999999995E-2</v>
      </c>
      <c r="I1423" s="10">
        <v>8.9112593793256201E-2</v>
      </c>
      <c r="J1423" s="10">
        <v>7.9410543725618003E-3</v>
      </c>
      <c r="K1423" s="10">
        <v>0.16022122499999999</v>
      </c>
      <c r="L1423" s="10">
        <v>-0.247170901</v>
      </c>
      <c r="M1423" s="10">
        <v>-0.18630569399999999</v>
      </c>
      <c r="N1423" s="10">
        <v>0.95640940900000004</v>
      </c>
      <c r="O1423" s="9">
        <v>0.17078850975000001</v>
      </c>
      <c r="P1423" s="10">
        <v>0.55362990171885795</v>
      </c>
      <c r="Q1423" s="10">
        <v>0.30650606807723302</v>
      </c>
    </row>
    <row r="1424" spans="1:17" x14ac:dyDescent="0.2">
      <c r="A1424" s="10">
        <v>1751</v>
      </c>
      <c r="B1424" s="10" t="s">
        <v>2831</v>
      </c>
      <c r="C1424" s="9" t="s">
        <v>1183</v>
      </c>
      <c r="D1424" s="10">
        <v>-1.772306471</v>
      </c>
      <c r="E1424" s="10">
        <v>-1.6390837739999999</v>
      </c>
      <c r="F1424" s="10">
        <v>-1.889554065</v>
      </c>
      <c r="G1424" s="10">
        <v>-1.5756032659999999</v>
      </c>
      <c r="H1424" s="9">
        <v>-1.719136894</v>
      </c>
      <c r="I1424" s="10">
        <v>0.14009451628404099</v>
      </c>
      <c r="J1424" s="10">
        <v>1.9626473492859599E-2</v>
      </c>
      <c r="K1424" s="10">
        <v>0.285009401</v>
      </c>
      <c r="L1424" s="10">
        <v>0.211450903</v>
      </c>
      <c r="M1424" s="10">
        <v>0.187622698</v>
      </c>
      <c r="N1424" s="10">
        <v>-8.0508734999999998E-2</v>
      </c>
      <c r="O1424" s="9">
        <v>0.15089356700000001</v>
      </c>
      <c r="P1424" s="10">
        <v>0.15973968647755901</v>
      </c>
      <c r="Q1424" s="10">
        <v>2.5516767435948901E-2</v>
      </c>
    </row>
    <row r="1425" spans="1:17" x14ac:dyDescent="0.2">
      <c r="A1425" s="10">
        <v>1751</v>
      </c>
      <c r="B1425" s="10" t="s">
        <v>2822</v>
      </c>
      <c r="C1425" s="9" t="s">
        <v>2274</v>
      </c>
      <c r="D1425" s="10">
        <v>4.0481670000000001E-3</v>
      </c>
      <c r="E1425" s="10">
        <v>-4.6243410999999998E-2</v>
      </c>
      <c r="F1425" s="10">
        <v>-6.3911064000000004E-2</v>
      </c>
      <c r="G1425" s="10">
        <v>-0.23739380400000001</v>
      </c>
      <c r="H1425" s="9">
        <v>-8.5875028000000006E-2</v>
      </c>
      <c r="I1425" s="10">
        <v>0.105035234183858</v>
      </c>
      <c r="J1425" s="10">
        <v>1.1032400420058E-2</v>
      </c>
      <c r="K1425" s="10">
        <v>0.19111456600000001</v>
      </c>
      <c r="L1425" s="10">
        <v>7.6795991999999993E-2</v>
      </c>
      <c r="M1425" s="10">
        <v>-1.2023703E-2</v>
      </c>
      <c r="N1425" s="10">
        <v>-0.107921909</v>
      </c>
      <c r="O1425" s="9">
        <v>3.6991236500000003E-2</v>
      </c>
      <c r="P1425" s="10">
        <v>0.12746333236068699</v>
      </c>
      <c r="Q1425" s="10">
        <v>1.6246901096491E-2</v>
      </c>
    </row>
    <row r="1426" spans="1:17" x14ac:dyDescent="0.2">
      <c r="A1426" s="10">
        <v>1751</v>
      </c>
      <c r="B1426" s="10" t="s">
        <v>2823</v>
      </c>
      <c r="C1426" s="9" t="s">
        <v>2273</v>
      </c>
      <c r="D1426" s="10">
        <v>-0.85812385400000002</v>
      </c>
      <c r="E1426" s="10">
        <v>-0.101106434</v>
      </c>
      <c r="F1426" s="10">
        <v>-1.649350662</v>
      </c>
      <c r="G1426" s="10">
        <v>-0.99813303200000003</v>
      </c>
      <c r="H1426" s="9">
        <v>-0.90167849524999999</v>
      </c>
      <c r="I1426" s="10">
        <v>0.63538171692843703</v>
      </c>
      <c r="J1426" s="10">
        <v>0.40370992620692803</v>
      </c>
      <c r="K1426" s="10">
        <v>-0.57543566700000004</v>
      </c>
      <c r="L1426" s="10">
        <v>0.37866122299999999</v>
      </c>
      <c r="M1426" s="10">
        <v>0.22730413199999999</v>
      </c>
      <c r="N1426" s="10">
        <v>0.26772580899999998</v>
      </c>
      <c r="O1426" s="9">
        <v>7.4563874249999995E-2</v>
      </c>
      <c r="P1426" s="10">
        <v>0.43803185596327299</v>
      </c>
      <c r="Q1426" s="10">
        <v>0.19187190683862901</v>
      </c>
    </row>
    <row r="1427" spans="1:17" x14ac:dyDescent="0.2">
      <c r="A1427" s="10">
        <v>1751</v>
      </c>
      <c r="B1427" s="10" t="s">
        <v>2820</v>
      </c>
      <c r="C1427" s="9" t="s">
        <v>2272</v>
      </c>
      <c r="D1427" s="10">
        <v>0.39774638000000001</v>
      </c>
      <c r="E1427" s="10">
        <v>7.3305193000000005E-2</v>
      </c>
      <c r="F1427" s="10">
        <v>3.0885159999999998E-2</v>
      </c>
      <c r="G1427" s="10">
        <v>0.37990210099999999</v>
      </c>
      <c r="H1427" s="9">
        <v>0.22045970849999999</v>
      </c>
      <c r="I1427" s="10">
        <v>0.195316325728881</v>
      </c>
      <c r="J1427" s="10">
        <v>3.8148467096230501E-2</v>
      </c>
      <c r="K1427" s="10">
        <v>0.17455594699999999</v>
      </c>
      <c r="L1427" s="10">
        <v>0.19555014800000001</v>
      </c>
      <c r="M1427" s="10">
        <v>0.379835914</v>
      </c>
      <c r="N1427" s="10">
        <v>5.0583917999999999E-2</v>
      </c>
      <c r="O1427" s="9">
        <v>0.200131482</v>
      </c>
      <c r="P1427" s="10">
        <v>0.135810227143776</v>
      </c>
      <c r="Q1427" s="10">
        <v>1.8444417796844099E-2</v>
      </c>
    </row>
    <row r="1428" spans="1:17" x14ac:dyDescent="0.2">
      <c r="A1428" s="10">
        <v>1751</v>
      </c>
      <c r="B1428" s="10" t="s">
        <v>2824</v>
      </c>
      <c r="C1428" s="9" t="s">
        <v>1184</v>
      </c>
      <c r="D1428" s="10">
        <v>-1.8006297000000001E-2</v>
      </c>
      <c r="E1428" s="10">
        <v>-0.27642745000000002</v>
      </c>
      <c r="F1428" s="10">
        <v>-1.5575762999999999E-2</v>
      </c>
      <c r="G1428" s="10">
        <v>0.13552804299999999</v>
      </c>
      <c r="H1428" s="9">
        <v>-4.36203665E-2</v>
      </c>
      <c r="I1428" s="10">
        <v>0.17101254446772601</v>
      </c>
      <c r="J1428" s="10">
        <v>2.92452903653262E-2</v>
      </c>
      <c r="K1428" s="10">
        <v>-0.126611588</v>
      </c>
      <c r="L1428" s="10">
        <v>0.254862537</v>
      </c>
      <c r="M1428" s="10">
        <v>0.29460692599999999</v>
      </c>
      <c r="N1428" s="10">
        <v>0.35790642299999997</v>
      </c>
      <c r="O1428" s="9">
        <v>0.19519107450000001</v>
      </c>
      <c r="P1428" s="10">
        <v>0.218691131656745</v>
      </c>
      <c r="Q1428" s="10">
        <v>4.7825811065308102E-2</v>
      </c>
    </row>
    <row r="1429" spans="1:17" x14ac:dyDescent="0.2">
      <c r="A1429" s="10">
        <v>1751</v>
      </c>
      <c r="B1429" s="10" t="s">
        <v>2814</v>
      </c>
      <c r="C1429" s="9" t="s">
        <v>1185</v>
      </c>
      <c r="D1429" s="10">
        <v>-1.798303982</v>
      </c>
      <c r="E1429" s="10">
        <v>-1.299484324</v>
      </c>
      <c r="F1429" s="10">
        <v>-1.944888953</v>
      </c>
      <c r="G1429" s="10">
        <v>-1.5515500179999999</v>
      </c>
      <c r="H1429" s="9">
        <v>-1.64855681925</v>
      </c>
      <c r="I1429" s="10">
        <v>0.28372455696403898</v>
      </c>
      <c r="J1429" s="10">
        <v>8.0499624224440305E-2</v>
      </c>
      <c r="K1429" s="10">
        <v>-0.30030478599999999</v>
      </c>
      <c r="L1429" s="10">
        <v>-0.216235019</v>
      </c>
      <c r="M1429" s="10">
        <v>8.3175409999999995E-3</v>
      </c>
      <c r="N1429" s="10">
        <v>0.28245683700000002</v>
      </c>
      <c r="O1429" s="9">
        <v>-5.6441356499999998E-2</v>
      </c>
      <c r="P1429" s="10">
        <v>0.260799467781693</v>
      </c>
      <c r="Q1429" s="10">
        <v>6.8016362395214705E-2</v>
      </c>
    </row>
    <row r="1430" spans="1:17" x14ac:dyDescent="0.2">
      <c r="A1430" s="10">
        <v>1751</v>
      </c>
      <c r="B1430" s="10" t="s">
        <v>74</v>
      </c>
      <c r="C1430" s="9" t="s">
        <v>1186</v>
      </c>
      <c r="D1430" s="10">
        <v>-0.22061752900000001</v>
      </c>
      <c r="E1430" s="10">
        <v>0.99288541699999999</v>
      </c>
      <c r="F1430" s="10">
        <v>-7.1999250000000001E-2</v>
      </c>
      <c r="G1430" s="10">
        <v>-0.50358983599999996</v>
      </c>
      <c r="H1430" s="9">
        <v>4.9169700750000003E-2</v>
      </c>
      <c r="I1430" s="10">
        <v>0.65411760474891101</v>
      </c>
      <c r="J1430" s="10">
        <v>0.427869840842453</v>
      </c>
      <c r="K1430" s="10">
        <v>-5.1503778E-2</v>
      </c>
      <c r="L1430" s="10">
        <v>0.39303351600000003</v>
      </c>
      <c r="M1430" s="10">
        <v>0.222627783</v>
      </c>
      <c r="N1430" s="10">
        <v>-0.984817795</v>
      </c>
      <c r="O1430" s="9">
        <v>-0.1051650685</v>
      </c>
      <c r="P1430" s="10">
        <v>0.614361032951937</v>
      </c>
      <c r="Q1430" s="10">
        <v>0.37743947880977102</v>
      </c>
    </row>
    <row r="1431" spans="1:17" x14ac:dyDescent="0.2">
      <c r="A1431" s="10">
        <v>1751</v>
      </c>
      <c r="B1431" s="10" t="s">
        <v>2818</v>
      </c>
      <c r="C1431" s="9" t="s">
        <v>1187</v>
      </c>
      <c r="D1431" s="10">
        <v>3.8160791999999999E-2</v>
      </c>
      <c r="E1431" s="10">
        <v>-1.1966113E-2</v>
      </c>
      <c r="F1431" s="10">
        <v>-0.18141802300000001</v>
      </c>
      <c r="G1431" s="10">
        <v>-0.18771740000000001</v>
      </c>
      <c r="H1431" s="9">
        <v>-8.5735186249999998E-2</v>
      </c>
      <c r="I1431" s="10">
        <v>0.115970781901543</v>
      </c>
      <c r="J1431" s="10">
        <v>1.34492222548553E-2</v>
      </c>
      <c r="K1431" s="10">
        <v>0.19661678599999999</v>
      </c>
      <c r="L1431" s="10">
        <v>-0.14739052599999999</v>
      </c>
      <c r="M1431" s="10">
        <v>0.37210278099999999</v>
      </c>
      <c r="N1431" s="10">
        <v>0.28907560700000001</v>
      </c>
      <c r="O1431" s="9">
        <v>0.17760116174999999</v>
      </c>
      <c r="P1431" s="10">
        <v>0.228209423488512</v>
      </c>
      <c r="Q1431" s="10">
        <v>5.2079540968959302E-2</v>
      </c>
    </row>
    <row r="1432" spans="1:17" x14ac:dyDescent="0.2">
      <c r="A1432" s="10">
        <v>1751</v>
      </c>
      <c r="B1432" s="10" t="s">
        <v>2830</v>
      </c>
      <c r="C1432" s="9" t="s">
        <v>2271</v>
      </c>
      <c r="D1432" s="10">
        <v>-0.122064303</v>
      </c>
      <c r="E1432" s="10">
        <v>-0.227414751</v>
      </c>
      <c r="F1432" s="10">
        <v>-0.48882648099999998</v>
      </c>
      <c r="G1432" s="10">
        <v>-0.61239298600000003</v>
      </c>
      <c r="H1432" s="9">
        <v>-0.36267463</v>
      </c>
      <c r="I1432" s="10">
        <v>0.22690828628927701</v>
      </c>
      <c r="J1432" s="10">
        <v>5.14873703867368E-2</v>
      </c>
      <c r="K1432" s="10">
        <v>-0.100009005</v>
      </c>
      <c r="L1432" s="10">
        <v>-3.8876091000000002E-2</v>
      </c>
      <c r="M1432" s="10">
        <v>0.30505054500000001</v>
      </c>
      <c r="N1432" s="10">
        <v>-0.12487190099999999</v>
      </c>
      <c r="O1432" s="9">
        <v>1.032338725E-2</v>
      </c>
      <c r="P1432" s="10">
        <v>0.19977961934764801</v>
      </c>
      <c r="Q1432" s="10">
        <v>3.99118963066913E-2</v>
      </c>
    </row>
    <row r="1433" spans="1:17" x14ac:dyDescent="0.2">
      <c r="A1433" s="10">
        <v>1752</v>
      </c>
      <c r="B1433" s="10" t="s">
        <v>2831</v>
      </c>
      <c r="C1433" s="9" t="s">
        <v>2270</v>
      </c>
      <c r="D1433" s="10">
        <v>-1.64729017</v>
      </c>
      <c r="E1433" s="10">
        <v>-1.642285285</v>
      </c>
      <c r="F1433" s="10">
        <v>-2.22820683</v>
      </c>
      <c r="G1433" s="10">
        <v>-2.1104129359999999</v>
      </c>
      <c r="H1433" s="9">
        <v>-1.9070488052500001</v>
      </c>
      <c r="I1433" s="10">
        <v>0.30663426465369598</v>
      </c>
      <c r="J1433" s="10">
        <v>9.4024572259713099E-2</v>
      </c>
      <c r="K1433" s="10">
        <v>-0.42420246900000003</v>
      </c>
      <c r="L1433" s="10">
        <v>-0.31254833599999998</v>
      </c>
      <c r="M1433" s="10">
        <v>-0.10496068</v>
      </c>
      <c r="N1433" s="10">
        <v>-0.18427385399999999</v>
      </c>
      <c r="O1433" s="9">
        <v>-0.25649633475</v>
      </c>
      <c r="P1433" s="10">
        <v>0.14076732065765399</v>
      </c>
      <c r="Q1433" s="10">
        <v>1.9815438565134701E-2</v>
      </c>
    </row>
    <row r="1434" spans="1:17" x14ac:dyDescent="0.2">
      <c r="A1434" s="10">
        <v>1752</v>
      </c>
      <c r="B1434" s="10" t="s">
        <v>96</v>
      </c>
      <c r="C1434" s="9" t="s">
        <v>2269</v>
      </c>
      <c r="D1434" s="10">
        <v>0.202683481</v>
      </c>
      <c r="E1434" s="10">
        <v>-0.44260450699999998</v>
      </c>
      <c r="F1434" s="10">
        <v>-0.56490571499999997</v>
      </c>
      <c r="G1434" s="10">
        <v>-0.18356961399999999</v>
      </c>
      <c r="H1434" s="9">
        <v>-0.24709908850000001</v>
      </c>
      <c r="I1434" s="10">
        <v>0.33939346608640802</v>
      </c>
      <c r="J1434" s="10">
        <v>0.115187924822146</v>
      </c>
      <c r="K1434" s="10">
        <v>-0.12673801800000001</v>
      </c>
      <c r="L1434" s="10">
        <v>-0.34159562900000001</v>
      </c>
      <c r="M1434" s="10">
        <v>-0.118966327</v>
      </c>
      <c r="N1434" s="10">
        <v>7.6716392999999994E-2</v>
      </c>
      <c r="O1434" s="9">
        <v>-0.12764589525</v>
      </c>
      <c r="P1434" s="10">
        <v>0.17089430707953099</v>
      </c>
      <c r="Q1434" s="10">
        <v>2.9204864192193099E-2</v>
      </c>
    </row>
    <row r="1435" spans="1:17" x14ac:dyDescent="0.2">
      <c r="A1435" s="10">
        <v>1752</v>
      </c>
      <c r="B1435" s="10" t="s">
        <v>2834</v>
      </c>
      <c r="C1435" s="9" t="s">
        <v>2268</v>
      </c>
      <c r="D1435" s="10">
        <v>-0.50343590100000002</v>
      </c>
      <c r="E1435" s="10">
        <v>-0.20362665099999999</v>
      </c>
      <c r="F1435" s="10">
        <v>-0.41796734200000002</v>
      </c>
      <c r="G1435" s="10">
        <v>-0.49048166500000001</v>
      </c>
      <c r="H1435" s="9">
        <v>-0.40387788949999998</v>
      </c>
      <c r="I1435" s="10">
        <v>0.13869761206454601</v>
      </c>
      <c r="J1435" s="10">
        <v>1.9237027592407301E-2</v>
      </c>
      <c r="K1435" s="10">
        <v>0.37640637399999999</v>
      </c>
      <c r="L1435" s="10">
        <v>-0.14288585100000001</v>
      </c>
      <c r="M1435" s="10">
        <v>0.25133007499999999</v>
      </c>
      <c r="N1435" s="10">
        <v>0.35450643199999998</v>
      </c>
      <c r="O1435" s="9">
        <v>0.20983925724999999</v>
      </c>
      <c r="P1435" s="10">
        <v>0.24139158075631101</v>
      </c>
      <c r="Q1435" s="10">
        <v>5.8269895260030999E-2</v>
      </c>
    </row>
    <row r="1436" spans="1:17" x14ac:dyDescent="0.2">
      <c r="A1436" s="10">
        <v>1752</v>
      </c>
      <c r="B1436" s="10" t="s">
        <v>2824</v>
      </c>
      <c r="C1436" s="9" t="s">
        <v>2267</v>
      </c>
      <c r="D1436" s="10">
        <v>-1.5195576770000001</v>
      </c>
      <c r="E1436" s="10">
        <v>-1.4504347710000001</v>
      </c>
      <c r="F1436" s="10">
        <v>-1.3908996849999999</v>
      </c>
      <c r="G1436" s="10">
        <v>-1.3653625380000001</v>
      </c>
      <c r="H1436" s="9">
        <v>-1.4315636677500001</v>
      </c>
      <c r="I1436" s="10">
        <v>6.8642099023436695E-2</v>
      </c>
      <c r="J1436" s="10">
        <v>4.7117377583432004E-3</v>
      </c>
      <c r="K1436" s="10">
        <v>-0.19314469200000001</v>
      </c>
      <c r="L1436" s="10">
        <v>-8.5823782000000001E-2</v>
      </c>
      <c r="M1436" s="10">
        <v>0.16589886200000001</v>
      </c>
      <c r="N1436" s="10">
        <v>0.38159844799999998</v>
      </c>
      <c r="O1436" s="9">
        <v>6.7132208750000005E-2</v>
      </c>
      <c r="P1436" s="10">
        <v>0.25805908082748702</v>
      </c>
      <c r="Q1436" s="10">
        <v>6.6594489197527806E-2</v>
      </c>
    </row>
    <row r="1437" spans="1:17" x14ac:dyDescent="0.2">
      <c r="A1437" s="10">
        <v>1752</v>
      </c>
      <c r="B1437" s="10" t="s">
        <v>82</v>
      </c>
      <c r="C1437" s="9" t="s">
        <v>2266</v>
      </c>
      <c r="D1437" s="10">
        <v>-1.0556609939999999</v>
      </c>
      <c r="E1437" s="10">
        <v>-0.99107741900000002</v>
      </c>
      <c r="F1437" s="10">
        <v>-1.6009919749999999</v>
      </c>
      <c r="G1437" s="10" t="s">
        <v>76</v>
      </c>
      <c r="H1437" s="9">
        <v>-0.91193259699999996</v>
      </c>
      <c r="I1437" s="10">
        <v>0.33505041476840403</v>
      </c>
      <c r="J1437" s="10">
        <v>0.11225878043647999</v>
      </c>
      <c r="K1437" s="10">
        <v>-0.78654780199999996</v>
      </c>
      <c r="L1437" s="10">
        <v>-4.9918003229999997</v>
      </c>
      <c r="M1437" s="10">
        <v>-1.925499289</v>
      </c>
      <c r="N1437" s="10">
        <v>-0.594192465</v>
      </c>
      <c r="O1437" s="9">
        <v>-2.0745099697499998</v>
      </c>
      <c r="P1437" s="10">
        <v>2.03166382131884</v>
      </c>
      <c r="Q1437" s="10">
        <v>4.1276578828558703</v>
      </c>
    </row>
    <row r="1438" spans="1:17" x14ac:dyDescent="0.2">
      <c r="A1438" s="10">
        <v>1752</v>
      </c>
      <c r="B1438" s="10" t="s">
        <v>2814</v>
      </c>
      <c r="C1438" s="9" t="s">
        <v>1188</v>
      </c>
      <c r="D1438" s="10">
        <v>-1.7758196310000001</v>
      </c>
      <c r="E1438" s="10">
        <v>-1.7376614690000001</v>
      </c>
      <c r="F1438" s="10">
        <v>-1.99812251</v>
      </c>
      <c r="G1438" s="10">
        <v>-2.6218588889999999</v>
      </c>
      <c r="H1438" s="9">
        <v>-2.0333656245</v>
      </c>
      <c r="I1438" s="10">
        <v>0.40879387056290201</v>
      </c>
      <c r="J1438" s="10">
        <v>0.167112428609799</v>
      </c>
      <c r="K1438" s="10">
        <v>0.16205298500000001</v>
      </c>
      <c r="L1438" s="10">
        <v>5.8196930000000001E-2</v>
      </c>
      <c r="M1438" s="10">
        <v>0.23408271</v>
      </c>
      <c r="N1438" s="10">
        <v>4.6955707999999999E-2</v>
      </c>
      <c r="O1438" s="9">
        <v>0.12532208324999999</v>
      </c>
      <c r="P1438" s="10">
        <v>8.9116231299505203E-2</v>
      </c>
      <c r="Q1438" s="10">
        <v>7.9417026810268999E-3</v>
      </c>
    </row>
    <row r="1439" spans="1:17" x14ac:dyDescent="0.2">
      <c r="A1439" s="10">
        <v>1752</v>
      </c>
      <c r="B1439" s="10" t="s">
        <v>2832</v>
      </c>
      <c r="C1439" s="9" t="s">
        <v>2265</v>
      </c>
      <c r="D1439" s="10">
        <v>-2.125831802</v>
      </c>
      <c r="E1439" s="10">
        <v>-1.1270764710000001</v>
      </c>
      <c r="F1439" s="10">
        <v>-0.19938609900000001</v>
      </c>
      <c r="G1439" s="10">
        <v>-1.0494591879999999</v>
      </c>
      <c r="H1439" s="9">
        <v>-1.12543839</v>
      </c>
      <c r="I1439" s="10">
        <v>0.78827561738376495</v>
      </c>
      <c r="J1439" s="10">
        <v>0.62137844896175598</v>
      </c>
      <c r="K1439" s="10">
        <v>-7.2981671999999997E-2</v>
      </c>
      <c r="L1439" s="10">
        <v>0.47306361200000002</v>
      </c>
      <c r="M1439" s="10">
        <v>-0.76390590700000005</v>
      </c>
      <c r="N1439" s="10" t="s">
        <v>76</v>
      </c>
      <c r="O1439" s="9">
        <v>-9.0955991750000006E-2</v>
      </c>
      <c r="P1439" s="10">
        <v>0.61989721481657301</v>
      </c>
      <c r="Q1439" s="10">
        <v>0.38427255693734402</v>
      </c>
    </row>
    <row r="1440" spans="1:17" x14ac:dyDescent="0.2">
      <c r="A1440" s="10">
        <v>1753</v>
      </c>
      <c r="B1440" s="10" t="s">
        <v>2822</v>
      </c>
      <c r="C1440" s="9" t="s">
        <v>1189</v>
      </c>
      <c r="D1440" s="10">
        <v>-0.99232581099999995</v>
      </c>
      <c r="E1440" s="10">
        <v>-0.77121166799999996</v>
      </c>
      <c r="F1440" s="10">
        <v>-1.6131298949999999</v>
      </c>
      <c r="G1440" s="10">
        <v>-1.209890857</v>
      </c>
      <c r="H1440" s="9">
        <v>-1.1466395574999999</v>
      </c>
      <c r="I1440" s="10">
        <v>0.35887453445579598</v>
      </c>
      <c r="J1440" s="10">
        <v>0.12879093148086401</v>
      </c>
      <c r="K1440" s="10">
        <v>-0.47096702000000001</v>
      </c>
      <c r="L1440" s="10">
        <v>-0.16089413899999999</v>
      </c>
      <c r="M1440" s="10">
        <v>-1.1320251E-2</v>
      </c>
      <c r="N1440" s="10">
        <v>-0.30548571499999999</v>
      </c>
      <c r="O1440" s="9">
        <v>-0.23716678150000001</v>
      </c>
      <c r="P1440" s="10">
        <v>0.19676906898701799</v>
      </c>
      <c r="Q1440" s="10">
        <v>3.87180665100181E-2</v>
      </c>
    </row>
    <row r="1441" spans="1:17" x14ac:dyDescent="0.2">
      <c r="A1441" s="10">
        <v>1753</v>
      </c>
      <c r="B1441" s="10" t="s">
        <v>2824</v>
      </c>
      <c r="C1441" s="9" t="s">
        <v>2264</v>
      </c>
      <c r="D1441" s="10">
        <v>-0.78721369299999999</v>
      </c>
      <c r="E1441" s="10">
        <v>-1.5359087380000001</v>
      </c>
      <c r="F1441" s="10">
        <v>-1.9110389139999999</v>
      </c>
      <c r="G1441" s="10">
        <v>-0.51419042500000001</v>
      </c>
      <c r="H1441" s="9">
        <v>-1.18708794225</v>
      </c>
      <c r="I1441" s="10">
        <v>0.64768084758361699</v>
      </c>
      <c r="J1441" s="10">
        <v>0.419490480326632</v>
      </c>
      <c r="K1441" s="10">
        <v>0.39054157900000003</v>
      </c>
      <c r="L1441" s="10">
        <v>-0.51342037900000004</v>
      </c>
      <c r="M1441" s="10">
        <v>-0.29306470000000001</v>
      </c>
      <c r="N1441" s="10">
        <v>0.49344977499999998</v>
      </c>
      <c r="O1441" s="9">
        <v>1.937656875E-2</v>
      </c>
      <c r="P1441" s="10">
        <v>0.49799631982169701</v>
      </c>
      <c r="Q1441" s="10">
        <v>0.24800033455595399</v>
      </c>
    </row>
    <row r="1442" spans="1:17" x14ac:dyDescent="0.2">
      <c r="A1442" s="10">
        <v>1753</v>
      </c>
      <c r="B1442" s="10" t="s">
        <v>74</v>
      </c>
      <c r="C1442" s="9" t="s">
        <v>1190</v>
      </c>
      <c r="D1442" s="10">
        <v>-0.99381285699999999</v>
      </c>
      <c r="E1442" s="10">
        <v>-1.1607835959999999</v>
      </c>
      <c r="F1442" s="10">
        <v>-1.723344067</v>
      </c>
      <c r="G1442" s="10">
        <v>-1.686870589</v>
      </c>
      <c r="H1442" s="9">
        <v>-1.39120277725</v>
      </c>
      <c r="I1442" s="10">
        <v>0.36912014262118298</v>
      </c>
      <c r="J1442" s="10">
        <v>0.13624967968868201</v>
      </c>
      <c r="K1442" s="10">
        <v>0.187613741</v>
      </c>
      <c r="L1442" s="10">
        <v>-0.69094075600000004</v>
      </c>
      <c r="M1442" s="10">
        <v>-0.75357358100000005</v>
      </c>
      <c r="N1442" s="10">
        <v>0.38303356100000002</v>
      </c>
      <c r="O1442" s="9">
        <v>-0.21846675900000001</v>
      </c>
      <c r="P1442" s="10">
        <v>0.58772867783029703</v>
      </c>
      <c r="Q1442" s="10">
        <v>0.345424998744149</v>
      </c>
    </row>
    <row r="1443" spans="1:17" x14ac:dyDescent="0.2">
      <c r="A1443" s="10">
        <v>1753</v>
      </c>
      <c r="B1443" s="10" t="s">
        <v>2832</v>
      </c>
      <c r="C1443" s="9" t="s">
        <v>2263</v>
      </c>
      <c r="D1443" s="10">
        <v>-3.1357011990000001</v>
      </c>
      <c r="E1443" s="10">
        <v>-1.924641984</v>
      </c>
      <c r="F1443" s="10">
        <v>-1.350464197</v>
      </c>
      <c r="G1443" s="10">
        <v>-2.4165300919999999</v>
      </c>
      <c r="H1443" s="9">
        <v>-2.206834368</v>
      </c>
      <c r="I1443" s="10">
        <v>0.75713677711098704</v>
      </c>
      <c r="J1443" s="10">
        <v>0.573256099254013</v>
      </c>
      <c r="K1443" s="10">
        <v>-0.13947499999999999</v>
      </c>
      <c r="L1443" s="10">
        <v>0.112202648</v>
      </c>
      <c r="M1443" s="10">
        <v>-3.1591095999999999E-2</v>
      </c>
      <c r="N1443" s="10">
        <v>-0.52594789600000003</v>
      </c>
      <c r="O1443" s="9">
        <v>-0.146202836</v>
      </c>
      <c r="P1443" s="10">
        <v>0.27335009266430199</v>
      </c>
      <c r="Q1443" s="10">
        <v>7.4720273159582795E-2</v>
      </c>
    </row>
    <row r="1444" spans="1:17" x14ac:dyDescent="0.2">
      <c r="A1444" s="10">
        <v>1754</v>
      </c>
      <c r="B1444" s="10" t="s">
        <v>2822</v>
      </c>
      <c r="C1444" s="9" t="s">
        <v>1192</v>
      </c>
      <c r="D1444" s="10">
        <v>0.49011447200000002</v>
      </c>
      <c r="E1444" s="10">
        <v>1.0178639169999999</v>
      </c>
      <c r="F1444" s="10">
        <v>-0.16620038100000001</v>
      </c>
      <c r="G1444" s="10">
        <v>-0.162690946</v>
      </c>
      <c r="H1444" s="9">
        <v>0.29477176575000003</v>
      </c>
      <c r="I1444" s="10">
        <v>0.57236016772815101</v>
      </c>
      <c r="J1444" s="10">
        <v>0.327596161601797</v>
      </c>
      <c r="K1444" s="10">
        <v>0.87379589400000002</v>
      </c>
      <c r="L1444" s="10">
        <v>-0.84117691999999999</v>
      </c>
      <c r="M1444" s="10">
        <v>0.14455310199999999</v>
      </c>
      <c r="N1444" s="10">
        <v>-0.60818670399999997</v>
      </c>
      <c r="O1444" s="9">
        <v>-0.10775365725</v>
      </c>
      <c r="P1444" s="10">
        <v>0.77791197851356197</v>
      </c>
      <c r="Q1444" s="10">
        <v>0.60514704631488503</v>
      </c>
    </row>
    <row r="1445" spans="1:17" x14ac:dyDescent="0.2">
      <c r="A1445" s="10">
        <v>1754</v>
      </c>
      <c r="B1445" s="10" t="s">
        <v>2826</v>
      </c>
      <c r="C1445" s="9" t="s">
        <v>2262</v>
      </c>
      <c r="D1445" s="10">
        <v>3.6374434999999997E-2</v>
      </c>
      <c r="E1445" s="10">
        <v>0.21517034099999999</v>
      </c>
      <c r="F1445" s="10">
        <v>-0.84927951199999996</v>
      </c>
      <c r="G1445" s="10">
        <v>-0.309423952</v>
      </c>
      <c r="H1445" s="9">
        <v>-0.226789672</v>
      </c>
      <c r="I1445" s="10">
        <v>0.46865268783268899</v>
      </c>
      <c r="J1445" s="10">
        <v>0.219635341812803</v>
      </c>
      <c r="K1445" s="10">
        <v>-0.381833692</v>
      </c>
      <c r="L1445" s="10">
        <v>-0.26143983900000001</v>
      </c>
      <c r="M1445" s="10">
        <v>0.55585316699999998</v>
      </c>
      <c r="N1445" s="10">
        <v>-0.29201430299999998</v>
      </c>
      <c r="O1445" s="9">
        <v>-9.4858666750000001E-2</v>
      </c>
      <c r="P1445" s="10">
        <v>0.43680666491895098</v>
      </c>
      <c r="Q1445" s="10">
        <v>0.190800062517617</v>
      </c>
    </row>
    <row r="1446" spans="1:17" x14ac:dyDescent="0.2">
      <c r="A1446" s="10">
        <v>1754</v>
      </c>
      <c r="B1446" s="10" t="s">
        <v>2821</v>
      </c>
      <c r="C1446" s="9" t="s">
        <v>1193</v>
      </c>
      <c r="D1446" s="10">
        <v>-0.362773919</v>
      </c>
      <c r="E1446" s="10">
        <v>-0.409255904</v>
      </c>
      <c r="F1446" s="10">
        <v>-0.102172939</v>
      </c>
      <c r="G1446" s="10">
        <v>0.165751597</v>
      </c>
      <c r="H1446" s="9">
        <v>-0.17711279150000001</v>
      </c>
      <c r="I1446" s="10">
        <v>0.26553872871325701</v>
      </c>
      <c r="J1446" s="10">
        <v>7.0510816446653093E-2</v>
      </c>
      <c r="K1446" s="10">
        <v>-0.21110783499999999</v>
      </c>
      <c r="L1446" s="10">
        <v>-3.3431699000000002E-2</v>
      </c>
      <c r="M1446" s="10">
        <v>-0.32011187600000002</v>
      </c>
      <c r="N1446" s="10">
        <v>-2.0887263420000002</v>
      </c>
      <c r="O1446" s="9">
        <v>-0.66334443825</v>
      </c>
      <c r="P1446" s="10">
        <v>0.95757161050148198</v>
      </c>
      <c r="Q1446" s="10">
        <v>0.91694338923840302</v>
      </c>
    </row>
    <row r="1447" spans="1:17" x14ac:dyDescent="0.2">
      <c r="A1447" s="10">
        <v>1754</v>
      </c>
      <c r="B1447" s="10" t="s">
        <v>2834</v>
      </c>
      <c r="C1447" s="9" t="s">
        <v>1194</v>
      </c>
      <c r="D1447" s="10">
        <v>0.189616228</v>
      </c>
      <c r="E1447" s="10">
        <v>0.410625674</v>
      </c>
      <c r="F1447" s="10">
        <v>-4.8568396E-2</v>
      </c>
      <c r="G1447" s="10">
        <v>-0.203832602</v>
      </c>
      <c r="H1447" s="9">
        <v>8.6960226000000002E-2</v>
      </c>
      <c r="I1447" s="10">
        <v>0.26970728155608498</v>
      </c>
      <c r="J1447" s="10">
        <v>7.2742017724373706E-2</v>
      </c>
      <c r="K1447" s="10">
        <v>-0.78837573100000002</v>
      </c>
      <c r="L1447" s="10">
        <v>0.18281973400000001</v>
      </c>
      <c r="M1447" s="10">
        <v>0.431781162</v>
      </c>
      <c r="N1447" s="10">
        <v>0.40021765399999998</v>
      </c>
      <c r="O1447" s="9">
        <v>5.6610704999999997E-2</v>
      </c>
      <c r="P1447" s="10">
        <v>0.57409331507220496</v>
      </c>
      <c r="Q1447" s="10">
        <v>0.329583134410594</v>
      </c>
    </row>
    <row r="1448" spans="1:17" x14ac:dyDescent="0.2">
      <c r="A1448" s="10">
        <v>1754</v>
      </c>
      <c r="B1448" s="10" t="s">
        <v>79</v>
      </c>
      <c r="C1448" s="9" t="s">
        <v>2261</v>
      </c>
      <c r="D1448" s="10">
        <v>0.29108243900000003</v>
      </c>
      <c r="E1448" s="10">
        <v>-0.25378267300000001</v>
      </c>
      <c r="F1448" s="10">
        <v>-0.68054685000000004</v>
      </c>
      <c r="G1448" s="10">
        <v>0.25801967399999998</v>
      </c>
      <c r="H1448" s="9">
        <v>-9.6306852250000005E-2</v>
      </c>
      <c r="I1448" s="10">
        <v>0.46251225543091401</v>
      </c>
      <c r="J1448" s="10">
        <v>0.213917586423791</v>
      </c>
      <c r="K1448" s="10">
        <v>3.9858381999999998E-2</v>
      </c>
      <c r="L1448" s="10">
        <v>0.35564362599999999</v>
      </c>
      <c r="M1448" s="10">
        <v>-0.362440449</v>
      </c>
      <c r="N1448" s="10">
        <v>-0.180710646</v>
      </c>
      <c r="O1448" s="9">
        <v>-3.6912271500000003E-2</v>
      </c>
      <c r="P1448" s="10">
        <v>0.30910647181629802</v>
      </c>
      <c r="Q1448" s="10">
        <v>9.5546810918720401E-2</v>
      </c>
    </row>
    <row r="1449" spans="1:17" x14ac:dyDescent="0.2">
      <c r="A1449" s="10">
        <v>1754</v>
      </c>
      <c r="B1449" s="10" t="s">
        <v>2824</v>
      </c>
      <c r="C1449" s="9" t="s">
        <v>1195</v>
      </c>
      <c r="D1449" s="10">
        <v>0.18312694099999999</v>
      </c>
      <c r="E1449" s="10">
        <v>0.223855312</v>
      </c>
      <c r="F1449" s="10">
        <v>-0.10130778999999999</v>
      </c>
      <c r="G1449" s="10">
        <v>0.248481961</v>
      </c>
      <c r="H1449" s="9">
        <v>0.13853910575</v>
      </c>
      <c r="I1449" s="10">
        <v>0.162153111721203</v>
      </c>
      <c r="J1449" s="10">
        <v>2.6293631640869099E-2</v>
      </c>
      <c r="K1449" s="10">
        <v>0.10276813799999999</v>
      </c>
      <c r="L1449" s="10">
        <v>-0.21881147500000001</v>
      </c>
      <c r="M1449" s="10">
        <v>-2.1996472E-2</v>
      </c>
      <c r="N1449" s="10">
        <v>0.27449925200000003</v>
      </c>
      <c r="O1449" s="9">
        <v>3.4114860750000003E-2</v>
      </c>
      <c r="P1449" s="10">
        <v>0.207860643230588</v>
      </c>
      <c r="Q1449" s="10">
        <v>4.3206047004233798E-2</v>
      </c>
    </row>
    <row r="1450" spans="1:17" x14ac:dyDescent="0.2">
      <c r="A1450" s="10">
        <v>1754</v>
      </c>
      <c r="B1450" s="10" t="s">
        <v>2817</v>
      </c>
      <c r="C1450" s="9" t="s">
        <v>2260</v>
      </c>
      <c r="D1450" s="10">
        <v>0.12563882000000001</v>
      </c>
      <c r="E1450" s="10">
        <v>-0.18021825299999999</v>
      </c>
      <c r="F1450" s="10">
        <v>1.9067330000000001E-3</v>
      </c>
      <c r="G1450" s="10">
        <v>0.25485162500000003</v>
      </c>
      <c r="H1450" s="9">
        <v>5.0544731250000002E-2</v>
      </c>
      <c r="I1450" s="10">
        <v>0.18529043757724301</v>
      </c>
      <c r="J1450" s="10">
        <v>3.4332546257566397E-2</v>
      </c>
      <c r="K1450" s="10">
        <v>-0.14943421700000001</v>
      </c>
      <c r="L1450" s="10">
        <v>-0.12872750299999999</v>
      </c>
      <c r="M1450" s="10">
        <v>0.31585196100000001</v>
      </c>
      <c r="N1450" s="10">
        <v>-2.9212867E-2</v>
      </c>
      <c r="O1450" s="9">
        <v>2.1193434999999998E-3</v>
      </c>
      <c r="P1450" s="10">
        <v>0.21563800039065401</v>
      </c>
      <c r="Q1450" s="10">
        <v>4.6499747212479701E-2</v>
      </c>
    </row>
    <row r="1451" spans="1:17" x14ac:dyDescent="0.2">
      <c r="A1451" s="10">
        <v>1754</v>
      </c>
      <c r="B1451" s="10" t="s">
        <v>82</v>
      </c>
      <c r="C1451" s="9" t="s">
        <v>1196</v>
      </c>
      <c r="D1451" s="10">
        <v>-2.636425E-3</v>
      </c>
      <c r="E1451" s="10">
        <v>-0.34110410400000002</v>
      </c>
      <c r="F1451" s="10">
        <v>-0.69508074200000003</v>
      </c>
      <c r="G1451" s="10">
        <v>-0.19667931299999999</v>
      </c>
      <c r="H1451" s="9">
        <v>-0.30887514625000001</v>
      </c>
      <c r="I1451" s="10">
        <v>0.29244003789823297</v>
      </c>
      <c r="J1451" s="10">
        <v>8.5521175765920193E-2</v>
      </c>
      <c r="K1451" s="10">
        <v>0.56316519099999995</v>
      </c>
      <c r="L1451" s="10">
        <v>-0.24072687300000001</v>
      </c>
      <c r="M1451" s="10">
        <v>0.103236102</v>
      </c>
      <c r="N1451" s="10">
        <v>0.12984598</v>
      </c>
      <c r="O1451" s="9">
        <v>0.13888010025</v>
      </c>
      <c r="P1451" s="10">
        <v>0.32937891164670202</v>
      </c>
      <c r="Q1451" s="10">
        <v>0.108490467437566</v>
      </c>
    </row>
    <row r="1452" spans="1:17" x14ac:dyDescent="0.2">
      <c r="A1452" s="10">
        <v>1754</v>
      </c>
      <c r="B1452" s="10" t="s">
        <v>2814</v>
      </c>
      <c r="C1452" s="9" t="s">
        <v>2259</v>
      </c>
      <c r="D1452" s="10">
        <v>-1.3831131000000001</v>
      </c>
      <c r="E1452" s="10">
        <v>-1.3598664460000001</v>
      </c>
      <c r="F1452" s="10">
        <v>-1.402459989</v>
      </c>
      <c r="G1452" s="10">
        <v>-1.2705501239999999</v>
      </c>
      <c r="H1452" s="9">
        <v>-1.35399741475</v>
      </c>
      <c r="I1452" s="10">
        <v>5.8293053021900597E-2</v>
      </c>
      <c r="J1452" s="10">
        <v>3.3980800306141002E-3</v>
      </c>
      <c r="K1452" s="10">
        <v>-0.15441628199999999</v>
      </c>
      <c r="L1452" s="10">
        <v>-0.21685739000000001</v>
      </c>
      <c r="M1452" s="10">
        <v>-3.2521080000000001E-3</v>
      </c>
      <c r="N1452" s="10">
        <v>2.3371141000000002E-2</v>
      </c>
      <c r="O1452" s="9">
        <v>-8.7788659500000005E-2</v>
      </c>
      <c r="P1452" s="10">
        <v>0.11633415528782599</v>
      </c>
      <c r="Q1452" s="10">
        <v>1.3533635686532E-2</v>
      </c>
    </row>
    <row r="1453" spans="1:17" x14ac:dyDescent="0.2">
      <c r="A1453" s="10">
        <v>1754</v>
      </c>
      <c r="B1453" s="10" t="s">
        <v>74</v>
      </c>
      <c r="C1453" s="9" t="s">
        <v>1197</v>
      </c>
      <c r="D1453" s="10">
        <v>-0.69559651199999994</v>
      </c>
      <c r="E1453" s="10">
        <v>-0.79520604699999997</v>
      </c>
      <c r="F1453" s="10">
        <v>-0.91853058099999996</v>
      </c>
      <c r="G1453" s="10">
        <v>-0.28301193200000002</v>
      </c>
      <c r="H1453" s="9">
        <v>-0.67308626800000004</v>
      </c>
      <c r="I1453" s="10">
        <v>0.27557264613759602</v>
      </c>
      <c r="J1453" s="10">
        <v>7.5940283299277003E-2</v>
      </c>
      <c r="K1453" s="10">
        <v>-0.93125822300000005</v>
      </c>
      <c r="L1453" s="10">
        <v>-0.48277639999999999</v>
      </c>
      <c r="M1453" s="10">
        <v>-0.159381199</v>
      </c>
      <c r="N1453" s="10">
        <v>4.5318420000000003E-3</v>
      </c>
      <c r="O1453" s="9">
        <v>-0.39222099449999998</v>
      </c>
      <c r="P1453" s="10">
        <v>0.41246761441092</v>
      </c>
      <c r="Q1453" s="10">
        <v>0.170129532937836</v>
      </c>
    </row>
    <row r="1454" spans="1:17" x14ac:dyDescent="0.2">
      <c r="A1454" s="10">
        <v>1754</v>
      </c>
      <c r="B1454" s="10" t="s">
        <v>2818</v>
      </c>
      <c r="C1454" s="9" t="s">
        <v>1198</v>
      </c>
      <c r="D1454" s="10">
        <v>-0.50192663800000004</v>
      </c>
      <c r="E1454" s="10">
        <v>-0.149737437</v>
      </c>
      <c r="F1454" s="10">
        <v>0.22890017300000001</v>
      </c>
      <c r="G1454" s="10">
        <v>-0.41757770100000002</v>
      </c>
      <c r="H1454" s="9">
        <v>-0.210085401</v>
      </c>
      <c r="I1454" s="10">
        <v>0.32892480047980299</v>
      </c>
      <c r="J1454" s="10">
        <v>0.108191524370678</v>
      </c>
      <c r="K1454" s="10">
        <v>0.165794741</v>
      </c>
      <c r="L1454" s="10">
        <v>-0.156579569</v>
      </c>
      <c r="M1454" s="10">
        <v>-0.16554961300000001</v>
      </c>
      <c r="N1454" s="10">
        <v>0.10191842700000001</v>
      </c>
      <c r="O1454" s="9">
        <v>-1.360400325E-2</v>
      </c>
      <c r="P1454" s="10">
        <v>0.17229705168030199</v>
      </c>
      <c r="Q1454" s="10">
        <v>2.96862740177249E-2</v>
      </c>
    </row>
    <row r="1455" spans="1:17" x14ac:dyDescent="0.2">
      <c r="A1455" s="10">
        <v>1754</v>
      </c>
      <c r="B1455" s="10" t="s">
        <v>2830</v>
      </c>
      <c r="C1455" s="9" t="s">
        <v>1199</v>
      </c>
      <c r="D1455" s="10">
        <v>-0.45929067899999998</v>
      </c>
      <c r="E1455" s="10">
        <v>0.70921975400000004</v>
      </c>
      <c r="F1455" s="10">
        <v>-0.92386505500000005</v>
      </c>
      <c r="G1455" s="10">
        <v>-0.90657194399999996</v>
      </c>
      <c r="H1455" s="9">
        <v>-0.39512698099999999</v>
      </c>
      <c r="I1455" s="10">
        <v>0.76699382707674502</v>
      </c>
      <c r="J1455" s="10">
        <v>0.58827953077383199</v>
      </c>
      <c r="K1455" s="10">
        <v>0.196768581</v>
      </c>
      <c r="L1455" s="10">
        <v>0.93483111699999999</v>
      </c>
      <c r="M1455" s="10">
        <v>0.78875583199999999</v>
      </c>
      <c r="N1455" s="10">
        <v>0.47221596799999999</v>
      </c>
      <c r="O1455" s="9">
        <v>0.59814287450000003</v>
      </c>
      <c r="P1455" s="10">
        <v>0.32997534325457201</v>
      </c>
      <c r="Q1455" s="10">
        <v>0.108883727155973</v>
      </c>
    </row>
    <row r="1456" spans="1:17" x14ac:dyDescent="0.2">
      <c r="A1456" s="10">
        <v>1755</v>
      </c>
      <c r="B1456" s="10" t="s">
        <v>2822</v>
      </c>
      <c r="C1456" s="9" t="s">
        <v>1200</v>
      </c>
      <c r="D1456" s="10">
        <v>-0.13191309700000001</v>
      </c>
      <c r="E1456" s="10">
        <v>-0.17658592100000001</v>
      </c>
      <c r="F1456" s="10">
        <v>8.3739144000000001E-2</v>
      </c>
      <c r="G1456" s="10">
        <v>-0.27391330899999999</v>
      </c>
      <c r="H1456" s="9">
        <v>-0.12466829575</v>
      </c>
      <c r="I1456" s="10">
        <v>0.15105811451214601</v>
      </c>
      <c r="J1456" s="10">
        <v>2.2818553959964599E-2</v>
      </c>
      <c r="K1456" s="10">
        <v>0.42601345400000001</v>
      </c>
      <c r="L1456" s="10">
        <v>4.1114394999999998E-2</v>
      </c>
      <c r="M1456" s="10">
        <v>-0.38765044700000001</v>
      </c>
      <c r="N1456" s="10">
        <v>0.46539341000000001</v>
      </c>
      <c r="O1456" s="9">
        <v>0.13621770324999999</v>
      </c>
      <c r="P1456" s="10">
        <v>0.39825481840716298</v>
      </c>
      <c r="Q1456" s="10">
        <v>0.15860690038452299</v>
      </c>
    </row>
    <row r="1457" spans="1:17" x14ac:dyDescent="0.2">
      <c r="A1457" s="10">
        <v>1755</v>
      </c>
      <c r="B1457" s="10" t="s">
        <v>2821</v>
      </c>
      <c r="C1457" s="9" t="s">
        <v>2258</v>
      </c>
      <c r="D1457" s="10">
        <v>0.80530291200000004</v>
      </c>
      <c r="E1457" s="10">
        <v>-0.12615968</v>
      </c>
      <c r="F1457" s="10">
        <v>-0.31026966499999997</v>
      </c>
      <c r="G1457" s="10">
        <v>-0.25777936699999998</v>
      </c>
      <c r="H1457" s="9">
        <v>2.7773550000000001E-2</v>
      </c>
      <c r="I1457" s="10">
        <v>0.52410591540422602</v>
      </c>
      <c r="J1457" s="10">
        <v>0.27468701056170097</v>
      </c>
      <c r="K1457" s="10">
        <v>-6.556582E-3</v>
      </c>
      <c r="L1457" s="10">
        <v>-6.5432559000000001E-2</v>
      </c>
      <c r="M1457" s="10">
        <v>0.32831110699999999</v>
      </c>
      <c r="N1457" s="10">
        <v>0.72539013900000004</v>
      </c>
      <c r="O1457" s="9">
        <v>0.24542802624999999</v>
      </c>
      <c r="P1457" s="10">
        <v>0.36394311872733298</v>
      </c>
      <c r="Q1457" s="10">
        <v>0.13245459366897699</v>
      </c>
    </row>
    <row r="1458" spans="1:17" x14ac:dyDescent="0.2">
      <c r="A1458" s="10">
        <v>1755</v>
      </c>
      <c r="B1458" s="10" t="s">
        <v>79</v>
      </c>
      <c r="C1458" s="9" t="s">
        <v>2257</v>
      </c>
      <c r="D1458" s="10">
        <v>-0.53352453799999999</v>
      </c>
      <c r="E1458" s="10">
        <v>0.102869375</v>
      </c>
      <c r="F1458" s="10">
        <v>-0.94301137099999999</v>
      </c>
      <c r="G1458" s="10">
        <v>-0.36566088699999999</v>
      </c>
      <c r="H1458" s="9">
        <v>-0.43483185525000001</v>
      </c>
      <c r="I1458" s="10">
        <v>0.432779351678313</v>
      </c>
      <c r="J1458" s="10">
        <v>0.1872979672391</v>
      </c>
      <c r="K1458" s="10">
        <v>6.6612879999999999E-2</v>
      </c>
      <c r="L1458" s="10">
        <v>4.5221829999999999E-3</v>
      </c>
      <c r="M1458" s="10">
        <v>-0.13422711900000001</v>
      </c>
      <c r="N1458" s="10">
        <v>-0.77480748899999996</v>
      </c>
      <c r="O1458" s="9">
        <v>-0.20947488650000001</v>
      </c>
      <c r="P1458" s="10">
        <v>0.38612708552526298</v>
      </c>
      <c r="Q1458" s="10">
        <v>0.14909412617623399</v>
      </c>
    </row>
    <row r="1459" spans="1:17" x14ac:dyDescent="0.2">
      <c r="A1459" s="10">
        <v>1755</v>
      </c>
      <c r="B1459" s="10" t="s">
        <v>2820</v>
      </c>
      <c r="C1459" s="9" t="s">
        <v>2256</v>
      </c>
      <c r="D1459" s="10">
        <v>0.322039407</v>
      </c>
      <c r="E1459" s="10">
        <v>-1.966610293</v>
      </c>
      <c r="F1459" s="10">
        <v>-2.816147328</v>
      </c>
      <c r="G1459" s="10">
        <v>-1.9142938709999999</v>
      </c>
      <c r="H1459" s="9">
        <v>-1.5937530215</v>
      </c>
      <c r="I1459" s="10">
        <v>1.3424203825888701</v>
      </c>
      <c r="J1459" s="10">
        <v>1.80209248359005</v>
      </c>
      <c r="K1459" s="10">
        <v>1.4132039279999999</v>
      </c>
      <c r="L1459" s="10">
        <v>-0.18000718199999999</v>
      </c>
      <c r="M1459" s="10">
        <v>-0.57874200799999997</v>
      </c>
      <c r="N1459" s="10">
        <v>-4.3206318399999999</v>
      </c>
      <c r="O1459" s="9">
        <v>-0.91654427549999995</v>
      </c>
      <c r="P1459" s="10">
        <v>2.4270789096171099</v>
      </c>
      <c r="Q1459" s="10">
        <v>5.8907120335081897</v>
      </c>
    </row>
    <row r="1460" spans="1:17" x14ac:dyDescent="0.2">
      <c r="A1460" s="10">
        <v>1755</v>
      </c>
      <c r="B1460" s="10" t="s">
        <v>82</v>
      </c>
      <c r="C1460" s="9" t="s">
        <v>1201</v>
      </c>
      <c r="D1460" s="10">
        <v>-0.42487164199999999</v>
      </c>
      <c r="E1460" s="10">
        <v>-0.86088704800000004</v>
      </c>
      <c r="F1460" s="10">
        <v>-3.1517735720000002</v>
      </c>
      <c r="G1460" s="10">
        <v>-1.7635332770000001</v>
      </c>
      <c r="H1460" s="9">
        <v>-1.550266385</v>
      </c>
      <c r="I1460" s="10">
        <v>1.20444527135809</v>
      </c>
      <c r="J1460" s="10">
        <v>1.4506884116968599</v>
      </c>
      <c r="K1460" s="10">
        <v>0.50006387299999999</v>
      </c>
      <c r="L1460" s="10">
        <v>0.37717281400000002</v>
      </c>
      <c r="M1460" s="10">
        <v>0.171612019</v>
      </c>
      <c r="N1460" s="10">
        <v>-8.4400460999999996E-2</v>
      </c>
      <c r="O1460" s="9">
        <v>0.2411120615</v>
      </c>
      <c r="P1460" s="10">
        <v>0.25583668440485702</v>
      </c>
      <c r="Q1460" s="10">
        <v>6.5452409087270805E-2</v>
      </c>
    </row>
    <row r="1461" spans="1:17" x14ac:dyDescent="0.2">
      <c r="A1461" s="10">
        <v>1755</v>
      </c>
      <c r="B1461" s="10" t="s">
        <v>2825</v>
      </c>
      <c r="C1461" s="9" t="s">
        <v>2255</v>
      </c>
      <c r="D1461" s="10">
        <v>0.44684807500000001</v>
      </c>
      <c r="E1461" s="10">
        <v>0.28012070500000003</v>
      </c>
      <c r="F1461" s="10">
        <v>-1.709366172</v>
      </c>
      <c r="G1461" s="10" t="s">
        <v>76</v>
      </c>
      <c r="H1461" s="9">
        <v>-0.245599348</v>
      </c>
      <c r="I1461" s="10">
        <v>1.1996607804311501</v>
      </c>
      <c r="J1461" s="10">
        <v>1.43918598810468</v>
      </c>
      <c r="K1461" s="10">
        <v>-0.341359572</v>
      </c>
      <c r="L1461" s="10">
        <v>-4.5309508750000003</v>
      </c>
      <c r="M1461" s="10">
        <v>-0.23076301900000001</v>
      </c>
      <c r="N1461" s="10">
        <v>5.1861745309999998</v>
      </c>
      <c r="O1461" s="9">
        <v>2.077526625E-2</v>
      </c>
      <c r="P1461" s="10">
        <v>3.9830463039922601</v>
      </c>
      <c r="Q1461" s="10">
        <v>15.8646578597464</v>
      </c>
    </row>
    <row r="1462" spans="1:17" x14ac:dyDescent="0.2">
      <c r="A1462" s="10">
        <v>1755</v>
      </c>
      <c r="B1462" s="10" t="s">
        <v>2818</v>
      </c>
      <c r="C1462" s="9" t="s">
        <v>1202</v>
      </c>
      <c r="D1462" s="10">
        <v>-0.190646443</v>
      </c>
      <c r="E1462" s="10">
        <v>-0.18087984100000001</v>
      </c>
      <c r="F1462" s="10">
        <v>-6.0183770999999997E-2</v>
      </c>
      <c r="G1462" s="10">
        <v>0.31107110199999999</v>
      </c>
      <c r="H1462" s="9">
        <v>-3.0159737999999998E-2</v>
      </c>
      <c r="I1462" s="10">
        <v>0.23509746961262501</v>
      </c>
      <c r="J1462" s="10">
        <v>5.5270820218259402E-2</v>
      </c>
      <c r="K1462" s="10">
        <v>0.29273844199999999</v>
      </c>
      <c r="L1462" s="10">
        <v>-0.90880056300000001</v>
      </c>
      <c r="M1462" s="10">
        <v>0.62399376600000001</v>
      </c>
      <c r="N1462" s="10">
        <v>-0.22676991799999999</v>
      </c>
      <c r="O1462" s="9">
        <v>-5.470956825E-2</v>
      </c>
      <c r="P1462" s="10">
        <v>0.66843960759814502</v>
      </c>
      <c r="Q1462" s="10">
        <v>0.446811509005962</v>
      </c>
    </row>
    <row r="1463" spans="1:17" x14ac:dyDescent="0.2">
      <c r="A1463" s="10">
        <v>1755</v>
      </c>
      <c r="B1463" s="10" t="s">
        <v>2830</v>
      </c>
      <c r="C1463" s="9" t="s">
        <v>2254</v>
      </c>
      <c r="D1463" s="10">
        <v>0.16441618</v>
      </c>
      <c r="E1463" s="10">
        <v>-0.26285429900000001</v>
      </c>
      <c r="F1463" s="10">
        <v>-1.0387762679999999</v>
      </c>
      <c r="G1463" s="10">
        <v>4.8055277E-2</v>
      </c>
      <c r="H1463" s="9">
        <v>-0.27228977775000002</v>
      </c>
      <c r="I1463" s="10">
        <v>0.54188670883378298</v>
      </c>
      <c r="J1463" s="10">
        <v>0.29364120521071002</v>
      </c>
      <c r="K1463" s="10">
        <v>-5.9961279999999999E-3</v>
      </c>
      <c r="L1463" s="10">
        <v>-9.9943875000000001E-2</v>
      </c>
      <c r="M1463" s="10">
        <v>-0.17424914799999999</v>
      </c>
      <c r="N1463" s="10">
        <v>-0.18648029099999999</v>
      </c>
      <c r="O1463" s="9">
        <v>-0.1166673605</v>
      </c>
      <c r="P1463" s="10">
        <v>8.3100951031522999E-2</v>
      </c>
      <c r="Q1463" s="10">
        <v>6.9057680623434998E-3</v>
      </c>
    </row>
    <row r="1464" spans="1:17" x14ac:dyDescent="0.2">
      <c r="A1464" s="10">
        <v>1755</v>
      </c>
      <c r="B1464" s="10" t="s">
        <v>2835</v>
      </c>
      <c r="C1464" s="9" t="s">
        <v>2253</v>
      </c>
      <c r="D1464" s="10">
        <v>0.74491249400000004</v>
      </c>
      <c r="E1464" s="10">
        <v>2.2233952000000001E-2</v>
      </c>
      <c r="F1464" s="10">
        <v>-0.52668080399999995</v>
      </c>
      <c r="G1464" s="10">
        <v>-1.5743658730000001</v>
      </c>
      <c r="H1464" s="9">
        <v>-0.33347505750000001</v>
      </c>
      <c r="I1464" s="10">
        <v>0.97751165161725995</v>
      </c>
      <c r="J1464" s="10">
        <v>0.95552902904750403</v>
      </c>
      <c r="K1464" s="10">
        <v>0.35565270199999999</v>
      </c>
      <c r="L1464" s="10">
        <v>-1.914090998</v>
      </c>
      <c r="M1464" s="10">
        <v>-0.54654301199999999</v>
      </c>
      <c r="N1464" s="10">
        <v>-0.30377097199999997</v>
      </c>
      <c r="O1464" s="9">
        <v>-0.60218806975000005</v>
      </c>
      <c r="P1464" s="10">
        <v>0.95406103471058401</v>
      </c>
      <c r="Q1464" s="10">
        <v>0.91023245795303098</v>
      </c>
    </row>
    <row r="1465" spans="1:17" x14ac:dyDescent="0.2">
      <c r="A1465" s="10">
        <v>1756</v>
      </c>
      <c r="B1465" s="10" t="s">
        <v>2822</v>
      </c>
      <c r="C1465" s="9" t="s">
        <v>2252</v>
      </c>
      <c r="D1465" s="10">
        <v>0.18894195799999999</v>
      </c>
      <c r="E1465" s="10">
        <v>-0.35871876000000003</v>
      </c>
      <c r="F1465" s="10">
        <v>-0.35358651000000002</v>
      </c>
      <c r="G1465" s="10">
        <v>-0.42607648300000001</v>
      </c>
      <c r="H1465" s="9">
        <v>-0.23735994874999999</v>
      </c>
      <c r="I1465" s="10">
        <v>0.286114091815386</v>
      </c>
      <c r="J1465" s="10">
        <v>8.1861273535343407E-2</v>
      </c>
      <c r="K1465" s="10">
        <v>-7.8496613000000007E-2</v>
      </c>
      <c r="L1465" s="10">
        <v>0.114275379</v>
      </c>
      <c r="M1465" s="10">
        <v>0.15510854199999999</v>
      </c>
      <c r="N1465" s="10">
        <v>3.5518452999999998E-2</v>
      </c>
      <c r="O1465" s="9">
        <v>5.6601440250000003E-2</v>
      </c>
      <c r="P1465" s="10">
        <v>0.10283629166373601</v>
      </c>
      <c r="Q1465" s="10">
        <v>1.0575302883149E-2</v>
      </c>
    </row>
    <row r="1466" spans="1:17" x14ac:dyDescent="0.2">
      <c r="A1466" s="10">
        <v>1756</v>
      </c>
      <c r="B1466" s="10" t="s">
        <v>96</v>
      </c>
      <c r="C1466" s="9" t="s">
        <v>2251</v>
      </c>
      <c r="D1466" s="10">
        <v>-0.19309509</v>
      </c>
      <c r="E1466" s="10">
        <v>-0.197160165</v>
      </c>
      <c r="F1466" s="10">
        <v>-0.10605695499999999</v>
      </c>
      <c r="G1466" s="10">
        <v>-0.78681780499999998</v>
      </c>
      <c r="H1466" s="9">
        <v>-0.32078250375</v>
      </c>
      <c r="I1466" s="10">
        <v>0.31351901673601301</v>
      </c>
      <c r="J1466" s="10">
        <v>9.8294173855116698E-2</v>
      </c>
      <c r="K1466" s="10">
        <v>-0.23077990100000001</v>
      </c>
      <c r="L1466" s="10">
        <v>1.5979942E-2</v>
      </c>
      <c r="M1466" s="10">
        <v>-0.47801780999999999</v>
      </c>
      <c r="N1466" s="10">
        <v>-0.32505367099999999</v>
      </c>
      <c r="O1466" s="9">
        <v>-0.25446786025000001</v>
      </c>
      <c r="P1466" s="10">
        <v>0.20709101853029599</v>
      </c>
      <c r="Q1466" s="10">
        <v>4.2886689955915699E-2</v>
      </c>
    </row>
    <row r="1467" spans="1:17" x14ac:dyDescent="0.2">
      <c r="A1467" s="10">
        <v>1756</v>
      </c>
      <c r="B1467" s="10" t="s">
        <v>2823</v>
      </c>
      <c r="C1467" s="9" t="s">
        <v>1203</v>
      </c>
      <c r="D1467" s="10">
        <v>0.274339581</v>
      </c>
      <c r="E1467" s="10">
        <v>1.7275685160000001</v>
      </c>
      <c r="F1467" s="10">
        <v>-0.30770129800000001</v>
      </c>
      <c r="G1467" s="10">
        <v>-3.6380529000000002E-2</v>
      </c>
      <c r="H1467" s="9">
        <v>0.41445656749999998</v>
      </c>
      <c r="I1467" s="10">
        <v>0.90713134467642398</v>
      </c>
      <c r="J1467" s="10">
        <v>0.82288727649445803</v>
      </c>
      <c r="K1467" s="10">
        <v>-0.27751052700000001</v>
      </c>
      <c r="L1467" s="10">
        <v>0.99168900599999998</v>
      </c>
      <c r="M1467" s="10">
        <v>-0.221194207</v>
      </c>
      <c r="N1467" s="10">
        <v>0.47521593899999998</v>
      </c>
      <c r="O1467" s="9">
        <v>0.2420500525</v>
      </c>
      <c r="P1467" s="10">
        <v>0.60576764823981399</v>
      </c>
      <c r="Q1467" s="10">
        <v>0.36695444365399499</v>
      </c>
    </row>
    <row r="1468" spans="1:17" x14ac:dyDescent="0.2">
      <c r="A1468" s="10">
        <v>1756</v>
      </c>
      <c r="B1468" s="10" t="s">
        <v>2826</v>
      </c>
      <c r="C1468" s="9" t="s">
        <v>2250</v>
      </c>
      <c r="D1468" s="10">
        <v>-0.233902839</v>
      </c>
      <c r="E1468" s="10">
        <v>-0.13266434799999999</v>
      </c>
      <c r="F1468" s="10">
        <v>3.5430299999999998E-2</v>
      </c>
      <c r="G1468" s="10">
        <v>0.113740981</v>
      </c>
      <c r="H1468" s="9">
        <v>-5.43489765E-2</v>
      </c>
      <c r="I1468" s="10">
        <v>0.157784071072956</v>
      </c>
      <c r="J1468" s="10">
        <v>2.4895813084355699E-2</v>
      </c>
      <c r="K1468" s="10">
        <v>0.256773052</v>
      </c>
      <c r="L1468" s="10">
        <v>-8.2353229999999993E-3</v>
      </c>
      <c r="M1468" s="10">
        <v>0.55617835100000002</v>
      </c>
      <c r="N1468" s="10">
        <v>0.118546261</v>
      </c>
      <c r="O1468" s="9">
        <v>0.23081558525000001</v>
      </c>
      <c r="P1468" s="10">
        <v>0.24240768505369001</v>
      </c>
      <c r="Q1468" s="10">
        <v>5.87614857730894E-2</v>
      </c>
    </row>
    <row r="1469" spans="1:17" x14ac:dyDescent="0.2">
      <c r="A1469" s="10">
        <v>1756</v>
      </c>
      <c r="B1469" s="10" t="s">
        <v>79</v>
      </c>
      <c r="C1469" s="9" t="s">
        <v>2249</v>
      </c>
      <c r="D1469" s="10">
        <v>-5.8246990999999998E-2</v>
      </c>
      <c r="E1469" s="10">
        <v>5.7123225E-2</v>
      </c>
      <c r="F1469" s="10">
        <v>-0.21434482499999999</v>
      </c>
      <c r="G1469" s="10">
        <v>-0.18684434899999999</v>
      </c>
      <c r="H1469" s="9">
        <v>-0.10057823524999999</v>
      </c>
      <c r="I1469" s="10">
        <v>0.12522827706447101</v>
      </c>
      <c r="J1469" s="10">
        <v>1.5682121376536001E-2</v>
      </c>
      <c r="K1469" s="10">
        <v>6.5666372000000001E-2</v>
      </c>
      <c r="L1469" s="10">
        <v>-0.158007747</v>
      </c>
      <c r="M1469" s="10">
        <v>0.28833084599999997</v>
      </c>
      <c r="N1469" s="10">
        <v>-0.21231602999999999</v>
      </c>
      <c r="O1469" s="9">
        <v>-4.0816400000000001E-3</v>
      </c>
      <c r="P1469" s="10">
        <v>0.22907397258054699</v>
      </c>
      <c r="Q1469" s="10">
        <v>5.2474884913833203E-2</v>
      </c>
    </row>
    <row r="1470" spans="1:17" x14ac:dyDescent="0.2">
      <c r="A1470" s="10">
        <v>1756</v>
      </c>
      <c r="B1470" s="10" t="s">
        <v>2824</v>
      </c>
      <c r="C1470" s="9" t="s">
        <v>1204</v>
      </c>
      <c r="D1470" s="10">
        <v>0.17362583700000001</v>
      </c>
      <c r="E1470" s="10">
        <v>0.18256945399999999</v>
      </c>
      <c r="F1470" s="10">
        <v>0.26339918899999998</v>
      </c>
      <c r="G1470" s="10">
        <v>3.2987320000000001E-2</v>
      </c>
      <c r="H1470" s="9">
        <v>0.16314545</v>
      </c>
      <c r="I1470" s="10">
        <v>9.5706289294624006E-2</v>
      </c>
      <c r="J1470" s="10">
        <v>9.1596938105461996E-3</v>
      </c>
      <c r="K1470" s="10">
        <v>5.9840562E-2</v>
      </c>
      <c r="L1470" s="10">
        <v>1.1408626999999999E-2</v>
      </c>
      <c r="M1470" s="10">
        <v>0.60707758099999998</v>
      </c>
      <c r="N1470" s="10">
        <v>-0.25519066899999998</v>
      </c>
      <c r="O1470" s="9">
        <v>0.1057840255</v>
      </c>
      <c r="P1470" s="10">
        <v>0.36176211176941903</v>
      </c>
      <c r="Q1470" s="10">
        <v>0.13087182551186899</v>
      </c>
    </row>
    <row r="1471" spans="1:17" x14ac:dyDescent="0.2">
      <c r="A1471" s="10">
        <v>1756</v>
      </c>
      <c r="B1471" s="10" t="s">
        <v>82</v>
      </c>
      <c r="C1471" s="9" t="s">
        <v>1205</v>
      </c>
      <c r="D1471" s="10">
        <v>0.53061221599999997</v>
      </c>
      <c r="E1471" s="10">
        <v>9.2402349999999994E-3</v>
      </c>
      <c r="F1471" s="10">
        <v>-3.1818712999999998E-2</v>
      </c>
      <c r="G1471" s="10">
        <v>0.72970911800000005</v>
      </c>
      <c r="H1471" s="9">
        <v>0.30943571399999997</v>
      </c>
      <c r="I1471" s="10">
        <v>0.37952632262942398</v>
      </c>
      <c r="J1471" s="10">
        <v>0.14404022956861301</v>
      </c>
      <c r="K1471" s="10">
        <v>-0.27983437799999999</v>
      </c>
      <c r="L1471" s="10">
        <v>0.10817374</v>
      </c>
      <c r="M1471" s="10">
        <v>-6.6678912000000007E-2</v>
      </c>
      <c r="N1471" s="10">
        <v>0.54141617099999995</v>
      </c>
      <c r="O1471" s="9">
        <v>7.5769155249999998E-2</v>
      </c>
      <c r="P1471" s="10">
        <v>0.34862708114012197</v>
      </c>
      <c r="Q1471" s="10">
        <v>0.12154084170428101</v>
      </c>
    </row>
    <row r="1472" spans="1:17" x14ac:dyDescent="0.2">
      <c r="A1472" s="10">
        <v>1756</v>
      </c>
      <c r="B1472" s="10" t="s">
        <v>2814</v>
      </c>
      <c r="C1472" s="9" t="s">
        <v>1206</v>
      </c>
      <c r="D1472" s="10">
        <v>0.26326807099999999</v>
      </c>
      <c r="E1472" s="10">
        <v>0.43822946400000001</v>
      </c>
      <c r="F1472" s="10">
        <v>-0.37645681199999997</v>
      </c>
      <c r="G1472" s="10">
        <v>-0.199646832</v>
      </c>
      <c r="H1472" s="9">
        <v>3.1348472750000002E-2</v>
      </c>
      <c r="I1472" s="10">
        <v>0.38253663100396801</v>
      </c>
      <c r="J1472" s="10">
        <v>0.14633427405986599</v>
      </c>
      <c r="K1472" s="10">
        <v>0.18793994</v>
      </c>
      <c r="L1472" s="10">
        <v>0.21067797999999999</v>
      </c>
      <c r="M1472" s="10">
        <v>0.47740574899999999</v>
      </c>
      <c r="N1472" s="10">
        <v>0.63729444800000001</v>
      </c>
      <c r="O1472" s="9">
        <v>0.37832952925000002</v>
      </c>
      <c r="P1472" s="10">
        <v>0.216974778967397</v>
      </c>
      <c r="Q1472" s="10">
        <v>4.7078054707951102E-2</v>
      </c>
    </row>
    <row r="1473" spans="1:17" x14ac:dyDescent="0.2">
      <c r="A1473" s="10">
        <v>1756</v>
      </c>
      <c r="B1473" s="10" t="s">
        <v>2825</v>
      </c>
      <c r="C1473" s="9" t="s">
        <v>1207</v>
      </c>
      <c r="D1473" s="10">
        <v>0.21723641199999999</v>
      </c>
      <c r="E1473" s="10">
        <v>-0.14742037499999999</v>
      </c>
      <c r="F1473" s="10">
        <v>1.656874E-3</v>
      </c>
      <c r="G1473" s="10">
        <v>-0.21789188900000001</v>
      </c>
      <c r="H1473" s="9">
        <v>-3.6604744500000001E-2</v>
      </c>
      <c r="I1473" s="10">
        <v>0.19239232218531399</v>
      </c>
      <c r="J1473" s="10">
        <v>3.7014805635857802E-2</v>
      </c>
      <c r="K1473" s="10">
        <v>-0.181101497</v>
      </c>
      <c r="L1473" s="10">
        <v>-6.8867748000000006E-2</v>
      </c>
      <c r="M1473" s="10">
        <v>5.6665969999999998E-3</v>
      </c>
      <c r="N1473" s="10">
        <v>-0.19885508399999999</v>
      </c>
      <c r="O1473" s="9">
        <v>-0.11078943275</v>
      </c>
      <c r="P1473" s="10">
        <v>9.6641571156160996E-2</v>
      </c>
      <c r="Q1473" s="10">
        <v>9.3395932755312994E-3</v>
      </c>
    </row>
    <row r="1474" spans="1:17" x14ac:dyDescent="0.2">
      <c r="A1474" s="10">
        <v>1756</v>
      </c>
      <c r="B1474" s="10" t="s">
        <v>74</v>
      </c>
      <c r="C1474" s="9" t="s">
        <v>2248</v>
      </c>
      <c r="D1474" s="10">
        <v>0.99690677100000002</v>
      </c>
      <c r="E1474" s="10">
        <v>-0.45197484700000001</v>
      </c>
      <c r="F1474" s="10">
        <v>3.2769734000000002E-2</v>
      </c>
      <c r="G1474" s="10">
        <v>0.61149810400000004</v>
      </c>
      <c r="H1474" s="9">
        <v>0.29729994050000003</v>
      </c>
      <c r="I1474" s="10">
        <v>0.63758898478647097</v>
      </c>
      <c r="J1474" s="10">
        <v>0.40651971352104299</v>
      </c>
      <c r="K1474" s="10">
        <v>-0.56392966200000005</v>
      </c>
      <c r="L1474" s="10">
        <v>-0.48284757900000003</v>
      </c>
      <c r="M1474" s="10">
        <v>-0.41228948300000001</v>
      </c>
      <c r="N1474" s="10">
        <v>-0.71285548799999998</v>
      </c>
      <c r="O1474" s="9">
        <v>-0.54298055300000003</v>
      </c>
      <c r="P1474" s="10">
        <v>0.129089747913325</v>
      </c>
      <c r="Q1474" s="10">
        <v>1.6664163016325801E-2</v>
      </c>
    </row>
    <row r="1475" spans="1:17" x14ac:dyDescent="0.2">
      <c r="A1475" s="10">
        <v>1756</v>
      </c>
      <c r="B1475" s="10" t="s">
        <v>2818</v>
      </c>
      <c r="C1475" s="9" t="s">
        <v>2247</v>
      </c>
      <c r="D1475" s="10">
        <v>-0.71215894899999999</v>
      </c>
      <c r="E1475" s="10">
        <v>-8.5249389999999994E-2</v>
      </c>
      <c r="F1475" s="10">
        <v>-6.1112274000000001E-2</v>
      </c>
      <c r="G1475" s="10">
        <v>-0.67128999899999997</v>
      </c>
      <c r="H1475" s="9">
        <v>-0.38245265325</v>
      </c>
      <c r="I1475" s="10">
        <v>0.35764166087490101</v>
      </c>
      <c r="J1475" s="10">
        <v>0.12790755759335801</v>
      </c>
      <c r="K1475" s="10">
        <v>-8.0673150999999999E-2</v>
      </c>
      <c r="L1475" s="10">
        <v>0.183738443</v>
      </c>
      <c r="M1475" s="10">
        <v>2.8060107000000001E-2</v>
      </c>
      <c r="N1475" s="10">
        <v>-8.0591623000000001E-2</v>
      </c>
      <c r="O1475" s="9">
        <v>1.2633443750000001E-2</v>
      </c>
      <c r="P1475" s="10">
        <v>0.12504923883781899</v>
      </c>
      <c r="Q1475" s="10">
        <v>1.5637312133917999E-2</v>
      </c>
    </row>
    <row r="1476" spans="1:17" x14ac:dyDescent="0.2">
      <c r="A1476" s="10">
        <v>1756</v>
      </c>
      <c r="B1476" s="10" t="s">
        <v>2830</v>
      </c>
      <c r="C1476" s="9" t="s">
        <v>2246</v>
      </c>
      <c r="D1476" s="10">
        <v>1.9007070000000001E-2</v>
      </c>
      <c r="E1476" s="10">
        <v>-3.3687348999999998E-2</v>
      </c>
      <c r="F1476" s="10">
        <v>-0.33811438599999999</v>
      </c>
      <c r="G1476" s="10">
        <v>4.3173270000000001E-3</v>
      </c>
      <c r="H1476" s="9">
        <v>-8.7119334749999999E-2</v>
      </c>
      <c r="I1476" s="10">
        <v>0.168796692059138</v>
      </c>
      <c r="J1476" s="10">
        <v>2.8492323250107601E-2</v>
      </c>
      <c r="K1476" s="10">
        <v>-9.4065762999999997E-2</v>
      </c>
      <c r="L1476" s="10">
        <v>7.2415430000000003E-2</v>
      </c>
      <c r="M1476" s="10">
        <v>5.5919761999999998E-2</v>
      </c>
      <c r="N1476" s="10">
        <v>-0.210852608</v>
      </c>
      <c r="O1476" s="9">
        <v>-4.4145794750000002E-2</v>
      </c>
      <c r="P1476" s="10">
        <v>0.13401840616989699</v>
      </c>
      <c r="Q1476" s="10">
        <v>1.79609331923196E-2</v>
      </c>
    </row>
    <row r="1477" spans="1:17" x14ac:dyDescent="0.2">
      <c r="A1477" s="10">
        <v>1757</v>
      </c>
      <c r="B1477" s="10" t="s">
        <v>2831</v>
      </c>
      <c r="C1477" s="9" t="s">
        <v>1208</v>
      </c>
      <c r="D1477" s="10">
        <v>-1.428800372</v>
      </c>
      <c r="E1477" s="10">
        <v>-1.8045324599999999</v>
      </c>
      <c r="F1477" s="10">
        <v>-2.0382283050000001</v>
      </c>
      <c r="G1477" s="10">
        <v>-1.826680893</v>
      </c>
      <c r="H1477" s="9">
        <v>-1.7745605072499999</v>
      </c>
      <c r="I1477" s="10">
        <v>0.253433509531797</v>
      </c>
      <c r="J1477" s="10">
        <v>6.4228543753603401E-2</v>
      </c>
      <c r="K1477" s="10">
        <v>-8.0313998999999997E-2</v>
      </c>
      <c r="L1477" s="10">
        <v>-0.42107037000000003</v>
      </c>
      <c r="M1477" s="10">
        <v>-0.11417411500000001</v>
      </c>
      <c r="N1477" s="10">
        <v>-0.39405478599999999</v>
      </c>
      <c r="O1477" s="9">
        <v>-0.2524033175</v>
      </c>
      <c r="P1477" s="10">
        <v>0.180033107226443</v>
      </c>
      <c r="Q1477" s="10">
        <v>3.2411919697608198E-2</v>
      </c>
    </row>
    <row r="1478" spans="1:17" x14ac:dyDescent="0.2">
      <c r="A1478" s="10">
        <v>1757</v>
      </c>
      <c r="B1478" s="10" t="s">
        <v>2822</v>
      </c>
      <c r="C1478" s="9" t="s">
        <v>1209</v>
      </c>
      <c r="D1478" s="10">
        <v>-0.138645566</v>
      </c>
      <c r="E1478" s="10">
        <v>-0.14811792400000001</v>
      </c>
      <c r="F1478" s="10">
        <v>0.117278094</v>
      </c>
      <c r="G1478" s="10">
        <v>-0.23819771100000001</v>
      </c>
      <c r="H1478" s="9">
        <v>-0.1019207765</v>
      </c>
      <c r="I1478" s="10">
        <v>0.15286424729821399</v>
      </c>
      <c r="J1478" s="10">
        <v>2.3367478102049699E-2</v>
      </c>
      <c r="K1478" s="10">
        <v>-1.8897909000000001E-2</v>
      </c>
      <c r="L1478" s="10">
        <v>0.17795238699999999</v>
      </c>
      <c r="M1478" s="10">
        <v>-0.27616038900000001</v>
      </c>
      <c r="N1478" s="10">
        <v>0.11883315699999999</v>
      </c>
      <c r="O1478" s="9">
        <v>4.3181174999999997E-4</v>
      </c>
      <c r="P1478" s="10">
        <v>0.201997786138117</v>
      </c>
      <c r="Q1478" s="10">
        <v>4.0803105604700601E-2</v>
      </c>
    </row>
    <row r="1479" spans="1:17" x14ac:dyDescent="0.2">
      <c r="A1479" s="10">
        <v>1757</v>
      </c>
      <c r="B1479" s="10" t="s">
        <v>96</v>
      </c>
      <c r="C1479" s="9" t="s">
        <v>1210</v>
      </c>
      <c r="D1479" s="10">
        <v>0.20169319199999999</v>
      </c>
      <c r="E1479" s="10">
        <v>-9.1023694000000002E-2</v>
      </c>
      <c r="F1479" s="10">
        <v>0.37497899600000001</v>
      </c>
      <c r="G1479" s="10">
        <v>-0.24767257600000001</v>
      </c>
      <c r="H1479" s="9">
        <v>5.9493979500000002E-2</v>
      </c>
      <c r="I1479" s="10">
        <v>0.28092601310974602</v>
      </c>
      <c r="J1479" s="10">
        <v>7.8919424841737501E-2</v>
      </c>
      <c r="K1479" s="10">
        <v>0.168632743</v>
      </c>
      <c r="L1479" s="10">
        <v>0.194428925</v>
      </c>
      <c r="M1479" s="10">
        <v>0.65910519899999997</v>
      </c>
      <c r="N1479" s="10">
        <v>-0.63862236699999997</v>
      </c>
      <c r="O1479" s="9">
        <v>9.5886125000000003E-2</v>
      </c>
      <c r="P1479" s="10">
        <v>0.53904891676600397</v>
      </c>
      <c r="Q1479" s="10">
        <v>0.29057373466660302</v>
      </c>
    </row>
    <row r="1480" spans="1:17" x14ac:dyDescent="0.2">
      <c r="A1480" s="10">
        <v>1757</v>
      </c>
      <c r="B1480" s="10" t="s">
        <v>2819</v>
      </c>
      <c r="C1480" s="9" t="s">
        <v>1211</v>
      </c>
      <c r="D1480" s="10">
        <v>-0.20193376199999999</v>
      </c>
      <c r="E1480" s="10">
        <v>0.21866228900000001</v>
      </c>
      <c r="F1480" s="10">
        <v>-0.36742835800000001</v>
      </c>
      <c r="G1480" s="10">
        <v>-0.52525299199999997</v>
      </c>
      <c r="H1480" s="9">
        <v>-0.21898820575</v>
      </c>
      <c r="I1480" s="10">
        <v>0.32024022634229998</v>
      </c>
      <c r="J1480" s="10">
        <v>0.102553802567767</v>
      </c>
      <c r="K1480" s="10">
        <v>-0.82631802399999998</v>
      </c>
      <c r="L1480" s="10">
        <v>1.31200151</v>
      </c>
      <c r="M1480" s="10">
        <v>-0.209144833</v>
      </c>
      <c r="N1480" s="10">
        <v>1.1250008</v>
      </c>
      <c r="O1480" s="9">
        <v>0.35038486325000001</v>
      </c>
      <c r="P1480" s="10">
        <v>1.03641040626158</v>
      </c>
      <c r="Q1480" s="10">
        <v>1.0741465302072899</v>
      </c>
    </row>
    <row r="1481" spans="1:17" x14ac:dyDescent="0.2">
      <c r="A1481" s="10">
        <v>1757</v>
      </c>
      <c r="B1481" s="10" t="s">
        <v>2821</v>
      </c>
      <c r="C1481" s="9" t="s">
        <v>1212</v>
      </c>
      <c r="D1481" s="10">
        <v>0.28294005300000002</v>
      </c>
      <c r="E1481" s="10">
        <v>0.238960058</v>
      </c>
      <c r="F1481" s="10">
        <v>-0.40293002999999999</v>
      </c>
      <c r="G1481" s="10">
        <v>-0.24587184400000001</v>
      </c>
      <c r="H1481" s="9">
        <v>-3.172544075E-2</v>
      </c>
      <c r="I1481" s="10">
        <v>0.34444958087536298</v>
      </c>
      <c r="J1481" s="10">
        <v>0.118645513765213</v>
      </c>
      <c r="K1481" s="10">
        <v>-0.108294214</v>
      </c>
      <c r="L1481" s="10">
        <v>-4.1041477999999999E-2</v>
      </c>
      <c r="M1481" s="10">
        <v>-0.51276178400000005</v>
      </c>
      <c r="N1481" s="10">
        <v>0.52838619799999997</v>
      </c>
      <c r="O1481" s="9">
        <v>-3.3427819749999997E-2</v>
      </c>
      <c r="P1481" s="10">
        <v>0.42858643025802901</v>
      </c>
      <c r="Q1481" s="10">
        <v>0.18368632820132</v>
      </c>
    </row>
    <row r="1482" spans="1:17" x14ac:dyDescent="0.2">
      <c r="A1482" s="10">
        <v>1757</v>
      </c>
      <c r="B1482" s="10" t="s">
        <v>2834</v>
      </c>
      <c r="C1482" s="9" t="s">
        <v>1213</v>
      </c>
      <c r="D1482" s="10">
        <v>-0.16724061000000001</v>
      </c>
      <c r="E1482" s="10">
        <v>-0.30285360099999997</v>
      </c>
      <c r="F1482" s="10">
        <v>4.0119259999999997E-2</v>
      </c>
      <c r="G1482" s="10">
        <v>-1.4917773E-2</v>
      </c>
      <c r="H1482" s="9">
        <v>-0.111223181</v>
      </c>
      <c r="I1482" s="10">
        <v>0.15496175472142701</v>
      </c>
      <c r="J1482" s="10">
        <v>2.40131454263437E-2</v>
      </c>
      <c r="K1482" s="10">
        <v>-0.47562995400000002</v>
      </c>
      <c r="L1482" s="10">
        <v>-0.97500981600000003</v>
      </c>
      <c r="M1482" s="10">
        <v>-0.20618614399999999</v>
      </c>
      <c r="N1482" s="10">
        <v>-0.14507020500000001</v>
      </c>
      <c r="O1482" s="9">
        <v>-0.45047402975</v>
      </c>
      <c r="P1482" s="10">
        <v>0.378029398714752</v>
      </c>
      <c r="Q1482" s="10">
        <v>0.142906226292637</v>
      </c>
    </row>
    <row r="1483" spans="1:17" x14ac:dyDescent="0.2">
      <c r="A1483" s="10">
        <v>1757</v>
      </c>
      <c r="B1483" s="10" t="s">
        <v>2814</v>
      </c>
      <c r="C1483" s="9" t="s">
        <v>1214</v>
      </c>
      <c r="D1483" s="10">
        <v>-0.210815641</v>
      </c>
      <c r="E1483" s="10">
        <v>-0.14882337700000001</v>
      </c>
      <c r="F1483" s="10">
        <v>-8.9352378999999996E-2</v>
      </c>
      <c r="G1483" s="10">
        <v>-0.23753097000000001</v>
      </c>
      <c r="H1483" s="9">
        <v>-0.171630592</v>
      </c>
      <c r="I1483" s="10">
        <v>6.6252550331301396E-2</v>
      </c>
      <c r="J1483" s="10">
        <v>4.3894004254016001E-3</v>
      </c>
      <c r="K1483" s="10">
        <v>-7.4963833999999993E-2</v>
      </c>
      <c r="L1483" s="10">
        <v>-0.30351546899999998</v>
      </c>
      <c r="M1483" s="10">
        <v>1.8758314000000002E-2</v>
      </c>
      <c r="N1483" s="10">
        <v>0.51077656199999999</v>
      </c>
      <c r="O1483" s="9">
        <v>3.776389325E-2</v>
      </c>
      <c r="P1483" s="10">
        <v>0.34316242045098799</v>
      </c>
      <c r="Q1483" s="10">
        <v>0.11776044680978</v>
      </c>
    </row>
    <row r="1484" spans="1:17" x14ac:dyDescent="0.2">
      <c r="A1484" s="10">
        <v>1757</v>
      </c>
      <c r="B1484" s="10" t="s">
        <v>2833</v>
      </c>
      <c r="C1484" s="9" t="s">
        <v>1215</v>
      </c>
      <c r="D1484" s="10">
        <v>-0.62314858900000003</v>
      </c>
      <c r="E1484" s="10">
        <v>-6.2521991999999998E-2</v>
      </c>
      <c r="F1484" s="10">
        <v>-1.2302671709999999</v>
      </c>
      <c r="G1484" s="10">
        <v>-0.650923425</v>
      </c>
      <c r="H1484" s="9">
        <v>-0.64171529400000005</v>
      </c>
      <c r="I1484" s="10">
        <v>0.47689541313686901</v>
      </c>
      <c r="J1484" s="10">
        <v>0.227429235070985</v>
      </c>
      <c r="K1484" s="10">
        <v>-7.4551922000000007E-2</v>
      </c>
      <c r="L1484" s="10">
        <v>-0.25130664699999999</v>
      </c>
      <c r="M1484" s="10">
        <v>0.14332275799999999</v>
      </c>
      <c r="N1484" s="10">
        <v>-0.97405647100000003</v>
      </c>
      <c r="O1484" s="9">
        <v>-0.28914807050000002</v>
      </c>
      <c r="P1484" s="10">
        <v>0.48429123980737199</v>
      </c>
      <c r="Q1484" s="10">
        <v>0.23453800495416099</v>
      </c>
    </row>
    <row r="1485" spans="1:17" x14ac:dyDescent="0.2">
      <c r="A1485" s="10">
        <v>1757</v>
      </c>
      <c r="B1485" s="10" t="s">
        <v>2825</v>
      </c>
      <c r="C1485" s="9" t="s">
        <v>2245</v>
      </c>
      <c r="D1485" s="10">
        <v>0.44646939899999999</v>
      </c>
      <c r="E1485" s="10">
        <v>0.73550624499999995</v>
      </c>
      <c r="F1485" s="10">
        <v>-6.9564581E-2</v>
      </c>
      <c r="G1485" s="10">
        <v>-0.64069126099999996</v>
      </c>
      <c r="H1485" s="9">
        <v>0.11792995050000001</v>
      </c>
      <c r="I1485" s="10">
        <v>0.60552979299925602</v>
      </c>
      <c r="J1485" s="10">
        <v>0.366666330209722</v>
      </c>
      <c r="K1485" s="10">
        <v>-0.22217988499999999</v>
      </c>
      <c r="L1485" s="10">
        <v>-0.92409535700000001</v>
      </c>
      <c r="M1485" s="10">
        <v>-9.2822538999999996E-2</v>
      </c>
      <c r="N1485" s="10">
        <v>-0.694322832</v>
      </c>
      <c r="O1485" s="9">
        <v>-0.48335515299999998</v>
      </c>
      <c r="P1485" s="10">
        <v>0.391359822591756</v>
      </c>
      <c r="Q1485" s="10">
        <v>0.15316251073905099</v>
      </c>
    </row>
    <row r="1486" spans="1:17" x14ac:dyDescent="0.2">
      <c r="A1486" s="10">
        <v>1757</v>
      </c>
      <c r="B1486" s="10" t="s">
        <v>74</v>
      </c>
      <c r="C1486" s="9" t="s">
        <v>2244</v>
      </c>
      <c r="D1486" s="10">
        <v>-0.119098141</v>
      </c>
      <c r="E1486" s="10">
        <v>-0.18570497499999999</v>
      </c>
      <c r="F1486" s="10">
        <v>5.3536812000000003E-2</v>
      </c>
      <c r="G1486" s="10">
        <v>5.9819382999999997E-2</v>
      </c>
      <c r="H1486" s="9">
        <v>-4.7861730249999998E-2</v>
      </c>
      <c r="I1486" s="10">
        <v>0.123763582232329</v>
      </c>
      <c r="J1486" s="10">
        <v>1.5317424286978401E-2</v>
      </c>
      <c r="K1486" s="10">
        <v>0.39061048500000001</v>
      </c>
      <c r="L1486" s="10">
        <v>-7.7569661999999998E-2</v>
      </c>
      <c r="M1486" s="10">
        <v>-0.11296069</v>
      </c>
      <c r="N1486" s="10">
        <v>0.29024548700000002</v>
      </c>
      <c r="O1486" s="9">
        <v>0.12258140475</v>
      </c>
      <c r="P1486" s="10">
        <v>0.25527198583522398</v>
      </c>
      <c r="Q1486" s="10">
        <v>6.5163786752258798E-2</v>
      </c>
    </row>
    <row r="1487" spans="1:17" x14ac:dyDescent="0.2">
      <c r="A1487" s="10">
        <v>1757</v>
      </c>
      <c r="B1487" s="10" t="s">
        <v>2818</v>
      </c>
      <c r="C1487" s="9" t="s">
        <v>1216</v>
      </c>
      <c r="D1487" s="10">
        <v>-0.280383769</v>
      </c>
      <c r="E1487" s="10">
        <v>1.1330692630000001</v>
      </c>
      <c r="F1487" s="10">
        <v>0.55504222599999997</v>
      </c>
      <c r="G1487" s="10">
        <v>0.49303640100000001</v>
      </c>
      <c r="H1487" s="9">
        <v>0.4751910305</v>
      </c>
      <c r="I1487" s="10">
        <v>0.58034234640938398</v>
      </c>
      <c r="J1487" s="10">
        <v>0.33679723903594999</v>
      </c>
      <c r="K1487" s="10">
        <v>0.191956872</v>
      </c>
      <c r="L1487" s="10">
        <v>-3.9911215999999999E-2</v>
      </c>
      <c r="M1487" s="10">
        <v>-1.8709349E-2</v>
      </c>
      <c r="N1487" s="10">
        <v>-0.43745358600000001</v>
      </c>
      <c r="O1487" s="9">
        <v>-7.6029319750000005E-2</v>
      </c>
      <c r="P1487" s="10">
        <v>0.26270020661601701</v>
      </c>
      <c r="Q1487" s="10">
        <v>6.9011398556098405E-2</v>
      </c>
    </row>
    <row r="1488" spans="1:17" x14ac:dyDescent="0.2">
      <c r="A1488" s="10">
        <v>1757</v>
      </c>
      <c r="B1488" s="10" t="s">
        <v>2832</v>
      </c>
      <c r="C1488" s="9" t="s">
        <v>1217</v>
      </c>
      <c r="D1488" s="10">
        <v>-8.5362316999999993E-2</v>
      </c>
      <c r="E1488" s="10">
        <v>3.7583551999999999E-2</v>
      </c>
      <c r="F1488" s="10">
        <v>-0.23109404</v>
      </c>
      <c r="G1488" s="10">
        <v>-5.7628744000000003E-2</v>
      </c>
      <c r="H1488" s="9">
        <v>-8.4125386999999996E-2</v>
      </c>
      <c r="I1488" s="10">
        <v>0.111230171091651</v>
      </c>
      <c r="J1488" s="10">
        <v>1.2372150961078099E-2</v>
      </c>
      <c r="K1488" s="10">
        <v>-0.28920000499999998</v>
      </c>
      <c r="L1488" s="10">
        <v>0.56110678000000003</v>
      </c>
      <c r="M1488" s="10">
        <v>0.81242763100000004</v>
      </c>
      <c r="N1488" s="10">
        <v>-8.6857017999999994E-2</v>
      </c>
      <c r="O1488" s="9">
        <v>0.24936934675</v>
      </c>
      <c r="P1488" s="10">
        <v>0.52195784432246595</v>
      </c>
      <c r="Q1488" s="10">
        <v>0.27243999124975499</v>
      </c>
    </row>
    <row r="1489" spans="1:17" x14ac:dyDescent="0.2">
      <c r="A1489" s="10">
        <v>1758</v>
      </c>
      <c r="B1489" s="10" t="s">
        <v>2831</v>
      </c>
      <c r="C1489" s="9" t="s">
        <v>2243</v>
      </c>
      <c r="D1489" s="10">
        <v>-2.9245335749999999</v>
      </c>
      <c r="E1489" s="10">
        <v>-0.50734132700000001</v>
      </c>
      <c r="F1489" s="10">
        <v>-1.6118011809999999</v>
      </c>
      <c r="G1489" s="10" t="s">
        <v>76</v>
      </c>
      <c r="H1489" s="9">
        <v>-1.2609190205</v>
      </c>
      <c r="I1489" s="10">
        <v>1.2100906488872301</v>
      </c>
      <c r="J1489" s="10">
        <v>1.46431937852432</v>
      </c>
      <c r="K1489" s="10">
        <v>0.36994143299999999</v>
      </c>
      <c r="L1489" s="10">
        <v>-0.121596063</v>
      </c>
      <c r="M1489" s="10">
        <v>-3.6321671250000001</v>
      </c>
      <c r="N1489" s="10">
        <v>-0.731105118</v>
      </c>
      <c r="O1489" s="9">
        <v>-1.02873171825</v>
      </c>
      <c r="P1489" s="10">
        <v>1.79310152076872</v>
      </c>
      <c r="Q1489" s="10">
        <v>3.21521306378312</v>
      </c>
    </row>
    <row r="1490" spans="1:17" x14ac:dyDescent="0.2">
      <c r="A1490" s="10">
        <v>1758</v>
      </c>
      <c r="B1490" s="10" t="s">
        <v>2822</v>
      </c>
      <c r="C1490" s="9" t="s">
        <v>2242</v>
      </c>
      <c r="D1490" s="10">
        <v>-0.25326614800000002</v>
      </c>
      <c r="E1490" s="10">
        <v>-0.90505657399999995</v>
      </c>
      <c r="F1490" s="10">
        <v>-1.560069701</v>
      </c>
      <c r="G1490" s="10">
        <v>0.50343641100000003</v>
      </c>
      <c r="H1490" s="9">
        <v>-0.55373900300000001</v>
      </c>
      <c r="I1490" s="10">
        <v>0.883936140602255</v>
      </c>
      <c r="J1490" s="10">
        <v>0.78134310066280899</v>
      </c>
      <c r="K1490" s="10">
        <v>0.23939965399999999</v>
      </c>
      <c r="L1490" s="10">
        <v>4.4129847999999999E-2</v>
      </c>
      <c r="M1490" s="10">
        <v>1.0032325999999999E-2</v>
      </c>
      <c r="N1490" s="10">
        <v>1.3049366E-2</v>
      </c>
      <c r="O1490" s="9">
        <v>7.6652798250000001E-2</v>
      </c>
      <c r="P1490" s="10">
        <v>0.10958705103899299</v>
      </c>
      <c r="Q1490" s="10">
        <v>1.2009321755422801E-2</v>
      </c>
    </row>
    <row r="1491" spans="1:17" x14ac:dyDescent="0.2">
      <c r="A1491" s="10">
        <v>1758</v>
      </c>
      <c r="B1491" s="10" t="s">
        <v>96</v>
      </c>
      <c r="C1491" s="9" t="s">
        <v>1218</v>
      </c>
      <c r="D1491" s="10">
        <v>0.43355321099999999</v>
      </c>
      <c r="E1491" s="10">
        <v>7.7392444000000005E-2</v>
      </c>
      <c r="F1491" s="10">
        <v>8.2336571999999997E-2</v>
      </c>
      <c r="G1491" s="10">
        <v>-0.44147569800000003</v>
      </c>
      <c r="H1491" s="9">
        <v>3.7951632249999999E-2</v>
      </c>
      <c r="I1491" s="10">
        <v>0.36049816208881702</v>
      </c>
      <c r="J1491" s="10">
        <v>0.12995892486941499</v>
      </c>
      <c r="K1491" s="10">
        <v>0.189482226</v>
      </c>
      <c r="L1491" s="10">
        <v>0.60489114899999996</v>
      </c>
      <c r="M1491" s="10">
        <v>0.39144412699999998</v>
      </c>
      <c r="N1491" s="10">
        <v>2.1163810000000002E-2</v>
      </c>
      <c r="O1491" s="9">
        <v>0.30174532799999998</v>
      </c>
      <c r="P1491" s="10">
        <v>0.25250231394692402</v>
      </c>
      <c r="Q1491" s="10">
        <v>6.3757418548551006E-2</v>
      </c>
    </row>
    <row r="1492" spans="1:17" x14ac:dyDescent="0.2">
      <c r="A1492" s="10">
        <v>1758</v>
      </c>
      <c r="B1492" s="10" t="s">
        <v>2826</v>
      </c>
      <c r="C1492" s="9" t="s">
        <v>2241</v>
      </c>
      <c r="D1492" s="10">
        <v>-0.18803747200000001</v>
      </c>
      <c r="E1492" s="10">
        <v>-0.106203957</v>
      </c>
      <c r="F1492" s="10">
        <v>-0.23924219499999999</v>
      </c>
      <c r="G1492" s="10">
        <v>-0.121655213</v>
      </c>
      <c r="H1492" s="9">
        <v>-0.163784709</v>
      </c>
      <c r="I1492" s="10">
        <v>6.1569651995859898E-2</v>
      </c>
      <c r="J1492" s="10">
        <v>3.7908220468911998E-3</v>
      </c>
      <c r="K1492" s="10">
        <v>0.65867065499999999</v>
      </c>
      <c r="L1492" s="10">
        <v>-0.41344984299999998</v>
      </c>
      <c r="M1492" s="10">
        <v>-8.5360864999999994E-2</v>
      </c>
      <c r="N1492" s="10">
        <v>0.364048916</v>
      </c>
      <c r="O1492" s="9">
        <v>0.13097721574999999</v>
      </c>
      <c r="P1492" s="10">
        <v>0.47468788720122501</v>
      </c>
      <c r="Q1492" s="10">
        <v>0.22532859025556201</v>
      </c>
    </row>
    <row r="1493" spans="1:17" x14ac:dyDescent="0.2">
      <c r="A1493" s="10">
        <v>1758</v>
      </c>
      <c r="B1493" s="10" t="s">
        <v>79</v>
      </c>
      <c r="C1493" s="9" t="s">
        <v>1219</v>
      </c>
      <c r="D1493" s="10">
        <v>0.18653293700000001</v>
      </c>
      <c r="E1493" s="10">
        <v>0.108668854</v>
      </c>
      <c r="F1493" s="10">
        <v>-0.33902960700000001</v>
      </c>
      <c r="G1493" s="10">
        <v>0.14722031899999999</v>
      </c>
      <c r="H1493" s="9">
        <v>2.5848125749999999E-2</v>
      </c>
      <c r="I1493" s="10">
        <v>0.245320097522539</v>
      </c>
      <c r="J1493" s="10">
        <v>6.0181950248468001E-2</v>
      </c>
      <c r="K1493" s="10">
        <v>-0.124634204</v>
      </c>
      <c r="L1493" s="10">
        <v>-0.15154886000000001</v>
      </c>
      <c r="M1493" s="10">
        <v>-0.29461423399999997</v>
      </c>
      <c r="N1493" s="10">
        <v>-0.24512853900000001</v>
      </c>
      <c r="O1493" s="9">
        <v>-0.20398145925</v>
      </c>
      <c r="P1493" s="10">
        <v>7.9482799838826404E-2</v>
      </c>
      <c r="Q1493" s="10">
        <v>6.3175154702189004E-3</v>
      </c>
    </row>
    <row r="1494" spans="1:17" x14ac:dyDescent="0.2">
      <c r="A1494" s="10">
        <v>1758</v>
      </c>
      <c r="B1494" s="10" t="s">
        <v>2824</v>
      </c>
      <c r="C1494" s="9" t="s">
        <v>2240</v>
      </c>
      <c r="D1494" s="10">
        <v>0.67004799100000001</v>
      </c>
      <c r="E1494" s="10">
        <v>1.8541980999999999E-2</v>
      </c>
      <c r="F1494" s="10">
        <v>0.37852439900000001</v>
      </c>
      <c r="G1494" s="10">
        <v>-3.4162608999999997E-2</v>
      </c>
      <c r="H1494" s="9">
        <v>0.25823794049999999</v>
      </c>
      <c r="I1494" s="10">
        <v>0.33015581379090903</v>
      </c>
      <c r="J1494" s="10">
        <v>0.109002861379937</v>
      </c>
      <c r="K1494" s="10">
        <v>8.9154089999999991E-3</v>
      </c>
      <c r="L1494" s="10">
        <v>0.20125931699999999</v>
      </c>
      <c r="M1494" s="10">
        <v>0.20960338100000001</v>
      </c>
      <c r="N1494" s="10">
        <v>0.57317248899999995</v>
      </c>
      <c r="O1494" s="9">
        <v>0.24823764925</v>
      </c>
      <c r="P1494" s="10">
        <v>0.23562495279988199</v>
      </c>
      <c r="Q1494" s="10">
        <v>5.5519118381947001E-2</v>
      </c>
    </row>
    <row r="1495" spans="1:17" x14ac:dyDescent="0.2">
      <c r="A1495" s="10">
        <v>1758</v>
      </c>
      <c r="B1495" s="10" t="s">
        <v>2814</v>
      </c>
      <c r="C1495" s="9" t="s">
        <v>2239</v>
      </c>
      <c r="D1495" s="10">
        <v>0.34731319199999999</v>
      </c>
      <c r="E1495" s="10">
        <v>0.25360499199999997</v>
      </c>
      <c r="F1495" s="10">
        <v>-0.15383887199999999</v>
      </c>
      <c r="G1495" s="10">
        <v>0.196369721</v>
      </c>
      <c r="H1495" s="9">
        <v>0.16086225800000001</v>
      </c>
      <c r="I1495" s="10">
        <v>0.218832315294337</v>
      </c>
      <c r="J1495" s="10">
        <v>4.7887582217080102E-2</v>
      </c>
      <c r="K1495" s="10">
        <v>0.24609737700000001</v>
      </c>
      <c r="L1495" s="10">
        <v>-0.17230590600000001</v>
      </c>
      <c r="M1495" s="10">
        <v>-0.18857753599999999</v>
      </c>
      <c r="N1495" s="10">
        <v>0.27784008999999998</v>
      </c>
      <c r="O1495" s="9">
        <v>4.0763506249999998E-2</v>
      </c>
      <c r="P1495" s="10">
        <v>0.25584057088782503</v>
      </c>
      <c r="Q1495" s="10">
        <v>6.5454397712208304E-2</v>
      </c>
    </row>
    <row r="1496" spans="1:17" x14ac:dyDescent="0.2">
      <c r="A1496" s="10">
        <v>1758</v>
      </c>
      <c r="B1496" s="10" t="s">
        <v>2833</v>
      </c>
      <c r="C1496" s="9" t="s">
        <v>1220</v>
      </c>
      <c r="D1496" s="10">
        <v>-0.104867717</v>
      </c>
      <c r="E1496" s="10">
        <v>-0.26252520400000001</v>
      </c>
      <c r="F1496" s="10">
        <v>-0.68402394799999999</v>
      </c>
      <c r="G1496" s="10">
        <v>-0.28836868500000001</v>
      </c>
      <c r="H1496" s="9">
        <v>-0.33494638874999999</v>
      </c>
      <c r="I1496" s="10">
        <v>0.24644515823565899</v>
      </c>
      <c r="J1496" s="10">
        <v>6.0735216017799298E-2</v>
      </c>
      <c r="K1496" s="10">
        <v>-7.6915281000000002E-2</v>
      </c>
      <c r="L1496" s="10">
        <v>-0.61642007899999995</v>
      </c>
      <c r="M1496" s="10">
        <v>-0.820917644</v>
      </c>
      <c r="N1496" s="10">
        <v>0.31568349499999998</v>
      </c>
      <c r="O1496" s="9">
        <v>-0.29964237700000002</v>
      </c>
      <c r="P1496" s="10">
        <v>0.51649759745019597</v>
      </c>
      <c r="Q1496" s="10">
        <v>0.26676976817182502</v>
      </c>
    </row>
    <row r="1497" spans="1:17" x14ac:dyDescent="0.2">
      <c r="A1497" s="10">
        <v>1758</v>
      </c>
      <c r="B1497" s="10" t="s">
        <v>74</v>
      </c>
      <c r="C1497" s="9" t="s">
        <v>2238</v>
      </c>
      <c r="D1497" s="10">
        <v>-0.19697757299999999</v>
      </c>
      <c r="E1497" s="10">
        <v>2.1793613999999999E-2</v>
      </c>
      <c r="F1497" s="10">
        <v>0.214186191</v>
      </c>
      <c r="G1497" s="10">
        <v>-0.26283448700000001</v>
      </c>
      <c r="H1497" s="9">
        <v>-5.5958064000000002E-2</v>
      </c>
      <c r="I1497" s="10">
        <v>0.21733813766662899</v>
      </c>
      <c r="J1497" s="10">
        <v>4.7235866084398899E-2</v>
      </c>
      <c r="K1497" s="10">
        <v>-0.16459314999999999</v>
      </c>
      <c r="L1497" s="10">
        <v>0.15904181000000001</v>
      </c>
      <c r="M1497" s="10">
        <v>0.50475471599999999</v>
      </c>
      <c r="N1497" s="10">
        <v>0.169487269</v>
      </c>
      <c r="O1497" s="9">
        <v>0.16717266124999999</v>
      </c>
      <c r="P1497" s="10">
        <v>0.273314022908136</v>
      </c>
      <c r="Q1497" s="10">
        <v>7.4700555118229497E-2</v>
      </c>
    </row>
    <row r="1498" spans="1:17" x14ac:dyDescent="0.2">
      <c r="A1498" s="10">
        <v>1758</v>
      </c>
      <c r="B1498" s="10" t="s">
        <v>2818</v>
      </c>
      <c r="C1498" s="9" t="s">
        <v>1221</v>
      </c>
      <c r="D1498" s="10">
        <v>0.209241976</v>
      </c>
      <c r="E1498" s="10">
        <v>4.0383515000000002E-2</v>
      </c>
      <c r="F1498" s="10">
        <v>0.20223400599999999</v>
      </c>
      <c r="G1498" s="10">
        <v>-0.36627554800000001</v>
      </c>
      <c r="H1498" s="9">
        <v>2.1395987250000002E-2</v>
      </c>
      <c r="I1498" s="10">
        <v>0.269961880005331</v>
      </c>
      <c r="J1498" s="10">
        <v>7.2879416656013093E-2</v>
      </c>
      <c r="K1498" s="10">
        <v>-0.419428668</v>
      </c>
      <c r="L1498" s="10">
        <v>-5.4309336999999999E-2</v>
      </c>
      <c r="M1498" s="10">
        <v>-3.9466076000000003E-2</v>
      </c>
      <c r="N1498" s="10">
        <v>0.18403218099999999</v>
      </c>
      <c r="O1498" s="9">
        <v>-8.2292975249999997E-2</v>
      </c>
      <c r="P1498" s="10">
        <v>0.24980445117910699</v>
      </c>
      <c r="Q1498" s="10">
        <v>6.2402263828895202E-2</v>
      </c>
    </row>
    <row r="1499" spans="1:17" x14ac:dyDescent="0.2">
      <c r="A1499" s="10">
        <v>1758</v>
      </c>
      <c r="B1499" s="10" t="s">
        <v>2830</v>
      </c>
      <c r="C1499" s="9" t="s">
        <v>2237</v>
      </c>
      <c r="D1499" s="10">
        <v>-0.19640429100000001</v>
      </c>
      <c r="E1499" s="10">
        <v>-0.22156416900000001</v>
      </c>
      <c r="F1499" s="10">
        <v>0.244281637</v>
      </c>
      <c r="G1499" s="10">
        <v>-0.37729256300000003</v>
      </c>
      <c r="H1499" s="9">
        <v>-0.13774484625</v>
      </c>
      <c r="I1499" s="10">
        <v>0.266954397996579</v>
      </c>
      <c r="J1499" s="10">
        <v>7.1264650609715902E-2</v>
      </c>
      <c r="K1499" s="10">
        <v>0.42242606199999999</v>
      </c>
      <c r="L1499" s="3">
        <v>-6.8700000000000003E-5</v>
      </c>
      <c r="M1499" s="10">
        <v>-0.186159772</v>
      </c>
      <c r="N1499" s="10">
        <v>-5.9879311999999997E-2</v>
      </c>
      <c r="O1499" s="9">
        <v>4.4079568249999999E-2</v>
      </c>
      <c r="P1499" s="10">
        <v>0.26388933381500501</v>
      </c>
      <c r="Q1499" s="10">
        <v>6.9637580501327206E-2</v>
      </c>
    </row>
    <row r="1500" spans="1:17" x14ac:dyDescent="0.2">
      <c r="A1500" s="10">
        <v>1758</v>
      </c>
      <c r="B1500" s="10" t="s">
        <v>2832</v>
      </c>
      <c r="C1500" s="9" t="s">
        <v>2236</v>
      </c>
      <c r="D1500" s="10">
        <v>0.34148486099999997</v>
      </c>
      <c r="E1500" s="10">
        <v>0.32324509699999998</v>
      </c>
      <c r="F1500" s="10">
        <v>8.4181772000000002E-2</v>
      </c>
      <c r="G1500" s="10">
        <v>0.316104526</v>
      </c>
      <c r="H1500" s="9">
        <v>0.26625406400000001</v>
      </c>
      <c r="I1500" s="10">
        <v>0.12185105489272401</v>
      </c>
      <c r="J1500" s="10">
        <v>1.4847679578469599E-2</v>
      </c>
      <c r="K1500" s="10">
        <v>2.3948297E-2</v>
      </c>
      <c r="L1500" s="10">
        <v>0.239434168</v>
      </c>
      <c r="M1500" s="10">
        <v>0.32764096100000001</v>
      </c>
      <c r="N1500" s="10">
        <v>0.45885179199999998</v>
      </c>
      <c r="O1500" s="9">
        <v>0.26246880449999999</v>
      </c>
      <c r="P1500" s="10">
        <v>0.18278978339341001</v>
      </c>
      <c r="Q1500" s="10">
        <v>3.3412104913010103E-2</v>
      </c>
    </row>
    <row r="1501" spans="1:17" x14ac:dyDescent="0.2">
      <c r="A1501" s="10">
        <v>1759</v>
      </c>
      <c r="B1501" s="10" t="s">
        <v>2822</v>
      </c>
      <c r="C1501" s="9" t="s">
        <v>2235</v>
      </c>
      <c r="D1501" s="10">
        <v>-0.12001993699999999</v>
      </c>
      <c r="E1501" s="10">
        <v>0.57889318999999995</v>
      </c>
      <c r="F1501" s="10">
        <v>0.16327432</v>
      </c>
      <c r="G1501" s="10">
        <v>0.30779705600000001</v>
      </c>
      <c r="H1501" s="9">
        <v>0.23248615750000001</v>
      </c>
      <c r="I1501" s="10">
        <v>0.29138770776412998</v>
      </c>
      <c r="J1501" s="10">
        <v>8.4906796236034199E-2</v>
      </c>
      <c r="K1501" s="10">
        <v>4.5118211999999998E-2</v>
      </c>
      <c r="L1501" s="10">
        <v>0.26272663499999999</v>
      </c>
      <c r="M1501" s="10">
        <v>0.13862596899999999</v>
      </c>
      <c r="N1501" s="10">
        <v>-3.8596858999999997E-2</v>
      </c>
      <c r="O1501" s="9">
        <v>0.10196848925</v>
      </c>
      <c r="P1501" s="10">
        <v>0.12932842353049001</v>
      </c>
      <c r="Q1501" s="10">
        <v>1.6725841132881801E-2</v>
      </c>
    </row>
    <row r="1502" spans="1:17" x14ac:dyDescent="0.2">
      <c r="A1502" s="10">
        <v>1759</v>
      </c>
      <c r="B1502" s="10" t="s">
        <v>2823</v>
      </c>
      <c r="C1502" s="9" t="s">
        <v>1222</v>
      </c>
      <c r="D1502" s="10">
        <v>-0.38009631900000002</v>
      </c>
      <c r="E1502" s="10">
        <v>-4.3961683000000001E-2</v>
      </c>
      <c r="F1502" s="10">
        <v>-0.162158155</v>
      </c>
      <c r="G1502" s="10">
        <v>-0.233043259</v>
      </c>
      <c r="H1502" s="9">
        <v>-0.20481485425000001</v>
      </c>
      <c r="I1502" s="10">
        <v>0.140491721478197</v>
      </c>
      <c r="J1502" s="10">
        <v>1.9737923803907299E-2</v>
      </c>
      <c r="K1502" s="10">
        <v>0.31033465599999999</v>
      </c>
      <c r="L1502" s="10">
        <v>-6.0954964E-2</v>
      </c>
      <c r="M1502" s="10">
        <v>-3.5506278000000002E-2</v>
      </c>
      <c r="N1502" s="10">
        <v>0.40981719500000002</v>
      </c>
      <c r="O1502" s="9">
        <v>0.15592265224999999</v>
      </c>
      <c r="P1502" s="10">
        <v>0.23943436227023501</v>
      </c>
      <c r="Q1502" s="10">
        <v>5.7328813835754402E-2</v>
      </c>
    </row>
    <row r="1503" spans="1:17" x14ac:dyDescent="0.2">
      <c r="A1503" s="10">
        <v>1759</v>
      </c>
      <c r="B1503" s="10" t="s">
        <v>2819</v>
      </c>
      <c r="C1503" s="9" t="s">
        <v>57</v>
      </c>
      <c r="D1503" s="10">
        <v>-1.5865548330000001</v>
      </c>
      <c r="E1503" s="10">
        <v>-2.5676209829999999</v>
      </c>
      <c r="F1503" s="10">
        <v>-1.6738914309999999</v>
      </c>
      <c r="G1503" s="10">
        <v>-2.32557239</v>
      </c>
      <c r="H1503" s="9">
        <v>-2.0384099092499999</v>
      </c>
      <c r="I1503" s="10">
        <v>0.482898671858707</v>
      </c>
      <c r="J1503" s="10">
        <v>0.233191127282903</v>
      </c>
      <c r="K1503" s="10">
        <v>1.3188679E-2</v>
      </c>
      <c r="L1503" s="10">
        <v>-0.22904044500000001</v>
      </c>
      <c r="M1503" s="10">
        <v>2.8561540000000001E-3</v>
      </c>
      <c r="N1503" s="10">
        <v>0.77921686700000004</v>
      </c>
      <c r="O1503" s="9">
        <v>0.14155531374999999</v>
      </c>
      <c r="P1503" s="10">
        <v>0.43957135284618898</v>
      </c>
      <c r="Q1503" s="10">
        <v>0.19322297424302801</v>
      </c>
    </row>
    <row r="1504" spans="1:17" x14ac:dyDescent="0.2">
      <c r="A1504" s="10">
        <v>1759</v>
      </c>
      <c r="B1504" s="10" t="s">
        <v>2821</v>
      </c>
      <c r="C1504" s="9" t="s">
        <v>2234</v>
      </c>
      <c r="D1504" s="10">
        <v>-1.1551878950000001</v>
      </c>
      <c r="E1504" s="10">
        <v>-1.4044931E-2</v>
      </c>
      <c r="F1504" s="10">
        <v>4.3036618999999998E-2</v>
      </c>
      <c r="G1504" s="10">
        <v>-1.4023575269999999</v>
      </c>
      <c r="H1504" s="9">
        <v>-0.63213843349999999</v>
      </c>
      <c r="I1504" s="10">
        <v>0.753816759457826</v>
      </c>
      <c r="J1504" s="10">
        <v>0.56823970683949898</v>
      </c>
      <c r="K1504" s="10">
        <v>-0.32086843100000001</v>
      </c>
      <c r="L1504" s="10">
        <v>1.8084129069999999</v>
      </c>
      <c r="M1504" s="10">
        <v>-5.5344751639999998</v>
      </c>
      <c r="N1504" s="10">
        <v>5.7692832459999996</v>
      </c>
      <c r="O1504" s="9">
        <v>0.43058813950000002</v>
      </c>
      <c r="P1504" s="10">
        <v>4.7098030292222504</v>
      </c>
      <c r="Q1504" s="10">
        <v>22.182244574071099</v>
      </c>
    </row>
    <row r="1505" spans="1:17" x14ac:dyDescent="0.2">
      <c r="A1505" s="10">
        <v>1759</v>
      </c>
      <c r="B1505" s="10" t="s">
        <v>79</v>
      </c>
      <c r="C1505" s="9" t="s">
        <v>1223</v>
      </c>
      <c r="D1505" s="10">
        <v>7.1692720000000001E-2</v>
      </c>
      <c r="E1505" s="10">
        <v>-0.21704890700000001</v>
      </c>
      <c r="F1505" s="10">
        <v>1.5710132000000002E-2</v>
      </c>
      <c r="G1505" s="10">
        <v>2.9935720999999998E-2</v>
      </c>
      <c r="H1505" s="9">
        <v>-2.492758325E-2</v>
      </c>
      <c r="I1505" s="10">
        <v>0.130265743889868</v>
      </c>
      <c r="J1505" s="10">
        <v>1.6969164031180799E-2</v>
      </c>
      <c r="K1505" s="10">
        <v>0.166755704</v>
      </c>
      <c r="L1505" s="10">
        <v>-0.12562304099999999</v>
      </c>
      <c r="M1505" s="10">
        <v>0.124132377</v>
      </c>
      <c r="N1505" s="10">
        <v>4.4905407000000001E-2</v>
      </c>
      <c r="O1505" s="9">
        <v>5.2542611500000003E-2</v>
      </c>
      <c r="P1505" s="10">
        <v>0.12906206729849501</v>
      </c>
      <c r="Q1505" s="10">
        <v>1.6657017215361301E-2</v>
      </c>
    </row>
    <row r="1506" spans="1:17" x14ac:dyDescent="0.2">
      <c r="A1506" s="10">
        <v>1759</v>
      </c>
      <c r="B1506" s="10" t="s">
        <v>2817</v>
      </c>
      <c r="C1506" s="9" t="s">
        <v>1224</v>
      </c>
      <c r="D1506" s="10">
        <v>0.33826230699999998</v>
      </c>
      <c r="E1506" s="10">
        <v>-0.16191224000000001</v>
      </c>
      <c r="F1506" s="10">
        <v>-0.84214673799999995</v>
      </c>
      <c r="G1506" s="10">
        <v>-0.578526706</v>
      </c>
      <c r="H1506" s="9">
        <v>-0.31108084375</v>
      </c>
      <c r="I1506" s="10">
        <v>0.51557607684377604</v>
      </c>
      <c r="J1506" s="10">
        <v>0.26581869101361899</v>
      </c>
      <c r="K1506" s="10">
        <v>0.43598872300000002</v>
      </c>
      <c r="L1506" s="10">
        <v>-0.41485064900000002</v>
      </c>
      <c r="M1506" s="10">
        <v>0.56667761999999999</v>
      </c>
      <c r="N1506" s="10">
        <v>0.28646834500000001</v>
      </c>
      <c r="O1506" s="9">
        <v>0.21857100974999999</v>
      </c>
      <c r="P1506" s="10">
        <v>0.43752398792990199</v>
      </c>
      <c r="Q1506" s="10">
        <v>0.19142724001408501</v>
      </c>
    </row>
    <row r="1507" spans="1:17" x14ac:dyDescent="0.2">
      <c r="A1507" s="10">
        <v>1759</v>
      </c>
      <c r="B1507" s="10" t="s">
        <v>2814</v>
      </c>
      <c r="C1507" s="9" t="s">
        <v>2233</v>
      </c>
      <c r="D1507" s="10">
        <v>0.94261634400000005</v>
      </c>
      <c r="E1507" s="10">
        <v>0.92361306499999996</v>
      </c>
      <c r="F1507" s="10">
        <v>-0.30741490399999999</v>
      </c>
      <c r="G1507" s="10">
        <v>-0.33436611300000002</v>
      </c>
      <c r="H1507" s="9">
        <v>0.306112098</v>
      </c>
      <c r="I1507" s="10">
        <v>0.72412540819272198</v>
      </c>
      <c r="J1507" s="10">
        <v>0.52435760679027699</v>
      </c>
      <c r="K1507" s="10">
        <v>0.38122104000000001</v>
      </c>
      <c r="L1507" s="10">
        <v>-0.213507957</v>
      </c>
      <c r="M1507" s="10">
        <v>-0.210765441</v>
      </c>
      <c r="N1507" s="10">
        <v>-0.92288404300000004</v>
      </c>
      <c r="O1507" s="9">
        <v>-0.24148410025</v>
      </c>
      <c r="P1507" s="10">
        <v>0.53347723296961003</v>
      </c>
      <c r="Q1507" s="10">
        <v>0.28459795809691202</v>
      </c>
    </row>
    <row r="1508" spans="1:17" x14ac:dyDescent="0.2">
      <c r="A1508" s="10">
        <v>1759</v>
      </c>
      <c r="B1508" s="10" t="s">
        <v>2825</v>
      </c>
      <c r="C1508" s="9" t="s">
        <v>1225</v>
      </c>
      <c r="D1508" s="10">
        <v>0.18131835900000001</v>
      </c>
      <c r="E1508" s="10">
        <v>-0.30143093300000001</v>
      </c>
      <c r="F1508" s="10">
        <v>-0.46892722999999997</v>
      </c>
      <c r="G1508" s="10">
        <v>-0.28365360299999998</v>
      </c>
      <c r="H1508" s="9">
        <v>-0.21817335199999999</v>
      </c>
      <c r="I1508" s="10">
        <v>0.27910011498548898</v>
      </c>
      <c r="J1508" s="10">
        <v>7.7896874184913603E-2</v>
      </c>
      <c r="K1508" s="10">
        <v>0.32157409199999998</v>
      </c>
      <c r="L1508" s="10">
        <v>-0.75043296800000003</v>
      </c>
      <c r="M1508" s="10">
        <v>-0.36197644200000001</v>
      </c>
      <c r="N1508" s="10">
        <v>0.27376921399999998</v>
      </c>
      <c r="O1508" s="9">
        <v>-0.12926652599999999</v>
      </c>
      <c r="P1508" s="10">
        <v>0.51823312779341402</v>
      </c>
      <c r="Q1508" s="10">
        <v>0.268565574742545</v>
      </c>
    </row>
    <row r="1509" spans="1:17" x14ac:dyDescent="0.2">
      <c r="A1509" s="10">
        <v>1759</v>
      </c>
      <c r="B1509" s="10" t="s">
        <v>2818</v>
      </c>
      <c r="C1509" s="9" t="s">
        <v>1226</v>
      </c>
      <c r="D1509" s="10">
        <v>-0.76154474100000003</v>
      </c>
      <c r="E1509" s="10">
        <v>-0.283693943</v>
      </c>
      <c r="F1509" s="10">
        <v>-0.25210225200000003</v>
      </c>
      <c r="G1509" s="10">
        <v>-4.9639662000000001E-2</v>
      </c>
      <c r="H1509" s="9">
        <v>-0.33674514950000001</v>
      </c>
      <c r="I1509" s="10">
        <v>0.30158641906838801</v>
      </c>
      <c r="J1509" s="10">
        <v>9.0954368166493493E-2</v>
      </c>
      <c r="K1509" s="10">
        <v>-0.16231844400000001</v>
      </c>
      <c r="L1509" s="10">
        <v>6.5674339999999996E-3</v>
      </c>
      <c r="M1509" s="10">
        <v>0.16596840900000001</v>
      </c>
      <c r="N1509" s="10">
        <v>-0.190805119</v>
      </c>
      <c r="O1509" s="9">
        <v>-4.5146930000000002E-2</v>
      </c>
      <c r="P1509" s="10">
        <v>0.165518914851466</v>
      </c>
      <c r="Q1509" s="10">
        <v>2.7396511173607099E-2</v>
      </c>
    </row>
    <row r="1510" spans="1:17" x14ac:dyDescent="0.2">
      <c r="A1510" s="10">
        <v>1759</v>
      </c>
      <c r="B1510" s="10" t="s">
        <v>2830</v>
      </c>
      <c r="C1510" s="9" t="s">
        <v>1227</v>
      </c>
      <c r="D1510" s="10">
        <v>-0.19979541200000001</v>
      </c>
      <c r="E1510" s="10">
        <v>-0.44517759499999998</v>
      </c>
      <c r="F1510" s="10">
        <v>0.13214754200000001</v>
      </c>
      <c r="G1510" s="10">
        <v>1.5093609290000001</v>
      </c>
      <c r="H1510" s="9">
        <v>0.24913386574999999</v>
      </c>
      <c r="I1510" s="10">
        <v>0.87282376072190604</v>
      </c>
      <c r="J1510" s="10">
        <v>0.76182131728073099</v>
      </c>
      <c r="K1510" s="10">
        <v>-0.14332792499999999</v>
      </c>
      <c r="L1510" s="10">
        <v>-8.1599426000000003E-2</v>
      </c>
      <c r="M1510" s="10">
        <v>0.96541157200000005</v>
      </c>
      <c r="N1510" s="10">
        <v>0.35134959700000001</v>
      </c>
      <c r="O1510" s="9">
        <v>0.2729584545</v>
      </c>
      <c r="P1510" s="10">
        <v>0.51141702863703198</v>
      </c>
      <c r="Q1510" s="10">
        <v>0.26154737717993098</v>
      </c>
    </row>
    <row r="1511" spans="1:17" x14ac:dyDescent="0.2">
      <c r="A1511" s="10">
        <v>1759</v>
      </c>
      <c r="B1511" s="10" t="s">
        <v>2832</v>
      </c>
      <c r="C1511" s="9" t="s">
        <v>1228</v>
      </c>
      <c r="D1511" s="10">
        <v>-0.125738765</v>
      </c>
      <c r="E1511" s="10">
        <v>0.25638055100000001</v>
      </c>
      <c r="F1511" s="10">
        <v>0.17274924999999999</v>
      </c>
      <c r="G1511" s="10">
        <v>0.12526959100000001</v>
      </c>
      <c r="H1511" s="9">
        <v>0.10716515675</v>
      </c>
      <c r="I1511" s="10">
        <v>0.16445720261378</v>
      </c>
      <c r="J1511" s="10">
        <v>2.70461714915501E-2</v>
      </c>
      <c r="K1511" s="10">
        <v>0.173836935</v>
      </c>
      <c r="L1511" s="10">
        <v>3.7467569999999999E-2</v>
      </c>
      <c r="M1511" s="10">
        <v>-0.15953832700000001</v>
      </c>
      <c r="N1511" s="10">
        <v>-8.9501562000000007E-2</v>
      </c>
      <c r="O1511" s="9">
        <v>-9.4338459999999992E-3</v>
      </c>
      <c r="P1511" s="10">
        <v>0.14689011352355699</v>
      </c>
      <c r="Q1511" s="10">
        <v>2.1576705450963601E-2</v>
      </c>
    </row>
    <row r="1512" spans="1:17" x14ac:dyDescent="0.2">
      <c r="A1512" s="10">
        <v>1760</v>
      </c>
      <c r="B1512" s="10" t="s">
        <v>2831</v>
      </c>
      <c r="C1512" s="9" t="s">
        <v>2232</v>
      </c>
      <c r="D1512" s="10">
        <v>-2.7857232120000002</v>
      </c>
      <c r="E1512" s="10">
        <v>-1.505688162</v>
      </c>
      <c r="F1512" s="10">
        <v>-3.007712943</v>
      </c>
      <c r="G1512" s="10">
        <v>-2.9841505270000002</v>
      </c>
      <c r="H1512" s="9">
        <v>-2.5708187100000002</v>
      </c>
      <c r="I1512" s="10">
        <v>0.71703249369323696</v>
      </c>
      <c r="J1512" s="10">
        <v>0.514135597011942</v>
      </c>
      <c r="K1512" s="10">
        <v>6.0023522000000003E-2</v>
      </c>
      <c r="L1512" s="10">
        <v>5.4822021999999998E-2</v>
      </c>
      <c r="M1512" s="10">
        <v>0.47285333400000001</v>
      </c>
      <c r="N1512" s="10">
        <v>0.36414257500000002</v>
      </c>
      <c r="O1512" s="9">
        <v>0.23796036325</v>
      </c>
      <c r="P1512" s="10">
        <v>0.21314926677464799</v>
      </c>
      <c r="Q1512" s="10">
        <v>4.5432609926570403E-2</v>
      </c>
    </row>
    <row r="1513" spans="1:17" x14ac:dyDescent="0.2">
      <c r="A1513" s="10">
        <v>1760</v>
      </c>
      <c r="B1513" s="10" t="s">
        <v>2822</v>
      </c>
      <c r="C1513" s="9" t="s">
        <v>1229</v>
      </c>
      <c r="D1513" s="10">
        <v>0.111751325</v>
      </c>
      <c r="E1513" s="10">
        <v>-0.49115534199999999</v>
      </c>
      <c r="F1513" s="10">
        <v>-0.43389825599999998</v>
      </c>
      <c r="G1513" s="10">
        <v>-0.639591837</v>
      </c>
      <c r="H1513" s="9">
        <v>-0.36322352725000001</v>
      </c>
      <c r="I1513" s="10">
        <v>0.32829966971914298</v>
      </c>
      <c r="J1513" s="10">
        <v>0.107780673137698</v>
      </c>
      <c r="K1513" s="10">
        <v>-0.13259447899999999</v>
      </c>
      <c r="L1513" s="10">
        <v>1.1257098E-2</v>
      </c>
      <c r="M1513" s="10">
        <v>2.9144507E-2</v>
      </c>
      <c r="N1513" s="10">
        <v>-3.7261583000000001E-2</v>
      </c>
      <c r="O1513" s="9">
        <v>-3.2363614249999999E-2</v>
      </c>
      <c r="P1513" s="10">
        <v>7.2471216960737203E-2</v>
      </c>
      <c r="Q1513" s="10">
        <v>5.2520772877702E-3</v>
      </c>
    </row>
    <row r="1514" spans="1:17" x14ac:dyDescent="0.2">
      <c r="A1514" s="10">
        <v>1760</v>
      </c>
      <c r="B1514" s="10" t="s">
        <v>2819</v>
      </c>
      <c r="C1514" s="9" t="s">
        <v>2231</v>
      </c>
      <c r="D1514" s="10">
        <v>-1.7454491089999999</v>
      </c>
      <c r="E1514" s="10">
        <v>-1.229122233</v>
      </c>
      <c r="F1514" s="10">
        <v>-1.2517322790000001</v>
      </c>
      <c r="G1514" s="10">
        <v>-1.7115096759999999</v>
      </c>
      <c r="H1514" s="9">
        <v>-1.48445332425</v>
      </c>
      <c r="I1514" s="10">
        <v>0.28226845235724102</v>
      </c>
      <c r="J1514" s="10">
        <v>7.9675479196152102E-2</v>
      </c>
      <c r="K1514" s="10">
        <v>0.12038386199999999</v>
      </c>
      <c r="L1514" s="10">
        <v>0.26539090300000001</v>
      </c>
      <c r="M1514" s="10">
        <v>-0.144208745</v>
      </c>
      <c r="N1514" s="10">
        <v>-0.43443162899999999</v>
      </c>
      <c r="O1514" s="9">
        <v>-4.8216401999999998E-2</v>
      </c>
      <c r="P1514" s="10">
        <v>0.30830305558628701</v>
      </c>
      <c r="Q1514" s="10">
        <v>9.5050774083841202E-2</v>
      </c>
    </row>
    <row r="1515" spans="1:17" x14ac:dyDescent="0.2">
      <c r="A1515" s="10">
        <v>1760</v>
      </c>
      <c r="B1515" s="10" t="s">
        <v>2826</v>
      </c>
      <c r="C1515" s="9" t="s">
        <v>1230</v>
      </c>
      <c r="D1515" s="10">
        <v>-0.45928596300000002</v>
      </c>
      <c r="E1515" s="10">
        <v>2.9441912000000001E-2</v>
      </c>
      <c r="F1515" s="10">
        <v>4.9875882000000003E-2</v>
      </c>
      <c r="G1515" s="10">
        <v>-0.643394472</v>
      </c>
      <c r="H1515" s="9">
        <v>-0.25584066025000002</v>
      </c>
      <c r="I1515" s="10">
        <v>0.349493299147907</v>
      </c>
      <c r="J1515" s="10">
        <v>0.122145566149288</v>
      </c>
      <c r="K1515" s="10">
        <v>-5.4794909000000003E-2</v>
      </c>
      <c r="L1515" s="10">
        <v>0.34389798100000002</v>
      </c>
      <c r="M1515" s="10">
        <v>0.115423927</v>
      </c>
      <c r="N1515" s="10">
        <v>0.14547363299999999</v>
      </c>
      <c r="O1515" s="9">
        <v>0.13750015800000001</v>
      </c>
      <c r="P1515" s="10">
        <v>0.16343030156656399</v>
      </c>
      <c r="Q1515" s="10">
        <v>2.6709463470138198E-2</v>
      </c>
    </row>
    <row r="1516" spans="1:17" x14ac:dyDescent="0.2">
      <c r="A1516" s="10">
        <v>1760</v>
      </c>
      <c r="B1516" s="10" t="s">
        <v>2820</v>
      </c>
      <c r="C1516" s="9" t="s">
        <v>1231</v>
      </c>
      <c r="D1516" s="10">
        <v>-1.4417914590000001</v>
      </c>
      <c r="E1516" s="10">
        <v>-1.558352425</v>
      </c>
      <c r="F1516" s="10">
        <v>-2.0976634110000001</v>
      </c>
      <c r="G1516" s="10">
        <v>-1.281375098</v>
      </c>
      <c r="H1516" s="9">
        <v>-1.5947955979999999</v>
      </c>
      <c r="I1516" s="10">
        <v>0.35395235959146198</v>
      </c>
      <c r="J1516" s="10">
        <v>0.125282272860364</v>
      </c>
      <c r="K1516" s="10">
        <v>0.32847413800000003</v>
      </c>
      <c r="L1516" s="10">
        <v>-1.8566599999999999E-4</v>
      </c>
      <c r="M1516" s="10">
        <v>0.18332135799999999</v>
      </c>
      <c r="N1516" s="10">
        <v>-8.8470560000000004E-2</v>
      </c>
      <c r="O1516" s="9">
        <v>0.1057848175</v>
      </c>
      <c r="P1516" s="10">
        <v>0.18669703054088299</v>
      </c>
      <c r="Q1516" s="10">
        <v>3.4855781212783703E-2</v>
      </c>
    </row>
    <row r="1517" spans="1:17" x14ac:dyDescent="0.2">
      <c r="A1517" s="10">
        <v>1760</v>
      </c>
      <c r="B1517" s="10" t="s">
        <v>2824</v>
      </c>
      <c r="C1517" s="9" t="s">
        <v>1232</v>
      </c>
      <c r="D1517" s="10">
        <v>0.22214134299999999</v>
      </c>
      <c r="E1517" s="10">
        <v>0.224590189</v>
      </c>
      <c r="F1517" s="10">
        <v>0.18800693199999999</v>
      </c>
      <c r="G1517" s="10">
        <v>0.19722399500000001</v>
      </c>
      <c r="H1517" s="9">
        <v>0.20799061475</v>
      </c>
      <c r="I1517" s="10">
        <v>1.8175594005702098E-2</v>
      </c>
      <c r="J1517" s="10">
        <v>3.3035221746010001E-4</v>
      </c>
      <c r="K1517" s="10">
        <v>0.22948581600000001</v>
      </c>
      <c r="L1517" s="10">
        <v>-0.151908977</v>
      </c>
      <c r="M1517" s="10">
        <v>-0.293194338</v>
      </c>
      <c r="N1517" s="10">
        <v>5.8106460999999998E-2</v>
      </c>
      <c r="O1517" s="9">
        <v>-3.9377759499999998E-2</v>
      </c>
      <c r="P1517" s="10">
        <v>0.230128171468724</v>
      </c>
      <c r="Q1517" s="10">
        <v>5.2958975303538498E-2</v>
      </c>
    </row>
    <row r="1518" spans="1:17" x14ac:dyDescent="0.2">
      <c r="A1518" s="10">
        <v>1760</v>
      </c>
      <c r="B1518" s="10" t="s">
        <v>2814</v>
      </c>
      <c r="C1518" s="9" t="s">
        <v>2230</v>
      </c>
      <c r="D1518" s="10">
        <v>3.1070871999999999E-2</v>
      </c>
      <c r="E1518" s="10">
        <v>0.43039261600000001</v>
      </c>
      <c r="F1518" s="10">
        <v>-8.7944797000000005E-2</v>
      </c>
      <c r="G1518" s="10">
        <v>-3.5707797999999999E-2</v>
      </c>
      <c r="H1518" s="9">
        <v>8.445272325E-2</v>
      </c>
      <c r="I1518" s="10">
        <v>0.23571415407521201</v>
      </c>
      <c r="J1518" s="10">
        <v>5.5561162431393099E-2</v>
      </c>
      <c r="K1518" s="10">
        <v>-0.32120874100000002</v>
      </c>
      <c r="L1518" s="10">
        <v>-0.76477186900000005</v>
      </c>
      <c r="M1518" s="10">
        <v>0.12310375599999999</v>
      </c>
      <c r="N1518" s="10">
        <v>-0.122775648</v>
      </c>
      <c r="O1518" s="9">
        <v>-0.27141312574999998</v>
      </c>
      <c r="P1518" s="10">
        <v>0.37577436608376602</v>
      </c>
      <c r="Q1518" s="10">
        <v>0.14120637420565599</v>
      </c>
    </row>
    <row r="1519" spans="1:17" x14ac:dyDescent="0.2">
      <c r="A1519" s="10">
        <v>1760</v>
      </c>
      <c r="B1519" s="10" t="s">
        <v>2833</v>
      </c>
      <c r="C1519" s="9" t="s">
        <v>2229</v>
      </c>
      <c r="D1519" s="10">
        <v>-2.2930856409999998</v>
      </c>
      <c r="E1519" s="10">
        <v>-0.809971569</v>
      </c>
      <c r="F1519" s="10">
        <v>-0.243955162</v>
      </c>
      <c r="G1519" s="10">
        <v>-1.043183959</v>
      </c>
      <c r="H1519" s="9">
        <v>-1.0975490830000001</v>
      </c>
      <c r="I1519" s="10">
        <v>0.86479027067233605</v>
      </c>
      <c r="J1519" s="10">
        <v>0.74786221224953198</v>
      </c>
      <c r="K1519" s="10">
        <v>-0.41457442300000003</v>
      </c>
      <c r="L1519" s="10">
        <v>-0.128320726</v>
      </c>
      <c r="M1519" s="10">
        <v>0.215191364</v>
      </c>
      <c r="N1519" s="10">
        <v>2.841817335</v>
      </c>
      <c r="O1519" s="9">
        <v>0.62852838749999995</v>
      </c>
      <c r="P1519" s="10">
        <v>1.4978183594815699</v>
      </c>
      <c r="Q1519" s="10">
        <v>2.2434598380000699</v>
      </c>
    </row>
    <row r="1520" spans="1:17" x14ac:dyDescent="0.2">
      <c r="A1520" s="10">
        <v>1760</v>
      </c>
      <c r="B1520" s="10" t="s">
        <v>74</v>
      </c>
      <c r="C1520" s="9" t="s">
        <v>1233</v>
      </c>
      <c r="D1520" s="10">
        <v>-2.8679796720000001</v>
      </c>
      <c r="E1520" s="10">
        <v>-0.94462142100000002</v>
      </c>
      <c r="F1520" s="10">
        <v>-0.50896426299999997</v>
      </c>
      <c r="G1520" s="10">
        <v>-1.516145597</v>
      </c>
      <c r="H1520" s="9">
        <v>-1.4594277382500001</v>
      </c>
      <c r="I1520" s="10">
        <v>1.0256123094095</v>
      </c>
      <c r="J1520" s="10">
        <v>1.0518806092122801</v>
      </c>
      <c r="K1520" s="10">
        <v>-0.12003858100000001</v>
      </c>
      <c r="L1520" s="10">
        <v>0.24984530099999999</v>
      </c>
      <c r="M1520" s="10">
        <v>0.18440894199999999</v>
      </c>
      <c r="N1520" s="10">
        <v>0.78666457999999995</v>
      </c>
      <c r="O1520" s="9">
        <v>0.27522006025000001</v>
      </c>
      <c r="P1520" s="10">
        <v>0.37713632719478402</v>
      </c>
      <c r="Q1520" s="10">
        <v>0.14223180928997101</v>
      </c>
    </row>
    <row r="1521" spans="1:17" x14ac:dyDescent="0.2">
      <c r="A1521" s="10">
        <v>1760</v>
      </c>
      <c r="B1521" s="10" t="s">
        <v>2818</v>
      </c>
      <c r="C1521" s="9" t="s">
        <v>1234</v>
      </c>
      <c r="D1521" s="10">
        <v>-0.59313142600000002</v>
      </c>
      <c r="E1521" s="10">
        <v>-0.59310141500000002</v>
      </c>
      <c r="F1521" s="10">
        <v>-0.17684771899999999</v>
      </c>
      <c r="G1521" s="10">
        <v>-0.41739683999999999</v>
      </c>
      <c r="H1521" s="9">
        <v>-0.44511935000000002</v>
      </c>
      <c r="I1521" s="10">
        <v>0.197099358838458</v>
      </c>
      <c r="J1521" s="10">
        <v>3.8848157254531397E-2</v>
      </c>
      <c r="K1521" s="10">
        <v>-0.14188087799999999</v>
      </c>
      <c r="L1521" s="10">
        <v>-1.6186553999999999E-2</v>
      </c>
      <c r="M1521" s="10">
        <v>-0.19254876400000001</v>
      </c>
      <c r="N1521" s="10">
        <v>0.13692689</v>
      </c>
      <c r="O1521" s="9">
        <v>-5.3422326499999999E-2</v>
      </c>
      <c r="P1521" s="10">
        <v>0.14696984715779299</v>
      </c>
      <c r="Q1521" s="10">
        <v>2.1600135973585E-2</v>
      </c>
    </row>
    <row r="1522" spans="1:17" x14ac:dyDescent="0.2">
      <c r="A1522" s="10">
        <v>1760</v>
      </c>
      <c r="B1522" s="10" t="s">
        <v>2830</v>
      </c>
      <c r="C1522" s="9" t="s">
        <v>1235</v>
      </c>
      <c r="D1522" s="10">
        <v>0.51178176399999997</v>
      </c>
      <c r="E1522" s="10">
        <v>-1.4262894999999999E-2</v>
      </c>
      <c r="F1522" s="10">
        <v>0.29530135400000002</v>
      </c>
      <c r="G1522" s="10">
        <v>-0.57365804499999995</v>
      </c>
      <c r="H1522" s="9">
        <v>5.4790544500000003E-2</v>
      </c>
      <c r="I1522" s="10">
        <v>0.47131109023579498</v>
      </c>
      <c r="J1522" s="10">
        <v>0.222134143779254</v>
      </c>
      <c r="K1522" s="10">
        <v>-0.320781439</v>
      </c>
      <c r="L1522" s="10">
        <v>0.37950901599999998</v>
      </c>
      <c r="M1522" s="10">
        <v>0.50760179500000002</v>
      </c>
      <c r="N1522" s="10">
        <v>0.18648709199999999</v>
      </c>
      <c r="O1522" s="9">
        <v>0.18820411625</v>
      </c>
      <c r="P1522" s="10">
        <v>0.364088673029282</v>
      </c>
      <c r="Q1522" s="10">
        <v>0.13256056182822301</v>
      </c>
    </row>
    <row r="1523" spans="1:17" x14ac:dyDescent="0.2">
      <c r="A1523" s="10">
        <v>1760</v>
      </c>
      <c r="B1523" s="10" t="s">
        <v>2832</v>
      </c>
      <c r="C1523" s="9" t="s">
        <v>2228</v>
      </c>
      <c r="D1523" s="10">
        <v>-1.4170544940000001</v>
      </c>
      <c r="E1523" s="10">
        <v>-1.3334787809999999</v>
      </c>
      <c r="F1523" s="10">
        <v>-1.2925971350000001</v>
      </c>
      <c r="G1523" s="10">
        <v>-1.6584566080000001</v>
      </c>
      <c r="H1523" s="9">
        <v>-1.4253967547499999</v>
      </c>
      <c r="I1523" s="10">
        <v>0.16377946698267001</v>
      </c>
      <c r="J1523" s="10">
        <v>2.6823713805127599E-2</v>
      </c>
      <c r="K1523" s="10">
        <v>6.5366070999999998E-2</v>
      </c>
      <c r="L1523" s="10">
        <v>-5.2994397999999998E-2</v>
      </c>
      <c r="M1523" s="10">
        <v>-0.111243406</v>
      </c>
      <c r="N1523" s="10">
        <v>-0.27461001099999999</v>
      </c>
      <c r="O1523" s="9">
        <v>-9.3370436249999994E-2</v>
      </c>
      <c r="P1523" s="10">
        <v>0.14141514499508101</v>
      </c>
      <c r="Q1523" s="10">
        <v>1.9998243233980001E-2</v>
      </c>
    </row>
    <row r="1524" spans="1:17" x14ac:dyDescent="0.2">
      <c r="A1524" s="10">
        <v>1761</v>
      </c>
      <c r="B1524" s="10" t="s">
        <v>2831</v>
      </c>
      <c r="C1524" s="9" t="s">
        <v>1236</v>
      </c>
      <c r="D1524" s="10">
        <v>-1.236267271</v>
      </c>
      <c r="E1524" s="10">
        <v>-1.25314276</v>
      </c>
      <c r="F1524" s="10">
        <v>-2.4663530640000002</v>
      </c>
      <c r="G1524" s="10">
        <v>-1.9325716820000001</v>
      </c>
      <c r="H1524" s="9">
        <v>-1.72208369425</v>
      </c>
      <c r="I1524" s="10">
        <v>0.59278025289022296</v>
      </c>
      <c r="J1524" s="10">
        <v>0.35138842821659699</v>
      </c>
      <c r="K1524" s="10">
        <v>-0.62516990400000005</v>
      </c>
      <c r="L1524" s="10">
        <v>-0.91554503099999995</v>
      </c>
      <c r="M1524" s="10">
        <v>6.9660515000000006E-2</v>
      </c>
      <c r="N1524" s="10">
        <v>-0.27920555899999999</v>
      </c>
      <c r="O1524" s="9">
        <v>-0.43756499474999999</v>
      </c>
      <c r="P1524" s="10">
        <v>0.42662080964265198</v>
      </c>
      <c r="Q1524" s="10">
        <v>0.18200531522015201</v>
      </c>
    </row>
    <row r="1525" spans="1:17" x14ac:dyDescent="0.2">
      <c r="A1525" s="10">
        <v>1761</v>
      </c>
      <c r="B1525" s="10" t="s">
        <v>2822</v>
      </c>
      <c r="C1525" s="9" t="s">
        <v>2227</v>
      </c>
      <c r="D1525" s="10">
        <v>-2.2315953020000001</v>
      </c>
      <c r="E1525" s="10">
        <v>-1.25608678</v>
      </c>
      <c r="F1525" s="10">
        <v>-1.64049683</v>
      </c>
      <c r="G1525" s="10">
        <v>-1.8585896390000001</v>
      </c>
      <c r="H1525" s="9">
        <v>-1.74669213775</v>
      </c>
      <c r="I1525" s="10">
        <v>0.40809442940197799</v>
      </c>
      <c r="J1525" s="10">
        <v>0.16654106330892601</v>
      </c>
      <c r="K1525" s="10">
        <v>0.38241068900000003</v>
      </c>
      <c r="L1525" s="10">
        <v>-0.411791354</v>
      </c>
      <c r="M1525" s="10">
        <v>0.31556589099999999</v>
      </c>
      <c r="N1525" s="10">
        <v>6.6593247999999994E-2</v>
      </c>
      <c r="O1525" s="9">
        <v>8.8194618500000002E-2</v>
      </c>
      <c r="P1525" s="10">
        <v>0.35995989758257702</v>
      </c>
      <c r="Q1525" s="10">
        <v>0.12957112786765901</v>
      </c>
    </row>
    <row r="1526" spans="1:17" x14ac:dyDescent="0.2">
      <c r="A1526" s="10">
        <v>1761</v>
      </c>
      <c r="B1526" s="10" t="s">
        <v>79</v>
      </c>
      <c r="C1526" s="9" t="s">
        <v>1237</v>
      </c>
      <c r="D1526" s="10">
        <v>-2.091409327</v>
      </c>
      <c r="E1526" s="10">
        <v>-1.5062577589999999</v>
      </c>
      <c r="F1526" s="10">
        <v>-1.3206731469999999</v>
      </c>
      <c r="G1526" s="10">
        <v>-1.3813369980000001</v>
      </c>
      <c r="H1526" s="9">
        <v>-1.5749193077500001</v>
      </c>
      <c r="I1526" s="10">
        <v>0.35288882534771598</v>
      </c>
      <c r="J1526" s="10">
        <v>0.124530523055291</v>
      </c>
      <c r="K1526" s="10">
        <v>0.42530385599999998</v>
      </c>
      <c r="L1526" s="10">
        <v>-0.146532998</v>
      </c>
      <c r="M1526" s="10">
        <v>-3.8741092999999997E-2</v>
      </c>
      <c r="N1526" s="10">
        <v>-0.220516513</v>
      </c>
      <c r="O1526" s="9">
        <v>4.8783129999999996E-3</v>
      </c>
      <c r="P1526" s="10">
        <v>0.29005085903047301</v>
      </c>
      <c r="Q1526" s="10">
        <v>8.4129500824315501E-2</v>
      </c>
    </row>
    <row r="1527" spans="1:17" x14ac:dyDescent="0.2">
      <c r="A1527" s="10">
        <v>1761</v>
      </c>
      <c r="B1527" s="10" t="s">
        <v>2824</v>
      </c>
      <c r="C1527" s="9" t="s">
        <v>1238</v>
      </c>
      <c r="D1527" s="10">
        <v>3.5083666999999999E-2</v>
      </c>
      <c r="E1527" s="10">
        <v>-0.21064601399999999</v>
      </c>
      <c r="F1527" s="10">
        <v>0.336602544</v>
      </c>
      <c r="G1527" s="10">
        <v>3.7916630999999999E-2</v>
      </c>
      <c r="H1527" s="9">
        <v>4.9739206750000001E-2</v>
      </c>
      <c r="I1527" s="10">
        <v>0.22393867879843099</v>
      </c>
      <c r="J1527" s="10">
        <v>5.01485318619872E-2</v>
      </c>
      <c r="K1527" s="10">
        <v>-0.26582675300000003</v>
      </c>
      <c r="L1527" s="10">
        <v>0.273731208</v>
      </c>
      <c r="M1527" s="10">
        <v>0.33844222600000001</v>
      </c>
      <c r="N1527" s="10">
        <v>-1.1847801999999999E-2</v>
      </c>
      <c r="O1527" s="9">
        <v>8.3624719750000007E-2</v>
      </c>
      <c r="P1527" s="10">
        <v>0.27827071506158901</v>
      </c>
      <c r="Q1527" s="10">
        <v>7.7434590860888095E-2</v>
      </c>
    </row>
    <row r="1528" spans="1:17" x14ac:dyDescent="0.2">
      <c r="A1528" s="10">
        <v>1761</v>
      </c>
      <c r="B1528" s="10" t="s">
        <v>82</v>
      </c>
      <c r="C1528" s="9" t="s">
        <v>2226</v>
      </c>
      <c r="D1528" s="10">
        <v>-2.217268475</v>
      </c>
      <c r="E1528" s="10">
        <v>-1.949175742</v>
      </c>
      <c r="F1528" s="10">
        <v>-1.777394162</v>
      </c>
      <c r="G1528" s="10">
        <v>-2.6748450529999999</v>
      </c>
      <c r="H1528" s="9">
        <v>-2.1546708582499998</v>
      </c>
      <c r="I1528" s="10">
        <v>0.39118009613753202</v>
      </c>
      <c r="J1528" s="10">
        <v>0.153021867614168</v>
      </c>
      <c r="K1528" s="10">
        <v>-9.6606619000000005E-2</v>
      </c>
      <c r="L1528" s="10">
        <v>0.51145442100000005</v>
      </c>
      <c r="M1528" s="10">
        <v>-8.8820963000000003E-2</v>
      </c>
      <c r="N1528" s="10">
        <v>-0.50055820900000003</v>
      </c>
      <c r="O1528" s="9">
        <v>-4.3632842499999998E-2</v>
      </c>
      <c r="P1528" s="10">
        <v>0.41703351099644698</v>
      </c>
      <c r="Q1528" s="10">
        <v>0.17391694929402399</v>
      </c>
    </row>
    <row r="1529" spans="1:17" x14ac:dyDescent="0.2">
      <c r="A1529" s="10">
        <v>1761</v>
      </c>
      <c r="B1529" s="10" t="s">
        <v>2814</v>
      </c>
      <c r="C1529" s="9" t="s">
        <v>2225</v>
      </c>
      <c r="D1529" s="10">
        <v>-2.7773251480000001</v>
      </c>
      <c r="E1529" s="10">
        <v>-0.51989128200000001</v>
      </c>
      <c r="F1529" s="10">
        <v>-2.8833176649999999</v>
      </c>
      <c r="G1529" s="10">
        <v>-1.9895267249999999</v>
      </c>
      <c r="H1529" s="9">
        <v>-2.04251520525</v>
      </c>
      <c r="I1529" s="10">
        <v>1.09057871777302</v>
      </c>
      <c r="J1529" s="10">
        <v>1.1893619396594399</v>
      </c>
      <c r="K1529" s="10">
        <v>0.49642062599999998</v>
      </c>
      <c r="L1529" s="10">
        <v>-0.87899918300000002</v>
      </c>
      <c r="M1529" s="10">
        <v>-0.46798005399999998</v>
      </c>
      <c r="N1529" s="10">
        <v>-1.291289629</v>
      </c>
      <c r="O1529" s="9">
        <v>-0.53546206024999998</v>
      </c>
      <c r="P1529" s="10">
        <v>0.76564325194351501</v>
      </c>
      <c r="Q1529" s="10">
        <v>0.58620958924664102</v>
      </c>
    </row>
    <row r="1530" spans="1:17" x14ac:dyDescent="0.2">
      <c r="A1530" s="10">
        <v>1761</v>
      </c>
      <c r="B1530" s="10" t="s">
        <v>2825</v>
      </c>
      <c r="C1530" s="9" t="s">
        <v>1239</v>
      </c>
      <c r="D1530" s="10">
        <v>-1.565857236</v>
      </c>
      <c r="E1530" s="10">
        <v>-1.941543655</v>
      </c>
      <c r="F1530" s="10">
        <v>-0.79116635700000004</v>
      </c>
      <c r="G1530" s="10">
        <v>-1.9746290440000001</v>
      </c>
      <c r="H1530" s="9">
        <v>-1.5682990727499999</v>
      </c>
      <c r="I1530" s="10">
        <v>0.55025957031528505</v>
      </c>
      <c r="J1530" s="10">
        <v>0.30278559472356198</v>
      </c>
      <c r="K1530" s="10">
        <v>0.227056494</v>
      </c>
      <c r="L1530" s="10">
        <v>-0.32465339999999998</v>
      </c>
      <c r="M1530" s="10">
        <v>0.116021498</v>
      </c>
      <c r="N1530" s="10">
        <v>-0.34657495599999999</v>
      </c>
      <c r="O1530" s="9">
        <v>-8.2037591000000007E-2</v>
      </c>
      <c r="P1530" s="10">
        <v>0.29642818375640601</v>
      </c>
      <c r="Q1530" s="10">
        <v>8.7869668125121606E-2</v>
      </c>
    </row>
    <row r="1531" spans="1:17" x14ac:dyDescent="0.2">
      <c r="A1531" s="10">
        <v>1761</v>
      </c>
      <c r="B1531" s="10" t="s">
        <v>74</v>
      </c>
      <c r="C1531" s="9" t="s">
        <v>1240</v>
      </c>
      <c r="D1531" s="10">
        <v>-1.668330074</v>
      </c>
      <c r="E1531" s="10">
        <v>-1.3987044310000001</v>
      </c>
      <c r="F1531" s="10">
        <v>-1.0838720479999999</v>
      </c>
      <c r="G1531" s="10">
        <v>-1.3762882219999999</v>
      </c>
      <c r="H1531" s="9">
        <v>-1.381798694</v>
      </c>
      <c r="I1531" s="10">
        <v>0.23887003953802199</v>
      </c>
      <c r="J1531" s="10">
        <v>5.7058895788896502E-2</v>
      </c>
      <c r="K1531" s="10">
        <v>-0.142820172</v>
      </c>
      <c r="L1531" s="10">
        <v>-8.0756986000000003E-2</v>
      </c>
      <c r="M1531" s="10">
        <v>6.5467590000000006E-2</v>
      </c>
      <c r="N1531" s="10">
        <v>5.0648688999999997E-2</v>
      </c>
      <c r="O1531" s="9">
        <v>-2.6865219749999999E-2</v>
      </c>
      <c r="P1531" s="10">
        <v>0.101462024467083</v>
      </c>
      <c r="Q1531" s="10">
        <v>1.0294542408959099E-2</v>
      </c>
    </row>
    <row r="1532" spans="1:17" x14ac:dyDescent="0.2">
      <c r="A1532" s="10">
        <v>1761</v>
      </c>
      <c r="B1532" s="10" t="s">
        <v>2818</v>
      </c>
      <c r="C1532" s="9" t="s">
        <v>1241</v>
      </c>
      <c r="D1532" s="10">
        <v>-2.1121127139999998</v>
      </c>
      <c r="E1532" s="10">
        <v>-1.415286598</v>
      </c>
      <c r="F1532" s="10">
        <v>-1.722207678</v>
      </c>
      <c r="G1532" s="10">
        <v>-1.4527691819999999</v>
      </c>
      <c r="H1532" s="9">
        <v>-1.6755940432500001</v>
      </c>
      <c r="I1532" s="10">
        <v>0.32152359462493302</v>
      </c>
      <c r="J1532" s="10">
        <v>0.103377421900538</v>
      </c>
      <c r="K1532" s="10">
        <v>3.5541825999999999E-2</v>
      </c>
      <c r="L1532" s="10">
        <v>-1.8871565999999999E-2</v>
      </c>
      <c r="M1532" s="10">
        <v>-5.6342229999999998E-3</v>
      </c>
      <c r="N1532" s="10">
        <v>-0.123003132</v>
      </c>
      <c r="O1532" s="9">
        <v>-2.7991773750000001E-2</v>
      </c>
      <c r="P1532" s="10">
        <v>6.7445570051326106E-2</v>
      </c>
      <c r="Q1532" s="10">
        <v>4.5489049195482998E-3</v>
      </c>
    </row>
    <row r="1533" spans="1:17" x14ac:dyDescent="0.2">
      <c r="A1533" s="10">
        <v>1762</v>
      </c>
      <c r="B1533" s="10" t="s">
        <v>2822</v>
      </c>
      <c r="C1533" s="9" t="s">
        <v>2224</v>
      </c>
      <c r="D1533" s="10">
        <v>0.20923334800000001</v>
      </c>
      <c r="E1533" s="10">
        <v>-4.2379458000000002E-2</v>
      </c>
      <c r="F1533" s="10">
        <v>-5.7279203000000001E-2</v>
      </c>
      <c r="G1533" s="10">
        <v>-0.31557194599999999</v>
      </c>
      <c r="H1533" s="9">
        <v>-5.1499314749999997E-2</v>
      </c>
      <c r="I1533" s="10">
        <v>0.21434586917357501</v>
      </c>
      <c r="J1533" s="10">
        <v>4.5944151631775502E-2</v>
      </c>
      <c r="K1533" s="10">
        <v>-3.6704852000000003E-2</v>
      </c>
      <c r="L1533" s="10">
        <v>-0.444134896</v>
      </c>
      <c r="M1533" s="10">
        <v>0.83557635200000002</v>
      </c>
      <c r="N1533" s="10">
        <v>-0.26367199299999999</v>
      </c>
      <c r="O1533" s="9">
        <v>2.2766152750000001E-2</v>
      </c>
      <c r="P1533" s="10">
        <v>0.56693345320103405</v>
      </c>
      <c r="Q1533" s="10">
        <v>0.32141354035844899</v>
      </c>
    </row>
    <row r="1534" spans="1:17" x14ac:dyDescent="0.2">
      <c r="A1534" s="10">
        <v>1762</v>
      </c>
      <c r="B1534" s="10" t="s">
        <v>96</v>
      </c>
      <c r="C1534" s="9" t="s">
        <v>2223</v>
      </c>
      <c r="D1534" s="10">
        <v>-0.66098124300000005</v>
      </c>
      <c r="E1534" s="10">
        <v>-0.198223649</v>
      </c>
      <c r="F1534" s="10">
        <v>0.388443011</v>
      </c>
      <c r="G1534" s="10">
        <v>-2.9545346E-2</v>
      </c>
      <c r="H1534" s="9">
        <v>-0.1250768065</v>
      </c>
      <c r="I1534" s="10">
        <v>0.43411706890292401</v>
      </c>
      <c r="J1534" s="10">
        <v>0.18845762951286599</v>
      </c>
      <c r="K1534" s="10">
        <v>-0.112391674</v>
      </c>
      <c r="L1534" s="10">
        <v>-0.35080956400000002</v>
      </c>
      <c r="M1534" s="10">
        <v>-0.22386468500000001</v>
      </c>
      <c r="N1534" s="10">
        <v>0.41799974200000001</v>
      </c>
      <c r="O1534" s="9">
        <v>-6.7266544999999997E-2</v>
      </c>
      <c r="P1534" s="10">
        <v>0.337855623820356</v>
      </c>
      <c r="Q1534" s="10">
        <v>0.11414642254704201</v>
      </c>
    </row>
    <row r="1535" spans="1:17" x14ac:dyDescent="0.2">
      <c r="A1535" s="10">
        <v>1762</v>
      </c>
      <c r="B1535" s="10" t="s">
        <v>2821</v>
      </c>
      <c r="C1535" s="9" t="s">
        <v>1242</v>
      </c>
      <c r="D1535" s="10">
        <v>0.33050005900000001</v>
      </c>
      <c r="E1535" s="10">
        <v>0.34207209100000002</v>
      </c>
      <c r="F1535" s="10">
        <v>0.12985597900000001</v>
      </c>
      <c r="G1535" s="10">
        <v>-0.13925053200000001</v>
      </c>
      <c r="H1535" s="9">
        <v>0.16579439925</v>
      </c>
      <c r="I1535" s="10">
        <v>0.22549631119952099</v>
      </c>
      <c r="J1535" s="10">
        <v>5.0848586364591199E-2</v>
      </c>
      <c r="K1535" s="10">
        <v>0.24878734299999999</v>
      </c>
      <c r="L1535" s="10">
        <v>1.3467183000000001E-2</v>
      </c>
      <c r="M1535" s="10">
        <v>7.2716889999999996E-3</v>
      </c>
      <c r="N1535" s="10">
        <v>0.230367774</v>
      </c>
      <c r="O1535" s="9">
        <v>0.1249734975</v>
      </c>
      <c r="P1535" s="10">
        <v>0.13257098193546399</v>
      </c>
      <c r="Q1535" s="10">
        <v>1.7575065251333299E-2</v>
      </c>
    </row>
    <row r="1536" spans="1:17" x14ac:dyDescent="0.2">
      <c r="A1536" s="10">
        <v>1762</v>
      </c>
      <c r="B1536" s="10" t="s">
        <v>2834</v>
      </c>
      <c r="C1536" s="9" t="s">
        <v>2222</v>
      </c>
      <c r="D1536" s="10">
        <v>0.10883053199999999</v>
      </c>
      <c r="E1536" s="10">
        <v>0.191551744</v>
      </c>
      <c r="F1536" s="10">
        <v>3.5859340000000003E-2</v>
      </c>
      <c r="G1536" s="10">
        <v>0.234983625</v>
      </c>
      <c r="H1536" s="9">
        <v>0.14280631025000001</v>
      </c>
      <c r="I1536" s="10">
        <v>8.8439777286286297E-2</v>
      </c>
      <c r="J1536" s="10">
        <v>7.8215942064478999E-3</v>
      </c>
      <c r="K1536" s="10">
        <v>-0.146916565</v>
      </c>
      <c r="L1536" s="10">
        <v>0.52451759799999997</v>
      </c>
      <c r="M1536" s="10">
        <v>1.1906784210000001</v>
      </c>
      <c r="N1536" s="10">
        <v>0.132436473</v>
      </c>
      <c r="O1536" s="9">
        <v>0.42517898199999998</v>
      </c>
      <c r="P1536" s="10">
        <v>0.57989914157864597</v>
      </c>
      <c r="Q1536" s="10">
        <v>0.33628301440365099</v>
      </c>
    </row>
    <row r="1537" spans="1:17" x14ac:dyDescent="0.2">
      <c r="A1537" s="10">
        <v>1762</v>
      </c>
      <c r="B1537" s="10" t="s">
        <v>2824</v>
      </c>
      <c r="C1537" s="9" t="s">
        <v>1244</v>
      </c>
      <c r="D1537" s="10">
        <v>-3.0465990000000001E-3</v>
      </c>
      <c r="E1537" s="10">
        <v>-2.1008849999999998E-3</v>
      </c>
      <c r="F1537" s="10">
        <v>-8.2836762999999994E-2</v>
      </c>
      <c r="G1537" s="10">
        <v>0.26573827900000002</v>
      </c>
      <c r="H1537" s="9">
        <v>4.4438508250000001E-2</v>
      </c>
      <c r="I1537" s="10">
        <v>0.15230816758618601</v>
      </c>
      <c r="J1537" s="10">
        <v>2.3197777913461899E-2</v>
      </c>
      <c r="K1537" s="10">
        <v>-0.10758261099999999</v>
      </c>
      <c r="L1537" s="10">
        <v>0.423468024</v>
      </c>
      <c r="M1537" s="10">
        <v>1.8190060000000001E-2</v>
      </c>
      <c r="N1537" s="10">
        <v>0.312946787</v>
      </c>
      <c r="O1537" s="9">
        <v>0.16175556475</v>
      </c>
      <c r="P1537" s="10">
        <v>0.24799617206897301</v>
      </c>
      <c r="Q1537" s="10">
        <v>6.1502101360863898E-2</v>
      </c>
    </row>
    <row r="1538" spans="1:17" x14ac:dyDescent="0.2">
      <c r="A1538" s="10">
        <v>1762</v>
      </c>
      <c r="B1538" s="10" t="s">
        <v>2814</v>
      </c>
      <c r="C1538" s="9" t="s">
        <v>2221</v>
      </c>
      <c r="D1538" s="10">
        <v>0.712088155</v>
      </c>
      <c r="E1538" s="10">
        <v>0.56539405300000001</v>
      </c>
      <c r="F1538" s="10">
        <v>0.39342941399999998</v>
      </c>
      <c r="G1538" s="10">
        <v>0.68602912900000002</v>
      </c>
      <c r="H1538" s="9">
        <v>0.58923518750000003</v>
      </c>
      <c r="I1538" s="10">
        <v>0.14533893647246501</v>
      </c>
      <c r="J1538" s="10">
        <v>2.1123406454947199E-2</v>
      </c>
      <c r="K1538" s="10">
        <v>0.320052477</v>
      </c>
      <c r="L1538" s="10">
        <v>0.445560499</v>
      </c>
      <c r="M1538" s="10">
        <v>0.58371195499999995</v>
      </c>
      <c r="N1538" s="10">
        <v>0.938448108</v>
      </c>
      <c r="O1538" s="9">
        <v>0.57194325975000004</v>
      </c>
      <c r="P1538" s="10">
        <v>0.267011781655068</v>
      </c>
      <c r="Q1538" s="10">
        <v>7.1295291542614103E-2</v>
      </c>
    </row>
    <row r="1539" spans="1:17" x14ac:dyDescent="0.2">
      <c r="A1539" s="10">
        <v>1762</v>
      </c>
      <c r="B1539" s="10" t="s">
        <v>2833</v>
      </c>
      <c r="C1539" s="9" t="s">
        <v>2220</v>
      </c>
      <c r="D1539" s="10">
        <v>0.60625543100000001</v>
      </c>
      <c r="E1539" s="10">
        <v>0.152141517</v>
      </c>
      <c r="F1539" s="10">
        <v>-1.1724897409999999</v>
      </c>
      <c r="G1539" s="10">
        <v>0.17404375899999999</v>
      </c>
      <c r="H1539" s="9">
        <v>-6.0012258749999998E-2</v>
      </c>
      <c r="I1539" s="10">
        <v>0.77056477705815896</v>
      </c>
      <c r="J1539" s="10">
        <v>0.59377007564269002</v>
      </c>
      <c r="K1539" s="10">
        <v>-0.111056904</v>
      </c>
      <c r="L1539" s="10">
        <v>1.1865631E-2</v>
      </c>
      <c r="M1539" s="10">
        <v>-0.33344594500000002</v>
      </c>
      <c r="N1539" s="10">
        <v>0.127978383</v>
      </c>
      <c r="O1539" s="9">
        <v>-7.6164708750000004E-2</v>
      </c>
      <c r="P1539" s="10">
        <v>0.197344742723186</v>
      </c>
      <c r="Q1539" s="10">
        <v>3.89449474804806E-2</v>
      </c>
    </row>
    <row r="1540" spans="1:17" x14ac:dyDescent="0.2">
      <c r="A1540" s="10">
        <v>1762</v>
      </c>
      <c r="B1540" s="10" t="s">
        <v>74</v>
      </c>
      <c r="C1540" s="9" t="s">
        <v>1245</v>
      </c>
      <c r="D1540" s="10">
        <v>0.48562500400000003</v>
      </c>
      <c r="E1540" s="10">
        <v>5.1627155000000001E-2</v>
      </c>
      <c r="F1540" s="10">
        <v>0.40152327599999998</v>
      </c>
      <c r="G1540" s="10">
        <v>7.6945675000000005E-2</v>
      </c>
      <c r="H1540" s="9">
        <v>0.25393027774999999</v>
      </c>
      <c r="I1540" s="10">
        <v>0.221898056465473</v>
      </c>
      <c r="J1540" s="10">
        <v>4.9238747463154597E-2</v>
      </c>
      <c r="K1540" s="10">
        <v>2.5423923000000001E-2</v>
      </c>
      <c r="L1540" s="10">
        <v>-0.42972652300000003</v>
      </c>
      <c r="M1540" s="10">
        <v>-0.66054895700000005</v>
      </c>
      <c r="N1540" s="10">
        <v>0.26960061299999999</v>
      </c>
      <c r="O1540" s="9">
        <v>-0.19881273599999999</v>
      </c>
      <c r="P1540" s="10">
        <v>0.422774431413458</v>
      </c>
      <c r="Q1540" s="10">
        <v>0.178738219856973</v>
      </c>
    </row>
    <row r="1541" spans="1:17" x14ac:dyDescent="0.2">
      <c r="A1541" s="10">
        <v>1762</v>
      </c>
      <c r="B1541" s="10" t="s">
        <v>2818</v>
      </c>
      <c r="C1541" s="9" t="s">
        <v>1246</v>
      </c>
      <c r="D1541" s="10">
        <v>6.4588345000000005E-2</v>
      </c>
      <c r="E1541" s="10">
        <v>0.17457183700000001</v>
      </c>
      <c r="F1541" s="10">
        <v>0.41948036799999999</v>
      </c>
      <c r="G1541" s="10">
        <v>0.134622402</v>
      </c>
      <c r="H1541" s="9">
        <v>0.19831573799999999</v>
      </c>
      <c r="I1541" s="10">
        <v>0.15429130790717399</v>
      </c>
      <c r="J1541" s="10">
        <v>2.3805807695706602E-2</v>
      </c>
      <c r="K1541" s="10">
        <v>0.171876206</v>
      </c>
      <c r="L1541" s="10">
        <v>0.57194563799999998</v>
      </c>
      <c r="M1541" s="10">
        <v>0.245701435</v>
      </c>
      <c r="N1541" s="10">
        <v>-0.736853961</v>
      </c>
      <c r="O1541" s="9">
        <v>6.3167329750000001E-2</v>
      </c>
      <c r="P1541" s="10">
        <v>0.56095922369752305</v>
      </c>
      <c r="Q1541" s="10">
        <v>0.31467525065132701</v>
      </c>
    </row>
    <row r="1542" spans="1:17" x14ac:dyDescent="0.2">
      <c r="A1542" s="10">
        <v>1762</v>
      </c>
      <c r="B1542" s="10" t="s">
        <v>2830</v>
      </c>
      <c r="C1542" s="9" t="s">
        <v>2219</v>
      </c>
      <c r="D1542" s="10">
        <v>-0.30289762100000001</v>
      </c>
      <c r="E1542" s="10">
        <v>-4.7089928000000003E-2</v>
      </c>
      <c r="F1542" s="10">
        <v>0.91384087400000003</v>
      </c>
      <c r="G1542" s="10">
        <v>0.210402222</v>
      </c>
      <c r="H1542" s="9">
        <v>0.19356388699999999</v>
      </c>
      <c r="I1542" s="10">
        <v>0.52391817272262997</v>
      </c>
      <c r="J1542" s="10">
        <v>0.27449025170901897</v>
      </c>
      <c r="K1542" s="10">
        <v>0.44042625899999999</v>
      </c>
      <c r="L1542" s="10">
        <v>2.8230201999999999E-2</v>
      </c>
      <c r="M1542" s="10">
        <v>-0.20908805899999999</v>
      </c>
      <c r="N1542" s="10">
        <v>-0.24974732499999999</v>
      </c>
      <c r="O1542" s="9">
        <v>2.4552692499999998E-3</v>
      </c>
      <c r="P1542" s="10">
        <v>0.31666999820758601</v>
      </c>
      <c r="Q1542" s="10">
        <v>0.10027988776479201</v>
      </c>
    </row>
    <row r="1543" spans="1:17" x14ac:dyDescent="0.2">
      <c r="A1543" s="10">
        <v>1763</v>
      </c>
      <c r="B1543" s="10" t="s">
        <v>2831</v>
      </c>
      <c r="C1543" s="9" t="s">
        <v>1247</v>
      </c>
      <c r="D1543" s="10">
        <v>-1.8525144</v>
      </c>
      <c r="E1543" s="10">
        <v>-1.828443662</v>
      </c>
      <c r="F1543" s="10">
        <v>-1.445845933</v>
      </c>
      <c r="G1543" s="10">
        <v>-1.823523418</v>
      </c>
      <c r="H1543" s="9">
        <v>-1.73758185325</v>
      </c>
      <c r="I1543" s="10">
        <v>0.19490267512064799</v>
      </c>
      <c r="J1543" s="10">
        <v>3.7987052769185098E-2</v>
      </c>
      <c r="K1543" s="10">
        <v>0.300029763</v>
      </c>
      <c r="L1543" s="10">
        <v>-6.4315677000000002E-2</v>
      </c>
      <c r="M1543" s="10">
        <v>-0.51215267200000003</v>
      </c>
      <c r="N1543" s="10">
        <v>-0.35213566899999998</v>
      </c>
      <c r="O1543" s="9">
        <v>-0.15714356374999999</v>
      </c>
      <c r="P1543" s="10">
        <v>0.356687470717443</v>
      </c>
      <c r="Q1543" s="10">
        <v>0.12722595176680601</v>
      </c>
    </row>
    <row r="1544" spans="1:17" x14ac:dyDescent="0.2">
      <c r="A1544" s="10">
        <v>1763</v>
      </c>
      <c r="B1544" s="10" t="s">
        <v>2822</v>
      </c>
      <c r="C1544" s="9" t="s">
        <v>1248</v>
      </c>
      <c r="D1544" s="10">
        <v>0.38775616000000002</v>
      </c>
      <c r="E1544" s="10">
        <v>0.26753211300000002</v>
      </c>
      <c r="F1544" s="10">
        <v>-5.8776673000000002E-2</v>
      </c>
      <c r="G1544" s="10">
        <v>0.257536337</v>
      </c>
      <c r="H1544" s="9">
        <v>0.2135119845</v>
      </c>
      <c r="I1544" s="10">
        <v>0.19092621925325601</v>
      </c>
      <c r="J1544" s="10">
        <v>3.6452821198342603E-2</v>
      </c>
      <c r="K1544" s="10">
        <v>-0.13229845400000001</v>
      </c>
      <c r="L1544" s="10">
        <v>1.306475E-2</v>
      </c>
      <c r="M1544" s="10">
        <v>-5.1833495E-2</v>
      </c>
      <c r="N1544" s="10">
        <v>0.125320928</v>
      </c>
      <c r="O1544" s="9">
        <v>-1.143656775E-2</v>
      </c>
      <c r="P1544" s="10">
        <v>0.108846121496431</v>
      </c>
      <c r="Q1544" s="10">
        <v>1.18474781648158E-2</v>
      </c>
    </row>
    <row r="1545" spans="1:17" x14ac:dyDescent="0.2">
      <c r="A1545" s="10">
        <v>1763</v>
      </c>
      <c r="B1545" s="10" t="s">
        <v>96</v>
      </c>
      <c r="C1545" s="9" t="s">
        <v>1249</v>
      </c>
      <c r="D1545" s="10">
        <v>-0.13187964299999999</v>
      </c>
      <c r="E1545" s="10">
        <v>-0.31355459699999999</v>
      </c>
      <c r="F1545" s="10">
        <v>-0.40549202000000001</v>
      </c>
      <c r="G1545" s="10">
        <v>-0.100371341</v>
      </c>
      <c r="H1545" s="9">
        <v>-0.23782439999999999</v>
      </c>
      <c r="I1545" s="10">
        <v>0.14601955177118001</v>
      </c>
      <c r="J1545" s="10">
        <v>2.1321709499456502E-2</v>
      </c>
      <c r="K1545" s="10">
        <v>7.4475237999999999E-2</v>
      </c>
      <c r="L1545" s="10">
        <v>-0.53669452600000001</v>
      </c>
      <c r="M1545" s="10">
        <v>8.3172304000000002E-2</v>
      </c>
      <c r="N1545" s="10">
        <v>-0.146524868</v>
      </c>
      <c r="O1545" s="9">
        <v>-0.131392963</v>
      </c>
      <c r="P1545" s="10">
        <v>0.29035512825097998</v>
      </c>
      <c r="Q1545" s="10">
        <v>8.4306100501643194E-2</v>
      </c>
    </row>
    <row r="1546" spans="1:17" x14ac:dyDescent="0.2">
      <c r="A1546" s="10">
        <v>1763</v>
      </c>
      <c r="B1546" s="10" t="s">
        <v>2826</v>
      </c>
      <c r="C1546" s="9" t="s">
        <v>2218</v>
      </c>
      <c r="D1546" s="10">
        <v>0.28848389600000002</v>
      </c>
      <c r="E1546" s="10">
        <v>0.39211690300000002</v>
      </c>
      <c r="F1546" s="10">
        <v>-2.3838050999999999E-2</v>
      </c>
      <c r="G1546" s="10">
        <v>-8.2748049000000004E-2</v>
      </c>
      <c r="H1546" s="9">
        <v>0.14350367450000001</v>
      </c>
      <c r="I1546" s="10">
        <v>0.23239398836990799</v>
      </c>
      <c r="J1546" s="10">
        <v>5.4006965830473298E-2</v>
      </c>
      <c r="K1546" s="10">
        <v>0.383586437</v>
      </c>
      <c r="L1546" s="10">
        <v>0.13087516900000001</v>
      </c>
      <c r="M1546" s="10">
        <v>0.65983455099999999</v>
      </c>
      <c r="N1546" s="10">
        <v>0.41511519699999999</v>
      </c>
      <c r="O1546" s="9">
        <v>0.39735283825000001</v>
      </c>
      <c r="P1546" s="10">
        <v>0.21634233129373501</v>
      </c>
      <c r="Q1546" s="10">
        <v>4.6804004309608502E-2</v>
      </c>
    </row>
    <row r="1547" spans="1:17" x14ac:dyDescent="0.2">
      <c r="A1547" s="10">
        <v>1763</v>
      </c>
      <c r="B1547" s="10" t="s">
        <v>2834</v>
      </c>
      <c r="C1547" s="9" t="s">
        <v>2217</v>
      </c>
      <c r="D1547" s="10">
        <v>1.0628114340000001</v>
      </c>
      <c r="E1547" s="10">
        <v>-0.158010873</v>
      </c>
      <c r="F1547" s="10">
        <v>-0.87176420499999996</v>
      </c>
      <c r="G1547" s="10">
        <v>-0.51407341399999995</v>
      </c>
      <c r="H1547" s="9">
        <v>-0.12025926475</v>
      </c>
      <c r="I1547" s="10">
        <v>0.84081918816035806</v>
      </c>
      <c r="J1547" s="10">
        <v>0.70697690717864403</v>
      </c>
      <c r="K1547" s="10">
        <v>0.41000474599999998</v>
      </c>
      <c r="L1547" s="10">
        <v>0.158582264</v>
      </c>
      <c r="M1547" s="10">
        <v>0.19437623500000001</v>
      </c>
      <c r="N1547" s="10">
        <v>-0.33021872099999999</v>
      </c>
      <c r="O1547" s="9">
        <v>0.10818613075</v>
      </c>
      <c r="P1547" s="10">
        <v>0.31265625153222398</v>
      </c>
      <c r="Q1547" s="10">
        <v>9.7753931622181503E-2</v>
      </c>
    </row>
    <row r="1548" spans="1:17" x14ac:dyDescent="0.2">
      <c r="A1548" s="10">
        <v>1763</v>
      </c>
      <c r="B1548" s="10" t="s">
        <v>79</v>
      </c>
      <c r="C1548" s="9" t="s">
        <v>2216</v>
      </c>
      <c r="D1548" s="10">
        <v>-0.39149419499999999</v>
      </c>
      <c r="E1548" s="10">
        <v>-0.17718605100000001</v>
      </c>
      <c r="F1548" s="10">
        <v>-0.648590628</v>
      </c>
      <c r="G1548" s="10">
        <v>-0.91835114799999995</v>
      </c>
      <c r="H1548" s="9">
        <v>-0.53390550525000002</v>
      </c>
      <c r="I1548" s="10">
        <v>0.32066643101369502</v>
      </c>
      <c r="J1548" s="10">
        <v>0.10282695997906</v>
      </c>
      <c r="K1548" s="10">
        <v>-0.74647936999999998</v>
      </c>
      <c r="L1548" s="10">
        <v>-1.451699E-2</v>
      </c>
      <c r="M1548" s="10">
        <v>-8.6623942999999995E-2</v>
      </c>
      <c r="N1548" s="10">
        <v>-0.66699001300000005</v>
      </c>
      <c r="O1548" s="9">
        <v>-0.37865257875000002</v>
      </c>
      <c r="P1548" s="10">
        <v>0.38136180347252902</v>
      </c>
      <c r="Q1548" s="10">
        <v>0.145436825147819</v>
      </c>
    </row>
    <row r="1549" spans="1:17" x14ac:dyDescent="0.2">
      <c r="A1549" s="10">
        <v>1763</v>
      </c>
      <c r="B1549" s="10" t="s">
        <v>2820</v>
      </c>
      <c r="C1549" s="9" t="s">
        <v>1250</v>
      </c>
      <c r="D1549" s="10">
        <v>0.31625586100000003</v>
      </c>
      <c r="E1549" s="10">
        <v>0.78153203599999999</v>
      </c>
      <c r="F1549" s="10">
        <v>8.2528299999999992E-3</v>
      </c>
      <c r="G1549" s="10">
        <v>-0.101357002</v>
      </c>
      <c r="H1549" s="9">
        <v>0.25117093099999999</v>
      </c>
      <c r="I1549" s="10">
        <v>0.39530751622360299</v>
      </c>
      <c r="J1549" s="10">
        <v>0.15626803238287401</v>
      </c>
      <c r="K1549" s="10">
        <v>1.8050849999999999E-3</v>
      </c>
      <c r="L1549" s="10">
        <v>0.30160139800000002</v>
      </c>
      <c r="M1549" s="10">
        <v>3.3309679000000002E-2</v>
      </c>
      <c r="N1549" s="10">
        <v>-0.28877550299999999</v>
      </c>
      <c r="O1549" s="9">
        <v>1.1985164749999999E-2</v>
      </c>
      <c r="P1549" s="10">
        <v>0.24144903586406399</v>
      </c>
      <c r="Q1549" s="10">
        <v>5.8297636919686299E-2</v>
      </c>
    </row>
    <row r="1550" spans="1:17" x14ac:dyDescent="0.2">
      <c r="A1550" s="10">
        <v>1763</v>
      </c>
      <c r="B1550" s="10" t="s">
        <v>2824</v>
      </c>
      <c r="C1550" s="9" t="s">
        <v>1251</v>
      </c>
      <c r="D1550" s="10">
        <v>-0.89896790100000001</v>
      </c>
      <c r="E1550" s="10">
        <v>-0.212069549</v>
      </c>
      <c r="F1550" s="10">
        <v>-1.353633146</v>
      </c>
      <c r="G1550" s="10">
        <v>-0.55391497599999995</v>
      </c>
      <c r="H1550" s="9">
        <v>-0.75464639325000005</v>
      </c>
      <c r="I1550" s="10">
        <v>0.48795374144027998</v>
      </c>
      <c r="J1550" s="10">
        <v>0.238098853785568</v>
      </c>
      <c r="K1550" s="10">
        <v>4.4693706E-2</v>
      </c>
      <c r="L1550" s="10">
        <v>-0.65556124299999996</v>
      </c>
      <c r="M1550" s="10">
        <v>-0.43982115399999999</v>
      </c>
      <c r="N1550" s="10">
        <v>-5.3678954000000001E-2</v>
      </c>
      <c r="O1550" s="9">
        <v>-0.27609191100000002</v>
      </c>
      <c r="P1550" s="10">
        <v>0.32821495723455002</v>
      </c>
      <c r="Q1550" s="10">
        <v>0.107725058152477</v>
      </c>
    </row>
    <row r="1551" spans="1:17" x14ac:dyDescent="0.2">
      <c r="A1551" s="10">
        <v>1763</v>
      </c>
      <c r="B1551" s="10" t="s">
        <v>2814</v>
      </c>
      <c r="C1551" s="9" t="s">
        <v>2215</v>
      </c>
      <c r="D1551" s="10">
        <v>-0.96667028200000005</v>
      </c>
      <c r="E1551" s="10">
        <v>-0.83159444999999999</v>
      </c>
      <c r="F1551" s="10">
        <v>-0.48495469800000002</v>
      </c>
      <c r="G1551" s="10">
        <v>-0.671910487</v>
      </c>
      <c r="H1551" s="9">
        <v>-0.73878247949999998</v>
      </c>
      <c r="I1551" s="10">
        <v>0.20772362924368401</v>
      </c>
      <c r="J1551" s="10">
        <v>4.3149106146167897E-2</v>
      </c>
      <c r="K1551" s="10">
        <v>0.103742444</v>
      </c>
      <c r="L1551" s="10">
        <v>0.26742350399999998</v>
      </c>
      <c r="M1551" s="10">
        <v>0.135225923</v>
      </c>
      <c r="N1551" s="10">
        <v>8.7644090999999993E-2</v>
      </c>
      <c r="O1551" s="9">
        <v>0.14850899049999999</v>
      </c>
      <c r="P1551" s="10">
        <v>8.1702062560323405E-2</v>
      </c>
      <c r="Q1551" s="10">
        <v>6.6752270266109996E-3</v>
      </c>
    </row>
    <row r="1552" spans="1:17" x14ac:dyDescent="0.2">
      <c r="A1552" s="10">
        <v>1763</v>
      </c>
      <c r="B1552" s="10" t="s">
        <v>2825</v>
      </c>
      <c r="C1552" s="9" t="s">
        <v>1252</v>
      </c>
      <c r="D1552" s="10">
        <v>5.1031289000000001E-2</v>
      </c>
      <c r="E1552" s="10">
        <v>0.61609981199999997</v>
      </c>
      <c r="F1552" s="10">
        <v>-0.35730269100000001</v>
      </c>
      <c r="G1552" s="10">
        <v>-0.17293006999999999</v>
      </c>
      <c r="H1552" s="9">
        <v>3.4224585000000002E-2</v>
      </c>
      <c r="I1552" s="10">
        <v>0.42232211404558401</v>
      </c>
      <c r="J1552" s="10">
        <v>0.17835596801193099</v>
      </c>
      <c r="K1552" s="10">
        <v>0.110047857</v>
      </c>
      <c r="L1552" s="10">
        <v>-0.24919317599999999</v>
      </c>
      <c r="M1552" s="10">
        <v>0.11838409699999999</v>
      </c>
      <c r="N1552" s="10">
        <v>0.632535387</v>
      </c>
      <c r="O1552" s="9">
        <v>0.1529435415</v>
      </c>
      <c r="P1552" s="10">
        <v>0.36274723650895102</v>
      </c>
      <c r="Q1552" s="10">
        <v>0.13158555759488</v>
      </c>
    </row>
    <row r="1553" spans="1:17" x14ac:dyDescent="0.2">
      <c r="A1553" s="10">
        <v>1763</v>
      </c>
      <c r="B1553" s="10" t="s">
        <v>2830</v>
      </c>
      <c r="C1553" s="9" t="s">
        <v>58</v>
      </c>
      <c r="D1553" s="10">
        <v>-0.37338951500000001</v>
      </c>
      <c r="E1553" s="10">
        <v>-0.381826253</v>
      </c>
      <c r="F1553" s="10">
        <v>-0.48140359199999999</v>
      </c>
      <c r="G1553" s="10">
        <v>-0.68449459999999995</v>
      </c>
      <c r="H1553" s="9">
        <v>-0.48027849</v>
      </c>
      <c r="I1553" s="10">
        <v>0.14471072453334499</v>
      </c>
      <c r="J1553" s="10">
        <v>2.0941193794965701E-2</v>
      </c>
      <c r="K1553" s="10">
        <v>0.116188743</v>
      </c>
      <c r="L1553" s="10">
        <v>-0.154174111</v>
      </c>
      <c r="M1553" s="10">
        <v>0.44501882799999998</v>
      </c>
      <c r="N1553" s="10">
        <v>0.280648008</v>
      </c>
      <c r="O1553" s="9">
        <v>0.17192036675</v>
      </c>
      <c r="P1553" s="10">
        <v>0.255504789135652</v>
      </c>
      <c r="Q1553" s="10">
        <v>6.5282697271254395E-2</v>
      </c>
    </row>
    <row r="1554" spans="1:17" x14ac:dyDescent="0.2">
      <c r="A1554" s="10">
        <v>1763</v>
      </c>
      <c r="B1554" s="10" t="s">
        <v>2832</v>
      </c>
      <c r="C1554" s="9" t="s">
        <v>2214</v>
      </c>
      <c r="D1554" s="10">
        <v>0.43103052800000002</v>
      </c>
      <c r="E1554" s="10">
        <v>-0.121699659</v>
      </c>
      <c r="F1554" s="10">
        <v>-0.152007155</v>
      </c>
      <c r="G1554" s="10">
        <v>-0.17121578600000001</v>
      </c>
      <c r="H1554" s="9">
        <v>-3.4730182499999999E-3</v>
      </c>
      <c r="I1554" s="10">
        <v>0.29038531654760202</v>
      </c>
      <c r="J1554" s="10">
        <v>8.4323632066451201E-2</v>
      </c>
      <c r="K1554" s="10">
        <v>0.23604797899999999</v>
      </c>
      <c r="L1554" s="10">
        <v>-4.0622890000000002E-2</v>
      </c>
      <c r="M1554" s="10">
        <v>0.61893947199999999</v>
      </c>
      <c r="N1554" s="10">
        <v>-2.5567070000000001E-2</v>
      </c>
      <c r="O1554" s="9">
        <v>0.19719937274999999</v>
      </c>
      <c r="P1554" s="10">
        <v>0.308522415283982</v>
      </c>
      <c r="Q1554" s="10">
        <v>9.5186080732662104E-2</v>
      </c>
    </row>
    <row r="1555" spans="1:17" x14ac:dyDescent="0.2">
      <c r="A1555" s="10">
        <v>1764</v>
      </c>
      <c r="B1555" s="10" t="s">
        <v>2831</v>
      </c>
      <c r="C1555" s="9" t="s">
        <v>2213</v>
      </c>
      <c r="D1555" s="10">
        <v>-1.5972813050000001</v>
      </c>
      <c r="E1555" s="10">
        <v>-1.96784431</v>
      </c>
      <c r="F1555" s="10">
        <v>-1.6763967280000001</v>
      </c>
      <c r="G1555" s="10">
        <v>-1.9638982309999999</v>
      </c>
      <c r="H1555" s="9">
        <v>-1.8013551432499999</v>
      </c>
      <c r="I1555" s="10">
        <v>0.19269979676540999</v>
      </c>
      <c r="J1555" s="10">
        <v>3.7133211673430602E-2</v>
      </c>
      <c r="K1555" s="10">
        <v>-0.69746097299999998</v>
      </c>
      <c r="L1555" s="10">
        <v>8.1434470999999994E-2</v>
      </c>
      <c r="M1555" s="10">
        <v>0.31688021199999999</v>
      </c>
      <c r="N1555" s="10">
        <v>0.224135797</v>
      </c>
      <c r="O1555" s="9">
        <v>-1.8752623499999999E-2</v>
      </c>
      <c r="P1555" s="10">
        <v>0.46271901576951302</v>
      </c>
      <c r="Q1555" s="10">
        <v>0.214108887554706</v>
      </c>
    </row>
    <row r="1556" spans="1:17" x14ac:dyDescent="0.2">
      <c r="A1556" s="10">
        <v>1764</v>
      </c>
      <c r="B1556" s="10" t="s">
        <v>2822</v>
      </c>
      <c r="C1556" s="9" t="s">
        <v>1254</v>
      </c>
      <c r="D1556" s="10">
        <v>0.19339674000000001</v>
      </c>
      <c r="E1556" s="10">
        <v>-0.191893536</v>
      </c>
      <c r="F1556" s="10">
        <v>0.13188173</v>
      </c>
      <c r="G1556" s="10">
        <v>-0.52253084699999996</v>
      </c>
      <c r="H1556" s="9">
        <v>-9.7286478250000002E-2</v>
      </c>
      <c r="I1556" s="10">
        <v>0.330049526371619</v>
      </c>
      <c r="J1556" s="10">
        <v>0.10893268985813</v>
      </c>
      <c r="K1556" s="10">
        <v>0.41704170299999999</v>
      </c>
      <c r="L1556" s="10">
        <v>0.43855988200000001</v>
      </c>
      <c r="M1556" s="10">
        <v>-0.36771980300000001</v>
      </c>
      <c r="N1556" s="10">
        <v>-4.6786662E-2</v>
      </c>
      <c r="O1556" s="9">
        <v>0.11027378</v>
      </c>
      <c r="P1556" s="10">
        <v>0.38945439235700902</v>
      </c>
      <c r="Q1556" s="10">
        <v>0.151674723726167</v>
      </c>
    </row>
    <row r="1557" spans="1:17" x14ac:dyDescent="0.2">
      <c r="A1557" s="10">
        <v>1764</v>
      </c>
      <c r="B1557" s="10" t="s">
        <v>2821</v>
      </c>
      <c r="C1557" s="9" t="s">
        <v>2212</v>
      </c>
      <c r="D1557" s="10">
        <v>-2.7662358729999998</v>
      </c>
      <c r="E1557" s="10">
        <v>-1.0239588209999999</v>
      </c>
      <c r="F1557" s="10">
        <v>0.27468178900000001</v>
      </c>
      <c r="G1557" s="10">
        <v>-0.55007682899999999</v>
      </c>
      <c r="H1557" s="9">
        <v>-1.0163974334999999</v>
      </c>
      <c r="I1557" s="10">
        <v>1.2840472737773501</v>
      </c>
      <c r="J1557" s="10">
        <v>1.64877740129505</v>
      </c>
      <c r="K1557" s="10">
        <v>-7.2327520000000006E-2</v>
      </c>
      <c r="L1557" s="10">
        <v>-0.230910953</v>
      </c>
      <c r="M1557" s="10">
        <v>-9.8223850000000001E-2</v>
      </c>
      <c r="N1557" s="10">
        <v>-0.10443767700000001</v>
      </c>
      <c r="O1557" s="9">
        <v>-0.12647500025</v>
      </c>
      <c r="P1557" s="10">
        <v>7.0999035088977105E-2</v>
      </c>
      <c r="Q1557" s="10">
        <v>5.0408629835658001E-3</v>
      </c>
    </row>
    <row r="1558" spans="1:17" x14ac:dyDescent="0.2">
      <c r="A1558" s="10">
        <v>1764</v>
      </c>
      <c r="B1558" s="10" t="s">
        <v>2834</v>
      </c>
      <c r="C1558" s="9" t="s">
        <v>1255</v>
      </c>
      <c r="D1558" s="10">
        <v>-0.200757835</v>
      </c>
      <c r="E1558" s="10">
        <v>-0.38853566099999998</v>
      </c>
      <c r="F1558" s="10">
        <v>-1.0332104449999999</v>
      </c>
      <c r="G1558" s="10">
        <v>-0.22161362500000001</v>
      </c>
      <c r="H1558" s="9">
        <v>-0.46102939124999998</v>
      </c>
      <c r="I1558" s="10">
        <v>0.39060111423202198</v>
      </c>
      <c r="J1558" s="10">
        <v>0.15256923043929699</v>
      </c>
      <c r="K1558" s="10">
        <v>0.79547245899999997</v>
      </c>
      <c r="L1558" s="10">
        <v>-0.34988540699999998</v>
      </c>
      <c r="M1558" s="10">
        <v>0.61193963200000001</v>
      </c>
      <c r="N1558" s="10">
        <v>-2.8422341E-2</v>
      </c>
      <c r="O1558" s="9">
        <v>0.25727608600000001</v>
      </c>
      <c r="P1558" s="10">
        <v>0.537187191626876</v>
      </c>
      <c r="Q1558" s="10">
        <v>0.28857007884796998</v>
      </c>
    </row>
    <row r="1559" spans="1:17" x14ac:dyDescent="0.2">
      <c r="A1559" s="10">
        <v>1764</v>
      </c>
      <c r="B1559" s="10" t="s">
        <v>2817</v>
      </c>
      <c r="C1559" s="9" t="s">
        <v>1256</v>
      </c>
      <c r="D1559" s="10">
        <v>-0.35891344400000003</v>
      </c>
      <c r="E1559" s="10">
        <v>-0.14754529799999999</v>
      </c>
      <c r="F1559" s="10">
        <v>-0.70002951000000002</v>
      </c>
      <c r="G1559" s="10">
        <v>-0.36889518799999998</v>
      </c>
      <c r="H1559" s="9">
        <v>-0.39384586025000001</v>
      </c>
      <c r="I1559" s="10">
        <v>0.228221532791924</v>
      </c>
      <c r="J1559" s="10">
        <v>5.2085068029895598E-2</v>
      </c>
      <c r="K1559" s="10">
        <v>9.4492229999999997E-3</v>
      </c>
      <c r="L1559" s="10">
        <v>0.17509200699999999</v>
      </c>
      <c r="M1559" s="10">
        <v>0.13800196200000001</v>
      </c>
      <c r="N1559" s="10">
        <v>0.15695990200000001</v>
      </c>
      <c r="O1559" s="9">
        <v>0.1198757735</v>
      </c>
      <c r="P1559" s="10">
        <v>7.5159046457933906E-2</v>
      </c>
      <c r="Q1559" s="10">
        <v>5.6488822644658E-3</v>
      </c>
    </row>
    <row r="1560" spans="1:17" x14ac:dyDescent="0.2">
      <c r="A1560" s="10">
        <v>1764</v>
      </c>
      <c r="B1560" s="10" t="s">
        <v>2814</v>
      </c>
      <c r="C1560" s="9" t="s">
        <v>1257</v>
      </c>
      <c r="D1560" s="10">
        <v>-2.0216547629999999</v>
      </c>
      <c r="E1560" s="10">
        <v>-1.7225668359999999</v>
      </c>
      <c r="F1560" s="10">
        <v>-2.0604240919999999</v>
      </c>
      <c r="G1560" s="10">
        <v>-2.2762817119999998</v>
      </c>
      <c r="H1560" s="9">
        <v>-2.0202318507500001</v>
      </c>
      <c r="I1560" s="10">
        <v>0.22787674547748399</v>
      </c>
      <c r="J1560" s="10">
        <v>5.1927811129410403E-2</v>
      </c>
      <c r="K1560" s="10">
        <v>-0.15828838200000001</v>
      </c>
      <c r="L1560" s="10">
        <v>-0.63980873500000002</v>
      </c>
      <c r="M1560" s="10">
        <v>0.69188422900000002</v>
      </c>
      <c r="N1560" s="10">
        <v>0.26784085899999999</v>
      </c>
      <c r="O1560" s="9">
        <v>4.0406992750000002E-2</v>
      </c>
      <c r="P1560" s="10">
        <v>0.57105809427029497</v>
      </c>
      <c r="Q1560" s="10">
        <v>0.32610734703162197</v>
      </c>
    </row>
    <row r="1561" spans="1:17" x14ac:dyDescent="0.2">
      <c r="A1561" s="10">
        <v>1764</v>
      </c>
      <c r="B1561" s="10" t="s">
        <v>2825</v>
      </c>
      <c r="C1561" s="9" t="s">
        <v>1258</v>
      </c>
      <c r="D1561" s="10">
        <v>0.156966563</v>
      </c>
      <c r="E1561" s="10">
        <v>-0.35615000099999999</v>
      </c>
      <c r="F1561" s="10">
        <v>-0.42334072900000003</v>
      </c>
      <c r="G1561" s="10">
        <v>-0.14298967900000001</v>
      </c>
      <c r="H1561" s="9">
        <v>-0.19137846150000001</v>
      </c>
      <c r="I1561" s="10">
        <v>0.26117802621882202</v>
      </c>
      <c r="J1561" s="10">
        <v>6.8213961379559804E-2</v>
      </c>
      <c r="K1561" s="10">
        <v>0.186280476</v>
      </c>
      <c r="L1561" s="10">
        <v>0.123101502</v>
      </c>
      <c r="M1561" s="10">
        <v>0.385041619</v>
      </c>
      <c r="N1561" s="10">
        <v>0.53224345500000003</v>
      </c>
      <c r="O1561" s="9">
        <v>0.30666676274999999</v>
      </c>
      <c r="P1561" s="10">
        <v>0.18727566594935899</v>
      </c>
      <c r="Q1561" s="10">
        <v>3.5072175056775998E-2</v>
      </c>
    </row>
    <row r="1562" spans="1:17" x14ac:dyDescent="0.2">
      <c r="A1562" s="10">
        <v>1764</v>
      </c>
      <c r="B1562" s="10" t="s">
        <v>74</v>
      </c>
      <c r="C1562" s="9" t="s">
        <v>1259</v>
      </c>
      <c r="D1562" s="10">
        <v>-0.14730975099999999</v>
      </c>
      <c r="E1562" s="10">
        <v>-0.193119337</v>
      </c>
      <c r="F1562" s="10">
        <v>-0.51376170799999998</v>
      </c>
      <c r="G1562" s="10">
        <v>-0.38420005000000002</v>
      </c>
      <c r="H1562" s="9">
        <v>-0.30959771149999998</v>
      </c>
      <c r="I1562" s="10">
        <v>0.17044357837315</v>
      </c>
      <c r="J1562" s="10">
        <v>2.9051013408644102E-2</v>
      </c>
      <c r="K1562" s="10">
        <v>5.1961546999999997E-2</v>
      </c>
      <c r="L1562" s="10">
        <v>0.310531852</v>
      </c>
      <c r="M1562" s="10">
        <v>7.7753159000000002E-2</v>
      </c>
      <c r="N1562" s="10">
        <v>-2.6000794000000001E-2</v>
      </c>
      <c r="O1562" s="9">
        <v>0.103561441</v>
      </c>
      <c r="P1562" s="10">
        <v>0.144858252840845</v>
      </c>
      <c r="Q1562" s="10">
        <v>2.0983913416102298E-2</v>
      </c>
    </row>
    <row r="1563" spans="1:17" x14ac:dyDescent="0.2">
      <c r="A1563" s="10">
        <v>1764</v>
      </c>
      <c r="B1563" s="10" t="s">
        <v>2835</v>
      </c>
      <c r="C1563" s="9" t="s">
        <v>2211</v>
      </c>
      <c r="D1563" s="10">
        <v>-0.16409639100000001</v>
      </c>
      <c r="E1563" s="10">
        <v>2.7840721999999998E-2</v>
      </c>
      <c r="F1563" s="10">
        <v>-0.35331066900000002</v>
      </c>
      <c r="G1563" s="10">
        <v>-0.44335596100000002</v>
      </c>
      <c r="H1563" s="9">
        <v>-0.23323057475</v>
      </c>
      <c r="I1563" s="10">
        <v>0.209371809891164</v>
      </c>
      <c r="J1563" s="10">
        <v>4.3836554777101903E-2</v>
      </c>
      <c r="K1563" s="10">
        <v>0.50815546499999997</v>
      </c>
      <c r="L1563" s="10">
        <v>9.6273928999999994E-2</v>
      </c>
      <c r="M1563" s="10">
        <v>0.52969940999999998</v>
      </c>
      <c r="N1563" s="10">
        <v>0.35768855100000002</v>
      </c>
      <c r="O1563" s="9">
        <v>0.37295433900000002</v>
      </c>
      <c r="P1563" s="10">
        <v>0.199694312484099</v>
      </c>
      <c r="Q1563" s="10">
        <v>3.9877818438497303E-2</v>
      </c>
    </row>
    <row r="1564" spans="1:17" x14ac:dyDescent="0.2">
      <c r="A1564" s="10">
        <v>1764</v>
      </c>
      <c r="B1564" s="10" t="s">
        <v>2832</v>
      </c>
      <c r="C1564" s="9" t="s">
        <v>2210</v>
      </c>
      <c r="D1564" s="10">
        <v>0.14401255700000001</v>
      </c>
      <c r="E1564" s="10">
        <v>-0.77701562300000004</v>
      </c>
      <c r="F1564" s="10">
        <v>-0.91869387499999999</v>
      </c>
      <c r="G1564" s="10">
        <v>-0.21615562999999999</v>
      </c>
      <c r="H1564" s="9">
        <v>-0.441963143</v>
      </c>
      <c r="I1564" s="10">
        <v>0.49460048156909397</v>
      </c>
      <c r="J1564" s="10">
        <v>0.24462963636838</v>
      </c>
      <c r="K1564" s="10">
        <v>0.81112620300000005</v>
      </c>
      <c r="L1564" s="10">
        <v>0.25456559899999998</v>
      </c>
      <c r="M1564" s="10">
        <v>-0.38739485499999998</v>
      </c>
      <c r="N1564" s="10">
        <v>0.61399633799999997</v>
      </c>
      <c r="O1564" s="9">
        <v>0.32307332100000002</v>
      </c>
      <c r="P1564" s="10">
        <v>0.52671629129012898</v>
      </c>
      <c r="Q1564" s="10">
        <v>0.27743005151042799</v>
      </c>
    </row>
    <row r="1565" spans="1:17" x14ac:dyDescent="0.2">
      <c r="A1565" s="10">
        <v>1765</v>
      </c>
      <c r="B1565" s="10" t="s">
        <v>96</v>
      </c>
      <c r="C1565" s="9" t="s">
        <v>2209</v>
      </c>
      <c r="D1565" s="10">
        <v>-9.8098777999999998E-2</v>
      </c>
      <c r="E1565" s="10">
        <v>-0.263280917</v>
      </c>
      <c r="F1565" s="10">
        <v>-1.031119771</v>
      </c>
      <c r="G1565" s="10">
        <v>-0.16102406799999999</v>
      </c>
      <c r="H1565" s="9">
        <v>-0.3883808835</v>
      </c>
      <c r="I1565" s="10">
        <v>0.433865609550105</v>
      </c>
      <c r="J1565" s="10">
        <v>0.188239367150284</v>
      </c>
      <c r="K1565" s="10">
        <v>4.0409210000000001E-2</v>
      </c>
      <c r="L1565" s="10">
        <v>0.14285276</v>
      </c>
      <c r="M1565" s="10">
        <v>0.22939382999999999</v>
      </c>
      <c r="N1565" s="10">
        <v>0.54822047399999996</v>
      </c>
      <c r="O1565" s="9">
        <v>0.24021906874999999</v>
      </c>
      <c r="P1565" s="10">
        <v>0.21938264073171601</v>
      </c>
      <c r="Q1565" s="10">
        <v>4.8128743054421497E-2</v>
      </c>
    </row>
    <row r="1566" spans="1:17" x14ac:dyDescent="0.2">
      <c r="A1566" s="10">
        <v>1765</v>
      </c>
      <c r="B1566" s="10" t="s">
        <v>2821</v>
      </c>
      <c r="C1566" s="9" t="s">
        <v>1260</v>
      </c>
      <c r="D1566" s="10">
        <v>4.6227638000000001E-2</v>
      </c>
      <c r="E1566" s="10">
        <v>-0.109388034</v>
      </c>
      <c r="F1566" s="10">
        <v>-0.74089984900000005</v>
      </c>
      <c r="G1566" s="10">
        <v>-0.25199367099999997</v>
      </c>
      <c r="H1566" s="9">
        <v>-0.264013479</v>
      </c>
      <c r="I1566" s="10">
        <v>0.34045247568247999</v>
      </c>
      <c r="J1566" s="10">
        <v>0.11590788819832901</v>
      </c>
      <c r="K1566" s="10">
        <v>1.2121497E-2</v>
      </c>
      <c r="L1566" s="10">
        <v>0.10816056</v>
      </c>
      <c r="M1566" s="10">
        <v>0.23517967000000001</v>
      </c>
      <c r="N1566" s="10">
        <v>-0.310153279</v>
      </c>
      <c r="O1566" s="9">
        <v>1.132711225E-2</v>
      </c>
      <c r="P1566" s="10">
        <v>0.23297850918039101</v>
      </c>
      <c r="Q1566" s="10">
        <v>5.4278985739917698E-2</v>
      </c>
    </row>
    <row r="1567" spans="1:17" x14ac:dyDescent="0.2">
      <c r="A1567" s="10">
        <v>1765</v>
      </c>
      <c r="B1567" s="10" t="s">
        <v>2834</v>
      </c>
      <c r="C1567" s="9" t="s">
        <v>1261</v>
      </c>
      <c r="D1567" s="10">
        <v>0.33978352699999997</v>
      </c>
      <c r="E1567" s="10">
        <v>-0.241986064</v>
      </c>
      <c r="F1567" s="10">
        <v>-4.4765526999999999E-2</v>
      </c>
      <c r="G1567" s="10">
        <v>-3.9289090000000004E-3</v>
      </c>
      <c r="H1567" s="9">
        <v>1.227575675E-2</v>
      </c>
      <c r="I1567" s="10">
        <v>0.24181722595736699</v>
      </c>
      <c r="J1567" s="10">
        <v>5.8475570769716302E-2</v>
      </c>
      <c r="K1567" s="10">
        <v>6.4518552000000007E-2</v>
      </c>
      <c r="L1567" s="10">
        <v>3.7977640999999999E-2</v>
      </c>
      <c r="M1567" s="10">
        <v>0.65403159799999999</v>
      </c>
      <c r="N1567" s="10">
        <v>-4.661709E-3</v>
      </c>
      <c r="O1567" s="9">
        <v>0.18796652024999999</v>
      </c>
      <c r="P1567" s="10">
        <v>0.31201407883076199</v>
      </c>
      <c r="Q1567" s="10">
        <v>9.7352785388609406E-2</v>
      </c>
    </row>
    <row r="1568" spans="1:17" x14ac:dyDescent="0.2">
      <c r="A1568" s="10">
        <v>1765</v>
      </c>
      <c r="B1568" s="10" t="s">
        <v>79</v>
      </c>
      <c r="C1568" s="9" t="s">
        <v>2208</v>
      </c>
      <c r="D1568" s="10">
        <v>0.31217530300000002</v>
      </c>
      <c r="E1568" s="10">
        <v>0.154339695</v>
      </c>
      <c r="F1568" s="10">
        <v>-0.53154664600000001</v>
      </c>
      <c r="G1568" s="10">
        <v>0.79100420400000004</v>
      </c>
      <c r="H1568" s="9">
        <v>0.18149313924999999</v>
      </c>
      <c r="I1568" s="10">
        <v>0.54703583394480404</v>
      </c>
      <c r="J1568" s="10">
        <v>0.29924820361968801</v>
      </c>
      <c r="K1568" s="10">
        <v>-9.4469387000000002E-2</v>
      </c>
      <c r="L1568" s="10">
        <v>-0.106158474</v>
      </c>
      <c r="M1568" s="10">
        <v>-0.49568923100000001</v>
      </c>
      <c r="N1568" s="10">
        <v>0.84534073200000004</v>
      </c>
      <c r="O1568" s="9">
        <v>3.7255910000000003E-2</v>
      </c>
      <c r="P1568" s="10">
        <v>0.57007334097468498</v>
      </c>
      <c r="Q1568" s="10">
        <v>0.32498361409003901</v>
      </c>
    </row>
    <row r="1569" spans="1:17" x14ac:dyDescent="0.2">
      <c r="A1569" s="10">
        <v>1765</v>
      </c>
      <c r="B1569" s="10" t="s">
        <v>2824</v>
      </c>
      <c r="C1569" s="9" t="s">
        <v>1262</v>
      </c>
      <c r="D1569" s="10">
        <v>0.18552953999999999</v>
      </c>
      <c r="E1569" s="10">
        <v>-5.4569715999999997E-2</v>
      </c>
      <c r="F1569" s="10">
        <v>-0.37644070499999999</v>
      </c>
      <c r="G1569" s="10">
        <v>-9.3506607000000005E-2</v>
      </c>
      <c r="H1569" s="9">
        <v>-8.4746872000000001E-2</v>
      </c>
      <c r="I1569" s="10">
        <v>0.23030561202841099</v>
      </c>
      <c r="J1569" s="10">
        <v>5.3040674931781301E-2</v>
      </c>
      <c r="K1569" s="10">
        <v>0.35705324999999999</v>
      </c>
      <c r="L1569" s="10">
        <v>-5.1639541999999997E-2</v>
      </c>
      <c r="M1569" s="10">
        <v>0.48206077400000003</v>
      </c>
      <c r="N1569" s="10">
        <v>-1.6857082999999998E-2</v>
      </c>
      <c r="O1569" s="9">
        <v>0.19265434975000001</v>
      </c>
      <c r="P1569" s="10">
        <v>0.26730608098825498</v>
      </c>
      <c r="Q1569" s="10">
        <v>7.1452540933299599E-2</v>
      </c>
    </row>
    <row r="1570" spans="1:17" x14ac:dyDescent="0.2">
      <c r="A1570" s="10">
        <v>1765</v>
      </c>
      <c r="B1570" s="10" t="s">
        <v>2814</v>
      </c>
      <c r="C1570" s="9" t="s">
        <v>1263</v>
      </c>
      <c r="D1570" s="10">
        <v>0.113063633</v>
      </c>
      <c r="E1570" s="10">
        <v>0.115013243</v>
      </c>
      <c r="F1570" s="10">
        <v>-9.5614181000000006E-2</v>
      </c>
      <c r="G1570" s="10">
        <v>0.24734574100000001</v>
      </c>
      <c r="H1570" s="9">
        <v>9.4952109000000007E-2</v>
      </c>
      <c r="I1570" s="10">
        <v>0.14173896942088501</v>
      </c>
      <c r="J1570" s="10">
        <v>2.0089935452494601E-2</v>
      </c>
      <c r="K1570" s="10">
        <v>0.45321068599999997</v>
      </c>
      <c r="L1570" s="10">
        <v>0.319080643</v>
      </c>
      <c r="M1570" s="10">
        <v>0.33885040999999999</v>
      </c>
      <c r="N1570" s="10">
        <v>0.109414435</v>
      </c>
      <c r="O1570" s="9">
        <v>0.30513904325000002</v>
      </c>
      <c r="P1570" s="10">
        <v>0.14325287444823001</v>
      </c>
      <c r="Q1570" s="10">
        <v>2.05213860376805E-2</v>
      </c>
    </row>
    <row r="1571" spans="1:17" x14ac:dyDescent="0.2">
      <c r="A1571" s="10">
        <v>1765</v>
      </c>
      <c r="B1571" s="10" t="s">
        <v>2833</v>
      </c>
      <c r="C1571" s="9" t="s">
        <v>1264</v>
      </c>
      <c r="D1571" s="10">
        <v>6.4285703999999999E-2</v>
      </c>
      <c r="E1571" s="10">
        <v>-0.15368301400000001</v>
      </c>
      <c r="F1571" s="10">
        <v>-0.179179161</v>
      </c>
      <c r="G1571" s="10">
        <v>4.7958499000000002E-2</v>
      </c>
      <c r="H1571" s="9">
        <v>-5.5154493249999999E-2</v>
      </c>
      <c r="I1571" s="10">
        <v>0.129084258660184</v>
      </c>
      <c r="J1571" s="10">
        <v>1.66627458338495E-2</v>
      </c>
      <c r="K1571" s="10">
        <v>-0.34907995400000003</v>
      </c>
      <c r="L1571" s="10">
        <v>-0.33726268199999998</v>
      </c>
      <c r="M1571" s="10">
        <v>0.22727887499999999</v>
      </c>
      <c r="N1571" s="10">
        <v>-0.22138713400000001</v>
      </c>
      <c r="O1571" s="9">
        <v>-0.17011272399999999</v>
      </c>
      <c r="P1571" s="10">
        <v>0.27111960826044901</v>
      </c>
      <c r="Q1571" s="10">
        <v>7.3505841983299805E-2</v>
      </c>
    </row>
    <row r="1572" spans="1:17" x14ac:dyDescent="0.2">
      <c r="A1572" s="10">
        <v>1765</v>
      </c>
      <c r="B1572" s="10" t="s">
        <v>74</v>
      </c>
      <c r="C1572" s="9" t="s">
        <v>2207</v>
      </c>
      <c r="D1572" s="10">
        <v>-0.18453092099999999</v>
      </c>
      <c r="E1572" s="10">
        <v>-0.233838504</v>
      </c>
      <c r="F1572" s="10">
        <v>-0.70484258499999997</v>
      </c>
      <c r="G1572" s="10">
        <v>-0.96907618200000001</v>
      </c>
      <c r="H1572" s="9">
        <v>-0.52307204799999996</v>
      </c>
      <c r="I1572" s="10">
        <v>0.378693523099083</v>
      </c>
      <c r="J1572" s="10">
        <v>0.14340878443719601</v>
      </c>
      <c r="K1572" s="10">
        <v>0.44268867299999998</v>
      </c>
      <c r="L1572" s="10">
        <v>4.6503814999999997E-2</v>
      </c>
      <c r="M1572" s="10">
        <v>-2.3938343000000001E-2</v>
      </c>
      <c r="N1572" s="10">
        <v>0.248780638</v>
      </c>
      <c r="O1572" s="9">
        <v>0.17850869575</v>
      </c>
      <c r="P1572" s="10">
        <v>0.21066505665618701</v>
      </c>
      <c r="Q1572" s="10">
        <v>4.4379766095954502E-2</v>
      </c>
    </row>
    <row r="1573" spans="1:17" x14ac:dyDescent="0.2">
      <c r="A1573" s="10">
        <v>1765</v>
      </c>
      <c r="B1573" s="10" t="s">
        <v>2830</v>
      </c>
      <c r="C1573" s="9" t="s">
        <v>1265</v>
      </c>
      <c r="D1573" s="10">
        <v>-9.7981999999999995E-4</v>
      </c>
      <c r="E1573" s="10">
        <v>-0.41924977099999999</v>
      </c>
      <c r="F1573" s="10">
        <v>4.2360399999999999E-3</v>
      </c>
      <c r="G1573" s="10">
        <v>8.1251212000000003E-2</v>
      </c>
      <c r="H1573" s="9">
        <v>-8.368558475E-2</v>
      </c>
      <c r="I1573" s="10">
        <v>0.22684644265621401</v>
      </c>
      <c r="J1573" s="10">
        <v>5.1459308545779202E-2</v>
      </c>
      <c r="K1573" s="10">
        <v>-0.18059172100000001</v>
      </c>
      <c r="L1573" s="10">
        <v>0.23598749899999999</v>
      </c>
      <c r="M1573" s="10">
        <v>6.8785359000000004E-2</v>
      </c>
      <c r="N1573" s="10">
        <v>-7.0528732999999996E-2</v>
      </c>
      <c r="O1573" s="9">
        <v>1.3413101E-2</v>
      </c>
      <c r="P1573" s="10">
        <v>0.18008289948022599</v>
      </c>
      <c r="Q1573" s="10">
        <v>3.2429850685205402E-2</v>
      </c>
    </row>
    <row r="1574" spans="1:17" x14ac:dyDescent="0.2">
      <c r="A1574" s="10">
        <v>1765</v>
      </c>
      <c r="B1574" s="10" t="s">
        <v>2835</v>
      </c>
      <c r="C1574" s="9" t="s">
        <v>2206</v>
      </c>
      <c r="D1574" s="10">
        <v>-1.129033068</v>
      </c>
      <c r="E1574" s="10">
        <v>-0.13652287199999999</v>
      </c>
      <c r="F1574" s="10">
        <v>-0.27758992999999998</v>
      </c>
      <c r="G1574" s="10">
        <v>-0.46150121</v>
      </c>
      <c r="H1574" s="9">
        <v>-0.50116177024999997</v>
      </c>
      <c r="I1574" s="10">
        <v>0.43921946695145397</v>
      </c>
      <c r="J1574" s="10">
        <v>0.192913740149119</v>
      </c>
      <c r="K1574" s="10">
        <v>-0.31849675300000002</v>
      </c>
      <c r="L1574" s="10">
        <v>-5.1301250999999999E-2</v>
      </c>
      <c r="M1574" s="10">
        <v>-0.402342541</v>
      </c>
      <c r="N1574" s="10">
        <v>-0.68870170100000005</v>
      </c>
      <c r="O1574" s="9">
        <v>-0.36521056125000001</v>
      </c>
      <c r="P1574" s="10">
        <v>0.26251764154037099</v>
      </c>
      <c r="Q1574" s="10">
        <v>6.8915512119918906E-2</v>
      </c>
    </row>
    <row r="1575" spans="1:17" x14ac:dyDescent="0.2">
      <c r="A1575" s="10">
        <v>1765</v>
      </c>
      <c r="B1575" s="10" t="s">
        <v>2832</v>
      </c>
      <c r="C1575" s="9" t="s">
        <v>1266</v>
      </c>
      <c r="D1575" s="10">
        <v>-6.9032300000000005E-2</v>
      </c>
      <c r="E1575" s="10">
        <v>-0.96434567599999998</v>
      </c>
      <c r="F1575" s="10">
        <v>-1.211158926</v>
      </c>
      <c r="G1575" s="10">
        <v>-0.50224441099999995</v>
      </c>
      <c r="H1575" s="9">
        <v>-0.68669532825000001</v>
      </c>
      <c r="I1575" s="10">
        <v>0.50585951222050296</v>
      </c>
      <c r="J1575" s="10">
        <v>0.25589384610396498</v>
      </c>
      <c r="K1575" s="10">
        <v>-0.54402906500000003</v>
      </c>
      <c r="L1575" s="10">
        <v>-4.8066245739999998</v>
      </c>
      <c r="M1575" s="10">
        <v>-0.20681076100000001</v>
      </c>
      <c r="N1575" s="10">
        <v>1.1370047050000001</v>
      </c>
      <c r="O1575" s="9">
        <v>-1.10511492375</v>
      </c>
      <c r="P1575" s="10">
        <v>2.57229092640672</v>
      </c>
      <c r="Q1575" s="10">
        <v>6.6166806100743703</v>
      </c>
    </row>
    <row r="1576" spans="1:17" x14ac:dyDescent="0.2">
      <c r="A1576" s="10">
        <v>1766</v>
      </c>
      <c r="B1576" s="10" t="s">
        <v>2824</v>
      </c>
      <c r="C1576" s="9" t="s">
        <v>1267</v>
      </c>
      <c r="D1576" s="10">
        <v>-1.150274E-3</v>
      </c>
      <c r="E1576" s="10">
        <v>0.48752785100000001</v>
      </c>
      <c r="F1576" s="10">
        <v>-0.27278539299999999</v>
      </c>
      <c r="G1576" s="10">
        <v>0.12847012999999999</v>
      </c>
      <c r="H1576" s="9">
        <v>8.5515578250000002E-2</v>
      </c>
      <c r="I1576" s="10">
        <v>0.31588474528039201</v>
      </c>
      <c r="J1576" s="10">
        <v>9.9783172300858605E-2</v>
      </c>
      <c r="K1576" s="10">
        <v>0.29152817399999997</v>
      </c>
      <c r="L1576" s="10">
        <v>0.481115142</v>
      </c>
      <c r="M1576" s="10">
        <v>0.39281460400000001</v>
      </c>
      <c r="N1576" s="10">
        <v>0.12357533800000001</v>
      </c>
      <c r="O1576" s="9">
        <v>0.32225831449999998</v>
      </c>
      <c r="P1576" s="10">
        <v>0.15344157228667599</v>
      </c>
      <c r="Q1576" s="10">
        <v>2.3544316105807199E-2</v>
      </c>
    </row>
    <row r="1577" spans="1:17" x14ac:dyDescent="0.2">
      <c r="A1577" s="10">
        <v>1766</v>
      </c>
      <c r="B1577" s="10" t="s">
        <v>2817</v>
      </c>
      <c r="C1577" s="9" t="s">
        <v>1268</v>
      </c>
      <c r="D1577" s="10">
        <v>0.814954336</v>
      </c>
      <c r="E1577" s="10">
        <v>-4.0121574E-2</v>
      </c>
      <c r="F1577" s="10">
        <v>-0.25997278200000001</v>
      </c>
      <c r="G1577" s="10">
        <v>-0.25565165899999998</v>
      </c>
      <c r="H1577" s="9">
        <v>6.4802080250000005E-2</v>
      </c>
      <c r="I1577" s="10">
        <v>0.51052479214262103</v>
      </c>
      <c r="J1577" s="10">
        <v>0.26063556339226601</v>
      </c>
      <c r="K1577" s="10">
        <v>0.312857469</v>
      </c>
      <c r="L1577" s="10">
        <v>0.61468854100000003</v>
      </c>
      <c r="M1577" s="10">
        <v>1.3839980119999999</v>
      </c>
      <c r="N1577" s="10">
        <v>0.44995045299999997</v>
      </c>
      <c r="O1577" s="9">
        <v>0.69037361875000003</v>
      </c>
      <c r="P1577" s="10">
        <v>0.478596828188671</v>
      </c>
      <c r="Q1577" s="10">
        <v>0.22905492395225599</v>
      </c>
    </row>
    <row r="1578" spans="1:17" x14ac:dyDescent="0.2">
      <c r="A1578" s="10">
        <v>1766</v>
      </c>
      <c r="B1578" s="10" t="s">
        <v>2814</v>
      </c>
      <c r="C1578" s="9" t="s">
        <v>2205</v>
      </c>
      <c r="D1578" s="10">
        <v>-1.4857587999999999</v>
      </c>
      <c r="E1578" s="10">
        <v>-1.4047912199999999</v>
      </c>
      <c r="F1578" s="10">
        <v>-2.3699992079999999</v>
      </c>
      <c r="G1578" s="10">
        <v>-1.617662551</v>
      </c>
      <c r="H1578" s="9">
        <v>-1.71955294475</v>
      </c>
      <c r="I1578" s="10">
        <v>0.44241633453923501</v>
      </c>
      <c r="J1578" s="10">
        <v>0.19573221306713201</v>
      </c>
      <c r="K1578" s="10">
        <v>5.5518630999999999E-2</v>
      </c>
      <c r="L1578" s="10">
        <v>-0.27471123600000003</v>
      </c>
      <c r="M1578" s="10">
        <v>-3.4481288999999998E-2</v>
      </c>
      <c r="N1578" s="10">
        <v>-0.190838338</v>
      </c>
      <c r="O1578" s="9">
        <v>-0.111128058</v>
      </c>
      <c r="P1578" s="10">
        <v>0.14917442923756499</v>
      </c>
      <c r="Q1578" s="10">
        <v>2.22530103383533E-2</v>
      </c>
    </row>
    <row r="1579" spans="1:17" x14ac:dyDescent="0.2">
      <c r="A1579" s="10">
        <v>1766</v>
      </c>
      <c r="B1579" s="10" t="s">
        <v>2825</v>
      </c>
      <c r="C1579" s="9" t="s">
        <v>1269</v>
      </c>
      <c r="D1579" s="10">
        <v>-1.6160341119999999</v>
      </c>
      <c r="E1579" s="10">
        <v>-1.3990705699999999</v>
      </c>
      <c r="F1579" s="10">
        <v>-1.8715615590000001</v>
      </c>
      <c r="G1579" s="10">
        <v>-1.681045063</v>
      </c>
      <c r="H1579" s="9">
        <v>-1.6419278260000001</v>
      </c>
      <c r="I1579" s="10">
        <v>0.194860583305597</v>
      </c>
      <c r="J1579" s="10">
        <v>3.7970646926197602E-2</v>
      </c>
      <c r="K1579" s="10">
        <v>4.9371404000000001E-2</v>
      </c>
      <c r="L1579" s="10">
        <v>0.508344244</v>
      </c>
      <c r="M1579" s="10">
        <v>0.128884045</v>
      </c>
      <c r="N1579" s="10">
        <v>0.22801339600000001</v>
      </c>
      <c r="O1579" s="9">
        <v>0.22865327225000001</v>
      </c>
      <c r="P1579" s="10">
        <v>0.20026926549801799</v>
      </c>
      <c r="Q1579" s="10">
        <v>4.0107778703115701E-2</v>
      </c>
    </row>
    <row r="1580" spans="1:17" x14ac:dyDescent="0.2">
      <c r="A1580" s="10">
        <v>1766</v>
      </c>
      <c r="B1580" s="10" t="s">
        <v>74</v>
      </c>
      <c r="C1580" s="9" t="s">
        <v>1270</v>
      </c>
      <c r="D1580" s="10">
        <v>-1.8913457</v>
      </c>
      <c r="E1580" s="10">
        <v>-2.120232492</v>
      </c>
      <c r="F1580" s="10">
        <v>-1.862164736</v>
      </c>
      <c r="G1580" s="10">
        <v>-2.566528157</v>
      </c>
      <c r="H1580" s="9">
        <v>-2.1100677714999998</v>
      </c>
      <c r="I1580" s="10">
        <v>0.32545079743079203</v>
      </c>
      <c r="J1580" s="10">
        <v>0.10591822154833901</v>
      </c>
      <c r="K1580" s="10">
        <v>-0.61139817399999996</v>
      </c>
      <c r="L1580" s="10">
        <v>-0.41416393099999999</v>
      </c>
      <c r="M1580" s="10">
        <v>-0.12598783799999999</v>
      </c>
      <c r="N1580" s="10">
        <v>-4.5595831000000003E-2</v>
      </c>
      <c r="O1580" s="9">
        <v>-0.2992864435</v>
      </c>
      <c r="P1580" s="10">
        <v>0.26140766565455198</v>
      </c>
      <c r="Q1580" s="10">
        <v>6.8333967662962306E-2</v>
      </c>
    </row>
    <row r="1581" spans="1:17" x14ac:dyDescent="0.2">
      <c r="A1581" s="10">
        <v>1766</v>
      </c>
      <c r="B1581" s="10" t="s">
        <v>2818</v>
      </c>
      <c r="C1581" s="9" t="s">
        <v>1271</v>
      </c>
      <c r="D1581" s="10">
        <v>-0.37350897399999999</v>
      </c>
      <c r="E1581" s="10">
        <v>-0.80150986499999999</v>
      </c>
      <c r="F1581" s="10">
        <v>-1.37804419</v>
      </c>
      <c r="G1581" s="10">
        <v>-0.54358181100000003</v>
      </c>
      <c r="H1581" s="9">
        <v>-0.77416121000000004</v>
      </c>
      <c r="I1581" s="10">
        <v>0.43936001787410001</v>
      </c>
      <c r="J1581" s="10">
        <v>0.19303722530633</v>
      </c>
      <c r="K1581" s="10">
        <v>-0.28685028899999998</v>
      </c>
      <c r="L1581" s="10">
        <v>-0.45879938100000001</v>
      </c>
      <c r="M1581" s="10">
        <v>0.28710937800000003</v>
      </c>
      <c r="N1581" s="10">
        <v>-0.61066595099999998</v>
      </c>
      <c r="O1581" s="9">
        <v>-0.26730156075</v>
      </c>
      <c r="P1581" s="10">
        <v>0.39256598656960601</v>
      </c>
      <c r="Q1581" s="10">
        <v>0.154108053811368</v>
      </c>
    </row>
    <row r="1582" spans="1:17" x14ac:dyDescent="0.2">
      <c r="A1582" s="10">
        <v>1766</v>
      </c>
      <c r="B1582" s="10" t="s">
        <v>2830</v>
      </c>
      <c r="C1582" s="9" t="s">
        <v>1272</v>
      </c>
      <c r="D1582" s="10">
        <v>0.14706414500000001</v>
      </c>
      <c r="E1582" s="10">
        <v>0.31217756699999999</v>
      </c>
      <c r="F1582" s="10">
        <v>0.43960937</v>
      </c>
      <c r="G1582" s="10">
        <v>0.35254407199999999</v>
      </c>
      <c r="H1582" s="9">
        <v>0.31284878875</v>
      </c>
      <c r="I1582" s="10">
        <v>0.122649852715073</v>
      </c>
      <c r="J1582" s="10">
        <v>1.50429863710292E-2</v>
      </c>
      <c r="K1582" s="10">
        <v>0.27379718800000002</v>
      </c>
      <c r="L1582" s="10">
        <v>-5.0031774000000001E-2</v>
      </c>
      <c r="M1582" s="10">
        <v>0.308349394</v>
      </c>
      <c r="N1582" s="10">
        <v>-8.3972071999999995E-2</v>
      </c>
      <c r="O1582" s="9">
        <v>0.11203568375</v>
      </c>
      <c r="P1582" s="10">
        <v>0.20767824333572901</v>
      </c>
      <c r="Q1582" s="10">
        <v>4.3130252755014399E-2</v>
      </c>
    </row>
    <row r="1583" spans="1:17" x14ac:dyDescent="0.2">
      <c r="A1583" s="10">
        <v>1766</v>
      </c>
      <c r="B1583" s="10" t="s">
        <v>2832</v>
      </c>
      <c r="C1583" s="9" t="s">
        <v>2204</v>
      </c>
      <c r="D1583" s="10">
        <v>-1.3530487010000001</v>
      </c>
      <c r="E1583" s="10">
        <v>-1.3990313919999999</v>
      </c>
      <c r="F1583" s="10">
        <v>-0.55758341700000003</v>
      </c>
      <c r="G1583" s="10">
        <v>-0.86750514099999998</v>
      </c>
      <c r="H1583" s="9">
        <v>-1.0442921629999999</v>
      </c>
      <c r="I1583" s="10">
        <v>0.40386036156481098</v>
      </c>
      <c r="J1583" s="10">
        <v>0.16310319164326001</v>
      </c>
      <c r="K1583" s="10">
        <v>0.31753165100000003</v>
      </c>
      <c r="L1583" s="10">
        <v>-0.17733168599999999</v>
      </c>
      <c r="M1583" s="10">
        <v>0.17309439300000001</v>
      </c>
      <c r="N1583" s="10">
        <v>0.71983562000000001</v>
      </c>
      <c r="O1583" s="9">
        <v>0.25828249450000001</v>
      </c>
      <c r="P1583" s="10">
        <v>0.37128536962586201</v>
      </c>
      <c r="Q1583" s="10">
        <v>0.137852825698213</v>
      </c>
    </row>
    <row r="1584" spans="1:17" x14ac:dyDescent="0.2">
      <c r="A1584" s="10">
        <v>1767</v>
      </c>
      <c r="B1584" s="10" t="s">
        <v>2831</v>
      </c>
      <c r="C1584" s="9" t="s">
        <v>1273</v>
      </c>
      <c r="D1584" s="10">
        <v>-1.97335631</v>
      </c>
      <c r="E1584" s="10">
        <v>-1.5761512520000001</v>
      </c>
      <c r="F1584" s="10">
        <v>-1.590120078</v>
      </c>
      <c r="G1584" s="10">
        <v>-1.1585048979999999</v>
      </c>
      <c r="H1584" s="9">
        <v>-1.57453313475</v>
      </c>
      <c r="I1584" s="10">
        <v>0.33285882392445698</v>
      </c>
      <c r="J1584" s="10">
        <v>0.11079499666437299</v>
      </c>
      <c r="K1584" s="10">
        <v>-0.312187241</v>
      </c>
      <c r="L1584" s="10">
        <v>-0.28112606899999998</v>
      </c>
      <c r="M1584" s="10">
        <v>-0.217062792</v>
      </c>
      <c r="N1584" s="10">
        <v>7.6711430000000001E-3</v>
      </c>
      <c r="O1584" s="9">
        <v>-0.20067623975000001</v>
      </c>
      <c r="P1584" s="10">
        <v>0.14443456352220299</v>
      </c>
      <c r="Q1584" s="10">
        <v>2.0861343139849501E-2</v>
      </c>
    </row>
    <row r="1585" spans="1:17" x14ac:dyDescent="0.2">
      <c r="A1585" s="10">
        <v>1767</v>
      </c>
      <c r="B1585" s="10" t="s">
        <v>2822</v>
      </c>
      <c r="C1585" s="9" t="s">
        <v>2203</v>
      </c>
      <c r="D1585" s="10">
        <v>0.154485965</v>
      </c>
      <c r="E1585" s="10">
        <v>0.81889531800000004</v>
      </c>
      <c r="F1585" s="10">
        <v>-0.28619454599999999</v>
      </c>
      <c r="G1585" s="10">
        <v>-6.4687469999999997E-2</v>
      </c>
      <c r="H1585" s="9">
        <v>0.15562481650000001</v>
      </c>
      <c r="I1585" s="10">
        <v>0.47737857367277697</v>
      </c>
      <c r="J1585" s="10">
        <v>0.227890302601855</v>
      </c>
      <c r="K1585" s="10">
        <v>-0.57985319199999996</v>
      </c>
      <c r="L1585" s="10">
        <v>0.231540579</v>
      </c>
      <c r="M1585" s="10">
        <v>0.229483515</v>
      </c>
      <c r="N1585" s="10">
        <v>0.212963023</v>
      </c>
      <c r="O1585" s="9">
        <v>2.3533481249999998E-2</v>
      </c>
      <c r="P1585" s="10">
        <v>0.40234371618444198</v>
      </c>
      <c r="Q1585" s="10">
        <v>0.16188046595310701</v>
      </c>
    </row>
    <row r="1586" spans="1:17" x14ac:dyDescent="0.2">
      <c r="A1586" s="10">
        <v>1767</v>
      </c>
      <c r="B1586" s="10" t="s">
        <v>2826</v>
      </c>
      <c r="C1586" s="9" t="s">
        <v>1274</v>
      </c>
      <c r="D1586" s="10">
        <v>0.25693797400000001</v>
      </c>
      <c r="E1586" s="10">
        <v>5.9362507000000002E-2</v>
      </c>
      <c r="F1586" s="10">
        <v>-1.2053303E-2</v>
      </c>
      <c r="G1586" s="10">
        <v>8.1921256999999997E-2</v>
      </c>
      <c r="H1586" s="9">
        <v>9.6542109000000001E-2</v>
      </c>
      <c r="I1586" s="10">
        <v>0.114186819342444</v>
      </c>
      <c r="J1586" s="10">
        <v>1.3038629711544E-2</v>
      </c>
      <c r="K1586" s="10">
        <v>0.26991872700000002</v>
      </c>
      <c r="L1586" s="10">
        <v>-0.26832984900000001</v>
      </c>
      <c r="M1586" s="10">
        <v>0.163544779</v>
      </c>
      <c r="N1586" s="10">
        <v>-0.46741457800000002</v>
      </c>
      <c r="O1586" s="9">
        <v>-7.5570230500000002E-2</v>
      </c>
      <c r="P1586" s="10">
        <v>0.349874677903668</v>
      </c>
      <c r="Q1586" s="10">
        <v>0.122412290238196</v>
      </c>
    </row>
    <row r="1587" spans="1:17" x14ac:dyDescent="0.2">
      <c r="A1587" s="10">
        <v>1767</v>
      </c>
      <c r="B1587" s="10" t="s">
        <v>2821</v>
      </c>
      <c r="C1587" s="9" t="s">
        <v>1275</v>
      </c>
      <c r="D1587" s="10">
        <v>-0.42679630299999999</v>
      </c>
      <c r="E1587" s="10">
        <v>0.47289660900000002</v>
      </c>
      <c r="F1587" s="10">
        <v>-0.36808034499999998</v>
      </c>
      <c r="G1587" s="10">
        <v>2.8473429000000001E-2</v>
      </c>
      <c r="H1587" s="9">
        <v>-7.33766525E-2</v>
      </c>
      <c r="I1587" s="10">
        <v>0.41655076964041998</v>
      </c>
      <c r="J1587" s="10">
        <v>0.17351454368802599</v>
      </c>
      <c r="K1587" s="10">
        <v>-0.20497600099999999</v>
      </c>
      <c r="L1587" s="10">
        <v>4.7952645000000002E-2</v>
      </c>
      <c r="M1587" s="10">
        <v>-7.9677062000000007E-2</v>
      </c>
      <c r="N1587" s="10">
        <v>-0.20306743099999999</v>
      </c>
      <c r="O1587" s="9">
        <v>-0.10994196225</v>
      </c>
      <c r="P1587" s="10">
        <v>0.120485811940407</v>
      </c>
      <c r="Q1587" s="10">
        <v>1.4516830878939299E-2</v>
      </c>
    </row>
    <row r="1588" spans="1:17" x14ac:dyDescent="0.2">
      <c r="A1588" s="10">
        <v>1767</v>
      </c>
      <c r="B1588" s="10" t="s">
        <v>2824</v>
      </c>
      <c r="C1588" s="9" t="s">
        <v>1276</v>
      </c>
      <c r="D1588" s="10">
        <v>0.22013775599999999</v>
      </c>
      <c r="E1588" s="10">
        <v>-4.5833824000000002E-2</v>
      </c>
      <c r="F1588" s="10">
        <v>0.15709620999999999</v>
      </c>
      <c r="G1588" s="10">
        <v>0.24341563599999999</v>
      </c>
      <c r="H1588" s="9">
        <v>0.14370394450000001</v>
      </c>
      <c r="I1588" s="10">
        <v>0.13151485014424599</v>
      </c>
      <c r="J1588" s="10">
        <v>1.7296155808463502E-2</v>
      </c>
      <c r="K1588" s="10">
        <v>5.5197431999999998E-2</v>
      </c>
      <c r="L1588" s="10">
        <v>0.23904873600000001</v>
      </c>
      <c r="M1588" s="10">
        <v>0.71403392200000004</v>
      </c>
      <c r="N1588" s="10">
        <v>0.25346271999999997</v>
      </c>
      <c r="O1588" s="9">
        <v>0.31543570250000003</v>
      </c>
      <c r="P1588" s="10">
        <v>0.28064219048010702</v>
      </c>
      <c r="Q1588" s="10">
        <v>7.8760039077472893E-2</v>
      </c>
    </row>
    <row r="1589" spans="1:17" x14ac:dyDescent="0.2">
      <c r="A1589" s="10">
        <v>1767</v>
      </c>
      <c r="B1589" s="10" t="s">
        <v>82</v>
      </c>
      <c r="C1589" s="9" t="s">
        <v>2202</v>
      </c>
      <c r="D1589" s="10">
        <v>-0.30214703700000001</v>
      </c>
      <c r="E1589" s="10">
        <v>-0.23360669100000001</v>
      </c>
      <c r="F1589" s="10">
        <v>3.3519264E-2</v>
      </c>
      <c r="G1589" s="10">
        <v>0.192491623</v>
      </c>
      <c r="H1589" s="9">
        <v>-7.7435710249999998E-2</v>
      </c>
      <c r="I1589" s="10">
        <v>0.23098075471377599</v>
      </c>
      <c r="J1589" s="10">
        <v>5.33521090481456E-2</v>
      </c>
      <c r="K1589" s="10">
        <v>4.4375663000000003E-2</v>
      </c>
      <c r="L1589" s="10">
        <v>-3.7195315999999999E-2</v>
      </c>
      <c r="M1589" s="10">
        <v>0.31098062599999998</v>
      </c>
      <c r="N1589" s="10">
        <v>-7.9426803000000004E-2</v>
      </c>
      <c r="O1589" s="9">
        <v>5.9683542499999999E-2</v>
      </c>
      <c r="P1589" s="10">
        <v>0.17523484889312099</v>
      </c>
      <c r="Q1589" s="10">
        <v>3.07072522665949E-2</v>
      </c>
    </row>
    <row r="1590" spans="1:17" x14ac:dyDescent="0.2">
      <c r="A1590" s="10">
        <v>1767</v>
      </c>
      <c r="B1590" s="10" t="s">
        <v>2814</v>
      </c>
      <c r="C1590" s="9" t="s">
        <v>1277</v>
      </c>
      <c r="D1590" s="10">
        <v>-2.5427817539999999</v>
      </c>
      <c r="E1590" s="10">
        <v>-1.1731579299999999</v>
      </c>
      <c r="F1590" s="10">
        <v>-1.2203964270000001</v>
      </c>
      <c r="G1590" s="10">
        <v>-2.0068775400000001</v>
      </c>
      <c r="H1590" s="9">
        <v>-1.7358034127499999</v>
      </c>
      <c r="I1590" s="10">
        <v>0.66002765748359105</v>
      </c>
      <c r="J1590" s="10">
        <v>0.43563650864327702</v>
      </c>
      <c r="K1590" s="10">
        <v>-8.9704438999999997E-2</v>
      </c>
      <c r="L1590" s="10">
        <v>0.21567032999999999</v>
      </c>
      <c r="M1590" s="10">
        <v>-0.29475737499999999</v>
      </c>
      <c r="N1590" s="10">
        <v>3.9012226999999997E-2</v>
      </c>
      <c r="O1590" s="9">
        <v>-3.2444814250000002E-2</v>
      </c>
      <c r="P1590" s="10">
        <v>0.21506105931737499</v>
      </c>
      <c r="Q1590" s="10">
        <v>4.6251259234711899E-2</v>
      </c>
    </row>
    <row r="1591" spans="1:17" x14ac:dyDescent="0.2">
      <c r="A1591" s="10">
        <v>1767</v>
      </c>
      <c r="B1591" s="10" t="s">
        <v>2833</v>
      </c>
      <c r="C1591" s="9" t="s">
        <v>2201</v>
      </c>
      <c r="D1591" s="10">
        <v>-0.36519129</v>
      </c>
      <c r="E1591" s="10">
        <v>-0.33593140999999999</v>
      </c>
      <c r="F1591" s="10">
        <v>-0.75404880399999996</v>
      </c>
      <c r="G1591" s="10">
        <v>-0.60073554500000004</v>
      </c>
      <c r="H1591" s="9">
        <v>-0.51397676199999998</v>
      </c>
      <c r="I1591" s="10">
        <v>0.19916403275086</v>
      </c>
      <c r="J1591" s="10">
        <v>3.9666311941585798E-2</v>
      </c>
      <c r="K1591" s="10">
        <v>0.527605247</v>
      </c>
      <c r="L1591" s="10">
        <v>-0.93544919199999998</v>
      </c>
      <c r="M1591" s="10">
        <v>0.60726951699999998</v>
      </c>
      <c r="N1591" s="10">
        <v>-5.2428758999999998E-2</v>
      </c>
      <c r="O1591" s="9">
        <v>3.6749203250000001E-2</v>
      </c>
      <c r="P1591" s="10">
        <v>0.71170113408298896</v>
      </c>
      <c r="Q1591" s="10">
        <v>0.50651850425501199</v>
      </c>
    </row>
    <row r="1592" spans="1:17" x14ac:dyDescent="0.2">
      <c r="A1592" s="10">
        <v>1767</v>
      </c>
      <c r="B1592" s="10" t="s">
        <v>2825</v>
      </c>
      <c r="C1592" s="9" t="s">
        <v>1278</v>
      </c>
      <c r="D1592" s="10">
        <v>-0.60588212299999999</v>
      </c>
      <c r="E1592" s="10">
        <v>-1.0657863160000001</v>
      </c>
      <c r="F1592" s="10">
        <v>-0.750421334</v>
      </c>
      <c r="G1592" s="10">
        <v>-0.29069476100000002</v>
      </c>
      <c r="H1592" s="9">
        <v>-0.67819613374999999</v>
      </c>
      <c r="I1592" s="10">
        <v>0.32188468896051697</v>
      </c>
      <c r="J1592" s="10">
        <v>0.103609752987208</v>
      </c>
      <c r="K1592" s="10">
        <v>0.59084753599999995</v>
      </c>
      <c r="L1592" s="10">
        <v>-0.40058354400000001</v>
      </c>
      <c r="M1592" s="10">
        <v>-0.252914048</v>
      </c>
      <c r="N1592" s="10">
        <v>0.566946493</v>
      </c>
      <c r="O1592" s="9">
        <v>0.1260741095</v>
      </c>
      <c r="P1592" s="10">
        <v>0.52642919879406702</v>
      </c>
      <c r="Q1592" s="10">
        <v>0.27712770134296399</v>
      </c>
    </row>
    <row r="1593" spans="1:17" x14ac:dyDescent="0.2">
      <c r="A1593" s="10">
        <v>1767</v>
      </c>
      <c r="B1593" s="10" t="s">
        <v>74</v>
      </c>
      <c r="C1593" s="9" t="s">
        <v>1279</v>
      </c>
      <c r="D1593" s="10">
        <v>-0.22602450099999999</v>
      </c>
      <c r="E1593" s="10">
        <v>-0.51152439599999999</v>
      </c>
      <c r="F1593" s="10">
        <v>-0.16104281300000001</v>
      </c>
      <c r="G1593" s="10">
        <v>-0.76193564499999999</v>
      </c>
      <c r="H1593" s="9">
        <v>-0.41513183874999998</v>
      </c>
      <c r="I1593" s="10">
        <v>0.27681957018977699</v>
      </c>
      <c r="J1593" s="10">
        <v>7.6629074440052902E-2</v>
      </c>
      <c r="K1593" s="10">
        <v>1.9954692E-2</v>
      </c>
      <c r="L1593" s="10">
        <v>-0.488804499</v>
      </c>
      <c r="M1593" s="10">
        <v>-0.51631305000000005</v>
      </c>
      <c r="N1593" s="10">
        <v>-0.23095230899999999</v>
      </c>
      <c r="O1593" s="9">
        <v>-0.30402879124999999</v>
      </c>
      <c r="P1593" s="10">
        <v>0.25133784591288499</v>
      </c>
      <c r="Q1593" s="10">
        <v>6.3170712788129302E-2</v>
      </c>
    </row>
    <row r="1594" spans="1:17" x14ac:dyDescent="0.2">
      <c r="A1594" s="10">
        <v>1767</v>
      </c>
      <c r="B1594" s="10" t="s">
        <v>2818</v>
      </c>
      <c r="C1594" s="9" t="s">
        <v>1280</v>
      </c>
      <c r="D1594" s="10">
        <v>-2.6927016000000002E-2</v>
      </c>
      <c r="E1594" s="10">
        <v>-0.25279125299999999</v>
      </c>
      <c r="F1594" s="10">
        <v>-0.14184850900000001</v>
      </c>
      <c r="G1594" s="10">
        <v>-0.32045068500000001</v>
      </c>
      <c r="H1594" s="9">
        <v>-0.18550436575000001</v>
      </c>
      <c r="I1594" s="10">
        <v>0.12882888386955699</v>
      </c>
      <c r="J1594" s="10">
        <v>1.6596881319075801E-2</v>
      </c>
      <c r="K1594" s="10">
        <v>0.40552333600000001</v>
      </c>
      <c r="L1594" s="10">
        <v>-0.30655412700000001</v>
      </c>
      <c r="M1594" s="10">
        <v>2.5130139999999999E-2</v>
      </c>
      <c r="N1594" s="10">
        <v>-0.75118331100000002</v>
      </c>
      <c r="O1594" s="9">
        <v>-0.15677099050000001</v>
      </c>
      <c r="P1594" s="10">
        <v>0.49160415160751603</v>
      </c>
      <c r="Q1594" s="10">
        <v>0.24167464187774601</v>
      </c>
    </row>
    <row r="1595" spans="1:17" x14ac:dyDescent="0.2">
      <c r="A1595" s="10">
        <v>1767</v>
      </c>
      <c r="B1595" s="10" t="s">
        <v>2830</v>
      </c>
      <c r="C1595" s="9" t="s">
        <v>2200</v>
      </c>
      <c r="D1595" s="10">
        <v>0.52506054999999996</v>
      </c>
      <c r="E1595" s="10">
        <v>6.4067970000000002E-2</v>
      </c>
      <c r="F1595" s="10">
        <v>-0.337535113</v>
      </c>
      <c r="G1595" s="10">
        <v>-4.8507634000000001E-2</v>
      </c>
      <c r="H1595" s="9">
        <v>5.0771443249999999E-2</v>
      </c>
      <c r="I1595" s="10">
        <v>0.358592280643663</v>
      </c>
      <c r="J1595" s="10">
        <v>0.12858842373722401</v>
      </c>
      <c r="K1595" s="10">
        <v>0.33395016799999999</v>
      </c>
      <c r="L1595" s="10">
        <v>-0.37998851900000002</v>
      </c>
      <c r="M1595" s="10">
        <v>-0.32348660699999998</v>
      </c>
      <c r="N1595" s="10">
        <v>0.536782486</v>
      </c>
      <c r="O1595" s="9">
        <v>4.1814381999999997E-2</v>
      </c>
      <c r="P1595" s="10">
        <v>0.46249296978281601</v>
      </c>
      <c r="Q1595" s="10">
        <v>0.21389974709852799</v>
      </c>
    </row>
    <row r="1596" spans="1:17" x14ac:dyDescent="0.2">
      <c r="A1596" s="10">
        <v>1767</v>
      </c>
      <c r="B1596" s="10" t="s">
        <v>2832</v>
      </c>
      <c r="C1596" s="9" t="s">
        <v>1281</v>
      </c>
      <c r="D1596" s="10">
        <v>0.33365562300000001</v>
      </c>
      <c r="E1596" s="10">
        <v>0.254066552</v>
      </c>
      <c r="F1596" s="10">
        <v>-0.37545200099999998</v>
      </c>
      <c r="G1596" s="10">
        <v>-5.4109019000000001E-2</v>
      </c>
      <c r="H1596" s="9">
        <v>3.9540288999999999E-2</v>
      </c>
      <c r="I1596" s="10">
        <v>0.32327188807514101</v>
      </c>
      <c r="J1596" s="10">
        <v>0.104504713619666</v>
      </c>
      <c r="K1596" s="10">
        <v>-0.23675341499999999</v>
      </c>
      <c r="L1596" s="10">
        <v>0.36906755299999999</v>
      </c>
      <c r="M1596" s="10">
        <v>0.52103922899999999</v>
      </c>
      <c r="N1596" s="10">
        <v>0.38486079699999998</v>
      </c>
      <c r="O1596" s="9">
        <v>0.259553541</v>
      </c>
      <c r="P1596" s="10">
        <v>0.33783160836596499</v>
      </c>
      <c r="Q1596" s="10">
        <v>0.11413019561113399</v>
      </c>
    </row>
    <row r="1597" spans="1:17" x14ac:dyDescent="0.2">
      <c r="A1597" s="10">
        <v>1768</v>
      </c>
      <c r="B1597" s="10" t="s">
        <v>2831</v>
      </c>
      <c r="C1597" s="9" t="s">
        <v>1282</v>
      </c>
      <c r="D1597" s="10">
        <v>-1.681421686</v>
      </c>
      <c r="E1597" s="10">
        <v>-1.5121032809999999</v>
      </c>
      <c r="F1597" s="10">
        <v>-2.8259128680000001</v>
      </c>
      <c r="G1597" s="10">
        <v>-0.67659939800000002</v>
      </c>
      <c r="H1597" s="9">
        <v>-1.67400930825</v>
      </c>
      <c r="I1597" s="10">
        <v>0.88468013900192899</v>
      </c>
      <c r="J1597" s="10">
        <v>0.78265894834447303</v>
      </c>
      <c r="K1597" s="10">
        <v>-0.194811975</v>
      </c>
      <c r="L1597" s="10">
        <v>-0.20415414000000001</v>
      </c>
      <c r="M1597" s="10">
        <v>-0.276961187</v>
      </c>
      <c r="N1597" s="10">
        <v>-7.6304266999999995E-2</v>
      </c>
      <c r="O1597" s="9">
        <v>-0.18805789225</v>
      </c>
      <c r="P1597" s="10">
        <v>8.3060972382433304E-2</v>
      </c>
      <c r="Q1597" s="10">
        <v>6.8991251331152999E-3</v>
      </c>
    </row>
    <row r="1598" spans="1:17" x14ac:dyDescent="0.2">
      <c r="A1598" s="10">
        <v>1768</v>
      </c>
      <c r="B1598" s="10" t="s">
        <v>2822</v>
      </c>
      <c r="C1598" s="9" t="s">
        <v>1283</v>
      </c>
      <c r="D1598" s="10">
        <v>0.40676832499999999</v>
      </c>
      <c r="E1598" s="10">
        <v>-0.40233320099999997</v>
      </c>
      <c r="F1598" s="10">
        <v>-0.109834222</v>
      </c>
      <c r="G1598" s="10">
        <v>8.0630293000000006E-2</v>
      </c>
      <c r="H1598" s="9">
        <v>-6.1922012500000003E-3</v>
      </c>
      <c r="I1598" s="10">
        <v>0.33948191012018097</v>
      </c>
      <c r="J1598" s="10">
        <v>0.115247967298847</v>
      </c>
      <c r="K1598" s="10">
        <v>0.27839957100000001</v>
      </c>
      <c r="L1598" s="10">
        <v>-0.33845281300000002</v>
      </c>
      <c r="M1598" s="10">
        <v>0.215479754</v>
      </c>
      <c r="N1598" s="10">
        <v>-3.6901258999999999E-2</v>
      </c>
      <c r="O1598" s="9">
        <v>2.9631313249999999E-2</v>
      </c>
      <c r="P1598" s="10">
        <v>0.28067644252211099</v>
      </c>
      <c r="Q1598" s="10">
        <v>7.8779265386867997E-2</v>
      </c>
    </row>
    <row r="1599" spans="1:17" x14ac:dyDescent="0.2">
      <c r="A1599" s="10">
        <v>1768</v>
      </c>
      <c r="B1599" s="10" t="s">
        <v>2821</v>
      </c>
      <c r="C1599" s="9" t="s">
        <v>1284</v>
      </c>
      <c r="D1599" s="10">
        <v>-0.50804048199999996</v>
      </c>
      <c r="E1599" s="10">
        <v>-0.35177372000000001</v>
      </c>
      <c r="F1599" s="10">
        <v>-0.17828696599999999</v>
      </c>
      <c r="G1599" s="10">
        <v>-0.89918685899999995</v>
      </c>
      <c r="H1599" s="9">
        <v>-0.48432200674999998</v>
      </c>
      <c r="I1599" s="10">
        <v>0.30762634596092497</v>
      </c>
      <c r="J1599" s="10">
        <v>9.4633968729271101E-2</v>
      </c>
      <c r="K1599" s="10">
        <v>-0.119984698</v>
      </c>
      <c r="L1599" s="10">
        <v>-0.42379380900000002</v>
      </c>
      <c r="M1599" s="10">
        <v>-0.20005868600000001</v>
      </c>
      <c r="N1599" s="10">
        <v>-1.1602064E-2</v>
      </c>
      <c r="O1599" s="9">
        <v>-0.1888598145</v>
      </c>
      <c r="P1599" s="10">
        <v>0.17462673361564501</v>
      </c>
      <c r="Q1599" s="10">
        <v>3.0494496093269399E-2</v>
      </c>
    </row>
    <row r="1600" spans="1:17" x14ac:dyDescent="0.2">
      <c r="A1600" s="10">
        <v>1768</v>
      </c>
      <c r="B1600" s="10" t="s">
        <v>2824</v>
      </c>
      <c r="C1600" s="9" t="s">
        <v>1285</v>
      </c>
      <c r="D1600" s="10">
        <v>-0.39428201899999998</v>
      </c>
      <c r="E1600" s="10">
        <v>-0.56316879399999997</v>
      </c>
      <c r="F1600" s="10">
        <v>-0.241196355</v>
      </c>
      <c r="G1600" s="10">
        <v>-0.62313112199999998</v>
      </c>
      <c r="H1600" s="9">
        <v>-0.45544457249999998</v>
      </c>
      <c r="I1600" s="10">
        <v>0.17259436398056199</v>
      </c>
      <c r="J1600" s="10">
        <v>2.9788814477854801E-2</v>
      </c>
      <c r="K1600" s="10">
        <v>-3.5115374999999997E-2</v>
      </c>
      <c r="L1600" s="10">
        <v>-0.21702310699999999</v>
      </c>
      <c r="M1600" s="10">
        <v>0.31629915600000003</v>
      </c>
      <c r="N1600" s="10">
        <v>3.1660422000000001E-2</v>
      </c>
      <c r="O1600" s="9">
        <v>2.3955274249999998E-2</v>
      </c>
      <c r="P1600" s="10">
        <v>0.22142285062085301</v>
      </c>
      <c r="Q1600" s="10">
        <v>4.90280787770647E-2</v>
      </c>
    </row>
    <row r="1601" spans="1:17" x14ac:dyDescent="0.2">
      <c r="A1601" s="10">
        <v>1768</v>
      </c>
      <c r="B1601" s="10" t="s">
        <v>2817</v>
      </c>
      <c r="C1601" s="9" t="s">
        <v>2199</v>
      </c>
      <c r="D1601" s="10">
        <v>-1.044004154</v>
      </c>
      <c r="E1601" s="10">
        <v>-1.116182859</v>
      </c>
      <c r="F1601" s="10">
        <v>-0.68144310799999996</v>
      </c>
      <c r="G1601" s="10">
        <v>-0.77895206900000002</v>
      </c>
      <c r="H1601" s="9">
        <v>-0.90514554724999996</v>
      </c>
      <c r="I1601" s="10">
        <v>0.20799522021627501</v>
      </c>
      <c r="J1601" s="10">
        <v>4.3262011632817003E-2</v>
      </c>
      <c r="K1601" s="10">
        <v>0.236832085</v>
      </c>
      <c r="L1601" s="10">
        <v>-0.21855981899999999</v>
      </c>
      <c r="M1601" s="10">
        <v>7.7076126999999994E-2</v>
      </c>
      <c r="N1601" s="10">
        <v>-9.7338930000000004E-3</v>
      </c>
      <c r="O1601" s="9">
        <v>2.1403624999999999E-2</v>
      </c>
      <c r="P1601" s="10">
        <v>0.189790101902472</v>
      </c>
      <c r="Q1601" s="10">
        <v>3.6020282780151E-2</v>
      </c>
    </row>
    <row r="1602" spans="1:17" x14ac:dyDescent="0.2">
      <c r="A1602" s="10">
        <v>1768</v>
      </c>
      <c r="B1602" s="10" t="s">
        <v>2814</v>
      </c>
      <c r="C1602" s="9" t="s">
        <v>2198</v>
      </c>
      <c r="D1602" s="10">
        <v>-5.9247444800000002</v>
      </c>
      <c r="E1602" s="10">
        <v>-0.488639084</v>
      </c>
      <c r="F1602" s="10">
        <v>-0.99074170299999997</v>
      </c>
      <c r="G1602" s="10">
        <v>-1.296257006</v>
      </c>
      <c r="H1602" s="9">
        <v>-2.1750955685000002</v>
      </c>
      <c r="I1602" s="10">
        <v>2.5218415051496899</v>
      </c>
      <c r="J1602" s="10">
        <v>6.35968457709569</v>
      </c>
      <c r="K1602" s="10">
        <v>0.702029236</v>
      </c>
      <c r="L1602" s="10">
        <v>-0.27568031199999998</v>
      </c>
      <c r="M1602" s="10">
        <v>1.0508559179999999</v>
      </c>
      <c r="N1602" s="10">
        <v>-2.736502E-3</v>
      </c>
      <c r="O1602" s="9">
        <v>0.36861708500000001</v>
      </c>
      <c r="P1602" s="10">
        <v>0.613632927747088</v>
      </c>
      <c r="Q1602" s="10">
        <v>0.37654537001546301</v>
      </c>
    </row>
    <row r="1603" spans="1:17" x14ac:dyDescent="0.2">
      <c r="A1603" s="10">
        <v>1768</v>
      </c>
      <c r="B1603" s="10" t="s">
        <v>2825</v>
      </c>
      <c r="C1603" s="9" t="s">
        <v>1286</v>
      </c>
      <c r="D1603" s="10">
        <v>-0.91797485199999995</v>
      </c>
      <c r="E1603" s="10">
        <v>-1.039957539</v>
      </c>
      <c r="F1603" s="10">
        <v>-1.8537666180000001</v>
      </c>
      <c r="G1603" s="10">
        <v>-1.055716844</v>
      </c>
      <c r="H1603" s="9">
        <v>-1.2168539629999999</v>
      </c>
      <c r="I1603" s="10">
        <v>0.42904699394312901</v>
      </c>
      <c r="J1603" s="10">
        <v>0.18408132301163499</v>
      </c>
      <c r="K1603" s="10">
        <v>2.0111920000000002E-3</v>
      </c>
      <c r="L1603" s="10">
        <v>1.6529263999999998E-2</v>
      </c>
      <c r="M1603" s="10">
        <v>7.3402212999999994E-2</v>
      </c>
      <c r="N1603" s="10">
        <v>-1.3988667E-2</v>
      </c>
      <c r="O1603" s="9">
        <v>1.9488500749999998E-2</v>
      </c>
      <c r="P1603" s="10">
        <v>3.8042180678920103E-2</v>
      </c>
      <c r="Q1603" s="10">
        <v>1.4472075108076E-3</v>
      </c>
    </row>
    <row r="1604" spans="1:17" x14ac:dyDescent="0.2">
      <c r="A1604" s="10">
        <v>1768</v>
      </c>
      <c r="B1604" s="10" t="s">
        <v>74</v>
      </c>
      <c r="C1604" s="9" t="s">
        <v>1287</v>
      </c>
      <c r="D1604" s="10">
        <v>-0.29823075500000001</v>
      </c>
      <c r="E1604" s="10">
        <v>-0.41425941999999999</v>
      </c>
      <c r="F1604" s="10">
        <v>-0.16646349699999999</v>
      </c>
      <c r="G1604" s="10">
        <v>-0.131853465</v>
      </c>
      <c r="H1604" s="9">
        <v>-0.25270178399999998</v>
      </c>
      <c r="I1604" s="10">
        <v>0.12937685947140001</v>
      </c>
      <c r="J1604" s="10">
        <v>1.67383717666824E-2</v>
      </c>
      <c r="K1604" s="10">
        <v>-0.13165373699999999</v>
      </c>
      <c r="L1604" s="10">
        <v>0.214685193</v>
      </c>
      <c r="M1604" s="10">
        <v>0.47447476100000002</v>
      </c>
      <c r="N1604" s="10">
        <v>-0.539964424</v>
      </c>
      <c r="O1604" s="9">
        <v>4.3854484999999999E-3</v>
      </c>
      <c r="P1604" s="10">
        <v>0.43970952076181502</v>
      </c>
      <c r="Q1604" s="10">
        <v>0.19334446264858501</v>
      </c>
    </row>
    <row r="1605" spans="1:17" x14ac:dyDescent="0.2">
      <c r="A1605" s="10">
        <v>1768</v>
      </c>
      <c r="B1605" s="10" t="s">
        <v>2818</v>
      </c>
      <c r="C1605" s="9" t="s">
        <v>2197</v>
      </c>
      <c r="D1605" s="10">
        <v>0.50087728200000003</v>
      </c>
      <c r="E1605" s="10">
        <v>-0.90004971499999997</v>
      </c>
      <c r="F1605" s="10">
        <v>-0.193522849</v>
      </c>
      <c r="G1605" s="10">
        <v>-0.30895999600000001</v>
      </c>
      <c r="H1605" s="9">
        <v>-0.2254138195</v>
      </c>
      <c r="I1605" s="10">
        <v>0.57463882953334799</v>
      </c>
      <c r="J1605" s="10">
        <v>0.33020978440745702</v>
      </c>
      <c r="K1605" s="10">
        <v>-0.401483005</v>
      </c>
      <c r="L1605" s="10">
        <v>0.68977551999999998</v>
      </c>
      <c r="M1605" s="10">
        <v>-0.10828515900000001</v>
      </c>
      <c r="N1605" s="10">
        <v>0.57671242300000003</v>
      </c>
      <c r="O1605" s="9">
        <v>0.18917994475</v>
      </c>
      <c r="P1605" s="10">
        <v>0.52856584572937604</v>
      </c>
      <c r="Q1605" s="10">
        <v>0.27938185327161102</v>
      </c>
    </row>
    <row r="1606" spans="1:17" x14ac:dyDescent="0.2">
      <c r="A1606" s="10">
        <v>1768</v>
      </c>
      <c r="B1606" s="10" t="s">
        <v>2830</v>
      </c>
      <c r="C1606" s="9" t="s">
        <v>1288</v>
      </c>
      <c r="D1606" s="10">
        <v>0.107587873</v>
      </c>
      <c r="E1606" s="10">
        <v>-0.51888650800000002</v>
      </c>
      <c r="F1606" s="10">
        <v>-7.1546687999999997E-2</v>
      </c>
      <c r="G1606" s="10">
        <v>0.104386014</v>
      </c>
      <c r="H1606" s="9">
        <v>-9.4614827250000005E-2</v>
      </c>
      <c r="I1606" s="10">
        <v>0.294972238773688</v>
      </c>
      <c r="J1606" s="10">
        <v>8.7008621647162096E-2</v>
      </c>
      <c r="K1606" s="10">
        <v>-0.12605154399999999</v>
      </c>
      <c r="L1606" s="10">
        <v>-0.47891911399999998</v>
      </c>
      <c r="M1606" s="10">
        <v>-0.53806160700000005</v>
      </c>
      <c r="N1606" s="10">
        <v>-0.34421668</v>
      </c>
      <c r="O1606" s="9">
        <v>-0.37181223624999998</v>
      </c>
      <c r="P1606" s="10">
        <v>0.18282101366826001</v>
      </c>
      <c r="Q1606" s="10">
        <v>3.3423523038690103E-2</v>
      </c>
    </row>
    <row r="1607" spans="1:17" x14ac:dyDescent="0.2">
      <c r="A1607" s="10">
        <v>1768</v>
      </c>
      <c r="B1607" s="10" t="s">
        <v>2832</v>
      </c>
      <c r="C1607" s="9" t="s">
        <v>1289</v>
      </c>
      <c r="D1607" s="10">
        <v>-0.70343472600000001</v>
      </c>
      <c r="E1607" s="10">
        <v>-0.66934468300000005</v>
      </c>
      <c r="F1607" s="10">
        <v>-0.40289721499999998</v>
      </c>
      <c r="G1607" s="10">
        <v>-1.5257177280000001</v>
      </c>
      <c r="H1607" s="9">
        <v>-0.82534858799999999</v>
      </c>
      <c r="I1607" s="10">
        <v>0.48586085214353603</v>
      </c>
      <c r="J1607" s="10">
        <v>0.23606076764564199</v>
      </c>
      <c r="K1607" s="10">
        <v>8.6850599000000001E-2</v>
      </c>
      <c r="L1607" s="10">
        <v>-7.2847467999999999E-2</v>
      </c>
      <c r="M1607" s="10">
        <v>-0.88539363400000004</v>
      </c>
      <c r="N1607" s="10">
        <v>-0.21030449000000001</v>
      </c>
      <c r="O1607" s="9">
        <v>-0.27042374850000001</v>
      </c>
      <c r="P1607" s="10">
        <v>0.42758376618398303</v>
      </c>
      <c r="Q1607" s="10">
        <v>0.182827877104079</v>
      </c>
    </row>
    <row r="1608" spans="1:17" x14ac:dyDescent="0.2">
      <c r="A1608" s="10">
        <v>1769</v>
      </c>
      <c r="B1608" s="10" t="s">
        <v>2819</v>
      </c>
      <c r="C1608" s="9" t="s">
        <v>1292</v>
      </c>
      <c r="D1608" s="10">
        <v>-0.15247454299999999</v>
      </c>
      <c r="E1608" s="10">
        <v>-0.41884242799999999</v>
      </c>
      <c r="F1608" s="10">
        <v>-0.31869605400000001</v>
      </c>
      <c r="G1608" s="10">
        <v>0.20118511</v>
      </c>
      <c r="H1608" s="9">
        <v>-0.17220697874999999</v>
      </c>
      <c r="I1608" s="10">
        <v>0.27209012903574498</v>
      </c>
      <c r="J1608" s="10">
        <v>7.4033038318688404E-2</v>
      </c>
      <c r="K1608" s="10">
        <v>-0.140303119</v>
      </c>
      <c r="L1608" s="10">
        <v>0.35723142000000002</v>
      </c>
      <c r="M1608" s="10">
        <v>-0.20745385399999999</v>
      </c>
      <c r="N1608" s="10">
        <v>-7.72064E-3</v>
      </c>
      <c r="O1608" s="9">
        <v>4.3845149999999997E-4</v>
      </c>
      <c r="P1608" s="10">
        <v>0.25192273517757902</v>
      </c>
      <c r="Q1608" s="10">
        <v>6.3465064499353005E-2</v>
      </c>
    </row>
    <row r="1609" spans="1:17" x14ac:dyDescent="0.2">
      <c r="A1609" s="10">
        <v>1769</v>
      </c>
      <c r="B1609" s="10" t="s">
        <v>2826</v>
      </c>
      <c r="C1609" s="9" t="s">
        <v>1293</v>
      </c>
      <c r="D1609" s="10">
        <v>-1.362817363</v>
      </c>
      <c r="E1609" s="10">
        <v>0.563490084</v>
      </c>
      <c r="F1609" s="10">
        <v>0.766163488</v>
      </c>
      <c r="G1609" s="10">
        <v>6.7915452000000001E-2</v>
      </c>
      <c r="H1609" s="9">
        <v>8.6879155000000007E-3</v>
      </c>
      <c r="I1609" s="10">
        <v>0.96022728544508695</v>
      </c>
      <c r="J1609" s="10">
        <v>0.92203643971324201</v>
      </c>
      <c r="K1609" s="10">
        <v>-0.99835306499999998</v>
      </c>
      <c r="L1609" s="10">
        <v>0.12568418100000001</v>
      </c>
      <c r="M1609" s="10">
        <v>-0.13657514900000001</v>
      </c>
      <c r="N1609" s="10">
        <v>-0.322245595</v>
      </c>
      <c r="O1609" s="9">
        <v>-0.33287240675000002</v>
      </c>
      <c r="P1609" s="10">
        <v>0.480202802019423</v>
      </c>
      <c r="Q1609" s="10">
        <v>0.23059473106730499</v>
      </c>
    </row>
    <row r="1610" spans="1:17" x14ac:dyDescent="0.2">
      <c r="A1610" s="10">
        <v>1769</v>
      </c>
      <c r="B1610" s="10" t="s">
        <v>2824</v>
      </c>
      <c r="C1610" s="9" t="s">
        <v>1297</v>
      </c>
      <c r="D1610" s="10">
        <v>0.79907150400000004</v>
      </c>
      <c r="E1610" s="10">
        <v>0.41864374900000001</v>
      </c>
      <c r="F1610" s="10">
        <v>-0.34492136200000001</v>
      </c>
      <c r="G1610" s="10">
        <v>0.17742266600000001</v>
      </c>
      <c r="H1610" s="9">
        <v>0.26255413950000001</v>
      </c>
      <c r="I1610" s="10">
        <v>0.47905765182172799</v>
      </c>
      <c r="J1610" s="10">
        <v>0.22949623376894801</v>
      </c>
      <c r="K1610" s="10">
        <v>-0.48608790800000001</v>
      </c>
      <c r="L1610" s="10">
        <v>0.63205594099999995</v>
      </c>
      <c r="M1610" s="10">
        <v>-4.5321108999999998E-2</v>
      </c>
      <c r="N1610" s="10">
        <v>0.37616068499999999</v>
      </c>
      <c r="O1610" s="9">
        <v>0.11920190225000001</v>
      </c>
      <c r="P1610" s="10">
        <v>0.49074455565592601</v>
      </c>
      <c r="Q1610" s="10">
        <v>0.24083021890593201</v>
      </c>
    </row>
    <row r="1611" spans="1:17" x14ac:dyDescent="0.2">
      <c r="A1611" s="10">
        <v>1769</v>
      </c>
      <c r="B1611" s="10" t="s">
        <v>82</v>
      </c>
      <c r="C1611" s="9" t="s">
        <v>1298</v>
      </c>
      <c r="D1611" s="10">
        <v>-0.24502016700000001</v>
      </c>
      <c r="E1611" s="10">
        <v>-0.18240877899999999</v>
      </c>
      <c r="F1611" s="10">
        <v>0.27589631999999997</v>
      </c>
      <c r="G1611" s="10">
        <v>7.6023906000000002E-2</v>
      </c>
      <c r="H1611" s="9">
        <v>-1.887718E-2</v>
      </c>
      <c r="I1611" s="10">
        <v>0.24068019366440599</v>
      </c>
      <c r="J1611" s="10">
        <v>5.7926955622336102E-2</v>
      </c>
      <c r="K1611" s="10">
        <v>-1.91476011</v>
      </c>
      <c r="L1611" s="10">
        <v>9.7779816000000006E-2</v>
      </c>
      <c r="M1611" s="10">
        <v>-0.37367962300000002</v>
      </c>
      <c r="N1611" s="10">
        <v>-8.4740435000000003E-2</v>
      </c>
      <c r="O1611" s="9">
        <v>-0.56885008800000003</v>
      </c>
      <c r="P1611" s="10">
        <v>0.91802739297604596</v>
      </c>
      <c r="Q1611" s="10">
        <v>0.84277429425439498</v>
      </c>
    </row>
    <row r="1612" spans="1:17" x14ac:dyDescent="0.2">
      <c r="A1612" s="10">
        <v>1769</v>
      </c>
      <c r="B1612" s="10" t="s">
        <v>2814</v>
      </c>
      <c r="C1612" s="9" t="s">
        <v>1299</v>
      </c>
      <c r="D1612" s="10">
        <v>0.195701132</v>
      </c>
      <c r="E1612" s="10">
        <v>3.6973721000000001E-2</v>
      </c>
      <c r="F1612" s="10">
        <v>3.2071703999999999E-2</v>
      </c>
      <c r="G1612" s="10">
        <v>-0.42661603100000001</v>
      </c>
      <c r="H1612" s="9">
        <v>-4.0467368500000003E-2</v>
      </c>
      <c r="I1612" s="10">
        <v>0.26841844792603498</v>
      </c>
      <c r="J1612" s="10">
        <v>7.2048463187021503E-2</v>
      </c>
      <c r="K1612" s="10">
        <v>0.396107816</v>
      </c>
      <c r="L1612" s="10">
        <v>-0.144894369</v>
      </c>
      <c r="M1612" s="10">
        <v>0.23198575499999999</v>
      </c>
      <c r="N1612" s="10">
        <v>-9.8599905000000002E-2</v>
      </c>
      <c r="O1612" s="9">
        <v>9.6149824250000002E-2</v>
      </c>
      <c r="P1612" s="10">
        <v>0.26105935279159698</v>
      </c>
      <c r="Q1612" s="10">
        <v>6.8151985679967803E-2</v>
      </c>
    </row>
    <row r="1613" spans="1:17" x14ac:dyDescent="0.2">
      <c r="A1613" s="10">
        <v>1769</v>
      </c>
      <c r="B1613" s="10" t="s">
        <v>2833</v>
      </c>
      <c r="C1613" s="9" t="s">
        <v>1300</v>
      </c>
      <c r="D1613" s="10">
        <v>-0.30733972199999998</v>
      </c>
      <c r="E1613" s="10">
        <v>-0.35532494199999998</v>
      </c>
      <c r="F1613" s="10">
        <v>0.736300175</v>
      </c>
      <c r="G1613" s="10">
        <v>0.26502882799999999</v>
      </c>
      <c r="H1613" s="9">
        <v>8.4666084749999995E-2</v>
      </c>
      <c r="I1613" s="10">
        <v>0.51782183643760704</v>
      </c>
      <c r="J1613" s="10">
        <v>0.26813945429161601</v>
      </c>
      <c r="K1613" s="10">
        <v>1.026339143</v>
      </c>
      <c r="L1613" s="10">
        <v>-1.2657905599999999</v>
      </c>
      <c r="M1613" s="10">
        <v>0.66244241800000003</v>
      </c>
      <c r="N1613" s="10">
        <v>-0.46909843299999998</v>
      </c>
      <c r="O1613" s="9">
        <v>-1.1526857749999999E-2</v>
      </c>
      <c r="P1613" s="10">
        <v>1.0510232476696799</v>
      </c>
      <c r="Q1613" s="10">
        <v>1.1046498671421401</v>
      </c>
    </row>
    <row r="1614" spans="1:17" x14ac:dyDescent="0.2">
      <c r="A1614" s="10">
        <v>1769</v>
      </c>
      <c r="B1614" s="10" t="s">
        <v>2825</v>
      </c>
      <c r="C1614" s="9" t="s">
        <v>1301</v>
      </c>
      <c r="D1614" s="10">
        <v>0.170348939</v>
      </c>
      <c r="E1614" s="10">
        <v>0.49262362199999998</v>
      </c>
      <c r="F1614" s="10">
        <v>0.59545678099999999</v>
      </c>
      <c r="G1614" s="10">
        <v>0.32624040700000001</v>
      </c>
      <c r="H1614" s="9">
        <v>0.39616743700000001</v>
      </c>
      <c r="I1614" s="10">
        <v>0.186997167376319</v>
      </c>
      <c r="J1614" s="10">
        <v>3.4967940606767098E-2</v>
      </c>
      <c r="K1614" s="10">
        <v>0.55762063900000003</v>
      </c>
      <c r="L1614" s="10">
        <v>-0.49262652299999998</v>
      </c>
      <c r="M1614" s="10">
        <v>-0.33682256700000002</v>
      </c>
      <c r="N1614" s="10">
        <v>-0.32113993899999999</v>
      </c>
      <c r="O1614" s="9">
        <v>-0.1482420975</v>
      </c>
      <c r="P1614" s="10">
        <v>0.47689939273688597</v>
      </c>
      <c r="Q1614" s="10">
        <v>0.22743303079281099</v>
      </c>
    </row>
    <row r="1615" spans="1:17" x14ac:dyDescent="0.2">
      <c r="A1615" s="10">
        <v>1769</v>
      </c>
      <c r="B1615" s="10" t="s">
        <v>74</v>
      </c>
      <c r="C1615" s="9" t="s">
        <v>1302</v>
      </c>
      <c r="D1615" s="10">
        <v>0.50336475000000003</v>
      </c>
      <c r="E1615" s="10">
        <v>-0.39631514299999998</v>
      </c>
      <c r="F1615" s="10">
        <v>0.13291234299999999</v>
      </c>
      <c r="G1615" s="10">
        <v>-0.35709370699999998</v>
      </c>
      <c r="H1615" s="9">
        <v>-2.9282939250000001E-2</v>
      </c>
      <c r="I1615" s="10">
        <v>0.42902735285369498</v>
      </c>
      <c r="J1615" s="10">
        <v>0.18406446949664901</v>
      </c>
      <c r="K1615" s="10">
        <v>-0.60707396700000005</v>
      </c>
      <c r="L1615" s="10">
        <v>0.241264794</v>
      </c>
      <c r="M1615" s="10">
        <v>-5.1614893000000002E-2</v>
      </c>
      <c r="N1615" s="10">
        <v>0.42965214200000001</v>
      </c>
      <c r="O1615" s="9">
        <v>3.0570192500000001E-3</v>
      </c>
      <c r="P1615" s="10">
        <v>0.45239185856102798</v>
      </c>
      <c r="Q1615" s="10">
        <v>0.20465839369230099</v>
      </c>
    </row>
    <row r="1616" spans="1:17" x14ac:dyDescent="0.2">
      <c r="A1616" s="10">
        <v>1769</v>
      </c>
      <c r="B1616" s="10" t="s">
        <v>2818</v>
      </c>
      <c r="C1616" s="9" t="s">
        <v>1303</v>
      </c>
      <c r="D1616" s="10">
        <v>-0.41912956499999998</v>
      </c>
      <c r="E1616" s="10">
        <v>-8.9910490999999995E-2</v>
      </c>
      <c r="F1616" s="10">
        <v>-0.19069181900000001</v>
      </c>
      <c r="G1616" s="10">
        <v>-0.38647530400000002</v>
      </c>
      <c r="H1616" s="9">
        <v>-0.2715517945</v>
      </c>
      <c r="I1616" s="10">
        <v>0.15760553094840599</v>
      </c>
      <c r="J1616" s="10">
        <v>2.4839503385528899E-2</v>
      </c>
      <c r="K1616" s="10">
        <v>-0.183255904</v>
      </c>
      <c r="L1616" s="10">
        <v>-0.629643077</v>
      </c>
      <c r="M1616" s="10">
        <v>0.18803124099999999</v>
      </c>
      <c r="N1616" s="10">
        <v>0.13464332800000001</v>
      </c>
      <c r="O1616" s="9">
        <v>-0.122556103</v>
      </c>
      <c r="P1616" s="10">
        <v>0.37569389605617898</v>
      </c>
      <c r="Q1616" s="10">
        <v>0.14114590353387099</v>
      </c>
    </row>
    <row r="1617" spans="1:17" x14ac:dyDescent="0.2">
      <c r="A1617" s="10">
        <v>1769</v>
      </c>
      <c r="B1617" s="10" t="s">
        <v>2830</v>
      </c>
      <c r="C1617" s="9" t="s">
        <v>1304</v>
      </c>
      <c r="D1617" s="10">
        <v>0.23322226400000001</v>
      </c>
      <c r="E1617" s="10">
        <v>1.4679540099999999</v>
      </c>
      <c r="F1617" s="10">
        <v>0.25473791800000001</v>
      </c>
      <c r="G1617" s="10">
        <v>-0.25028507999999999</v>
      </c>
      <c r="H1617" s="9">
        <v>0.42640727825000002</v>
      </c>
      <c r="I1617" s="10">
        <v>0.73246682771587401</v>
      </c>
      <c r="J1617" s="10">
        <v>0.53650765370415598</v>
      </c>
      <c r="K1617" s="10">
        <v>-1.204967935</v>
      </c>
      <c r="L1617" s="10">
        <v>-0.414946539</v>
      </c>
      <c r="M1617" s="10">
        <v>1.1400138</v>
      </c>
      <c r="N1617" s="10">
        <v>0.346179452</v>
      </c>
      <c r="O1617" s="9">
        <v>-3.34303055E-2</v>
      </c>
      <c r="P1617" s="10">
        <v>1.006500486915</v>
      </c>
      <c r="Q1617" s="10">
        <v>1.01304323016013</v>
      </c>
    </row>
    <row r="1618" spans="1:17" x14ac:dyDescent="0.2">
      <c r="A1618" s="10">
        <v>1770</v>
      </c>
      <c r="B1618" s="10" t="s">
        <v>2831</v>
      </c>
      <c r="C1618" s="9" t="s">
        <v>1305</v>
      </c>
      <c r="D1618" s="10">
        <v>-1.4248048849999999</v>
      </c>
      <c r="E1618" s="10">
        <v>-4.5418805999999999E-2</v>
      </c>
      <c r="F1618" s="10">
        <v>-1.014744557</v>
      </c>
      <c r="G1618" s="10">
        <v>0.213494778</v>
      </c>
      <c r="H1618" s="9">
        <v>-0.56786836750000003</v>
      </c>
      <c r="I1618" s="10">
        <v>0.77835733722249201</v>
      </c>
      <c r="J1618" s="10">
        <v>0.60584014440808798</v>
      </c>
      <c r="K1618" s="10">
        <v>0.24213259200000001</v>
      </c>
      <c r="L1618" s="10">
        <v>-3.1548858239999999</v>
      </c>
      <c r="M1618" s="10">
        <v>-0.38913625000000002</v>
      </c>
      <c r="N1618" s="10">
        <v>-0.334896572</v>
      </c>
      <c r="O1618" s="9">
        <v>-0.90919651349999997</v>
      </c>
      <c r="P1618" s="10">
        <v>1.52413497750297</v>
      </c>
      <c r="Q1618" s="10">
        <v>2.32298742964799</v>
      </c>
    </row>
    <row r="1619" spans="1:17" x14ac:dyDescent="0.2">
      <c r="A1619" s="10">
        <v>1770</v>
      </c>
      <c r="B1619" s="10" t="s">
        <v>2822</v>
      </c>
      <c r="C1619" s="9" t="s">
        <v>1306</v>
      </c>
      <c r="D1619" s="10">
        <v>0.25914332000000001</v>
      </c>
      <c r="E1619" s="10">
        <v>-2.1820306000000001E-2</v>
      </c>
      <c r="F1619" s="10">
        <v>0.83770641899999998</v>
      </c>
      <c r="G1619" s="10">
        <v>-0.29431412499999998</v>
      </c>
      <c r="H1619" s="9">
        <v>0.195178827</v>
      </c>
      <c r="I1619" s="10">
        <v>0.48429506729764499</v>
      </c>
      <c r="J1619" s="10">
        <v>0.23454171220882999</v>
      </c>
      <c r="K1619" s="10">
        <v>0.237693401</v>
      </c>
      <c r="L1619" s="10">
        <v>-0.20569520699999999</v>
      </c>
      <c r="M1619" s="10">
        <v>-7.7509844999999994E-2</v>
      </c>
      <c r="N1619" s="10">
        <v>4.4349248000000001E-2</v>
      </c>
      <c r="O1619" s="9">
        <v>-2.9060075E-4</v>
      </c>
      <c r="P1619" s="10">
        <v>0.188664574608506</v>
      </c>
      <c r="Q1619" s="10">
        <v>3.5594321712208499E-2</v>
      </c>
    </row>
    <row r="1620" spans="1:17" x14ac:dyDescent="0.2">
      <c r="A1620" s="10">
        <v>1770</v>
      </c>
      <c r="B1620" s="10" t="s">
        <v>2824</v>
      </c>
      <c r="C1620" s="9" t="s">
        <v>1309</v>
      </c>
      <c r="D1620" s="10">
        <v>-0.59372896799999997</v>
      </c>
      <c r="E1620" s="10">
        <v>-0.31537384600000001</v>
      </c>
      <c r="F1620" s="10">
        <v>-1.565524422</v>
      </c>
      <c r="G1620" s="10">
        <v>-0.85784976000000002</v>
      </c>
      <c r="H1620" s="9">
        <v>-0.83311924900000001</v>
      </c>
      <c r="I1620" s="10">
        <v>0.53615823055523804</v>
      </c>
      <c r="J1620" s="10">
        <v>0.287465648192124</v>
      </c>
      <c r="K1620" s="10">
        <v>0.15412832800000001</v>
      </c>
      <c r="L1620" s="10">
        <v>0.64955250399999998</v>
      </c>
      <c r="M1620" s="10">
        <v>-0.87966961799999999</v>
      </c>
      <c r="N1620" s="10">
        <v>-0.29421966199999999</v>
      </c>
      <c r="O1620" s="9">
        <v>-9.2552112249999999E-2</v>
      </c>
      <c r="P1620" s="10">
        <v>0.65110016370800206</v>
      </c>
      <c r="Q1620" s="10">
        <v>0.42393142318058702</v>
      </c>
    </row>
    <row r="1621" spans="1:17" x14ac:dyDescent="0.2">
      <c r="A1621" s="10">
        <v>1770</v>
      </c>
      <c r="B1621" s="10" t="s">
        <v>2814</v>
      </c>
      <c r="C1621" s="9" t="s">
        <v>1311</v>
      </c>
      <c r="D1621" s="10">
        <v>-0.34906946100000003</v>
      </c>
      <c r="E1621" s="10">
        <v>-0.90451956499999997</v>
      </c>
      <c r="F1621" s="10">
        <v>0.446892285</v>
      </c>
      <c r="G1621" s="10">
        <v>-0.21348661799999999</v>
      </c>
      <c r="H1621" s="9">
        <v>-0.25504583949999998</v>
      </c>
      <c r="I1621" s="10">
        <v>0.55530798092382505</v>
      </c>
      <c r="J1621" s="10">
        <v>0.30836695367769601</v>
      </c>
      <c r="K1621" s="10">
        <v>6.0012110000000002E-3</v>
      </c>
      <c r="L1621" s="10">
        <v>0.42542681799999998</v>
      </c>
      <c r="M1621" s="10">
        <v>-0.30427815200000002</v>
      </c>
      <c r="N1621" s="10">
        <v>-0.21751690500000001</v>
      </c>
      <c r="O1621" s="9">
        <v>-2.259175725E-2</v>
      </c>
      <c r="P1621" s="10">
        <v>0.32602721758313202</v>
      </c>
      <c r="Q1621" s="10">
        <v>0.106293746604999</v>
      </c>
    </row>
    <row r="1622" spans="1:17" x14ac:dyDescent="0.2">
      <c r="A1622" s="10">
        <v>1770</v>
      </c>
      <c r="B1622" s="10" t="s">
        <v>2825</v>
      </c>
      <c r="C1622" s="9" t="s">
        <v>1313</v>
      </c>
      <c r="D1622" s="10">
        <v>-0.35101437000000002</v>
      </c>
      <c r="E1622" s="10">
        <v>0.94548301300000004</v>
      </c>
      <c r="F1622" s="10">
        <v>-0.76575896399999999</v>
      </c>
      <c r="G1622" s="10">
        <v>-0.42602071800000002</v>
      </c>
      <c r="H1622" s="9">
        <v>-0.14932775975000001</v>
      </c>
      <c r="I1622" s="10">
        <v>0.75184983864284705</v>
      </c>
      <c r="J1622" s="10">
        <v>0.56527817986727602</v>
      </c>
      <c r="K1622" s="10">
        <v>0.138948979</v>
      </c>
      <c r="L1622" s="10">
        <v>0.806790805</v>
      </c>
      <c r="M1622" s="10">
        <v>-0.29956252700000002</v>
      </c>
      <c r="N1622" s="10">
        <v>-0.11431874</v>
      </c>
      <c r="O1622" s="9">
        <v>0.13296462949999999</v>
      </c>
      <c r="P1622" s="10">
        <v>0.48384099770108502</v>
      </c>
      <c r="Q1622" s="10">
        <v>0.23410211105638101</v>
      </c>
    </row>
    <row r="1623" spans="1:17" x14ac:dyDescent="0.2">
      <c r="A1623" s="10">
        <v>1770</v>
      </c>
      <c r="B1623" s="10" t="s">
        <v>74</v>
      </c>
      <c r="C1623" s="9" t="s">
        <v>1314</v>
      </c>
      <c r="D1623" s="10">
        <v>4.1059089999999996E-3</v>
      </c>
      <c r="E1623" s="10">
        <v>-0.38372350700000002</v>
      </c>
      <c r="F1623" s="10">
        <v>-1.3557605E-2</v>
      </c>
      <c r="G1623" s="10">
        <v>-0.27943031299999999</v>
      </c>
      <c r="H1623" s="9">
        <v>-0.16815137899999999</v>
      </c>
      <c r="I1623" s="10">
        <v>0.19358559842379999</v>
      </c>
      <c r="J1623" s="10">
        <v>3.7475383917100903E-2</v>
      </c>
      <c r="K1623" s="10">
        <v>-0.65758153100000005</v>
      </c>
      <c r="L1623" s="10">
        <v>-2.521725E-2</v>
      </c>
      <c r="M1623" s="10">
        <v>0.38285000200000002</v>
      </c>
      <c r="N1623" s="10">
        <v>0.21804623200000001</v>
      </c>
      <c r="O1623" s="9">
        <v>-2.0475636750000002E-2</v>
      </c>
      <c r="P1623" s="10">
        <v>0.456614591725301</v>
      </c>
      <c r="Q1623" s="10">
        <v>0.20849688537646399</v>
      </c>
    </row>
    <row r="1624" spans="1:17" x14ac:dyDescent="0.2">
      <c r="A1624" s="10">
        <v>1770</v>
      </c>
      <c r="B1624" s="10" t="s">
        <v>2818</v>
      </c>
      <c r="C1624" s="9" t="s">
        <v>1315</v>
      </c>
      <c r="D1624" s="10">
        <v>5.3427689E-2</v>
      </c>
      <c r="E1624" s="10">
        <v>-0.150571811</v>
      </c>
      <c r="F1624" s="10">
        <v>-1.1022499830000001</v>
      </c>
      <c r="G1624" s="10">
        <v>0.61317645799999998</v>
      </c>
      <c r="H1624" s="9">
        <v>-0.14655441150000001</v>
      </c>
      <c r="I1624" s="10">
        <v>0.71427212355774505</v>
      </c>
      <c r="J1624" s="10">
        <v>0.51018466649169003</v>
      </c>
      <c r="K1624" s="10">
        <v>-0.14316264400000001</v>
      </c>
      <c r="L1624" s="10">
        <v>0.192502907</v>
      </c>
      <c r="M1624" s="10">
        <v>7.5692986000000004E-2</v>
      </c>
      <c r="N1624" s="10">
        <v>1.0415954E-2</v>
      </c>
      <c r="O1624" s="9">
        <v>3.3862300749999998E-2</v>
      </c>
      <c r="P1624" s="10">
        <v>0.140005012314457</v>
      </c>
      <c r="Q1624" s="10">
        <v>1.96014034731712E-2</v>
      </c>
    </row>
    <row r="1625" spans="1:17" x14ac:dyDescent="0.2">
      <c r="A1625" s="10">
        <v>1770</v>
      </c>
      <c r="B1625" s="10" t="s">
        <v>2830</v>
      </c>
      <c r="C1625" s="9" t="s">
        <v>59</v>
      </c>
      <c r="D1625" s="10">
        <v>-0.28275145800000001</v>
      </c>
      <c r="E1625" s="10">
        <v>-0.70504937199999995</v>
      </c>
      <c r="F1625" s="10">
        <v>-0.79206765700000004</v>
      </c>
      <c r="G1625" s="10">
        <v>-0.45432814300000002</v>
      </c>
      <c r="H1625" s="9">
        <v>-0.5585491575</v>
      </c>
      <c r="I1625" s="10">
        <v>0.233037617399837</v>
      </c>
      <c r="J1625" s="10">
        <v>5.4306531123393002E-2</v>
      </c>
      <c r="K1625" s="10">
        <v>-0.26084833699999999</v>
      </c>
      <c r="L1625" s="10">
        <v>0.323969228</v>
      </c>
      <c r="M1625" s="10">
        <v>-0.116980599</v>
      </c>
      <c r="N1625" s="10">
        <v>0.16169874200000001</v>
      </c>
      <c r="O1625" s="9">
        <v>2.695975825E-2</v>
      </c>
      <c r="P1625" s="10">
        <v>0.26452570448499502</v>
      </c>
      <c r="Q1625" s="10">
        <v>6.9973848333283198E-2</v>
      </c>
    </row>
    <row r="1626" spans="1:17" x14ac:dyDescent="0.2">
      <c r="A1626" s="10">
        <v>1771</v>
      </c>
      <c r="B1626" s="10" t="s">
        <v>2822</v>
      </c>
      <c r="C1626" s="9" t="s">
        <v>1317</v>
      </c>
      <c r="D1626" s="10">
        <v>0.379160742</v>
      </c>
      <c r="E1626" s="10">
        <v>-0.51435008900000001</v>
      </c>
      <c r="F1626" s="10">
        <v>-0.22273923900000001</v>
      </c>
      <c r="G1626" s="10">
        <v>-0.83870121900000005</v>
      </c>
      <c r="H1626" s="9">
        <v>-0.2991574515</v>
      </c>
      <c r="I1626" s="10">
        <v>0.51748451284944996</v>
      </c>
      <c r="J1626" s="10">
        <v>0.26779022103903299</v>
      </c>
      <c r="K1626" s="10">
        <v>0.12210631800000001</v>
      </c>
      <c r="L1626" s="10">
        <v>1.1410577209999999</v>
      </c>
      <c r="M1626" s="10">
        <v>6.8843503E-2</v>
      </c>
      <c r="N1626" s="10">
        <v>0.23093787299999999</v>
      </c>
      <c r="O1626" s="9">
        <v>0.39073635374999999</v>
      </c>
      <c r="P1626" s="10">
        <v>0.50474244655828304</v>
      </c>
      <c r="Q1626" s="10">
        <v>0.254764937357641</v>
      </c>
    </row>
    <row r="1627" spans="1:17" x14ac:dyDescent="0.2">
      <c r="A1627" s="10">
        <v>1771</v>
      </c>
      <c r="B1627" s="10" t="s">
        <v>2826</v>
      </c>
      <c r="C1627" s="9" t="s">
        <v>1318</v>
      </c>
      <c r="D1627" s="10">
        <v>0.44184068399999998</v>
      </c>
      <c r="E1627" s="10">
        <v>0.94092907299999995</v>
      </c>
      <c r="F1627" s="10">
        <v>0.43285426900000001</v>
      </c>
      <c r="G1627" s="10">
        <v>-0.531104833</v>
      </c>
      <c r="H1627" s="9">
        <v>0.32112979824999999</v>
      </c>
      <c r="I1627" s="10">
        <v>0.61576740278164699</v>
      </c>
      <c r="J1627" s="10">
        <v>0.37916949432845498</v>
      </c>
      <c r="K1627" s="10">
        <v>-1.0531764459999999</v>
      </c>
      <c r="L1627" s="10">
        <v>-1.0830136779999999</v>
      </c>
      <c r="M1627" s="10">
        <v>4.0055146999999999E-2</v>
      </c>
      <c r="N1627" s="10">
        <v>0.23222237400000001</v>
      </c>
      <c r="O1627" s="9">
        <v>-0.46597815074999999</v>
      </c>
      <c r="P1627" s="10">
        <v>0.699782907056683</v>
      </c>
      <c r="Q1627" s="10">
        <v>0.48969611700870203</v>
      </c>
    </row>
    <row r="1628" spans="1:17" x14ac:dyDescent="0.2">
      <c r="A1628" s="10">
        <v>1771</v>
      </c>
      <c r="B1628" s="10" t="s">
        <v>2821</v>
      </c>
      <c r="C1628" s="9" t="s">
        <v>1319</v>
      </c>
      <c r="D1628" s="10">
        <v>-0.32038987299999999</v>
      </c>
      <c r="E1628" s="10">
        <v>0.37805212300000002</v>
      </c>
      <c r="F1628" s="10">
        <v>-1.1043861150000001</v>
      </c>
      <c r="G1628" s="10">
        <v>-0.440667802</v>
      </c>
      <c r="H1628" s="9">
        <v>-0.37184791649999999</v>
      </c>
      <c r="I1628" s="10">
        <v>0.60727434447834405</v>
      </c>
      <c r="J1628" s="10">
        <v>0.36878212946160199</v>
      </c>
      <c r="K1628" s="10">
        <v>-0.22543570499999999</v>
      </c>
      <c r="L1628" s="10">
        <v>0.250102936</v>
      </c>
      <c r="M1628" s="10">
        <v>-0.222006658</v>
      </c>
      <c r="N1628" s="10">
        <v>-0.50530572699999998</v>
      </c>
      <c r="O1628" s="9">
        <v>-0.17566128824999999</v>
      </c>
      <c r="P1628" s="10">
        <v>0.31335071751956201</v>
      </c>
      <c r="Q1628" s="10">
        <v>9.8188672170024499E-2</v>
      </c>
    </row>
    <row r="1629" spans="1:17" x14ac:dyDescent="0.2">
      <c r="A1629" s="10">
        <v>1771</v>
      </c>
      <c r="B1629" s="10" t="s">
        <v>79</v>
      </c>
      <c r="C1629" s="9" t="s">
        <v>1321</v>
      </c>
      <c r="D1629" s="10">
        <v>-0.85995721300000005</v>
      </c>
      <c r="E1629" s="10">
        <v>1.7557257049999999</v>
      </c>
      <c r="F1629" s="10">
        <v>0.16679839199999999</v>
      </c>
      <c r="G1629" s="10">
        <v>-0.68087406299999997</v>
      </c>
      <c r="H1629" s="9">
        <v>9.5423205250000004E-2</v>
      </c>
      <c r="I1629" s="10">
        <v>1.19402512539556</v>
      </c>
      <c r="J1629" s="10">
        <v>1.42569600007588</v>
      </c>
      <c r="K1629" s="10">
        <v>5.4992859999999999E-3</v>
      </c>
      <c r="L1629" s="10">
        <v>0.93847659299999997</v>
      </c>
      <c r="M1629" s="10">
        <v>-0.247144895</v>
      </c>
      <c r="N1629" s="10">
        <v>1.1373301469999999</v>
      </c>
      <c r="O1629" s="9">
        <v>0.45854028274999997</v>
      </c>
      <c r="P1629" s="10">
        <v>0.68174586089373002</v>
      </c>
      <c r="Q1629" s="10">
        <v>0.46477741884573298</v>
      </c>
    </row>
    <row r="1630" spans="1:17" x14ac:dyDescent="0.2">
      <c r="A1630" s="10">
        <v>1771</v>
      </c>
      <c r="B1630" s="10" t="s">
        <v>2824</v>
      </c>
      <c r="C1630" s="9" t="s">
        <v>1322</v>
      </c>
      <c r="D1630" s="10">
        <v>0.59016698599999995</v>
      </c>
      <c r="E1630" s="10">
        <v>0.45601813600000002</v>
      </c>
      <c r="F1630" s="10">
        <v>0.152999052</v>
      </c>
      <c r="G1630" s="10">
        <v>-6.4017409999999997E-2</v>
      </c>
      <c r="H1630" s="9">
        <v>0.28379169100000001</v>
      </c>
      <c r="I1630" s="10">
        <v>0.29529965283797599</v>
      </c>
      <c r="J1630" s="10">
        <v>8.7201884966229104E-2</v>
      </c>
      <c r="K1630" s="10">
        <v>0.280204536</v>
      </c>
      <c r="L1630" s="10">
        <v>0.51608576299999998</v>
      </c>
      <c r="M1630" s="10">
        <v>-1.0789547E-2</v>
      </c>
      <c r="N1630" s="10">
        <v>-0.16543950599999999</v>
      </c>
      <c r="O1630" s="9">
        <v>0.1550153115</v>
      </c>
      <c r="P1630" s="10">
        <v>0.30343958983543301</v>
      </c>
      <c r="Q1630" s="10">
        <v>9.20755846794961E-2</v>
      </c>
    </row>
    <row r="1631" spans="1:17" x14ac:dyDescent="0.2">
      <c r="A1631" s="10">
        <v>1771</v>
      </c>
      <c r="B1631" s="10" t="s">
        <v>2833</v>
      </c>
      <c r="C1631" s="9" t="s">
        <v>1323</v>
      </c>
      <c r="D1631" s="10">
        <v>0.106658762</v>
      </c>
      <c r="E1631" s="10">
        <v>-0.30124220899999998</v>
      </c>
      <c r="F1631" s="10">
        <v>0.43399113299999997</v>
      </c>
      <c r="G1631" s="10">
        <v>1.115331283</v>
      </c>
      <c r="H1631" s="9">
        <v>0.33868474225</v>
      </c>
      <c r="I1631" s="10">
        <v>0.59877812135042296</v>
      </c>
      <c r="J1631" s="10">
        <v>0.35853523860794201</v>
      </c>
      <c r="K1631" s="10">
        <v>0.21252831699999999</v>
      </c>
      <c r="L1631" s="10">
        <v>0.44944862899999999</v>
      </c>
      <c r="M1631" s="10">
        <v>0.96317480499999997</v>
      </c>
      <c r="N1631" s="10">
        <v>-0.73195555300000004</v>
      </c>
      <c r="O1631" s="9">
        <v>0.22329904924999999</v>
      </c>
      <c r="P1631" s="10">
        <v>0.70973871487112306</v>
      </c>
      <c r="Q1631" s="10">
        <v>0.50372904338691404</v>
      </c>
    </row>
    <row r="1632" spans="1:17" x14ac:dyDescent="0.2">
      <c r="A1632" s="10">
        <v>1771</v>
      </c>
      <c r="B1632" s="10" t="s">
        <v>2825</v>
      </c>
      <c r="C1632" s="9" t="s">
        <v>1324</v>
      </c>
      <c r="D1632" s="10">
        <v>-0.683180342</v>
      </c>
      <c r="E1632" s="10">
        <v>0.45965854099999998</v>
      </c>
      <c r="F1632" s="10">
        <v>0.68491101399999998</v>
      </c>
      <c r="G1632" s="10">
        <v>-0.14399547500000001</v>
      </c>
      <c r="H1632" s="9">
        <v>7.9348434250000002E-2</v>
      </c>
      <c r="I1632" s="10">
        <v>0.617164065625466</v>
      </c>
      <c r="J1632" s="10">
        <v>0.38089148389935501</v>
      </c>
      <c r="K1632" s="10">
        <v>-0.30667439200000002</v>
      </c>
      <c r="L1632" s="10">
        <v>0.78922488499999999</v>
      </c>
      <c r="M1632" s="10">
        <v>0.32268161099999998</v>
      </c>
      <c r="N1632" s="10">
        <v>-1.2647769999999999E-2</v>
      </c>
      <c r="O1632" s="9">
        <v>0.19814608349999999</v>
      </c>
      <c r="P1632" s="10">
        <v>0.47051780283350397</v>
      </c>
      <c r="Q1632" s="10">
        <v>0.22138700278326801</v>
      </c>
    </row>
    <row r="1633" spans="1:17" x14ac:dyDescent="0.2">
      <c r="A1633" s="10">
        <v>1771</v>
      </c>
      <c r="B1633" s="10" t="s">
        <v>74</v>
      </c>
      <c r="C1633" s="9" t="s">
        <v>1325</v>
      </c>
      <c r="D1633" s="10">
        <v>-0.74962222499999998</v>
      </c>
      <c r="E1633" s="10">
        <v>-0.41200151200000001</v>
      </c>
      <c r="F1633" s="10">
        <v>0.66356237299999998</v>
      </c>
      <c r="G1633" s="10">
        <v>-0.87453060800000004</v>
      </c>
      <c r="H1633" s="9">
        <v>-0.34314799299999998</v>
      </c>
      <c r="I1633" s="10">
        <v>0.69899817665350295</v>
      </c>
      <c r="J1633" s="10">
        <v>0.48859845096492099</v>
      </c>
      <c r="K1633" s="10">
        <v>0.71942227800000003</v>
      </c>
      <c r="L1633" s="10">
        <v>0.77708538599999999</v>
      </c>
      <c r="M1633" s="10">
        <v>-0.57871903999999996</v>
      </c>
      <c r="N1633" s="10">
        <v>0.17166416100000001</v>
      </c>
      <c r="O1633" s="9">
        <v>0.27236319624999999</v>
      </c>
      <c r="P1633" s="10">
        <v>0.62957328934280798</v>
      </c>
      <c r="Q1633" s="10">
        <v>0.39636252665392302</v>
      </c>
    </row>
    <row r="1634" spans="1:17" x14ac:dyDescent="0.2">
      <c r="A1634" s="10">
        <v>1771</v>
      </c>
      <c r="B1634" s="10" t="s">
        <v>2818</v>
      </c>
      <c r="C1634" s="9" t="s">
        <v>1326</v>
      </c>
      <c r="D1634" s="10">
        <v>0.14249324799999999</v>
      </c>
      <c r="E1634" s="10">
        <v>-0.22399211099999999</v>
      </c>
      <c r="F1634" s="10">
        <v>0.49341746199999997</v>
      </c>
      <c r="G1634" s="10">
        <v>-0.27129913100000003</v>
      </c>
      <c r="H1634" s="9">
        <v>3.5154866999999999E-2</v>
      </c>
      <c r="I1634" s="10">
        <v>0.35711685440882002</v>
      </c>
      <c r="J1634" s="10">
        <v>0.12753244770284999</v>
      </c>
      <c r="K1634" s="10">
        <v>0.408142538</v>
      </c>
      <c r="L1634" s="10">
        <v>-0.223318779</v>
      </c>
      <c r="M1634" s="10">
        <v>6.3330478999999995E-2</v>
      </c>
      <c r="N1634" s="10">
        <v>-0.31419477299999998</v>
      </c>
      <c r="O1634" s="9">
        <v>-1.6510133749999999E-2</v>
      </c>
      <c r="P1634" s="10">
        <v>0.32562267287165902</v>
      </c>
      <c r="Q1634" s="10">
        <v>0.106030125088083</v>
      </c>
    </row>
    <row r="1635" spans="1:17" x14ac:dyDescent="0.2">
      <c r="A1635" s="10">
        <v>1771</v>
      </c>
      <c r="B1635" s="10" t="s">
        <v>2830</v>
      </c>
      <c r="C1635" s="9" t="s">
        <v>1327</v>
      </c>
      <c r="D1635" s="10">
        <v>0.29376355199999998</v>
      </c>
      <c r="E1635" s="10">
        <v>0.85774062500000003</v>
      </c>
      <c r="F1635" s="10">
        <v>-0.129734658</v>
      </c>
      <c r="G1635" s="10">
        <v>-0.13996552600000001</v>
      </c>
      <c r="H1635" s="9">
        <v>0.22045099800000001</v>
      </c>
      <c r="I1635" s="10">
        <v>0.470475951810573</v>
      </c>
      <c r="J1635" s="10">
        <v>0.221347621232065</v>
      </c>
      <c r="K1635" s="10">
        <v>0.191416696</v>
      </c>
      <c r="L1635" s="10">
        <v>0.77483815499999997</v>
      </c>
      <c r="M1635" s="10">
        <v>-1.4016771000000001E-2</v>
      </c>
      <c r="N1635" s="10">
        <v>-0.47538660999999999</v>
      </c>
      <c r="O1635" s="9">
        <v>0.1192128675</v>
      </c>
      <c r="P1635" s="10">
        <v>0.51844529948607798</v>
      </c>
      <c r="Q1635" s="10">
        <v>0.26878552855920901</v>
      </c>
    </row>
    <row r="1636" spans="1:17" x14ac:dyDescent="0.2">
      <c r="A1636" s="10">
        <v>1772</v>
      </c>
      <c r="B1636" s="10" t="s">
        <v>2831</v>
      </c>
      <c r="C1636" s="9" t="s">
        <v>1328</v>
      </c>
      <c r="D1636" s="10">
        <v>-0.78727308399999996</v>
      </c>
      <c r="E1636" s="10">
        <v>-0.97001084699999995</v>
      </c>
      <c r="F1636" s="10">
        <v>-1.041431343</v>
      </c>
      <c r="G1636" s="10">
        <v>-0.35768198299999998</v>
      </c>
      <c r="H1636" s="9">
        <v>-0.78909931425000002</v>
      </c>
      <c r="I1636" s="10">
        <v>0.30687928366859102</v>
      </c>
      <c r="J1636" s="10">
        <v>9.4174894744947696E-2</v>
      </c>
      <c r="K1636" s="10">
        <v>-1.2590428000000001E-2</v>
      </c>
      <c r="L1636" s="10">
        <v>-0.74147823499999999</v>
      </c>
      <c r="M1636" s="10">
        <v>-0.282615807</v>
      </c>
      <c r="N1636" s="10">
        <v>4.8046143999999999E-2</v>
      </c>
      <c r="O1636" s="9">
        <v>-0.2471595815</v>
      </c>
      <c r="P1636" s="10">
        <v>0.35952616189759501</v>
      </c>
      <c r="Q1636" s="10">
        <v>0.12925906108881499</v>
      </c>
    </row>
    <row r="1637" spans="1:17" x14ac:dyDescent="0.2">
      <c r="A1637" s="10">
        <v>1772</v>
      </c>
      <c r="B1637" s="10" t="s">
        <v>2821</v>
      </c>
      <c r="C1637" s="9" t="s">
        <v>1329</v>
      </c>
      <c r="D1637" s="10">
        <v>-0.14608416699999999</v>
      </c>
      <c r="E1637" s="10">
        <v>7.2204920000000002E-3</v>
      </c>
      <c r="F1637" s="10">
        <v>-8.5616896999999997E-2</v>
      </c>
      <c r="G1637" s="10">
        <v>-0.33800750299999999</v>
      </c>
      <c r="H1637" s="9">
        <v>-0.1406220185</v>
      </c>
      <c r="I1637" s="10">
        <v>0.145915313178236</v>
      </c>
      <c r="J1637" s="10">
        <v>2.1291278619902699E-2</v>
      </c>
      <c r="K1637" s="10">
        <v>-0.111694665</v>
      </c>
      <c r="L1637" s="10">
        <v>7.1278905000000004E-2</v>
      </c>
      <c r="M1637" s="10">
        <v>-0.185267723</v>
      </c>
      <c r="N1637" s="10">
        <v>0.35213303400000001</v>
      </c>
      <c r="O1637" s="9">
        <v>3.1612387499999998E-2</v>
      </c>
      <c r="P1637" s="10">
        <v>0.23936082321471999</v>
      </c>
      <c r="Q1637" s="10">
        <v>5.7293603690028498E-2</v>
      </c>
    </row>
    <row r="1638" spans="1:17" x14ac:dyDescent="0.2">
      <c r="A1638" s="10">
        <v>1772</v>
      </c>
      <c r="B1638" s="10" t="s">
        <v>2834</v>
      </c>
      <c r="C1638" s="9" t="s">
        <v>1330</v>
      </c>
      <c r="D1638" s="10">
        <v>0.85308524299999999</v>
      </c>
      <c r="E1638" s="10">
        <v>0.21630438299999999</v>
      </c>
      <c r="F1638" s="10">
        <v>-0.403890042</v>
      </c>
      <c r="G1638" s="10">
        <v>-0.43127538799999998</v>
      </c>
      <c r="H1638" s="9">
        <v>5.8556048999999999E-2</v>
      </c>
      <c r="I1638" s="10">
        <v>0.60826321077658696</v>
      </c>
      <c r="J1638" s="10">
        <v>0.36998413358424298</v>
      </c>
      <c r="K1638" s="10">
        <v>-1.425892307</v>
      </c>
      <c r="L1638" s="10">
        <v>0.52965773400000005</v>
      </c>
      <c r="M1638" s="10">
        <v>-0.85345366899999997</v>
      </c>
      <c r="N1638" s="10">
        <v>0.21924228600000001</v>
      </c>
      <c r="O1638" s="9">
        <v>-0.38261148900000003</v>
      </c>
      <c r="P1638" s="10">
        <v>0.91370861974495199</v>
      </c>
      <c r="Q1638" s="10">
        <v>0.83486344179622496</v>
      </c>
    </row>
    <row r="1639" spans="1:17" x14ac:dyDescent="0.2">
      <c r="A1639" s="10">
        <v>1772</v>
      </c>
      <c r="B1639" s="10" t="s">
        <v>2824</v>
      </c>
      <c r="C1639" s="9" t="s">
        <v>1332</v>
      </c>
      <c r="D1639" s="10">
        <v>0.163659692</v>
      </c>
      <c r="E1639" s="10">
        <v>0.45783919200000001</v>
      </c>
      <c r="F1639" s="10">
        <v>9.5734713999999999E-2</v>
      </c>
      <c r="G1639" s="10">
        <v>-0.20325438600000001</v>
      </c>
      <c r="H1639" s="9">
        <v>0.12849480325000001</v>
      </c>
      <c r="I1639" s="10">
        <v>0.27131472734176598</v>
      </c>
      <c r="J1639" s="10">
        <v>7.3611681272537102E-2</v>
      </c>
      <c r="K1639" s="10">
        <v>-0.52807760699999995</v>
      </c>
      <c r="L1639" s="10">
        <v>-0.51649726699999998</v>
      </c>
      <c r="M1639" s="10">
        <v>-0.119928203</v>
      </c>
      <c r="N1639" s="10">
        <v>0.57590753500000003</v>
      </c>
      <c r="O1639" s="9">
        <v>-0.14714888549999999</v>
      </c>
      <c r="P1639" s="10">
        <v>0.51803361234651302</v>
      </c>
      <c r="Q1639" s="10">
        <v>0.268358823520777</v>
      </c>
    </row>
    <row r="1640" spans="1:17" x14ac:dyDescent="0.2">
      <c r="A1640" s="10">
        <v>1772</v>
      </c>
      <c r="B1640" s="10" t="s">
        <v>82</v>
      </c>
      <c r="C1640" s="9" t="s">
        <v>1334</v>
      </c>
      <c r="D1640" s="10">
        <v>0.26317333100000001</v>
      </c>
      <c r="E1640" s="10">
        <v>-1.011689579</v>
      </c>
      <c r="F1640" s="10">
        <v>-0.37915695700000002</v>
      </c>
      <c r="G1640" s="10">
        <v>-5.1756746999999999E-2</v>
      </c>
      <c r="H1640" s="9">
        <v>-0.294857488</v>
      </c>
      <c r="I1640" s="10">
        <v>0.54511497637032902</v>
      </c>
      <c r="J1640" s="10">
        <v>0.297150337463224</v>
      </c>
      <c r="K1640" s="10">
        <v>-0.63750007099999995</v>
      </c>
      <c r="L1640" s="10">
        <v>-0.20460925599999999</v>
      </c>
      <c r="M1640" s="10">
        <v>-0.195735187</v>
      </c>
      <c r="N1640" s="10">
        <v>0.343921965</v>
      </c>
      <c r="O1640" s="9">
        <v>-0.17348063725000001</v>
      </c>
      <c r="P1640" s="10">
        <v>0.40186388392199002</v>
      </c>
      <c r="Q1640" s="10">
        <v>0.16149458120086599</v>
      </c>
    </row>
    <row r="1641" spans="1:17" x14ac:dyDescent="0.2">
      <c r="A1641" s="10">
        <v>1772</v>
      </c>
      <c r="B1641" s="10" t="s">
        <v>2833</v>
      </c>
      <c r="C1641" s="9" t="s">
        <v>1335</v>
      </c>
      <c r="D1641" s="10">
        <v>-0.16816366099999999</v>
      </c>
      <c r="E1641" s="10">
        <v>0.47325604599999999</v>
      </c>
      <c r="F1641" s="10">
        <v>0.25835139800000001</v>
      </c>
      <c r="G1641" s="10">
        <v>-0.56841202999999996</v>
      </c>
      <c r="H1641" s="9">
        <v>-1.2420619999999999E-3</v>
      </c>
      <c r="I1641" s="10">
        <v>0.46263081457543398</v>
      </c>
      <c r="J1641" s="10">
        <v>0.21402727059472901</v>
      </c>
      <c r="K1641" s="10">
        <v>-0.122738191</v>
      </c>
      <c r="L1641" s="10">
        <v>-0.18266027700000001</v>
      </c>
      <c r="M1641" s="10">
        <v>-0.37256213999999999</v>
      </c>
      <c r="N1641" s="10">
        <v>-0.188720366</v>
      </c>
      <c r="O1641" s="9">
        <v>-0.2166702435</v>
      </c>
      <c r="P1641" s="10">
        <v>0.108110109540883</v>
      </c>
      <c r="Q1641" s="10">
        <v>1.16877957849418E-2</v>
      </c>
    </row>
    <row r="1642" spans="1:17" x14ac:dyDescent="0.2">
      <c r="A1642" s="10">
        <v>1772</v>
      </c>
      <c r="B1642" s="10" t="s">
        <v>2825</v>
      </c>
      <c r="C1642" s="9" t="s">
        <v>1336</v>
      </c>
      <c r="D1642" s="10">
        <v>0.36103433699999998</v>
      </c>
      <c r="E1642" s="10">
        <v>0.86791674500000004</v>
      </c>
      <c r="F1642" s="10">
        <v>-0.696079377</v>
      </c>
      <c r="G1642" s="10">
        <v>-0.48720879099999997</v>
      </c>
      <c r="H1642" s="9">
        <v>1.14157285E-2</v>
      </c>
      <c r="I1642" s="10">
        <v>0.73143760235763799</v>
      </c>
      <c r="J1642" s="10">
        <v>0.53500096614268999</v>
      </c>
      <c r="K1642" s="10">
        <v>-0.55463622400000001</v>
      </c>
      <c r="L1642" s="10">
        <v>0.95590692099999997</v>
      </c>
      <c r="M1642" s="10">
        <v>-0.42384306399999999</v>
      </c>
      <c r="N1642" s="10">
        <v>-0.47266434200000002</v>
      </c>
      <c r="O1642" s="9">
        <v>-0.12380917725</v>
      </c>
      <c r="P1642" s="10">
        <v>0.72183078723538996</v>
      </c>
      <c r="Q1642" s="10">
        <v>0.52103968540086398</v>
      </c>
    </row>
    <row r="1643" spans="1:17" x14ac:dyDescent="0.2">
      <c r="A1643" s="10">
        <v>1772</v>
      </c>
      <c r="B1643" s="10" t="s">
        <v>74</v>
      </c>
      <c r="C1643" s="9" t="s">
        <v>1337</v>
      </c>
      <c r="D1643" s="10">
        <v>-0.183846972</v>
      </c>
      <c r="E1643" s="10">
        <v>-0.37051286999999999</v>
      </c>
      <c r="F1643" s="10">
        <v>-0.66562197199999995</v>
      </c>
      <c r="G1643" s="10">
        <v>0.42066921299999999</v>
      </c>
      <c r="H1643" s="9">
        <v>-0.19982815025</v>
      </c>
      <c r="I1643" s="10">
        <v>0.45875539371763502</v>
      </c>
      <c r="J1643" s="10">
        <v>0.21045651126502199</v>
      </c>
      <c r="K1643" s="10">
        <v>3.2564234999999997E-2</v>
      </c>
      <c r="L1643" s="10">
        <v>1.0954506770000001</v>
      </c>
      <c r="M1643" s="10">
        <v>6.2030742999999999E-2</v>
      </c>
      <c r="N1643" s="10">
        <v>-0.55505581400000004</v>
      </c>
      <c r="O1643" s="9">
        <v>0.15874746049999999</v>
      </c>
      <c r="P1643" s="10">
        <v>0.68610114908564501</v>
      </c>
      <c r="Q1643" s="10">
        <v>0.47073478677664199</v>
      </c>
    </row>
    <row r="1644" spans="1:17" x14ac:dyDescent="0.2">
      <c r="A1644" s="10">
        <v>1772</v>
      </c>
      <c r="B1644" s="10" t="s">
        <v>2818</v>
      </c>
      <c r="C1644" s="9" t="s">
        <v>1338</v>
      </c>
      <c r="D1644" s="10">
        <v>0.63999375599999997</v>
      </c>
      <c r="E1644" s="10">
        <v>1.3032338859999999</v>
      </c>
      <c r="F1644" s="10">
        <v>-0.105036409</v>
      </c>
      <c r="G1644" s="10">
        <v>-0.89565376799999996</v>
      </c>
      <c r="H1644" s="9">
        <v>0.23563436600000001</v>
      </c>
      <c r="I1644" s="10">
        <v>0.94853302006373696</v>
      </c>
      <c r="J1644" s="10">
        <v>0.89971489015123396</v>
      </c>
      <c r="K1644" s="10">
        <v>-0.74965599500000002</v>
      </c>
      <c r="L1644" s="10">
        <v>8.7672998000000002E-2</v>
      </c>
      <c r="M1644" s="10">
        <v>-0.45075013600000002</v>
      </c>
      <c r="N1644" s="10">
        <v>-0.17184354099999999</v>
      </c>
      <c r="O1644" s="9">
        <v>-0.32114416849999999</v>
      </c>
      <c r="P1644" s="10">
        <v>0.36048219801582398</v>
      </c>
      <c r="Q1644" s="10">
        <v>0.12994741508631899</v>
      </c>
    </row>
    <row r="1645" spans="1:17" x14ac:dyDescent="0.2">
      <c r="A1645" s="10">
        <v>1772</v>
      </c>
      <c r="B1645" s="10" t="s">
        <v>2830</v>
      </c>
      <c r="C1645" s="9" t="s">
        <v>1339</v>
      </c>
      <c r="D1645" s="10">
        <v>-0.51792863700000003</v>
      </c>
      <c r="E1645" s="10">
        <v>0.566100979</v>
      </c>
      <c r="F1645" s="10">
        <v>-0.14785104199999999</v>
      </c>
      <c r="G1645" s="10">
        <v>-0.749441523</v>
      </c>
      <c r="H1645" s="9">
        <v>-0.21228005550000001</v>
      </c>
      <c r="I1645" s="10">
        <v>0.57503380485834299</v>
      </c>
      <c r="J1645" s="10">
        <v>0.33066387672986303</v>
      </c>
      <c r="K1645" s="10">
        <v>0.191950448</v>
      </c>
      <c r="L1645" s="10">
        <v>0.55426947100000001</v>
      </c>
      <c r="M1645" s="10">
        <v>-0.50240501999999998</v>
      </c>
      <c r="N1645" s="10">
        <v>0.39826772799999999</v>
      </c>
      <c r="O1645" s="9">
        <v>0.16052065674999999</v>
      </c>
      <c r="P1645" s="10">
        <v>0.466197412864156</v>
      </c>
      <c r="Q1645" s="10">
        <v>0.21734002776123201</v>
      </c>
    </row>
    <row r="1646" spans="1:17" x14ac:dyDescent="0.2">
      <c r="A1646" s="10">
        <v>1772</v>
      </c>
      <c r="B1646" s="10" t="s">
        <v>2835</v>
      </c>
      <c r="C1646" s="9" t="s">
        <v>1340</v>
      </c>
      <c r="D1646" s="10">
        <v>0.33538801299999998</v>
      </c>
      <c r="E1646" s="10">
        <v>8.9650776000000001E-2</v>
      </c>
      <c r="F1646" s="10">
        <v>0.32467939699999998</v>
      </c>
      <c r="G1646" s="10">
        <v>-0.13285071600000001</v>
      </c>
      <c r="H1646" s="9">
        <v>0.15421686749999999</v>
      </c>
      <c r="I1646" s="10">
        <v>0.222453767176789</v>
      </c>
      <c r="J1646" s="10">
        <v>4.9485678531145397E-2</v>
      </c>
      <c r="K1646" s="10">
        <v>0.36377758100000002</v>
      </c>
      <c r="L1646" s="10">
        <v>0.598973851</v>
      </c>
      <c r="M1646" s="10">
        <v>0.19397078700000001</v>
      </c>
      <c r="N1646" s="10">
        <v>-6.9299276000000007E-2</v>
      </c>
      <c r="O1646" s="9">
        <v>0.27185573574999999</v>
      </c>
      <c r="P1646" s="10">
        <v>0.28160770245313999</v>
      </c>
      <c r="Q1646" s="10">
        <v>7.9302898080936601E-2</v>
      </c>
    </row>
    <row r="1647" spans="1:17" x14ac:dyDescent="0.2">
      <c r="A1647" s="10">
        <v>1773</v>
      </c>
      <c r="B1647" s="10" t="s">
        <v>96</v>
      </c>
      <c r="C1647" s="9" t="s">
        <v>1342</v>
      </c>
      <c r="D1647" s="10">
        <v>0.53864348500000003</v>
      </c>
      <c r="E1647" s="10">
        <v>0.44810671299999999</v>
      </c>
      <c r="F1647" s="10">
        <v>0.71784494499999996</v>
      </c>
      <c r="G1647" s="10">
        <v>0.53861711499999998</v>
      </c>
      <c r="H1647" s="9">
        <v>0.56080306474999997</v>
      </c>
      <c r="I1647" s="10">
        <v>0.113057335293825</v>
      </c>
      <c r="J1647" s="10">
        <v>1.2781961063740299E-2</v>
      </c>
      <c r="K1647" s="10">
        <v>0.30119521500000002</v>
      </c>
      <c r="L1647" s="10">
        <v>0.93322298400000003</v>
      </c>
      <c r="M1647" s="10">
        <v>0.991256056</v>
      </c>
      <c r="N1647" s="10">
        <v>-7.4071656E-2</v>
      </c>
      <c r="O1647" s="9">
        <v>0.53790064974999996</v>
      </c>
      <c r="P1647" s="10">
        <v>0.51392296380492897</v>
      </c>
      <c r="Q1647" s="10">
        <v>0.26411681272604298</v>
      </c>
    </row>
    <row r="1648" spans="1:17" x14ac:dyDescent="0.2">
      <c r="A1648" s="10">
        <v>1773</v>
      </c>
      <c r="B1648" s="10" t="s">
        <v>2824</v>
      </c>
      <c r="C1648" s="9" t="s">
        <v>1343</v>
      </c>
      <c r="D1648" s="10">
        <v>0.73724282200000002</v>
      </c>
      <c r="E1648" s="10">
        <v>6.5728365999999996E-2</v>
      </c>
      <c r="F1648" s="10">
        <v>7.4607849000000004E-2</v>
      </c>
      <c r="G1648" s="10">
        <v>-0.76192018399999994</v>
      </c>
      <c r="H1648" s="9">
        <v>2.8914713250000001E-2</v>
      </c>
      <c r="I1648" s="10">
        <v>0.61389240426349201</v>
      </c>
      <c r="J1648" s="10">
        <v>0.376863884012411</v>
      </c>
      <c r="K1648" s="10">
        <v>-0.499798032</v>
      </c>
      <c r="L1648" s="10">
        <v>0.25978656500000002</v>
      </c>
      <c r="M1648" s="10">
        <v>-1.0089249010000001</v>
      </c>
      <c r="N1648" s="10">
        <v>-7.5068082999999994E-2</v>
      </c>
      <c r="O1648" s="9">
        <v>-0.33100111274999999</v>
      </c>
      <c r="P1648" s="10">
        <v>0.54851461801297896</v>
      </c>
      <c r="Q1648" s="10">
        <v>0.30086828617392403</v>
      </c>
    </row>
    <row r="1649" spans="1:17" x14ac:dyDescent="0.2">
      <c r="A1649" s="10">
        <v>1773</v>
      </c>
      <c r="B1649" s="10" t="s">
        <v>2817</v>
      </c>
      <c r="C1649" s="9" t="s">
        <v>2196</v>
      </c>
      <c r="D1649" s="10">
        <v>-0.219135316</v>
      </c>
      <c r="E1649" s="10">
        <v>1.291027675</v>
      </c>
      <c r="F1649" s="10">
        <v>0.37718453200000002</v>
      </c>
      <c r="G1649" s="10">
        <v>-0.980063821</v>
      </c>
      <c r="H1649" s="9">
        <v>0.11725326725</v>
      </c>
      <c r="I1649" s="10">
        <v>0.95961323698487999</v>
      </c>
      <c r="J1649" s="10">
        <v>0.92085756459659895</v>
      </c>
      <c r="K1649" s="10">
        <v>-0.54894816499999999</v>
      </c>
      <c r="L1649" s="10">
        <v>-0.106176426</v>
      </c>
      <c r="M1649" s="10">
        <v>-0.53450694099999996</v>
      </c>
      <c r="N1649" s="10">
        <v>0.87848451100000002</v>
      </c>
      <c r="O1649" s="9">
        <v>-7.7786755250000006E-2</v>
      </c>
      <c r="P1649" s="10">
        <v>0.66978780474858601</v>
      </c>
      <c r="Q1649" s="10">
        <v>0.44861570338993101</v>
      </c>
    </row>
    <row r="1650" spans="1:17" x14ac:dyDescent="0.2">
      <c r="A1650" s="10">
        <v>1773</v>
      </c>
      <c r="B1650" s="10" t="s">
        <v>2814</v>
      </c>
      <c r="C1650" s="9" t="s">
        <v>1345</v>
      </c>
      <c r="D1650" s="10">
        <v>0.40296960599999998</v>
      </c>
      <c r="E1650" s="10">
        <v>0.73332119399999995</v>
      </c>
      <c r="F1650" s="10">
        <v>0.70552634400000003</v>
      </c>
      <c r="G1650" s="10">
        <v>-0.49505258699999999</v>
      </c>
      <c r="H1650" s="9">
        <v>0.33669113950000001</v>
      </c>
      <c r="I1650" s="10">
        <v>0.57432431891888602</v>
      </c>
      <c r="J1650" s="10">
        <v>0.32984842330164199</v>
      </c>
      <c r="K1650" s="10">
        <v>-0.75371245200000003</v>
      </c>
      <c r="L1650" s="10">
        <v>-0.42470618500000001</v>
      </c>
      <c r="M1650" s="10">
        <v>0.49698368399999998</v>
      </c>
      <c r="N1650" s="10">
        <v>0.26778958000000003</v>
      </c>
      <c r="O1650" s="9">
        <v>-0.1034113435</v>
      </c>
      <c r="P1650" s="10">
        <v>0.58434756254156806</v>
      </c>
      <c r="Q1650" s="10">
        <v>0.34146207384827199</v>
      </c>
    </row>
    <row r="1651" spans="1:17" x14ac:dyDescent="0.2">
      <c r="A1651" s="10">
        <v>1773</v>
      </c>
      <c r="B1651" s="10" t="s">
        <v>74</v>
      </c>
      <c r="C1651" s="9" t="s">
        <v>1346</v>
      </c>
      <c r="D1651" s="10">
        <v>0.953339084</v>
      </c>
      <c r="E1651" s="10">
        <v>0.404095066</v>
      </c>
      <c r="F1651" s="10">
        <v>0.350884525</v>
      </c>
      <c r="G1651" s="10">
        <v>-0.37448142400000001</v>
      </c>
      <c r="H1651" s="9">
        <v>0.33345931249999999</v>
      </c>
      <c r="I1651" s="10">
        <v>0.54489266992507701</v>
      </c>
      <c r="J1651" s="10">
        <v>0.29690802173807901</v>
      </c>
      <c r="K1651" s="10">
        <v>-3.1764848999999998E-2</v>
      </c>
      <c r="L1651" s="10">
        <v>-0.43825728200000003</v>
      </c>
      <c r="M1651" s="10">
        <v>-0.28723436099999999</v>
      </c>
      <c r="N1651" s="10">
        <v>-0.21833271500000001</v>
      </c>
      <c r="O1651" s="9">
        <v>-0.24389730174999999</v>
      </c>
      <c r="P1651" s="10">
        <v>0.16862940454603101</v>
      </c>
      <c r="Q1651" s="10">
        <v>2.8435876077549199E-2</v>
      </c>
    </row>
    <row r="1652" spans="1:17" x14ac:dyDescent="0.2">
      <c r="A1652" s="10">
        <v>1773</v>
      </c>
      <c r="B1652" s="10" t="s">
        <v>2830</v>
      </c>
      <c r="C1652" s="9" t="s">
        <v>1347</v>
      </c>
      <c r="D1652" s="10">
        <v>0.95568058099999997</v>
      </c>
      <c r="E1652" s="10">
        <v>0.97806308399999997</v>
      </c>
      <c r="F1652" s="10">
        <v>0.570282387</v>
      </c>
      <c r="G1652" s="10">
        <v>-1.1483893350000001</v>
      </c>
      <c r="H1652" s="9">
        <v>0.33890917925000003</v>
      </c>
      <c r="I1652" s="10">
        <v>1.0090449457661399</v>
      </c>
      <c r="J1652" s="10">
        <v>1.0181717025762</v>
      </c>
      <c r="K1652" s="10">
        <v>-0.26493187600000001</v>
      </c>
      <c r="L1652" s="10">
        <v>0.70134814000000001</v>
      </c>
      <c r="M1652" s="10">
        <v>-0.33629436600000001</v>
      </c>
      <c r="N1652" s="10">
        <v>0.39142057099999999</v>
      </c>
      <c r="O1652" s="9">
        <v>0.122885617</v>
      </c>
      <c r="P1652" s="10">
        <v>0.50595736865866203</v>
      </c>
      <c r="Q1652" s="10">
        <v>0.25599285889999701</v>
      </c>
    </row>
    <row r="1653" spans="1:17" x14ac:dyDescent="0.2">
      <c r="A1653" s="10">
        <v>1773</v>
      </c>
      <c r="B1653" s="10" t="s">
        <v>2835</v>
      </c>
      <c r="C1653" s="9" t="s">
        <v>1348</v>
      </c>
      <c r="D1653" s="10">
        <v>-0.68147703500000001</v>
      </c>
      <c r="E1653" s="10">
        <v>-0.12754522099999999</v>
      </c>
      <c r="F1653" s="10">
        <v>-0.25462945199999998</v>
      </c>
      <c r="G1653" s="10">
        <v>0.22312025199999999</v>
      </c>
      <c r="H1653" s="9">
        <v>-0.21013286425</v>
      </c>
      <c r="I1653" s="10">
        <v>0.37357473825163101</v>
      </c>
      <c r="J1653" s="10">
        <v>0.13955808505977399</v>
      </c>
      <c r="K1653" s="10">
        <v>-0.47105040100000001</v>
      </c>
      <c r="L1653" s="10">
        <v>0.43574596799999998</v>
      </c>
      <c r="M1653" s="10">
        <v>0.19671831000000001</v>
      </c>
      <c r="N1653" s="10">
        <v>0.40002765499999998</v>
      </c>
      <c r="O1653" s="9">
        <v>0.14036038325</v>
      </c>
      <c r="P1653" s="10">
        <v>0.42098261987123498</v>
      </c>
      <c r="Q1653" s="10">
        <v>0.17722636623364799</v>
      </c>
    </row>
    <row r="1654" spans="1:17" x14ac:dyDescent="0.2">
      <c r="A1654" s="10">
        <v>1774</v>
      </c>
      <c r="B1654" s="10" t="s">
        <v>2831</v>
      </c>
      <c r="C1654" s="9" t="s">
        <v>1349</v>
      </c>
      <c r="D1654" s="10">
        <v>-1.707725237</v>
      </c>
      <c r="E1654" s="10">
        <v>-1.3166604980000001</v>
      </c>
      <c r="F1654" s="10">
        <v>-2.7252755049999999</v>
      </c>
      <c r="G1654" s="10">
        <v>-0.65192856399999999</v>
      </c>
      <c r="H1654" s="9">
        <v>-1.6003974510000001</v>
      </c>
      <c r="I1654" s="10">
        <v>0.86736570105948396</v>
      </c>
      <c r="J1654" s="10">
        <v>0.75232325937441002</v>
      </c>
      <c r="K1654" s="10">
        <v>0.39117077</v>
      </c>
      <c r="L1654" s="10">
        <v>-0.40331407899999999</v>
      </c>
      <c r="M1654" s="10">
        <v>-0.210912768</v>
      </c>
      <c r="N1654" s="10">
        <v>0.56993684499999997</v>
      </c>
      <c r="O1654" s="9">
        <v>8.6720192000000001E-2</v>
      </c>
      <c r="P1654" s="10">
        <v>0.46722851433173401</v>
      </c>
      <c r="Q1654" s="10">
        <v>0.218302484604639</v>
      </c>
    </row>
    <row r="1655" spans="1:17" x14ac:dyDescent="0.2">
      <c r="A1655" s="10">
        <v>1774</v>
      </c>
      <c r="B1655" s="10" t="s">
        <v>2819</v>
      </c>
      <c r="C1655" s="9" t="s">
        <v>2195</v>
      </c>
      <c r="D1655" s="10">
        <v>0.20078232200000001</v>
      </c>
      <c r="E1655" s="10">
        <v>0.34826639700000001</v>
      </c>
      <c r="F1655" s="10">
        <v>0.327361297</v>
      </c>
      <c r="G1655" s="10">
        <v>0.466295507</v>
      </c>
      <c r="H1655" s="9">
        <v>0.33567638100000002</v>
      </c>
      <c r="I1655" s="10">
        <v>0.108758773370713</v>
      </c>
      <c r="J1655" s="10">
        <v>1.1828470785102199E-2</v>
      </c>
      <c r="K1655" s="10">
        <v>-1.0493051499999999</v>
      </c>
      <c r="L1655" s="10">
        <v>-0.97714582500000002</v>
      </c>
      <c r="M1655" s="10">
        <v>-0.25810541999999997</v>
      </c>
      <c r="N1655" s="10">
        <v>0.87963092899999995</v>
      </c>
      <c r="O1655" s="9">
        <v>-0.35123136649999998</v>
      </c>
      <c r="P1655" s="10">
        <v>0.89494326616540298</v>
      </c>
      <c r="Q1655" s="10">
        <v>0.800923449654801</v>
      </c>
    </row>
    <row r="1656" spans="1:17" x14ac:dyDescent="0.2">
      <c r="A1656" s="10">
        <v>1774</v>
      </c>
      <c r="B1656" s="10" t="s">
        <v>2821</v>
      </c>
      <c r="C1656" s="9" t="s">
        <v>1350</v>
      </c>
      <c r="D1656" s="10">
        <v>0.19079833500000001</v>
      </c>
      <c r="E1656" s="10">
        <v>0.160657467</v>
      </c>
      <c r="F1656" s="10">
        <v>0.54686351499999997</v>
      </c>
      <c r="G1656" s="10">
        <v>-0.226027336</v>
      </c>
      <c r="H1656" s="9">
        <v>0.16807299549999999</v>
      </c>
      <c r="I1656" s="10">
        <v>0.31589489817016297</v>
      </c>
      <c r="J1656" s="10">
        <v>9.9789586689938106E-2</v>
      </c>
      <c r="K1656" s="10">
        <v>5.1437180999999998E-2</v>
      </c>
      <c r="L1656" s="10">
        <v>0.146253719</v>
      </c>
      <c r="M1656" s="10">
        <v>0.12350794599999999</v>
      </c>
      <c r="N1656" s="10">
        <v>0.144426728</v>
      </c>
      <c r="O1656" s="9">
        <v>0.1164063935</v>
      </c>
      <c r="P1656" s="10">
        <v>4.4525021451521103E-2</v>
      </c>
      <c r="Q1656" s="10">
        <v>1.9824775352584E-3</v>
      </c>
    </row>
    <row r="1657" spans="1:17" x14ac:dyDescent="0.2">
      <c r="A1657" s="10">
        <v>1774</v>
      </c>
      <c r="B1657" s="10" t="s">
        <v>2834</v>
      </c>
      <c r="C1657" s="9" t="s">
        <v>1351</v>
      </c>
      <c r="D1657" s="10">
        <v>0.39859725600000001</v>
      </c>
      <c r="E1657" s="10">
        <v>0.70818074499999994</v>
      </c>
      <c r="F1657" s="10">
        <v>-0.43358217599999999</v>
      </c>
      <c r="G1657" s="10">
        <v>-7.8181580000000001E-2</v>
      </c>
      <c r="H1657" s="9">
        <v>0.14875356100000001</v>
      </c>
      <c r="I1657" s="10">
        <v>0.50530357704962703</v>
      </c>
      <c r="J1657" s="10">
        <v>0.25533170497914798</v>
      </c>
      <c r="K1657" s="10">
        <v>-6.8453766999999999E-2</v>
      </c>
      <c r="L1657" s="10">
        <v>0.71002081299999997</v>
      </c>
      <c r="M1657" s="10">
        <v>-8.5076046000000002E-2</v>
      </c>
      <c r="N1657" s="10">
        <v>-0.157755863</v>
      </c>
      <c r="O1657" s="9">
        <v>9.9683784499999997E-2</v>
      </c>
      <c r="P1657" s="10">
        <v>0.40873499632155202</v>
      </c>
      <c r="Q1657" s="10">
        <v>0.167064297217979</v>
      </c>
    </row>
    <row r="1658" spans="1:17" x14ac:dyDescent="0.2">
      <c r="A1658" s="10">
        <v>1774</v>
      </c>
      <c r="B1658" s="10" t="s">
        <v>2824</v>
      </c>
      <c r="C1658" s="9" t="s">
        <v>1353</v>
      </c>
      <c r="D1658" s="10">
        <v>0.141217553</v>
      </c>
      <c r="E1658" s="10">
        <v>0.51947162599999996</v>
      </c>
      <c r="F1658" s="10">
        <v>3.8189546999999997E-2</v>
      </c>
      <c r="G1658" s="10">
        <v>-0.32711595799999998</v>
      </c>
      <c r="H1658" s="9">
        <v>9.2940692000000005E-2</v>
      </c>
      <c r="I1658" s="10">
        <v>0.348187961717498</v>
      </c>
      <c r="J1658" s="10">
        <v>0.121234856684986</v>
      </c>
      <c r="K1658" s="10">
        <v>0.110981682</v>
      </c>
      <c r="L1658" s="10">
        <v>0.212756269</v>
      </c>
      <c r="M1658" s="10">
        <v>0.220370275</v>
      </c>
      <c r="N1658" s="10">
        <v>0.112327895</v>
      </c>
      <c r="O1658" s="9">
        <v>0.16410903025000001</v>
      </c>
      <c r="P1658" s="10">
        <v>6.0651140683624601E-2</v>
      </c>
      <c r="Q1658" s="10">
        <v>3.6785608662248002E-3</v>
      </c>
    </row>
    <row r="1659" spans="1:17" x14ac:dyDescent="0.2">
      <c r="A1659" s="10">
        <v>1774</v>
      </c>
      <c r="B1659" s="10" t="s">
        <v>2817</v>
      </c>
      <c r="C1659" s="9" t="s">
        <v>1354</v>
      </c>
      <c r="D1659" s="10">
        <v>-6.1037444000000003E-2</v>
      </c>
      <c r="E1659" s="10">
        <v>-0.21353504800000001</v>
      </c>
      <c r="F1659" s="10">
        <v>-0.27769914099999998</v>
      </c>
      <c r="G1659" s="10">
        <v>-0.67232969899999995</v>
      </c>
      <c r="H1659" s="9">
        <v>-0.30615033274999998</v>
      </c>
      <c r="I1659" s="10">
        <v>0.26048334417638502</v>
      </c>
      <c r="J1659" s="10">
        <v>6.7851572593313397E-2</v>
      </c>
      <c r="K1659" s="10">
        <v>-0.198965788</v>
      </c>
      <c r="L1659" s="10">
        <v>0.27386407099999999</v>
      </c>
      <c r="M1659" s="10">
        <v>-0.18048515700000001</v>
      </c>
      <c r="N1659" s="10">
        <v>-3.0529601999999999E-2</v>
      </c>
      <c r="O1659" s="9">
        <v>-3.4029118999999997E-2</v>
      </c>
      <c r="P1659" s="10">
        <v>0.21868084729050699</v>
      </c>
      <c r="Q1659" s="10">
        <v>4.7821312971694098E-2</v>
      </c>
    </row>
    <row r="1660" spans="1:17" x14ac:dyDescent="0.2">
      <c r="A1660" s="10">
        <v>1774</v>
      </c>
      <c r="B1660" s="10" t="s">
        <v>2814</v>
      </c>
      <c r="C1660" s="9" t="s">
        <v>1355</v>
      </c>
      <c r="D1660" s="10">
        <v>0.107391901</v>
      </c>
      <c r="E1660" s="10">
        <v>-0.22469800000000001</v>
      </c>
      <c r="F1660" s="10">
        <v>-4.0017298E-2</v>
      </c>
      <c r="G1660" s="10">
        <v>-0.21179801600000001</v>
      </c>
      <c r="H1660" s="9">
        <v>-9.2280353499999995E-2</v>
      </c>
      <c r="I1660" s="10">
        <v>0.157500625333543</v>
      </c>
      <c r="J1660" s="10">
        <v>2.4806446980457201E-2</v>
      </c>
      <c r="K1660" s="10">
        <v>0.17960335399999999</v>
      </c>
      <c r="L1660" s="10">
        <v>-0.60231779399999996</v>
      </c>
      <c r="M1660" s="10">
        <v>-0.29764243400000001</v>
      </c>
      <c r="N1660" s="10">
        <v>-0.63944736999999996</v>
      </c>
      <c r="O1660" s="9">
        <v>-0.339951061</v>
      </c>
      <c r="P1660" s="10">
        <v>0.37870883791920001</v>
      </c>
      <c r="Q1660" s="10">
        <v>0.14342038391811099</v>
      </c>
    </row>
    <row r="1661" spans="1:17" x14ac:dyDescent="0.2">
      <c r="A1661" s="10">
        <v>1774</v>
      </c>
      <c r="B1661" s="10" t="s">
        <v>2825</v>
      </c>
      <c r="C1661" s="9" t="s">
        <v>1357</v>
      </c>
      <c r="D1661" s="10">
        <v>0.325161384</v>
      </c>
      <c r="E1661" s="10">
        <v>0.23060397799999999</v>
      </c>
      <c r="F1661" s="10">
        <v>0.29703842400000002</v>
      </c>
      <c r="G1661" s="10">
        <v>-0.27403158999999999</v>
      </c>
      <c r="H1661" s="9">
        <v>0.14469304899999999</v>
      </c>
      <c r="I1661" s="10">
        <v>0.28195090840362302</v>
      </c>
      <c r="J1661" s="10">
        <v>7.9496314749628705E-2</v>
      </c>
      <c r="K1661" s="10">
        <v>-0.40358289899999999</v>
      </c>
      <c r="L1661" s="10">
        <v>0.35746825999999998</v>
      </c>
      <c r="M1661" s="10">
        <v>-0.31231915500000001</v>
      </c>
      <c r="N1661" s="10">
        <v>-5.6416563000000003E-2</v>
      </c>
      <c r="O1661" s="9">
        <v>-0.10371258925</v>
      </c>
      <c r="P1661" s="10">
        <v>0.34076560456202198</v>
      </c>
      <c r="Q1661" s="10">
        <v>0.11612119725252</v>
      </c>
    </row>
    <row r="1662" spans="1:17" x14ac:dyDescent="0.2">
      <c r="A1662" s="10">
        <v>1774</v>
      </c>
      <c r="B1662" s="10" t="s">
        <v>74</v>
      </c>
      <c r="C1662" s="9" t="s">
        <v>1358</v>
      </c>
      <c r="D1662" s="10">
        <v>0.40768110499999999</v>
      </c>
      <c r="E1662" s="10">
        <v>0.94962114600000003</v>
      </c>
      <c r="F1662" s="10">
        <v>-0.76379152500000003</v>
      </c>
      <c r="G1662" s="10">
        <v>-0.68374739600000001</v>
      </c>
      <c r="H1662" s="9">
        <v>-2.2559167500000001E-2</v>
      </c>
      <c r="I1662" s="10">
        <v>0.84000724904606405</v>
      </c>
      <c r="J1662" s="10">
        <v>0.70561217844993596</v>
      </c>
      <c r="K1662" s="10">
        <v>0.116718684</v>
      </c>
      <c r="L1662" s="10">
        <v>0.425583129</v>
      </c>
      <c r="M1662" s="10">
        <v>-0.30721484900000001</v>
      </c>
      <c r="N1662" s="10">
        <v>-0.54213709700000001</v>
      </c>
      <c r="O1662" s="9">
        <v>-7.6762533250000001E-2</v>
      </c>
      <c r="P1662" s="10">
        <v>0.431844069169252</v>
      </c>
      <c r="Q1662" s="10">
        <v>0.18648930007665701</v>
      </c>
    </row>
    <row r="1663" spans="1:17" x14ac:dyDescent="0.2">
      <c r="A1663" s="10">
        <v>1774</v>
      </c>
      <c r="B1663" s="10" t="s">
        <v>2818</v>
      </c>
      <c r="C1663" s="9" t="s">
        <v>1359</v>
      </c>
      <c r="D1663" s="10">
        <v>1.126434484</v>
      </c>
      <c r="E1663" s="10">
        <v>0.13964104899999999</v>
      </c>
      <c r="F1663" s="10">
        <v>7.5423883999999997E-2</v>
      </c>
      <c r="G1663" s="10">
        <v>-1.4390198999999999E-2</v>
      </c>
      <c r="H1663" s="9">
        <v>0.33177730449999998</v>
      </c>
      <c r="I1663" s="10">
        <v>0.53352456684765304</v>
      </c>
      <c r="J1663" s="10">
        <v>0.28464846342997602</v>
      </c>
      <c r="K1663" s="10">
        <v>-0.29920397999999998</v>
      </c>
      <c r="L1663" s="10">
        <v>-0.286089977</v>
      </c>
      <c r="M1663" s="10">
        <v>-0.53850385000000001</v>
      </c>
      <c r="N1663" s="10">
        <v>-0.38803264599999998</v>
      </c>
      <c r="O1663" s="9">
        <v>-0.37795761350000001</v>
      </c>
      <c r="P1663" s="10">
        <v>0.11621588784060199</v>
      </c>
      <c r="Q1663" s="10">
        <v>1.35061325865794E-2</v>
      </c>
    </row>
    <row r="1664" spans="1:17" x14ac:dyDescent="0.2">
      <c r="A1664" s="10">
        <v>1774</v>
      </c>
      <c r="B1664" s="10" t="s">
        <v>2830</v>
      </c>
      <c r="C1664" s="9" t="s">
        <v>1360</v>
      </c>
      <c r="D1664" s="10">
        <v>0.44210431700000002</v>
      </c>
      <c r="E1664" s="10">
        <v>-0.13887630500000001</v>
      </c>
      <c r="F1664" s="10">
        <v>-1.8987314000000002E-2</v>
      </c>
      <c r="G1664" s="10">
        <v>-0.25629342599999999</v>
      </c>
      <c r="H1664" s="9">
        <v>6.9868179999999997E-3</v>
      </c>
      <c r="I1664" s="10">
        <v>0.30582916309664399</v>
      </c>
      <c r="J1664" s="10">
        <v>9.3531477000393701E-2</v>
      </c>
      <c r="K1664" s="10">
        <v>-0.34792674099999998</v>
      </c>
      <c r="L1664" s="10">
        <v>0.36524517400000001</v>
      </c>
      <c r="M1664" s="10">
        <v>-0.34663297599999998</v>
      </c>
      <c r="N1664" s="10">
        <v>0.21399548900000001</v>
      </c>
      <c r="O1664" s="9">
        <v>-2.8829763500000001E-2</v>
      </c>
      <c r="P1664" s="10">
        <v>0.372863211085188</v>
      </c>
      <c r="Q1664" s="10">
        <v>0.13902697418075699</v>
      </c>
    </row>
    <row r="1665" spans="1:17" x14ac:dyDescent="0.2">
      <c r="A1665" s="10">
        <v>1774</v>
      </c>
      <c r="B1665" s="10" t="s">
        <v>2835</v>
      </c>
      <c r="C1665" s="9" t="s">
        <v>1361</v>
      </c>
      <c r="D1665" s="10">
        <v>-1.271911426</v>
      </c>
      <c r="E1665" s="10">
        <v>0.91532994099999998</v>
      </c>
      <c r="F1665" s="10">
        <v>-0.83833592300000004</v>
      </c>
      <c r="G1665" s="10">
        <v>0.14016862899999999</v>
      </c>
      <c r="H1665" s="9">
        <v>-0.26368719475000002</v>
      </c>
      <c r="I1665" s="10">
        <v>0.98317821275831696</v>
      </c>
      <c r="J1665" s="10">
        <v>0.96663939804263999</v>
      </c>
      <c r="K1665" s="10">
        <v>3.8932481999999997E-2</v>
      </c>
      <c r="L1665" s="10">
        <v>0.14066255999999999</v>
      </c>
      <c r="M1665" s="10">
        <v>0.65712528199999998</v>
      </c>
      <c r="N1665" s="10">
        <v>3.2308254000000002E-2</v>
      </c>
      <c r="O1665" s="9">
        <v>0.2172571445</v>
      </c>
      <c r="P1665" s="10">
        <v>0.29740908197036497</v>
      </c>
      <c r="Q1665" s="10">
        <v>8.8452162038455406E-2</v>
      </c>
    </row>
    <row r="1666" spans="1:17" x14ac:dyDescent="0.2">
      <c r="A1666" s="10">
        <v>1775</v>
      </c>
      <c r="B1666" s="10" t="s">
        <v>2819</v>
      </c>
      <c r="C1666" s="9" t="s">
        <v>1362</v>
      </c>
      <c r="D1666" s="10">
        <v>-0.56801315299999999</v>
      </c>
      <c r="E1666" s="10">
        <v>-0.79491186999999996</v>
      </c>
      <c r="F1666" s="10">
        <v>-0.73729392100000002</v>
      </c>
      <c r="G1666" s="10">
        <v>-0.24251162200000001</v>
      </c>
      <c r="H1666" s="9">
        <v>-0.58568264174999995</v>
      </c>
      <c r="I1666" s="10">
        <v>0.24822127868688201</v>
      </c>
      <c r="J1666" s="10">
        <v>6.1613803192951101E-2</v>
      </c>
      <c r="K1666" s="10">
        <v>-0.38528510700000002</v>
      </c>
      <c r="L1666" s="10">
        <v>0.329879107</v>
      </c>
      <c r="M1666" s="10">
        <v>-0.248000636</v>
      </c>
      <c r="N1666" s="10">
        <v>-0.48840373399999998</v>
      </c>
      <c r="O1666" s="9">
        <v>-0.1979525925</v>
      </c>
      <c r="P1666" s="10">
        <v>0.36540682635604099</v>
      </c>
      <c r="Q1666" s="10">
        <v>0.13352214874759299</v>
      </c>
    </row>
    <row r="1667" spans="1:17" x14ac:dyDescent="0.2">
      <c r="A1667" s="10">
        <v>1775</v>
      </c>
      <c r="B1667" s="10" t="s">
        <v>2824</v>
      </c>
      <c r="C1667" s="9" t="s">
        <v>1363</v>
      </c>
      <c r="D1667" s="10">
        <v>0.36268049600000002</v>
      </c>
      <c r="E1667" s="10">
        <v>7.2978428999999997E-2</v>
      </c>
      <c r="F1667" s="10">
        <v>-6.6030671999999999E-2</v>
      </c>
      <c r="G1667" s="10">
        <v>-0.72421639599999998</v>
      </c>
      <c r="H1667" s="9">
        <v>-8.8647035750000006E-2</v>
      </c>
      <c r="I1667" s="10">
        <v>0.45981128134959398</v>
      </c>
      <c r="J1667" s="10">
        <v>0.21142641445635499</v>
      </c>
      <c r="K1667" s="10">
        <v>0.76188158699999997</v>
      </c>
      <c r="L1667" s="10">
        <v>0.57124943299999997</v>
      </c>
      <c r="M1667" s="10">
        <v>-0.22345458400000001</v>
      </c>
      <c r="N1667" s="10">
        <v>-9.9869824999999995E-2</v>
      </c>
      <c r="O1667" s="9">
        <v>0.25245165274999998</v>
      </c>
      <c r="P1667" s="10">
        <v>0.48708933214342198</v>
      </c>
      <c r="Q1667" s="10">
        <v>0.23725601748792499</v>
      </c>
    </row>
    <row r="1668" spans="1:17" x14ac:dyDescent="0.2">
      <c r="A1668" s="10">
        <v>1775</v>
      </c>
      <c r="B1668" s="10" t="s">
        <v>2814</v>
      </c>
      <c r="C1668" s="9" t="s">
        <v>1364</v>
      </c>
      <c r="D1668" s="10">
        <v>-0.77381581700000002</v>
      </c>
      <c r="E1668" s="10">
        <v>5.2415854999999997E-2</v>
      </c>
      <c r="F1668" s="10">
        <v>-0.34738587999999998</v>
      </c>
      <c r="G1668" s="10">
        <v>-0.182114477</v>
      </c>
      <c r="H1668" s="9">
        <v>-0.3127250795</v>
      </c>
      <c r="I1668" s="10">
        <v>0.34842171326929899</v>
      </c>
      <c r="J1668" s="10">
        <v>0.121397690277513</v>
      </c>
      <c r="K1668" s="10">
        <v>0.52486594200000003</v>
      </c>
      <c r="L1668" s="10">
        <v>0.36346837900000001</v>
      </c>
      <c r="M1668" s="10">
        <v>-0.53125405400000003</v>
      </c>
      <c r="N1668" s="10">
        <v>-5.4007048000000002E-2</v>
      </c>
      <c r="O1668" s="9">
        <v>7.5768304750000001E-2</v>
      </c>
      <c r="P1668" s="10">
        <v>0.47250319459618001</v>
      </c>
      <c r="Q1668" s="10">
        <v>0.22325926890359599</v>
      </c>
    </row>
    <row r="1669" spans="1:17" x14ac:dyDescent="0.2">
      <c r="A1669" s="10">
        <v>1775</v>
      </c>
      <c r="B1669" s="10" t="s">
        <v>2833</v>
      </c>
      <c r="C1669" s="9" t="s">
        <v>1365</v>
      </c>
      <c r="D1669" s="10">
        <v>-0.35884855799999998</v>
      </c>
      <c r="E1669" s="10">
        <v>8.7555592000000002E-2</v>
      </c>
      <c r="F1669" s="10">
        <v>-0.77798220799999995</v>
      </c>
      <c r="G1669" s="10">
        <v>-0.51372184499999995</v>
      </c>
      <c r="H1669" s="9">
        <v>-0.39074925500000002</v>
      </c>
      <c r="I1669" s="10">
        <v>0.36279691238725897</v>
      </c>
      <c r="J1669" s="10">
        <v>0.13162159963772899</v>
      </c>
      <c r="K1669" s="10">
        <v>-0.59941869199999998</v>
      </c>
      <c r="L1669" s="10">
        <v>0.54046562300000001</v>
      </c>
      <c r="M1669" s="10">
        <v>-0.42313026999999998</v>
      </c>
      <c r="N1669" s="10">
        <v>-3.1125686999999999E-2</v>
      </c>
      <c r="O1669" s="9">
        <v>-0.12830225649999999</v>
      </c>
      <c r="P1669" s="10">
        <v>0.50516268523229102</v>
      </c>
      <c r="Q1669" s="10">
        <v>0.25518933855109799</v>
      </c>
    </row>
    <row r="1670" spans="1:17" x14ac:dyDescent="0.2">
      <c r="A1670" s="10">
        <v>1775</v>
      </c>
      <c r="B1670" s="10" t="s">
        <v>2818</v>
      </c>
      <c r="C1670" s="9" t="s">
        <v>1367</v>
      </c>
      <c r="D1670" s="10">
        <v>-0.19397076599999999</v>
      </c>
      <c r="E1670" s="10">
        <v>-3.1819899999999998E-2</v>
      </c>
      <c r="F1670" s="10">
        <v>-0.126253543</v>
      </c>
      <c r="G1670" s="10">
        <v>-0.59966494599999998</v>
      </c>
      <c r="H1670" s="9">
        <v>-0.2379272885</v>
      </c>
      <c r="I1670" s="10">
        <v>0.25015834302308598</v>
      </c>
      <c r="J1670" s="10">
        <v>6.2579196584056307E-2</v>
      </c>
      <c r="K1670" s="10">
        <v>-7.8582404999999994E-2</v>
      </c>
      <c r="L1670" s="10">
        <v>0.77760620700000005</v>
      </c>
      <c r="M1670" s="10">
        <v>-0.53319296199999999</v>
      </c>
      <c r="N1670" s="10">
        <v>-5.2667237999999998E-2</v>
      </c>
      <c r="O1670" s="9">
        <v>2.8290900250000001E-2</v>
      </c>
      <c r="P1670" s="10">
        <v>0.54611161253019502</v>
      </c>
      <c r="Q1670" s="10">
        <v>0.29823789334032902</v>
      </c>
    </row>
    <row r="1671" spans="1:17" x14ac:dyDescent="0.2">
      <c r="A1671" s="10">
        <v>1775</v>
      </c>
      <c r="B1671" s="10" t="s">
        <v>2830</v>
      </c>
      <c r="C1671" s="9" t="s">
        <v>1368</v>
      </c>
      <c r="D1671" s="10">
        <v>0.11231659200000001</v>
      </c>
      <c r="E1671" s="10">
        <v>0.15545500400000001</v>
      </c>
      <c r="F1671" s="10">
        <v>-1.4124822459999999</v>
      </c>
      <c r="G1671" s="10">
        <v>-1.212811597</v>
      </c>
      <c r="H1671" s="9">
        <v>-0.58938056149999996</v>
      </c>
      <c r="I1671" s="10">
        <v>0.83930954836203397</v>
      </c>
      <c r="J1671" s="10">
        <v>0.70444051797168195</v>
      </c>
      <c r="K1671" s="10">
        <v>-0.135671864</v>
      </c>
      <c r="L1671" s="10">
        <v>1.1157848539999999</v>
      </c>
      <c r="M1671" s="10">
        <v>-0.52679484700000001</v>
      </c>
      <c r="N1671" s="10">
        <v>-0.32842908700000001</v>
      </c>
      <c r="O1671" s="9">
        <v>3.1222264249999999E-2</v>
      </c>
      <c r="P1671" s="10">
        <v>0.74046423547062601</v>
      </c>
      <c r="Q1671" s="10">
        <v>0.54828728401110005</v>
      </c>
    </row>
    <row r="1672" spans="1:17" x14ac:dyDescent="0.2">
      <c r="A1672" s="10">
        <v>1776</v>
      </c>
      <c r="B1672" s="10" t="s">
        <v>96</v>
      </c>
      <c r="C1672" s="9" t="s">
        <v>1369</v>
      </c>
      <c r="D1672" s="10">
        <v>0.31671675700000002</v>
      </c>
      <c r="E1672" s="10">
        <v>0.712806991</v>
      </c>
      <c r="F1672" s="10">
        <v>0.24519614100000001</v>
      </c>
      <c r="G1672" s="10">
        <v>0.103658238</v>
      </c>
      <c r="H1672" s="9">
        <v>0.34459453174999999</v>
      </c>
      <c r="I1672" s="10">
        <v>0.26095205383468401</v>
      </c>
      <c r="J1672" s="10">
        <v>6.8095974400540202E-2</v>
      </c>
      <c r="K1672" s="10">
        <v>0.44721847199999998</v>
      </c>
      <c r="L1672" s="10">
        <v>0.37852897499999999</v>
      </c>
      <c r="M1672" s="10">
        <v>0.69907245699999998</v>
      </c>
      <c r="N1672" s="10">
        <v>-0.822398454</v>
      </c>
      <c r="O1672" s="9">
        <v>0.1756053625</v>
      </c>
      <c r="P1672" s="10">
        <v>0.67945593198655296</v>
      </c>
      <c r="Q1672" s="10">
        <v>0.46166036351171502</v>
      </c>
    </row>
    <row r="1673" spans="1:17" x14ac:dyDescent="0.2">
      <c r="A1673" s="10">
        <v>1776</v>
      </c>
      <c r="B1673" s="10" t="s">
        <v>2834</v>
      </c>
      <c r="C1673" s="9" t="s">
        <v>1370</v>
      </c>
      <c r="D1673" s="10">
        <v>-5.5822898000000003E-2</v>
      </c>
      <c r="E1673" s="10">
        <v>3.8475823999999999E-2</v>
      </c>
      <c r="F1673" s="10">
        <v>-6.9362689000000005E-2</v>
      </c>
      <c r="G1673" s="10">
        <v>0.26397755099999998</v>
      </c>
      <c r="H1673" s="9">
        <v>4.4316947000000002E-2</v>
      </c>
      <c r="I1673" s="10">
        <v>0.154095152276401</v>
      </c>
      <c r="J1673" s="10">
        <v>2.3745315955087401E-2</v>
      </c>
      <c r="K1673" s="10">
        <v>3.9170050000000003E-3</v>
      </c>
      <c r="L1673" s="10">
        <v>0.52876721900000001</v>
      </c>
      <c r="M1673" s="10">
        <v>9.1115720999999997E-2</v>
      </c>
      <c r="N1673" s="10">
        <v>0.25474486299999999</v>
      </c>
      <c r="O1673" s="9">
        <v>0.21963620175000001</v>
      </c>
      <c r="P1673" s="10">
        <v>0.230829583415603</v>
      </c>
      <c r="Q1673" s="10">
        <v>5.3282296579821101E-2</v>
      </c>
    </row>
    <row r="1674" spans="1:17" x14ac:dyDescent="0.2">
      <c r="A1674" s="10">
        <v>1776</v>
      </c>
      <c r="B1674" s="10" t="s">
        <v>2824</v>
      </c>
      <c r="C1674" s="9" t="s">
        <v>1371</v>
      </c>
      <c r="D1674" s="10">
        <v>-3.5529981000000002E-2</v>
      </c>
      <c r="E1674" s="10">
        <v>0.242972984</v>
      </c>
      <c r="F1674" s="10">
        <v>0.31668638700000001</v>
      </c>
      <c r="G1674" s="10">
        <v>0.28709433299999998</v>
      </c>
      <c r="H1674" s="9">
        <v>0.20280593050000001</v>
      </c>
      <c r="I1674" s="10">
        <v>0.16175155029247501</v>
      </c>
      <c r="J1674" s="10">
        <v>2.61635640220193E-2</v>
      </c>
      <c r="K1674" s="10">
        <v>-1.1809928750000001</v>
      </c>
      <c r="L1674" s="10">
        <v>0.73848435800000001</v>
      </c>
      <c r="M1674" s="10">
        <v>0.32547176500000002</v>
      </c>
      <c r="N1674" s="10">
        <v>-5.5765394000000003E-2</v>
      </c>
      <c r="O1674" s="9">
        <v>-4.3200536499999997E-2</v>
      </c>
      <c r="P1674" s="10">
        <v>0.82496056903266102</v>
      </c>
      <c r="Q1674" s="10">
        <v>0.68055994045869195</v>
      </c>
    </row>
    <row r="1675" spans="1:17" x14ac:dyDescent="0.2">
      <c r="A1675" s="10">
        <v>1776</v>
      </c>
      <c r="B1675" s="10" t="s">
        <v>2817</v>
      </c>
      <c r="C1675" s="9" t="s">
        <v>2194</v>
      </c>
      <c r="D1675" s="10">
        <v>-1.0598579960000001</v>
      </c>
      <c r="E1675" s="10">
        <v>-1.4358167509999999</v>
      </c>
      <c r="F1675" s="10">
        <v>0.25016460600000001</v>
      </c>
      <c r="G1675" s="10">
        <v>-0.297766647</v>
      </c>
      <c r="H1675" s="9">
        <v>-0.635819197</v>
      </c>
      <c r="I1675" s="10">
        <v>0.75697904312761299</v>
      </c>
      <c r="J1675" s="10">
        <v>0.57301727173439598</v>
      </c>
      <c r="K1675" s="10">
        <v>-2.1683898660000001</v>
      </c>
      <c r="L1675" s="10">
        <v>0.63540677700000003</v>
      </c>
      <c r="M1675" s="10">
        <v>-0.23700807099999999</v>
      </c>
      <c r="N1675" s="10">
        <v>-0.24572201799999999</v>
      </c>
      <c r="O1675" s="9">
        <v>-0.50392829424999996</v>
      </c>
      <c r="P1675" s="10">
        <v>1.18412184270136</v>
      </c>
      <c r="Q1675" s="10">
        <v>1.40214453836248</v>
      </c>
    </row>
    <row r="1676" spans="1:17" x14ac:dyDescent="0.2">
      <c r="A1676" s="10">
        <v>1776</v>
      </c>
      <c r="B1676" s="10" t="s">
        <v>2833</v>
      </c>
      <c r="C1676" s="9" t="s">
        <v>1372</v>
      </c>
      <c r="D1676" s="10">
        <v>-0.17094495900000001</v>
      </c>
      <c r="E1676" s="10">
        <v>0.361776449</v>
      </c>
      <c r="F1676" s="10">
        <v>0.12596063499999999</v>
      </c>
      <c r="G1676" s="10">
        <v>-0.68156932199999998</v>
      </c>
      <c r="H1676" s="9">
        <v>-9.1194299000000006E-2</v>
      </c>
      <c r="I1676" s="10">
        <v>0.44990428591605602</v>
      </c>
      <c r="J1676" s="10">
        <v>0.202413866485636</v>
      </c>
      <c r="K1676" s="10">
        <v>0.34176964599999998</v>
      </c>
      <c r="L1676" s="10">
        <v>0.37035262699999999</v>
      </c>
      <c r="M1676" s="10">
        <v>-9.9594880999999996E-2</v>
      </c>
      <c r="N1676" s="10">
        <v>-0.38522672800000002</v>
      </c>
      <c r="O1676" s="9">
        <v>5.6825166000000003E-2</v>
      </c>
      <c r="P1676" s="10">
        <v>0.364860673671492</v>
      </c>
      <c r="Q1676" s="10">
        <v>0.13312331119201501</v>
      </c>
    </row>
    <row r="1677" spans="1:17" x14ac:dyDescent="0.2">
      <c r="A1677" s="10">
        <v>1776</v>
      </c>
      <c r="B1677" s="10" t="s">
        <v>2825</v>
      </c>
      <c r="C1677" s="9" t="s">
        <v>1373</v>
      </c>
      <c r="D1677" s="10">
        <v>0.42722135</v>
      </c>
      <c r="E1677" s="10">
        <v>-6.5177473999999999E-2</v>
      </c>
      <c r="F1677" s="10">
        <v>-0.46423307000000003</v>
      </c>
      <c r="G1677" s="10">
        <v>-0.225210402</v>
      </c>
      <c r="H1677" s="9">
        <v>-8.1849898500000004E-2</v>
      </c>
      <c r="I1677" s="10">
        <v>0.37691759912843398</v>
      </c>
      <c r="J1677" s="10">
        <v>0.142066876532742</v>
      </c>
      <c r="K1677" s="10">
        <v>0.108806735</v>
      </c>
      <c r="L1677" s="10">
        <v>-0.66123190700000001</v>
      </c>
      <c r="M1677" s="10">
        <v>3.0771789000000001E-2</v>
      </c>
      <c r="N1677" s="10">
        <v>-0.54809163299999997</v>
      </c>
      <c r="O1677" s="9">
        <v>-0.26743625425000001</v>
      </c>
      <c r="P1677" s="10">
        <v>0.39341635356827498</v>
      </c>
      <c r="Q1677" s="10">
        <v>0.15477642725495799</v>
      </c>
    </row>
    <row r="1678" spans="1:17" x14ac:dyDescent="0.2">
      <c r="A1678" s="10">
        <v>1776</v>
      </c>
      <c r="B1678" s="10" t="s">
        <v>2818</v>
      </c>
      <c r="C1678" s="9" t="s">
        <v>1375</v>
      </c>
      <c r="D1678" s="10">
        <v>0.512537456</v>
      </c>
      <c r="E1678" s="10">
        <v>0.25186762400000001</v>
      </c>
      <c r="F1678" s="10">
        <v>0.47506419300000002</v>
      </c>
      <c r="G1678" s="10">
        <v>-0.152528779</v>
      </c>
      <c r="H1678" s="9">
        <v>0.27173512350000001</v>
      </c>
      <c r="I1678" s="10">
        <v>0.30535392052615901</v>
      </c>
      <c r="J1678" s="10">
        <v>9.3241016780696101E-2</v>
      </c>
      <c r="K1678" s="10">
        <v>-0.42571219100000002</v>
      </c>
      <c r="L1678" s="10">
        <v>9.3756264000000006E-2</v>
      </c>
      <c r="M1678" s="10">
        <v>2.8661646999999998E-2</v>
      </c>
      <c r="N1678" s="10">
        <v>3.1912115999999997E-2</v>
      </c>
      <c r="O1678" s="9">
        <v>-6.7845540999999995E-2</v>
      </c>
      <c r="P1678" s="10">
        <v>0.24045020969511699</v>
      </c>
      <c r="Q1678" s="10">
        <v>5.7816303342425802E-2</v>
      </c>
    </row>
    <row r="1679" spans="1:17" x14ac:dyDescent="0.2">
      <c r="A1679" s="10">
        <v>1777</v>
      </c>
      <c r="B1679" s="10" t="s">
        <v>2831</v>
      </c>
      <c r="C1679" s="9" t="s">
        <v>1376</v>
      </c>
      <c r="D1679" s="10">
        <v>-2.4414257670000001</v>
      </c>
      <c r="E1679" s="10">
        <v>-4.6350009710000002</v>
      </c>
      <c r="F1679" s="10">
        <v>-1.67949945</v>
      </c>
      <c r="G1679" s="10">
        <v>0.89306327299999999</v>
      </c>
      <c r="H1679" s="9">
        <v>-1.96571572875</v>
      </c>
      <c r="I1679" s="10">
        <v>2.2807835557145402</v>
      </c>
      <c r="J1679" s="10">
        <v>5.2019736280178899</v>
      </c>
      <c r="K1679" s="10">
        <v>-0.36491601800000001</v>
      </c>
      <c r="L1679" s="10">
        <v>0.50298491999999995</v>
      </c>
      <c r="M1679" s="10">
        <v>6.8815170999999994E-2</v>
      </c>
      <c r="N1679" s="10">
        <v>-0.24119400899999999</v>
      </c>
      <c r="O1679" s="9">
        <v>-8.5774839999999998E-3</v>
      </c>
      <c r="P1679" s="10">
        <v>0.38677009310034599</v>
      </c>
      <c r="Q1679" s="10">
        <v>0.14959110491685099</v>
      </c>
    </row>
    <row r="1680" spans="1:17" x14ac:dyDescent="0.2">
      <c r="A1680" s="10">
        <v>1777</v>
      </c>
      <c r="B1680" s="10" t="s">
        <v>2824</v>
      </c>
      <c r="C1680" s="9" t="s">
        <v>1378</v>
      </c>
      <c r="D1680" s="10">
        <v>0.57201315600000002</v>
      </c>
      <c r="E1680" s="10">
        <v>0.58102975800000001</v>
      </c>
      <c r="F1680" s="10">
        <v>0.33530173499999999</v>
      </c>
      <c r="G1680" s="10">
        <v>-0.73490881600000002</v>
      </c>
      <c r="H1680" s="9">
        <v>0.18835895850000001</v>
      </c>
      <c r="I1680" s="10">
        <v>0.62593835240515705</v>
      </c>
      <c r="J1680" s="10">
        <v>0.39179882101168301</v>
      </c>
      <c r="K1680" s="10">
        <v>-9.3522824000000004E-2</v>
      </c>
      <c r="L1680" s="10">
        <v>2.8153922000000001E-2</v>
      </c>
      <c r="M1680" s="10">
        <v>-0.52453664300000002</v>
      </c>
      <c r="N1680" s="10">
        <v>0.33195459300000002</v>
      </c>
      <c r="O1680" s="9">
        <v>-6.4487738000000003E-2</v>
      </c>
      <c r="P1680" s="10">
        <v>0.35507606236175898</v>
      </c>
      <c r="Q1680" s="10">
        <v>0.12607901006233099</v>
      </c>
    </row>
    <row r="1681" spans="1:17" x14ac:dyDescent="0.2">
      <c r="A1681" s="10">
        <v>1777</v>
      </c>
      <c r="B1681" s="10" t="s">
        <v>2814</v>
      </c>
      <c r="C1681" s="9" t="s">
        <v>1380</v>
      </c>
      <c r="D1681" s="10">
        <v>0.85579679600000003</v>
      </c>
      <c r="E1681" s="10">
        <v>0.537954249</v>
      </c>
      <c r="F1681" s="10">
        <v>-1.451860344</v>
      </c>
      <c r="G1681" s="10">
        <v>-0.37215966499999997</v>
      </c>
      <c r="H1681" s="9">
        <v>-0.10756724099999999</v>
      </c>
      <c r="I1681" s="10">
        <v>1.03632384890829</v>
      </c>
      <c r="J1681" s="10">
        <v>1.0739671198161</v>
      </c>
      <c r="K1681" s="10">
        <v>-0.662043461</v>
      </c>
      <c r="L1681" s="10">
        <v>-0.70173991000000002</v>
      </c>
      <c r="M1681" s="10">
        <v>-0.15404591100000001</v>
      </c>
      <c r="N1681" s="10">
        <v>-0.145405381</v>
      </c>
      <c r="O1681" s="9">
        <v>-0.41580866550000001</v>
      </c>
      <c r="P1681" s="10">
        <v>0.30769353097308799</v>
      </c>
      <c r="Q1681" s="10">
        <v>9.4675309002686905E-2</v>
      </c>
    </row>
    <row r="1682" spans="1:17" x14ac:dyDescent="0.2">
      <c r="A1682" s="10">
        <v>1777</v>
      </c>
      <c r="B1682" s="10" t="s">
        <v>2833</v>
      </c>
      <c r="C1682" s="9" t="s">
        <v>1381</v>
      </c>
      <c r="D1682" s="10">
        <v>-0.49527891200000002</v>
      </c>
      <c r="E1682" s="10">
        <v>-0.44258593800000001</v>
      </c>
      <c r="F1682" s="10">
        <v>0.44592610399999999</v>
      </c>
      <c r="G1682" s="10">
        <v>-0.23388704499999999</v>
      </c>
      <c r="H1682" s="9">
        <v>-0.18145644775</v>
      </c>
      <c r="I1682" s="10">
        <v>0.43321702933383499</v>
      </c>
      <c r="J1682" s="10">
        <v>0.18767699450483299</v>
      </c>
      <c r="K1682" s="10">
        <v>-1.0610552499999999</v>
      </c>
      <c r="L1682" s="10">
        <v>-3.5216281770000002</v>
      </c>
      <c r="M1682" s="10">
        <v>0.23379106899999999</v>
      </c>
      <c r="N1682" s="10">
        <v>0.120343202</v>
      </c>
      <c r="O1682" s="9">
        <v>-1.0571372889999999</v>
      </c>
      <c r="P1682" s="10">
        <v>1.7441986717523099</v>
      </c>
      <c r="Q1682" s="10">
        <v>3.0422290065425299</v>
      </c>
    </row>
    <row r="1683" spans="1:17" x14ac:dyDescent="0.2">
      <c r="A1683" s="10">
        <v>1777</v>
      </c>
      <c r="B1683" s="10" t="s">
        <v>2825</v>
      </c>
      <c r="C1683" s="9" t="s">
        <v>1382</v>
      </c>
      <c r="D1683" s="10">
        <v>0.59893278900000002</v>
      </c>
      <c r="E1683" s="10">
        <v>0.38895531999999999</v>
      </c>
      <c r="F1683" s="10">
        <v>-1.2846241E-2</v>
      </c>
      <c r="G1683" s="10">
        <v>-0.36087477200000001</v>
      </c>
      <c r="H1683" s="9">
        <v>0.15354177399999999</v>
      </c>
      <c r="I1683" s="10">
        <v>0.42665444574316902</v>
      </c>
      <c r="J1683" s="10">
        <v>0.18203401607241099</v>
      </c>
      <c r="K1683" s="10">
        <v>-3.799106E-3</v>
      </c>
      <c r="L1683" s="10">
        <v>0.51682555299999999</v>
      </c>
      <c r="M1683" s="10">
        <v>-0.138019215</v>
      </c>
      <c r="N1683" s="10">
        <v>0.50522141700000001</v>
      </c>
      <c r="O1683" s="9">
        <v>0.22005716224999999</v>
      </c>
      <c r="P1683" s="10">
        <v>0.34045090234117797</v>
      </c>
      <c r="Q1683" s="10">
        <v>0.11590681690492199</v>
      </c>
    </row>
    <row r="1684" spans="1:17" x14ac:dyDescent="0.2">
      <c r="A1684" s="10">
        <v>1778</v>
      </c>
      <c r="B1684" s="10" t="s">
        <v>2831</v>
      </c>
      <c r="C1684" s="9" t="s">
        <v>1384</v>
      </c>
      <c r="D1684" s="10">
        <v>-0.90322751800000001</v>
      </c>
      <c r="E1684" s="10">
        <v>-0.62521079300000004</v>
      </c>
      <c r="F1684" s="10">
        <v>-1.808081214</v>
      </c>
      <c r="G1684" s="10">
        <v>-6.4256508000000004E-2</v>
      </c>
      <c r="H1684" s="9">
        <v>-0.85019400850000004</v>
      </c>
      <c r="I1684" s="10">
        <v>0.72770773747418505</v>
      </c>
      <c r="J1684" s="10">
        <v>0.529558551179797</v>
      </c>
      <c r="K1684" s="10">
        <v>-0.60443409999999997</v>
      </c>
      <c r="L1684" s="10">
        <v>0.53327784600000006</v>
      </c>
      <c r="M1684" s="10">
        <v>-0.21440777499999999</v>
      </c>
      <c r="N1684" s="10">
        <v>0.14143635700000001</v>
      </c>
      <c r="O1684" s="9">
        <v>-3.6031918000000003E-2</v>
      </c>
      <c r="P1684" s="10">
        <v>0.48665784793838301</v>
      </c>
      <c r="Q1684" s="10">
        <v>0.23683586096001799</v>
      </c>
    </row>
    <row r="1685" spans="1:17" x14ac:dyDescent="0.2">
      <c r="A1685" s="10">
        <v>1778</v>
      </c>
      <c r="B1685" s="10" t="s">
        <v>74</v>
      </c>
      <c r="C1685" s="9" t="s">
        <v>2193</v>
      </c>
      <c r="D1685" s="10">
        <v>0.101216073</v>
      </c>
      <c r="E1685" s="10">
        <v>0.30396317900000003</v>
      </c>
      <c r="F1685" s="10">
        <v>0.35832730899999998</v>
      </c>
      <c r="G1685" s="10">
        <v>0.54414501699999995</v>
      </c>
      <c r="H1685" s="9">
        <v>0.3269128945</v>
      </c>
      <c r="I1685" s="10">
        <v>0.18224745554782201</v>
      </c>
      <c r="J1685" s="10">
        <v>3.3214135053655502E-2</v>
      </c>
      <c r="K1685" s="10">
        <v>-2.7073408E-2</v>
      </c>
      <c r="L1685" s="10">
        <v>0.48142585399999999</v>
      </c>
      <c r="M1685" s="10">
        <v>0.246243883</v>
      </c>
      <c r="N1685" s="10">
        <v>0.414250181</v>
      </c>
      <c r="O1685" s="9">
        <v>0.27871162724999998</v>
      </c>
      <c r="P1685" s="10">
        <v>0.226585082974011</v>
      </c>
      <c r="Q1685" s="10">
        <v>5.1340799826339698E-2</v>
      </c>
    </row>
    <row r="1686" spans="1:17" x14ac:dyDescent="0.2">
      <c r="A1686" s="10">
        <v>1779</v>
      </c>
      <c r="B1686" s="10" t="s">
        <v>2824</v>
      </c>
      <c r="C1686" s="9" t="s">
        <v>1389</v>
      </c>
      <c r="D1686" s="10">
        <v>-8.1260196000000007E-2</v>
      </c>
      <c r="E1686" s="10">
        <v>0.81198523199999995</v>
      </c>
      <c r="F1686" s="10">
        <v>0.135032072</v>
      </c>
      <c r="G1686" s="10">
        <v>-0.26860568299999998</v>
      </c>
      <c r="H1686" s="9">
        <v>0.14928785624999999</v>
      </c>
      <c r="I1686" s="10">
        <v>0.47157836172923201</v>
      </c>
      <c r="J1686" s="10">
        <v>0.22238615125122599</v>
      </c>
      <c r="K1686" s="10">
        <v>-0.409221742</v>
      </c>
      <c r="L1686" s="10">
        <v>0.91724303799999996</v>
      </c>
      <c r="M1686" s="10">
        <v>-0.89350715800000002</v>
      </c>
      <c r="N1686" s="10">
        <v>-0.91951601599999999</v>
      </c>
      <c r="O1686" s="9">
        <v>-0.32625046925000001</v>
      </c>
      <c r="P1686" s="10">
        <v>0.86156920684814997</v>
      </c>
      <c r="Q1686" s="10">
        <v>0.74230149818894997</v>
      </c>
    </row>
    <row r="1687" spans="1:17" x14ac:dyDescent="0.2">
      <c r="A1687" s="10">
        <v>1779</v>
      </c>
      <c r="B1687" s="10" t="s">
        <v>74</v>
      </c>
      <c r="C1687" s="9" t="s">
        <v>1391</v>
      </c>
      <c r="D1687" s="10">
        <v>0.29290057800000002</v>
      </c>
      <c r="E1687" s="10">
        <v>0.43581534500000002</v>
      </c>
      <c r="F1687" s="10">
        <v>-0.84752868000000003</v>
      </c>
      <c r="G1687" s="10">
        <v>-0.92783646200000003</v>
      </c>
      <c r="H1687" s="9">
        <v>-0.26166230475000002</v>
      </c>
      <c r="I1687" s="10">
        <v>0.72595740927896801</v>
      </c>
      <c r="J1687" s="10">
        <v>0.52701416008703095</v>
      </c>
      <c r="K1687" s="10">
        <v>-0.29540250499999998</v>
      </c>
      <c r="L1687" s="10">
        <v>0.29350938500000001</v>
      </c>
      <c r="M1687" s="10">
        <v>-0.753393647</v>
      </c>
      <c r="N1687" s="10">
        <v>0.13117253000000001</v>
      </c>
      <c r="O1687" s="9">
        <v>-0.15602855925</v>
      </c>
      <c r="P1687" s="10">
        <v>0.46933959766299699</v>
      </c>
      <c r="Q1687" s="10">
        <v>0.220279657934463</v>
      </c>
    </row>
    <row r="1688" spans="1:17" x14ac:dyDescent="0.2">
      <c r="A1688" s="10">
        <v>1780</v>
      </c>
      <c r="B1688" s="10" t="s">
        <v>2822</v>
      </c>
      <c r="C1688" s="9" t="s">
        <v>1392</v>
      </c>
      <c r="D1688" s="10">
        <v>-0.333118627</v>
      </c>
      <c r="E1688" s="10">
        <v>-3.3424064000000003E-2</v>
      </c>
      <c r="F1688" s="10">
        <v>-0.293997438</v>
      </c>
      <c r="G1688" s="10">
        <v>-0.74920982000000003</v>
      </c>
      <c r="H1688" s="9">
        <v>-0.35243748749999998</v>
      </c>
      <c r="I1688" s="10">
        <v>0.29607786474015102</v>
      </c>
      <c r="J1688" s="10">
        <v>8.7662101989087193E-2</v>
      </c>
      <c r="K1688" s="10">
        <v>0.54647962100000003</v>
      </c>
      <c r="L1688" s="10">
        <v>0.48975951699999998</v>
      </c>
      <c r="M1688" s="10">
        <v>-0.89312637100000003</v>
      </c>
      <c r="N1688" s="10">
        <v>-0.14880538200000001</v>
      </c>
      <c r="O1688" s="9">
        <v>-1.423154E-3</v>
      </c>
      <c r="P1688" s="10">
        <v>0.67288285644228496</v>
      </c>
      <c r="Q1688" s="10">
        <v>0.45277133849392898</v>
      </c>
    </row>
    <row r="1689" spans="1:17" x14ac:dyDescent="0.2">
      <c r="A1689" s="10">
        <v>1780</v>
      </c>
      <c r="B1689" s="10" t="s">
        <v>79</v>
      </c>
      <c r="C1689" s="9" t="s">
        <v>1394</v>
      </c>
      <c r="D1689" s="10">
        <v>-0.78649179599999997</v>
      </c>
      <c r="E1689" s="10">
        <v>0.33025608200000001</v>
      </c>
      <c r="F1689" s="10">
        <v>3.3539977999999998E-2</v>
      </c>
      <c r="G1689" s="10">
        <v>-0.66516437500000003</v>
      </c>
      <c r="H1689" s="9">
        <v>-0.27196502774999998</v>
      </c>
      <c r="I1689" s="10">
        <v>0.54016883024058404</v>
      </c>
      <c r="J1689" s="10">
        <v>0.29178236516348099</v>
      </c>
      <c r="K1689" s="10">
        <v>-0.70226105999999999</v>
      </c>
      <c r="L1689" s="10">
        <v>2.4801551000000002E-2</v>
      </c>
      <c r="M1689" s="10">
        <v>-0.24777877400000001</v>
      </c>
      <c r="N1689" s="10">
        <v>0.17972880299999999</v>
      </c>
      <c r="O1689" s="9">
        <v>-0.18637737025000001</v>
      </c>
      <c r="P1689" s="10">
        <v>0.38666798014343701</v>
      </c>
      <c r="Q1689" s="10">
        <v>0.149512126868205</v>
      </c>
    </row>
    <row r="1690" spans="1:17" x14ac:dyDescent="0.2">
      <c r="A1690" s="10">
        <v>1780</v>
      </c>
      <c r="B1690" s="10" t="s">
        <v>74</v>
      </c>
      <c r="C1690" s="9" t="s">
        <v>1398</v>
      </c>
      <c r="D1690" s="10">
        <v>-0.69211102899999999</v>
      </c>
      <c r="E1690" s="10">
        <v>-0.22115227000000001</v>
      </c>
      <c r="F1690" s="10">
        <v>-2.3468925949999999</v>
      </c>
      <c r="G1690" s="10">
        <v>0.237599269</v>
      </c>
      <c r="H1690" s="9">
        <v>-0.75563915625</v>
      </c>
      <c r="I1690" s="10">
        <v>1.1266945948587701</v>
      </c>
      <c r="J1690" s="10">
        <v>1.26944071008397</v>
      </c>
      <c r="K1690" s="10">
        <v>-0.26339654099999998</v>
      </c>
      <c r="L1690" s="10">
        <v>0.34970803700000003</v>
      </c>
      <c r="M1690" s="10">
        <v>-5.3562681000000001E-2</v>
      </c>
      <c r="N1690" s="10">
        <v>-0.14914275199999999</v>
      </c>
      <c r="O1690" s="9">
        <v>-2.9098484250000001E-2</v>
      </c>
      <c r="P1690" s="10">
        <v>0.26670775709291999</v>
      </c>
      <c r="Q1690" s="10">
        <v>7.1133027693536396E-2</v>
      </c>
    </row>
    <row r="1691" spans="1:17" x14ac:dyDescent="0.2">
      <c r="A1691" s="10">
        <v>1781</v>
      </c>
      <c r="B1691" s="10" t="s">
        <v>2820</v>
      </c>
      <c r="C1691" s="9" t="s">
        <v>1402</v>
      </c>
      <c r="D1691" s="10">
        <v>-0.39041407900000002</v>
      </c>
      <c r="E1691" s="10">
        <v>0.59493154199999998</v>
      </c>
      <c r="F1691" s="10">
        <v>-0.37900609800000001</v>
      </c>
      <c r="G1691" s="10">
        <v>-1.078082878</v>
      </c>
      <c r="H1691" s="9">
        <v>-0.3131428785</v>
      </c>
      <c r="I1691" s="10">
        <v>0.68800221853108501</v>
      </c>
      <c r="J1691" s="10">
        <v>0.47334705270369498</v>
      </c>
      <c r="K1691" s="10">
        <v>0.43262789299999999</v>
      </c>
      <c r="L1691" s="10">
        <v>-4.7361546999999997E-2</v>
      </c>
      <c r="M1691" s="10">
        <v>-0.98869827200000004</v>
      </c>
      <c r="N1691" s="10">
        <v>1.0801296E-2</v>
      </c>
      <c r="O1691" s="9">
        <v>-0.14815765750000001</v>
      </c>
      <c r="P1691" s="10">
        <v>0.59979112616625896</v>
      </c>
      <c r="Q1691" s="10">
        <v>0.35974939502778902</v>
      </c>
    </row>
    <row r="1692" spans="1:17" x14ac:dyDescent="0.2">
      <c r="A1692" s="10">
        <v>1781</v>
      </c>
      <c r="B1692" s="10" t="s">
        <v>2825</v>
      </c>
      <c r="C1692" s="9" t="s">
        <v>1405</v>
      </c>
      <c r="D1692" s="10">
        <v>4.2755714E-2</v>
      </c>
      <c r="E1692" s="10">
        <v>0.21826165</v>
      </c>
      <c r="F1692" s="10">
        <v>0.17383432600000001</v>
      </c>
      <c r="G1692" s="10">
        <v>-0.89686818300000004</v>
      </c>
      <c r="H1692" s="9">
        <v>-0.11550412324999999</v>
      </c>
      <c r="I1692" s="10">
        <v>0.52621044572267295</v>
      </c>
      <c r="J1692" s="10">
        <v>0.27689743318765397</v>
      </c>
      <c r="K1692" s="10">
        <v>-0.165282337</v>
      </c>
      <c r="L1692" s="10">
        <v>1.044016E-2</v>
      </c>
      <c r="M1692" s="10">
        <v>-0.22018912900000001</v>
      </c>
      <c r="N1692" s="10">
        <v>-0.25010642999999999</v>
      </c>
      <c r="O1692" s="9">
        <v>-0.156284434</v>
      </c>
      <c r="P1692" s="10">
        <v>0.116568191029012</v>
      </c>
      <c r="Q1692" s="10">
        <v>1.3588143159776399E-2</v>
      </c>
    </row>
    <row r="1693" spans="1:17" x14ac:dyDescent="0.2">
      <c r="A1693" s="10">
        <v>1781</v>
      </c>
      <c r="B1693" s="10" t="s">
        <v>2818</v>
      </c>
      <c r="C1693" s="9" t="s">
        <v>1406</v>
      </c>
      <c r="D1693" s="10">
        <v>-0.43844009099999998</v>
      </c>
      <c r="E1693" s="10">
        <v>0.34474128599999998</v>
      </c>
      <c r="F1693" s="10">
        <v>0.27279847099999999</v>
      </c>
      <c r="G1693" s="10">
        <v>5.0403243E-2</v>
      </c>
      <c r="H1693" s="9">
        <v>5.7375727000000001E-2</v>
      </c>
      <c r="I1693" s="10">
        <v>0.35349109561817399</v>
      </c>
      <c r="J1693" s="10">
        <v>0.12495595468133699</v>
      </c>
      <c r="K1693" s="10">
        <v>-4.8973099119999999</v>
      </c>
      <c r="L1693" s="10">
        <v>8.7721747000000003E-2</v>
      </c>
      <c r="M1693" s="10">
        <v>-0.24908349399999999</v>
      </c>
      <c r="N1693" s="10">
        <v>-1.4978320620000001</v>
      </c>
      <c r="O1693" s="9">
        <v>-1.6391259305000001</v>
      </c>
      <c r="P1693" s="10">
        <v>2.27668967956672</v>
      </c>
      <c r="Q1693" s="10">
        <v>5.1833158970456203</v>
      </c>
    </row>
    <row r="1694" spans="1:17" x14ac:dyDescent="0.2">
      <c r="A1694" s="10">
        <v>1782</v>
      </c>
      <c r="B1694" s="10" t="s">
        <v>2831</v>
      </c>
      <c r="C1694" s="9" t="s">
        <v>1408</v>
      </c>
      <c r="D1694" s="10">
        <v>-1.112184206</v>
      </c>
      <c r="E1694" s="10">
        <v>0.14225015699999999</v>
      </c>
      <c r="F1694" s="10">
        <v>-1.595472615</v>
      </c>
      <c r="G1694" s="10">
        <v>-0.35061684999999998</v>
      </c>
      <c r="H1694" s="9">
        <v>-0.72900587849999998</v>
      </c>
      <c r="I1694" s="10">
        <v>0.77456559274882297</v>
      </c>
      <c r="J1694" s="10">
        <v>0.59995185747033597</v>
      </c>
      <c r="K1694" s="10">
        <v>-3.8749672999999998E-2</v>
      </c>
      <c r="L1694" s="10">
        <v>0.25595920700000002</v>
      </c>
      <c r="M1694" s="10">
        <v>-0.45207866600000002</v>
      </c>
      <c r="N1694" s="10">
        <v>0.35439909800000002</v>
      </c>
      <c r="O1694" s="9">
        <v>2.988249175E-2</v>
      </c>
      <c r="P1694" s="10">
        <v>0.362131946730395</v>
      </c>
      <c r="Q1694" s="10">
        <v>0.13113954684274601</v>
      </c>
    </row>
    <row r="1695" spans="1:17" x14ac:dyDescent="0.2">
      <c r="A1695" s="10">
        <v>1782</v>
      </c>
      <c r="B1695" s="10" t="s">
        <v>2822</v>
      </c>
      <c r="C1695" s="9" t="s">
        <v>1409</v>
      </c>
      <c r="D1695" s="10">
        <v>-0.22813378000000001</v>
      </c>
      <c r="E1695" s="10">
        <v>-0.24236887800000001</v>
      </c>
      <c r="F1695" s="10">
        <v>0.42743503199999999</v>
      </c>
      <c r="G1695" s="10">
        <v>-0.129638799</v>
      </c>
      <c r="H1695" s="9">
        <v>-4.3176606499999999E-2</v>
      </c>
      <c r="I1695" s="10">
        <v>0.31771986721953599</v>
      </c>
      <c r="J1695" s="10">
        <v>0.10094591402600001</v>
      </c>
      <c r="K1695" s="10">
        <v>-0.41833060900000002</v>
      </c>
      <c r="L1695" s="10">
        <v>0.55011966999999995</v>
      </c>
      <c r="M1695" s="10">
        <v>-2.305863E-3</v>
      </c>
      <c r="N1695" s="10">
        <v>-0.71392330299999995</v>
      </c>
      <c r="O1695" s="9">
        <v>-0.14611002625</v>
      </c>
      <c r="P1695" s="10">
        <v>0.54830994587450899</v>
      </c>
      <c r="Q1695" s="10">
        <v>0.30064379674490699</v>
      </c>
    </row>
    <row r="1696" spans="1:17" x14ac:dyDescent="0.2">
      <c r="A1696" s="10">
        <v>1782</v>
      </c>
      <c r="B1696" s="10" t="s">
        <v>2820</v>
      </c>
      <c r="C1696" s="9" t="s">
        <v>1412</v>
      </c>
      <c r="D1696" s="10">
        <v>-0.983609709</v>
      </c>
      <c r="E1696" s="10">
        <v>-1.7169485870000001</v>
      </c>
      <c r="F1696" s="10">
        <v>-9.2458566000000006E-2</v>
      </c>
      <c r="G1696" s="10">
        <v>-0.617101134</v>
      </c>
      <c r="H1696" s="9">
        <v>-0.85252949899999997</v>
      </c>
      <c r="I1696" s="10">
        <v>0.68252880754599099</v>
      </c>
      <c r="J1696" s="10">
        <v>0.46584557313015301</v>
      </c>
      <c r="K1696" s="10">
        <v>-0.71587754299999995</v>
      </c>
      <c r="L1696" s="10">
        <v>0.66875749500000004</v>
      </c>
      <c r="M1696" s="10">
        <v>-0.102697233</v>
      </c>
      <c r="N1696" s="10">
        <v>-0.25347866299999999</v>
      </c>
      <c r="O1696" s="9">
        <v>-0.100823986</v>
      </c>
      <c r="P1696" s="10">
        <v>0.57557319063718304</v>
      </c>
      <c r="Q1696" s="10">
        <v>0.33128449778026697</v>
      </c>
    </row>
    <row r="1697" spans="1:17" x14ac:dyDescent="0.2">
      <c r="A1697" s="10">
        <v>1782</v>
      </c>
      <c r="B1697" s="10" t="s">
        <v>2824</v>
      </c>
      <c r="C1697" s="9" t="s">
        <v>1413</v>
      </c>
      <c r="D1697" s="10">
        <v>0.20459619400000001</v>
      </c>
      <c r="E1697" s="10">
        <v>7.3412417999999993E-2</v>
      </c>
      <c r="F1697" s="10">
        <v>0.101798624</v>
      </c>
      <c r="G1697" s="10">
        <v>-3.1813014000000001E-2</v>
      </c>
      <c r="H1697" s="9">
        <v>8.6998555249999998E-2</v>
      </c>
      <c r="I1697" s="10">
        <v>9.7209428190897201E-2</v>
      </c>
      <c r="J1697" s="10">
        <v>9.4496729292011996E-3</v>
      </c>
      <c r="K1697" s="10">
        <v>0.27068765299999997</v>
      </c>
      <c r="L1697" s="10">
        <v>0.78236860900000005</v>
      </c>
      <c r="M1697" s="10">
        <v>-0.475551065</v>
      </c>
      <c r="N1697" s="10">
        <v>-0.208938497</v>
      </c>
      <c r="O1697" s="9">
        <v>9.2141675249999999E-2</v>
      </c>
      <c r="P1697" s="10">
        <v>0.55414083760336397</v>
      </c>
      <c r="Q1697" s="10">
        <v>0.30707206789975799</v>
      </c>
    </row>
    <row r="1698" spans="1:17" x14ac:dyDescent="0.2">
      <c r="A1698" s="10">
        <v>1782</v>
      </c>
      <c r="B1698" s="10" t="s">
        <v>2825</v>
      </c>
      <c r="C1698" s="9" t="s">
        <v>1415</v>
      </c>
      <c r="D1698" s="10">
        <v>0.23914384899999999</v>
      </c>
      <c r="E1698" s="10">
        <v>0.13368223100000001</v>
      </c>
      <c r="F1698" s="10">
        <v>-0.17057188100000001</v>
      </c>
      <c r="G1698" s="10">
        <v>-0.51417429999999997</v>
      </c>
      <c r="H1698" s="9">
        <v>-7.7980024999999994E-2</v>
      </c>
      <c r="I1698" s="10">
        <v>0.33872661514170799</v>
      </c>
      <c r="J1698" s="10">
        <v>0.114735719805359</v>
      </c>
      <c r="K1698" s="10">
        <v>-0.25211641299999998</v>
      </c>
      <c r="L1698" s="10">
        <v>0.21240252100000001</v>
      </c>
      <c r="M1698" s="10">
        <v>-3.4572239999999997E-2</v>
      </c>
      <c r="N1698" s="10">
        <v>0.137124942</v>
      </c>
      <c r="O1698" s="9">
        <v>1.5709702499999999E-2</v>
      </c>
      <c r="P1698" s="10">
        <v>0.206307882478032</v>
      </c>
      <c r="Q1698" s="10">
        <v>4.25629423725696E-2</v>
      </c>
    </row>
    <row r="1699" spans="1:17" x14ac:dyDescent="0.2">
      <c r="A1699" s="10">
        <v>1782</v>
      </c>
      <c r="B1699" s="10" t="s">
        <v>74</v>
      </c>
      <c r="C1699" s="9" t="s">
        <v>1416</v>
      </c>
      <c r="D1699" s="10">
        <v>-0.52589304599999998</v>
      </c>
      <c r="E1699" s="10">
        <v>0.55274809599999997</v>
      </c>
      <c r="F1699" s="10">
        <v>-0.35207502400000001</v>
      </c>
      <c r="G1699" s="10">
        <v>0.14733299</v>
      </c>
      <c r="H1699" s="9">
        <v>-4.4471745999999999E-2</v>
      </c>
      <c r="I1699" s="10">
        <v>0.489845840090046</v>
      </c>
      <c r="J1699" s="10">
        <v>0.23994894705352299</v>
      </c>
      <c r="K1699" s="10">
        <v>-0.69184126999999995</v>
      </c>
      <c r="L1699" s="10">
        <v>0.76182457100000001</v>
      </c>
      <c r="M1699" s="10">
        <v>0.105412546</v>
      </c>
      <c r="N1699" s="10">
        <v>0.25098446400000002</v>
      </c>
      <c r="O1699" s="9">
        <v>0.1065950775</v>
      </c>
      <c r="P1699" s="10">
        <v>0.60212844240964603</v>
      </c>
      <c r="Q1699" s="10">
        <v>0.36255866115866697</v>
      </c>
    </row>
    <row r="1700" spans="1:17" x14ac:dyDescent="0.2">
      <c r="A1700" s="10">
        <v>1783</v>
      </c>
      <c r="B1700" s="10" t="s">
        <v>2831</v>
      </c>
      <c r="C1700" s="9" t="s">
        <v>1418</v>
      </c>
      <c r="D1700" s="10">
        <v>-1.384899377</v>
      </c>
      <c r="E1700" s="10">
        <v>-0.930779091</v>
      </c>
      <c r="F1700" s="10">
        <v>-1.9510257049999999</v>
      </c>
      <c r="G1700" s="10">
        <v>0.82742848400000002</v>
      </c>
      <c r="H1700" s="9">
        <v>-0.85981892199999999</v>
      </c>
      <c r="I1700" s="10">
        <v>1.1997612098700301</v>
      </c>
      <c r="J1700" s="10">
        <v>1.4394269607088099</v>
      </c>
      <c r="K1700" s="10">
        <v>-0.32346851300000001</v>
      </c>
      <c r="L1700" s="10">
        <v>1.177588173</v>
      </c>
      <c r="M1700" s="10">
        <v>0.56223038199999997</v>
      </c>
      <c r="N1700" s="10">
        <v>-0.54264750299999998</v>
      </c>
      <c r="O1700" s="9">
        <v>0.21842563474999999</v>
      </c>
      <c r="P1700" s="10">
        <v>0.79813868205639305</v>
      </c>
      <c r="Q1700" s="10">
        <v>0.63702535579471598</v>
      </c>
    </row>
    <row r="1701" spans="1:17" x14ac:dyDescent="0.2">
      <c r="A1701" s="10">
        <v>1783</v>
      </c>
      <c r="B1701" s="10" t="s">
        <v>2819</v>
      </c>
      <c r="C1701" s="9" t="s">
        <v>1420</v>
      </c>
      <c r="D1701" s="10">
        <v>-1.7978269149999999</v>
      </c>
      <c r="E1701" s="10">
        <v>-6.0332358000000003E-2</v>
      </c>
      <c r="F1701" s="10">
        <v>-0.71619312499999999</v>
      </c>
      <c r="G1701" s="10">
        <v>-0.26784749000000002</v>
      </c>
      <c r="H1701" s="9">
        <v>-0.71054997175000001</v>
      </c>
      <c r="I1701" s="10">
        <v>0.77480565930647405</v>
      </c>
      <c r="J1701" s="10">
        <v>0.60032380969333998</v>
      </c>
      <c r="K1701" s="10">
        <v>-0.168770635</v>
      </c>
      <c r="L1701" s="10">
        <v>0.36286484600000002</v>
      </c>
      <c r="M1701" s="10">
        <v>0.68572608499999999</v>
      </c>
      <c r="N1701" s="10">
        <v>-0.52624255799999997</v>
      </c>
      <c r="O1701" s="9">
        <v>8.8394434250000001E-2</v>
      </c>
      <c r="P1701" s="10">
        <v>0.54038616223290303</v>
      </c>
      <c r="Q1701" s="10">
        <v>0.29201720433280598</v>
      </c>
    </row>
    <row r="1702" spans="1:17" x14ac:dyDescent="0.2">
      <c r="A1702" s="10">
        <v>1783</v>
      </c>
      <c r="B1702" s="10" t="s">
        <v>2821</v>
      </c>
      <c r="C1702" s="9" t="s">
        <v>1421</v>
      </c>
      <c r="D1702" s="10">
        <v>-0.75051183600000004</v>
      </c>
      <c r="E1702" s="10">
        <v>-5.554475085</v>
      </c>
      <c r="F1702" s="10">
        <v>-0.68991265899999998</v>
      </c>
      <c r="G1702" s="10">
        <v>-1.0488563630000001</v>
      </c>
      <c r="H1702" s="9">
        <v>-2.0109389857500002</v>
      </c>
      <c r="I1702" s="10">
        <v>2.36756120761983</v>
      </c>
      <c r="J1702" s="10">
        <v>5.6053460718263102</v>
      </c>
      <c r="K1702" s="10">
        <v>-3.4568939999999999E-2</v>
      </c>
      <c r="L1702" s="10">
        <v>-0.51167215700000002</v>
      </c>
      <c r="M1702" s="10">
        <v>-6.1392680999999998E-2</v>
      </c>
      <c r="N1702" s="10">
        <v>-0.39480655799999997</v>
      </c>
      <c r="O1702" s="9">
        <v>-0.25061008400000001</v>
      </c>
      <c r="P1702" s="10">
        <v>0.239041858657978</v>
      </c>
      <c r="Q1702" s="10">
        <v>5.7141010190661E-2</v>
      </c>
    </row>
    <row r="1703" spans="1:17" x14ac:dyDescent="0.2">
      <c r="A1703" s="10">
        <v>1783</v>
      </c>
      <c r="B1703" s="10" t="s">
        <v>2834</v>
      </c>
      <c r="C1703" s="9" t="s">
        <v>1422</v>
      </c>
      <c r="D1703" s="10">
        <v>-0.65410655299999998</v>
      </c>
      <c r="E1703" s="10">
        <v>-0.211639507</v>
      </c>
      <c r="F1703" s="10">
        <v>-0.74180322499999996</v>
      </c>
      <c r="G1703" s="10">
        <v>-0.55614251999999997</v>
      </c>
      <c r="H1703" s="9">
        <v>-0.54092295125000001</v>
      </c>
      <c r="I1703" s="10">
        <v>0.232251755656842</v>
      </c>
      <c r="J1703" s="10">
        <v>5.3940878005685401E-2</v>
      </c>
      <c r="K1703" s="10">
        <v>-2.2671188029999998</v>
      </c>
      <c r="L1703" s="10">
        <v>1.0117630660000001</v>
      </c>
      <c r="M1703" s="10">
        <v>0.53660507000000002</v>
      </c>
      <c r="N1703" s="10">
        <v>-9.8489200999999998E-2</v>
      </c>
      <c r="O1703" s="9">
        <v>-0.20430996674999999</v>
      </c>
      <c r="P1703" s="10">
        <v>1.4484666653670899</v>
      </c>
      <c r="Q1703" s="10">
        <v>2.09805568067967</v>
      </c>
    </row>
    <row r="1704" spans="1:17" x14ac:dyDescent="0.2">
      <c r="A1704" s="10">
        <v>1783</v>
      </c>
      <c r="B1704" s="10" t="s">
        <v>2820</v>
      </c>
      <c r="C1704" s="9" t="s">
        <v>1424</v>
      </c>
      <c r="D1704" s="10">
        <v>-1.45952693</v>
      </c>
      <c r="E1704" s="10">
        <v>-0.45320251700000003</v>
      </c>
      <c r="F1704" s="10">
        <v>-1.583910052</v>
      </c>
      <c r="G1704" s="10">
        <v>0.18958181599999999</v>
      </c>
      <c r="H1704" s="9">
        <v>-0.82676442100000003</v>
      </c>
      <c r="I1704" s="10">
        <v>0.845806532039593</v>
      </c>
      <c r="J1704" s="10">
        <v>0.71538868964084301</v>
      </c>
      <c r="K1704" s="10">
        <v>0.57077761599999999</v>
      </c>
      <c r="L1704" s="10">
        <v>0.60050142900000003</v>
      </c>
      <c r="M1704" s="10">
        <v>-0.28137016100000001</v>
      </c>
      <c r="N1704" s="10">
        <v>-7.2178123999999996E-2</v>
      </c>
      <c r="O1704" s="9">
        <v>0.20443268975000001</v>
      </c>
      <c r="P1704" s="10">
        <v>0.44855211636273501</v>
      </c>
      <c r="Q1704" s="10">
        <v>0.20119900109348801</v>
      </c>
    </row>
    <row r="1705" spans="1:17" x14ac:dyDescent="0.2">
      <c r="A1705" s="10">
        <v>1783</v>
      </c>
      <c r="B1705" s="10" t="s">
        <v>2824</v>
      </c>
      <c r="C1705" s="9" t="s">
        <v>35</v>
      </c>
      <c r="D1705" s="10">
        <v>0.75485669</v>
      </c>
      <c r="E1705" s="10">
        <v>0.33215897799999999</v>
      </c>
      <c r="F1705" s="10">
        <v>0.203567937</v>
      </c>
      <c r="G1705" s="10">
        <v>-0.37205700600000002</v>
      </c>
      <c r="H1705" s="9">
        <v>0.22963164975</v>
      </c>
      <c r="I1705" s="10">
        <v>0.46514576622970299</v>
      </c>
      <c r="J1705" s="10">
        <v>0.21636058384141699</v>
      </c>
      <c r="K1705" s="10">
        <v>-0.49176405899999998</v>
      </c>
      <c r="L1705" s="10">
        <v>0.72444170399999996</v>
      </c>
      <c r="M1705" s="10">
        <v>-0.34584535999999999</v>
      </c>
      <c r="N1705" s="10">
        <v>-3.8148666999999997E-2</v>
      </c>
      <c r="O1705" s="9">
        <v>-3.78290955E-2</v>
      </c>
      <c r="P1705" s="10">
        <v>0.54221393200488399</v>
      </c>
      <c r="Q1705" s="10">
        <v>0.29399594806019702</v>
      </c>
    </row>
    <row r="1706" spans="1:17" x14ac:dyDescent="0.2">
      <c r="A1706" s="10">
        <v>1783</v>
      </c>
      <c r="B1706" s="10" t="s">
        <v>82</v>
      </c>
      <c r="C1706" s="9" t="s">
        <v>1425</v>
      </c>
      <c r="D1706" s="10">
        <v>-0.13485091799999999</v>
      </c>
      <c r="E1706" s="10">
        <v>-0.31883496</v>
      </c>
      <c r="F1706" s="10">
        <v>-1.622175675</v>
      </c>
      <c r="G1706" s="10">
        <v>1.0732501E-2</v>
      </c>
      <c r="H1706" s="9">
        <v>-0.51628226275</v>
      </c>
      <c r="I1706" s="10">
        <v>0.74949318622418803</v>
      </c>
      <c r="J1706" s="10">
        <v>0.56174003619648605</v>
      </c>
      <c r="K1706" s="10">
        <v>-0.65096955000000001</v>
      </c>
      <c r="L1706" s="10">
        <v>-0.36408221800000001</v>
      </c>
      <c r="M1706" s="10">
        <v>-0.37742587399999999</v>
      </c>
      <c r="N1706" s="10">
        <v>-1.1421793659999999</v>
      </c>
      <c r="O1706" s="9">
        <v>-0.63366425225</v>
      </c>
      <c r="P1706" s="10">
        <v>0.36387711933240502</v>
      </c>
      <c r="Q1706" s="10">
        <v>0.132406557973649</v>
      </c>
    </row>
    <row r="1707" spans="1:17" x14ac:dyDescent="0.2">
      <c r="A1707" s="10">
        <v>1783</v>
      </c>
      <c r="B1707" s="10" t="s">
        <v>2825</v>
      </c>
      <c r="C1707" s="9" t="s">
        <v>1427</v>
      </c>
      <c r="D1707" s="10">
        <v>-1.213899209</v>
      </c>
      <c r="E1707" s="10">
        <v>-0.38632078199999997</v>
      </c>
      <c r="F1707" s="10">
        <v>-2.7687305790000001</v>
      </c>
      <c r="G1707" s="10">
        <v>-0.36421369599999998</v>
      </c>
      <c r="H1707" s="9">
        <v>-1.1832910665</v>
      </c>
      <c r="I1707" s="10">
        <v>1.1285100323619499</v>
      </c>
      <c r="J1707" s="10">
        <v>1.27353489314158</v>
      </c>
      <c r="K1707" s="10">
        <v>1.8611426E-2</v>
      </c>
      <c r="L1707" s="10">
        <v>-5.4968546E-2</v>
      </c>
      <c r="M1707" s="10">
        <v>9.8035703000000002E-2</v>
      </c>
      <c r="N1707" s="10">
        <v>0.54026142200000005</v>
      </c>
      <c r="O1707" s="9">
        <v>0.15048500100000001</v>
      </c>
      <c r="P1707" s="10">
        <v>0.26725667249944302</v>
      </c>
      <c r="Q1707" s="10">
        <v>7.1426128995474597E-2</v>
      </c>
    </row>
    <row r="1708" spans="1:17" x14ac:dyDescent="0.2">
      <c r="A1708" s="10">
        <v>1783</v>
      </c>
      <c r="B1708" s="10" t="s">
        <v>2830</v>
      </c>
      <c r="C1708" s="9" t="s">
        <v>1429</v>
      </c>
      <c r="D1708" s="10">
        <v>0.47731246700000002</v>
      </c>
      <c r="E1708" s="10">
        <v>-0.22281695100000001</v>
      </c>
      <c r="F1708" s="10">
        <v>0.43413174199999999</v>
      </c>
      <c r="G1708" s="10">
        <v>-0.23677606000000001</v>
      </c>
      <c r="H1708" s="9">
        <v>0.11296279925</v>
      </c>
      <c r="I1708" s="10">
        <v>0.39621773497414697</v>
      </c>
      <c r="J1708" s="10">
        <v>0.156988493508043</v>
      </c>
      <c r="K1708" s="10">
        <v>-0.12671601599999999</v>
      </c>
      <c r="L1708" s="10">
        <v>1.593650529</v>
      </c>
      <c r="M1708" s="10">
        <v>0.17702881100000001</v>
      </c>
      <c r="N1708" s="10">
        <v>-0.15168255899999999</v>
      </c>
      <c r="O1708" s="9">
        <v>0.37307019125000002</v>
      </c>
      <c r="P1708" s="10">
        <v>0.827325064192728</v>
      </c>
      <c r="Q1708" s="10">
        <v>0.68446676184150201</v>
      </c>
    </row>
    <row r="1709" spans="1:17" x14ac:dyDescent="0.2">
      <c r="A1709" s="10">
        <v>1784</v>
      </c>
      <c r="B1709" s="10" t="s">
        <v>2831</v>
      </c>
      <c r="C1709" s="9" t="s">
        <v>1430</v>
      </c>
      <c r="D1709" s="10">
        <v>-0.497048184</v>
      </c>
      <c r="E1709" s="10">
        <v>-0.42492423000000001</v>
      </c>
      <c r="F1709" s="10">
        <v>-1.7192159899999999</v>
      </c>
      <c r="G1709" s="10">
        <v>-3.9356470999999997E-2</v>
      </c>
      <c r="H1709" s="9">
        <v>-0.67013621899999998</v>
      </c>
      <c r="I1709" s="10">
        <v>0.72767663235300994</v>
      </c>
      <c r="J1709" s="10">
        <v>0.52951328127261699</v>
      </c>
      <c r="K1709" s="10">
        <v>-0.318801573</v>
      </c>
      <c r="L1709" s="10">
        <v>-0.18177589799999999</v>
      </c>
      <c r="M1709" s="10">
        <v>0.285031066</v>
      </c>
      <c r="N1709" s="10">
        <v>-0.17589110899999999</v>
      </c>
      <c r="O1709" s="9">
        <v>-9.7859378750000003E-2</v>
      </c>
      <c r="P1709" s="10">
        <v>0.26366106968966901</v>
      </c>
      <c r="Q1709" s="10">
        <v>6.9517159669900602E-2</v>
      </c>
    </row>
    <row r="1710" spans="1:17" x14ac:dyDescent="0.2">
      <c r="A1710" s="10">
        <v>1784</v>
      </c>
      <c r="B1710" s="10" t="s">
        <v>2822</v>
      </c>
      <c r="C1710" s="9" t="s">
        <v>1431</v>
      </c>
      <c r="D1710" s="10">
        <v>0.45999085099999998</v>
      </c>
      <c r="E1710" s="10">
        <v>0.28287092600000002</v>
      </c>
      <c r="F1710" s="10">
        <v>0.69310644399999999</v>
      </c>
      <c r="G1710" s="10">
        <v>-0.73231391999999995</v>
      </c>
      <c r="H1710" s="9">
        <v>0.17591357525000001</v>
      </c>
      <c r="I1710" s="10">
        <v>0.62835908526121698</v>
      </c>
      <c r="J1710" s="10">
        <v>0.394835140030314</v>
      </c>
      <c r="K1710" s="10">
        <v>0.68422381600000004</v>
      </c>
      <c r="L1710" s="10">
        <v>0.12878272599999999</v>
      </c>
      <c r="M1710" s="10">
        <v>-1.230525157</v>
      </c>
      <c r="N1710" s="10">
        <v>-0.34581708900000002</v>
      </c>
      <c r="O1710" s="9">
        <v>-0.19083392625000001</v>
      </c>
      <c r="P1710" s="10">
        <v>0.81093741902023597</v>
      </c>
      <c r="Q1710" s="10">
        <v>0.65761949756720195</v>
      </c>
    </row>
    <row r="1711" spans="1:17" x14ac:dyDescent="0.2">
      <c r="A1711" s="10">
        <v>1784</v>
      </c>
      <c r="B1711" s="10" t="s">
        <v>2833</v>
      </c>
      <c r="C1711" s="9" t="s">
        <v>1434</v>
      </c>
      <c r="D1711" s="10">
        <v>-0.86030788400000002</v>
      </c>
      <c r="E1711" s="10">
        <v>-0.58977094799999996</v>
      </c>
      <c r="F1711" s="10">
        <v>-1.0226182210000001</v>
      </c>
      <c r="G1711" s="10">
        <v>0.32928047100000002</v>
      </c>
      <c r="H1711" s="9">
        <v>-0.53585414549999999</v>
      </c>
      <c r="I1711" s="10">
        <v>0.60375889776256997</v>
      </c>
      <c r="J1711" s="10">
        <v>0.364524806627474</v>
      </c>
      <c r="K1711" s="10">
        <v>0.34773770199999998</v>
      </c>
      <c r="L1711" s="10">
        <v>0.177036261</v>
      </c>
      <c r="M1711" s="10">
        <v>4.2428424999999999E-2</v>
      </c>
      <c r="N1711" s="10">
        <v>0.31425109000000001</v>
      </c>
      <c r="O1711" s="9">
        <v>0.22036336949999999</v>
      </c>
      <c r="P1711" s="10">
        <v>0.139734519053925</v>
      </c>
      <c r="Q1711" s="10">
        <v>1.9525735815231801E-2</v>
      </c>
    </row>
    <row r="1712" spans="1:17" x14ac:dyDescent="0.2">
      <c r="A1712" s="10">
        <v>1784</v>
      </c>
      <c r="B1712" s="10" t="s">
        <v>2825</v>
      </c>
      <c r="C1712" s="9" t="s">
        <v>1435</v>
      </c>
      <c r="D1712" s="10">
        <v>-1.6535437159999999</v>
      </c>
      <c r="E1712" s="10">
        <v>0.30668747299999999</v>
      </c>
      <c r="F1712" s="10">
        <v>-1.8428311820000001</v>
      </c>
      <c r="G1712" s="10">
        <v>-0.53073334100000003</v>
      </c>
      <c r="H1712" s="9">
        <v>-0.93010519150000004</v>
      </c>
      <c r="I1712" s="10">
        <v>1.00756902201912</v>
      </c>
      <c r="J1712" s="10">
        <v>1.0151953341325799</v>
      </c>
      <c r="K1712" s="10">
        <v>-0.44533640800000002</v>
      </c>
      <c r="L1712" s="10">
        <v>-0.32058819199999999</v>
      </c>
      <c r="M1712" s="10">
        <v>0.10970062</v>
      </c>
      <c r="N1712" s="10">
        <v>0.39442444900000001</v>
      </c>
      <c r="O1712" s="9">
        <v>-6.5449883E-2</v>
      </c>
      <c r="P1712" s="10">
        <v>0.38797398045468301</v>
      </c>
      <c r="Q1712" s="10">
        <v>0.150523809509851</v>
      </c>
    </row>
    <row r="1713" spans="1:17" x14ac:dyDescent="0.2">
      <c r="A1713" s="10">
        <v>1785</v>
      </c>
      <c r="B1713" s="10" t="s">
        <v>2821</v>
      </c>
      <c r="C1713" s="9" t="s">
        <v>1438</v>
      </c>
      <c r="D1713" s="10">
        <v>0.441516674</v>
      </c>
      <c r="E1713" s="10">
        <v>0.38029543399999999</v>
      </c>
      <c r="F1713" s="10">
        <v>0.35994906399999999</v>
      </c>
      <c r="G1713" s="10">
        <v>-0.160541399</v>
      </c>
      <c r="H1713" s="9">
        <v>0.25530494300000001</v>
      </c>
      <c r="I1713" s="10">
        <v>0.27938981359209702</v>
      </c>
      <c r="J1713" s="10">
        <v>7.8058667939026993E-2</v>
      </c>
      <c r="K1713" s="10">
        <v>0.14046288400000001</v>
      </c>
      <c r="L1713" s="10">
        <v>-0.14280546299999999</v>
      </c>
      <c r="M1713" s="10">
        <v>0.102746977</v>
      </c>
      <c r="N1713" s="10">
        <v>0.232014635</v>
      </c>
      <c r="O1713" s="9">
        <v>8.3104758500000001E-2</v>
      </c>
      <c r="P1713" s="10">
        <v>0.160088882401724</v>
      </c>
      <c r="Q1713" s="10">
        <v>2.56284502686332E-2</v>
      </c>
    </row>
    <row r="1714" spans="1:17" x14ac:dyDescent="0.2">
      <c r="A1714" s="10">
        <v>1785</v>
      </c>
      <c r="B1714" s="10" t="s">
        <v>2820</v>
      </c>
      <c r="C1714" s="9" t="s">
        <v>1439</v>
      </c>
      <c r="D1714" s="10">
        <v>0.122303273</v>
      </c>
      <c r="E1714" s="10">
        <v>0.55330184800000004</v>
      </c>
      <c r="F1714" s="10">
        <v>-0.47549609500000001</v>
      </c>
      <c r="G1714" s="10">
        <v>-0.17216958700000001</v>
      </c>
      <c r="H1714" s="9">
        <v>6.9848595000000001E-3</v>
      </c>
      <c r="I1714" s="10">
        <v>0.43842322610761197</v>
      </c>
      <c r="J1714" s="10">
        <v>0.19221492519060601</v>
      </c>
      <c r="K1714" s="10">
        <v>-0.60413889499999995</v>
      </c>
      <c r="L1714" s="10">
        <v>-0.181277137</v>
      </c>
      <c r="M1714" s="10">
        <v>0.55747058599999999</v>
      </c>
      <c r="N1714" s="10">
        <v>0.37561208899999998</v>
      </c>
      <c r="O1714" s="9">
        <v>3.6916661000000003E-2</v>
      </c>
      <c r="P1714" s="10">
        <v>0.53048774448462099</v>
      </c>
      <c r="Q1714" s="10">
        <v>0.28141724704838</v>
      </c>
    </row>
    <row r="1715" spans="1:17" x14ac:dyDescent="0.2">
      <c r="A1715" s="10">
        <v>1785</v>
      </c>
      <c r="B1715" s="10" t="s">
        <v>2824</v>
      </c>
      <c r="C1715" s="9" t="s">
        <v>1440</v>
      </c>
      <c r="D1715" s="10">
        <v>-0.27309170100000002</v>
      </c>
      <c r="E1715" s="10">
        <v>0.56202498899999997</v>
      </c>
      <c r="F1715" s="10">
        <v>6.6526619999999995E-2</v>
      </c>
      <c r="G1715" s="10">
        <v>-0.26766645100000003</v>
      </c>
      <c r="H1715" s="9">
        <v>2.1948364500000001E-2</v>
      </c>
      <c r="I1715" s="10">
        <v>0.39352905983424702</v>
      </c>
      <c r="J1715" s="10">
        <v>0.15486512093402599</v>
      </c>
      <c r="K1715" s="10">
        <v>-0.19285054300000001</v>
      </c>
      <c r="L1715" s="10">
        <v>0.47596917599999999</v>
      </c>
      <c r="M1715" s="10">
        <v>-0.15583134700000001</v>
      </c>
      <c r="N1715" s="10">
        <v>-0.15365425099999999</v>
      </c>
      <c r="O1715" s="9">
        <v>-6.5917412499999998E-3</v>
      </c>
      <c r="P1715" s="10">
        <v>0.32220967385895899</v>
      </c>
      <c r="Q1715" s="10">
        <v>0.10381907392829701</v>
      </c>
    </row>
    <row r="1716" spans="1:17" x14ac:dyDescent="0.2">
      <c r="A1716" s="10">
        <v>1785</v>
      </c>
      <c r="B1716" s="10" t="s">
        <v>2817</v>
      </c>
      <c r="C1716" s="9" t="s">
        <v>1441</v>
      </c>
      <c r="D1716" s="10">
        <v>0.77806738099999995</v>
      </c>
      <c r="E1716" s="10">
        <v>-0.42631659599999999</v>
      </c>
      <c r="F1716" s="10">
        <v>0.16004104199999999</v>
      </c>
      <c r="G1716" s="10">
        <v>-0.108047372</v>
      </c>
      <c r="H1716" s="9">
        <v>0.10093611375</v>
      </c>
      <c r="I1716" s="10">
        <v>0.51110001072391698</v>
      </c>
      <c r="J1716" s="10">
        <v>0.26122322096198802</v>
      </c>
      <c r="K1716" s="10">
        <v>-0.465828731</v>
      </c>
      <c r="L1716" s="10">
        <v>0.43719351000000001</v>
      </c>
      <c r="M1716" s="10">
        <v>-0.102235904</v>
      </c>
      <c r="N1716" s="10">
        <v>-0.313521889</v>
      </c>
      <c r="O1716" s="9">
        <v>-0.11109825349999999</v>
      </c>
      <c r="P1716" s="10">
        <v>0.39476213894656997</v>
      </c>
      <c r="Q1716" s="10">
        <v>0.155837146345671</v>
      </c>
    </row>
    <row r="1717" spans="1:17" x14ac:dyDescent="0.2">
      <c r="A1717" s="10">
        <v>1785</v>
      </c>
      <c r="B1717" s="10" t="s">
        <v>2825</v>
      </c>
      <c r="C1717" s="9" t="s">
        <v>1443</v>
      </c>
      <c r="D1717" s="10">
        <v>-0.25942553699999998</v>
      </c>
      <c r="E1717" s="10">
        <v>-5.0455691930000004</v>
      </c>
      <c r="F1717" s="10">
        <v>-0.209311997</v>
      </c>
      <c r="G1717" s="10">
        <v>5.9140993000000003E-2</v>
      </c>
      <c r="H1717" s="9">
        <v>-1.3637914335000001</v>
      </c>
      <c r="I1717" s="10">
        <v>2.4585002856340101</v>
      </c>
      <c r="J1717" s="10">
        <v>6.0442236544625398</v>
      </c>
      <c r="K1717" s="10">
        <v>-4.5961964000000001E-2</v>
      </c>
      <c r="L1717" s="10">
        <v>4.4622537370000002</v>
      </c>
      <c r="M1717" s="10">
        <v>-0.26370891499999999</v>
      </c>
      <c r="N1717" s="10">
        <v>0.21859519899999999</v>
      </c>
      <c r="O1717" s="9">
        <v>1.0927945145</v>
      </c>
      <c r="P1717" s="10">
        <v>2.25494624968327</v>
      </c>
      <c r="Q1717" s="10">
        <v>5.0847825889606497</v>
      </c>
    </row>
    <row r="1718" spans="1:17" x14ac:dyDescent="0.2">
      <c r="A1718" s="10">
        <v>1786</v>
      </c>
      <c r="B1718" s="10" t="s">
        <v>2819</v>
      </c>
      <c r="C1718" s="9" t="s">
        <v>1445</v>
      </c>
      <c r="D1718" s="10">
        <v>0.51576043100000002</v>
      </c>
      <c r="E1718" s="10">
        <v>0.35859618300000001</v>
      </c>
      <c r="F1718" s="10">
        <v>0.54343337000000003</v>
      </c>
      <c r="G1718" s="10">
        <v>-0.379547303</v>
      </c>
      <c r="H1718" s="9">
        <v>0.25956067025000001</v>
      </c>
      <c r="I1718" s="10">
        <v>0.43377761634624401</v>
      </c>
      <c r="J1718" s="10">
        <v>0.18816302044302899</v>
      </c>
      <c r="K1718" s="10">
        <v>0.47758043300000003</v>
      </c>
      <c r="L1718" s="10">
        <v>0.13400040799999999</v>
      </c>
      <c r="M1718" s="10">
        <v>-0.67011603200000003</v>
      </c>
      <c r="N1718" s="10">
        <v>0.443611798</v>
      </c>
      <c r="O1718" s="9">
        <v>9.6269151750000004E-2</v>
      </c>
      <c r="P1718" s="10">
        <v>0.53379618603676604</v>
      </c>
      <c r="Q1718" s="10">
        <v>0.28493836822739699</v>
      </c>
    </row>
    <row r="1719" spans="1:17" x14ac:dyDescent="0.2">
      <c r="A1719" s="10">
        <v>1786</v>
      </c>
      <c r="B1719" s="10" t="s">
        <v>2832</v>
      </c>
      <c r="C1719" s="9" t="s">
        <v>1452</v>
      </c>
      <c r="D1719" s="10">
        <v>-0.86871782900000005</v>
      </c>
      <c r="E1719" s="10">
        <v>-0.84835254299999996</v>
      </c>
      <c r="F1719" s="10">
        <v>1.2060129669999999</v>
      </c>
      <c r="G1719" s="10">
        <v>-3.8180410999999997E-2</v>
      </c>
      <c r="H1719" s="9">
        <v>-0.137309454</v>
      </c>
      <c r="I1719" s="10">
        <v>0.97551391231531503</v>
      </c>
      <c r="J1719" s="10">
        <v>0.95162739312073297</v>
      </c>
      <c r="K1719" s="10">
        <v>-2.983897577</v>
      </c>
      <c r="L1719" s="10">
        <v>1.646719169</v>
      </c>
      <c r="M1719" s="10">
        <v>-0.28338169200000002</v>
      </c>
      <c r="N1719" s="10">
        <v>0.39672953</v>
      </c>
      <c r="O1719" s="9">
        <v>-0.30595764250000002</v>
      </c>
      <c r="P1719" s="10">
        <v>1.95606645753637</v>
      </c>
      <c r="Q1719" s="10">
        <v>3.8261959862988899</v>
      </c>
    </row>
    <row r="1720" spans="1:17" x14ac:dyDescent="0.2">
      <c r="A1720" s="10">
        <v>1787</v>
      </c>
      <c r="B1720" s="10" t="s">
        <v>2820</v>
      </c>
      <c r="C1720" s="9" t="s">
        <v>1455</v>
      </c>
      <c r="D1720" s="10">
        <v>-1.700917773</v>
      </c>
      <c r="E1720" s="10">
        <v>-5.0493578320000001</v>
      </c>
      <c r="F1720" s="10">
        <v>-1.2507639820000001</v>
      </c>
      <c r="G1720" s="10">
        <v>-0.70723133100000002</v>
      </c>
      <c r="H1720" s="9">
        <v>-2.1770677297500001</v>
      </c>
      <c r="I1720" s="10">
        <v>1.95748366404272</v>
      </c>
      <c r="J1720" s="10">
        <v>3.8317422949941302</v>
      </c>
      <c r="K1720" s="10">
        <v>3.2414638000000003E-2</v>
      </c>
      <c r="L1720" s="10">
        <v>1.413682667</v>
      </c>
      <c r="M1720" s="10">
        <v>-1.335590026</v>
      </c>
      <c r="N1720" s="10">
        <v>0.46297069699999999</v>
      </c>
      <c r="O1720" s="9">
        <v>0.14336949374999999</v>
      </c>
      <c r="P1720" s="10">
        <v>1.1424349329867001</v>
      </c>
      <c r="Q1720" s="10">
        <v>1.3051575761083201</v>
      </c>
    </row>
    <row r="1721" spans="1:17" x14ac:dyDescent="0.2">
      <c r="A1721" s="10">
        <v>1787</v>
      </c>
      <c r="B1721" s="10" t="s">
        <v>2818</v>
      </c>
      <c r="C1721" s="9" t="s">
        <v>1456</v>
      </c>
      <c r="D1721" s="10">
        <v>0.60325213700000002</v>
      </c>
      <c r="E1721" s="10">
        <v>0.58018993200000002</v>
      </c>
      <c r="F1721" s="10">
        <v>-0.14348975</v>
      </c>
      <c r="G1721" s="10">
        <v>0.30643873300000002</v>
      </c>
      <c r="H1721" s="9">
        <v>0.33659776299999999</v>
      </c>
      <c r="I1721" s="10">
        <v>0.347292041947658</v>
      </c>
      <c r="J1721" s="10">
        <v>0.120611762400174</v>
      </c>
      <c r="K1721" s="10">
        <v>-0.19073404499999999</v>
      </c>
      <c r="L1721" s="10">
        <v>-0.38104850200000001</v>
      </c>
      <c r="M1721" s="10">
        <v>0.23335730299999999</v>
      </c>
      <c r="N1721" s="10">
        <v>-1.219126476</v>
      </c>
      <c r="O1721" s="9">
        <v>-0.38938792999999999</v>
      </c>
      <c r="P1721" s="10">
        <v>0.60986626731532401</v>
      </c>
      <c r="Q1721" s="10">
        <v>0.37193686400912601</v>
      </c>
    </row>
    <row r="1722" spans="1:17" x14ac:dyDescent="0.2">
      <c r="A1722" s="10">
        <v>1788</v>
      </c>
      <c r="B1722" s="10" t="s">
        <v>2831</v>
      </c>
      <c r="C1722" s="9" t="s">
        <v>1457</v>
      </c>
      <c r="D1722" s="10">
        <v>-3.7064709420000002</v>
      </c>
      <c r="E1722" s="10">
        <v>-2.5709098840000002</v>
      </c>
      <c r="F1722" s="10">
        <v>-2.6788267929999998</v>
      </c>
      <c r="G1722" s="10">
        <v>-0.96035901000000001</v>
      </c>
      <c r="H1722" s="9">
        <v>-2.479141657</v>
      </c>
      <c r="I1722" s="10">
        <v>1.1345092130774701</v>
      </c>
      <c r="J1722" s="10">
        <v>1.2871111545576599</v>
      </c>
      <c r="K1722" s="10">
        <v>-1.672611343</v>
      </c>
      <c r="L1722" s="10">
        <v>0.80333062899999996</v>
      </c>
      <c r="M1722" s="10">
        <v>-0.15844103800000001</v>
      </c>
      <c r="N1722" s="10">
        <v>9.9619862000000003E-2</v>
      </c>
      <c r="O1722" s="9">
        <v>-0.23202547274999999</v>
      </c>
      <c r="P1722" s="10">
        <v>1.04285716569014</v>
      </c>
      <c r="Q1722" s="10">
        <v>1.0875510680312701</v>
      </c>
    </row>
    <row r="1723" spans="1:17" x14ac:dyDescent="0.2">
      <c r="A1723" s="10">
        <v>1788</v>
      </c>
      <c r="B1723" s="10" t="s">
        <v>2819</v>
      </c>
      <c r="C1723" s="9" t="s">
        <v>1458</v>
      </c>
      <c r="D1723" s="10">
        <v>0.16776702299999999</v>
      </c>
      <c r="E1723" s="10">
        <v>-0.66066380300000005</v>
      </c>
      <c r="F1723" s="10">
        <v>0.42637676699999999</v>
      </c>
      <c r="G1723" s="10">
        <v>-1.8142571E-2</v>
      </c>
      <c r="H1723" s="9">
        <v>-2.1165646E-2</v>
      </c>
      <c r="I1723" s="10">
        <v>0.46366539538701002</v>
      </c>
      <c r="J1723" s="10">
        <v>0.214985598879392</v>
      </c>
      <c r="K1723" s="10">
        <v>0.50086677400000001</v>
      </c>
      <c r="L1723" s="10">
        <v>0.25657882199999998</v>
      </c>
      <c r="M1723" s="10">
        <v>-0.35490670400000002</v>
      </c>
      <c r="N1723" s="10">
        <v>-3.5212345999999999E-2</v>
      </c>
      <c r="O1723" s="9">
        <v>9.1831636499999994E-2</v>
      </c>
      <c r="P1723" s="10">
        <v>0.36975969547891002</v>
      </c>
      <c r="Q1723" s="10">
        <v>0.13672223240065601</v>
      </c>
    </row>
    <row r="1724" spans="1:17" x14ac:dyDescent="0.2">
      <c r="A1724" s="10">
        <v>1788</v>
      </c>
      <c r="B1724" s="10" t="s">
        <v>2820</v>
      </c>
      <c r="C1724" s="9" t="s">
        <v>1460</v>
      </c>
      <c r="D1724" s="10">
        <v>-0.28790000799999999</v>
      </c>
      <c r="E1724" s="10">
        <v>-0.27814713099999999</v>
      </c>
      <c r="F1724" s="10">
        <v>-0.65259124499999999</v>
      </c>
      <c r="G1724" s="10">
        <v>-4.6088847000000002E-2</v>
      </c>
      <c r="H1724" s="9">
        <v>-0.31618180774999999</v>
      </c>
      <c r="I1724" s="10">
        <v>0.25057800764774402</v>
      </c>
      <c r="J1724" s="10">
        <v>6.2789337916712901E-2</v>
      </c>
      <c r="K1724" s="10">
        <v>-0.107741881</v>
      </c>
      <c r="L1724" s="10">
        <v>0.71861965100000003</v>
      </c>
      <c r="M1724" s="10">
        <v>-2.9942811E-2</v>
      </c>
      <c r="N1724" s="10">
        <v>6.8807549999999995E-2</v>
      </c>
      <c r="O1724" s="9">
        <v>0.162435627</v>
      </c>
      <c r="P1724" s="10">
        <v>0.37776193322953999</v>
      </c>
      <c r="Q1724" s="10">
        <v>0.14270407819732001</v>
      </c>
    </row>
    <row r="1725" spans="1:17" x14ac:dyDescent="0.2">
      <c r="A1725" s="10">
        <v>1788</v>
      </c>
      <c r="B1725" s="10" t="s">
        <v>2824</v>
      </c>
      <c r="C1725" s="9" t="s">
        <v>1461</v>
      </c>
      <c r="D1725" s="10">
        <v>-1.16734023</v>
      </c>
      <c r="E1725" s="10">
        <v>-0.14865636099999999</v>
      </c>
      <c r="F1725" s="10">
        <v>-2.0928191979999999</v>
      </c>
      <c r="G1725" s="10">
        <v>0.31473746800000002</v>
      </c>
      <c r="H1725" s="9">
        <v>-0.77351958025000001</v>
      </c>
      <c r="I1725" s="10">
        <v>1.0755469355018199</v>
      </c>
      <c r="J1725" s="10">
        <v>1.15680121046736</v>
      </c>
      <c r="K1725" s="10">
        <v>-0.57775138299999995</v>
      </c>
      <c r="L1725" s="10">
        <v>-0.51851185499999997</v>
      </c>
      <c r="M1725" s="10">
        <v>-0.31714282599999999</v>
      </c>
      <c r="N1725" s="10">
        <v>0.292005605</v>
      </c>
      <c r="O1725" s="9">
        <v>-0.28035011474999999</v>
      </c>
      <c r="P1725" s="10">
        <v>0.397539642638434</v>
      </c>
      <c r="Q1725" s="10">
        <v>0.15803776746909401</v>
      </c>
    </row>
    <row r="1726" spans="1:17" x14ac:dyDescent="0.2">
      <c r="A1726" s="10">
        <v>1788</v>
      </c>
      <c r="B1726" s="10" t="s">
        <v>2833</v>
      </c>
      <c r="C1726" s="9" t="s">
        <v>1462</v>
      </c>
      <c r="D1726" s="10">
        <v>7.1857176999999994E-2</v>
      </c>
      <c r="E1726" s="10">
        <v>-0.122917767</v>
      </c>
      <c r="F1726" s="10">
        <v>0.55561252000000005</v>
      </c>
      <c r="G1726" s="10">
        <v>-0.136649469</v>
      </c>
      <c r="H1726" s="9">
        <v>9.1975615250000003E-2</v>
      </c>
      <c r="I1726" s="10">
        <v>0.32342568743939898</v>
      </c>
      <c r="J1726" s="10">
        <v>0.104604175295647</v>
      </c>
      <c r="K1726" s="10">
        <v>0.70065220699999997</v>
      </c>
      <c r="L1726" s="10">
        <v>0.25502326400000003</v>
      </c>
      <c r="M1726" s="10">
        <v>-0.428918937</v>
      </c>
      <c r="N1726" s="10">
        <v>0.22374100799999999</v>
      </c>
      <c r="O1726" s="9">
        <v>0.18762438549999999</v>
      </c>
      <c r="P1726" s="10">
        <v>0.465177469143494</v>
      </c>
      <c r="Q1726" s="10">
        <v>0.216390077798746</v>
      </c>
    </row>
    <row r="1727" spans="1:17" x14ac:dyDescent="0.2">
      <c r="A1727" s="10">
        <v>1788</v>
      </c>
      <c r="B1727" s="10" t="s">
        <v>2825</v>
      </c>
      <c r="C1727" s="9" t="s">
        <v>1463</v>
      </c>
      <c r="D1727" s="10">
        <v>-0.19530650099999999</v>
      </c>
      <c r="E1727" s="10">
        <v>-1.709814E-3</v>
      </c>
      <c r="F1727" s="10">
        <v>-0.887463801</v>
      </c>
      <c r="G1727" s="10">
        <v>-0.53245998699999997</v>
      </c>
      <c r="H1727" s="9">
        <v>-0.404235026</v>
      </c>
      <c r="I1727" s="10">
        <v>0.38971329823592599</v>
      </c>
      <c r="J1727" s="10">
        <v>0.151876454821924</v>
      </c>
      <c r="K1727" s="10">
        <v>-0.30796636900000002</v>
      </c>
      <c r="L1727" s="10">
        <v>-1.057435473</v>
      </c>
      <c r="M1727" s="10">
        <v>-0.31011110600000003</v>
      </c>
      <c r="N1727" s="10">
        <v>1.0376637449999999</v>
      </c>
      <c r="O1727" s="9">
        <v>-0.15946230049999999</v>
      </c>
      <c r="P1727" s="10">
        <v>0.87258526007563897</v>
      </c>
      <c r="Q1727" s="10">
        <v>0.76140503610126997</v>
      </c>
    </row>
    <row r="1728" spans="1:17" x14ac:dyDescent="0.2">
      <c r="A1728" s="10">
        <v>1788</v>
      </c>
      <c r="B1728" s="10" t="s">
        <v>74</v>
      </c>
      <c r="C1728" s="9" t="s">
        <v>1464</v>
      </c>
      <c r="D1728" s="10">
        <v>-0.31011639400000002</v>
      </c>
      <c r="E1728" s="10">
        <v>-4.5608613140000003</v>
      </c>
      <c r="F1728" s="10">
        <v>-0.101556296</v>
      </c>
      <c r="G1728" s="10">
        <v>-1.156635863</v>
      </c>
      <c r="H1728" s="9">
        <v>-1.53229246675</v>
      </c>
      <c r="I1728" s="10">
        <v>2.0699490726077499</v>
      </c>
      <c r="J1728" s="10">
        <v>4.2846891631897197</v>
      </c>
      <c r="K1728" s="10">
        <v>0.282913156</v>
      </c>
      <c r="L1728" s="10">
        <v>0.350777226</v>
      </c>
      <c r="M1728" s="10">
        <v>7.8768250000000005E-3</v>
      </c>
      <c r="N1728" s="10">
        <v>0.39912522299999997</v>
      </c>
      <c r="O1728" s="9">
        <v>0.26017310724999998</v>
      </c>
      <c r="P1728" s="10">
        <v>0.174821166396015</v>
      </c>
      <c r="Q1728" s="10">
        <v>3.0562440220063099E-2</v>
      </c>
    </row>
    <row r="1729" spans="1:17" x14ac:dyDescent="0.2">
      <c r="A1729" s="10">
        <v>1789</v>
      </c>
      <c r="B1729" s="10" t="s">
        <v>2824</v>
      </c>
      <c r="C1729" s="9" t="s">
        <v>1472</v>
      </c>
      <c r="D1729" s="10">
        <v>-1.4603024259999999</v>
      </c>
      <c r="E1729" s="10">
        <v>-0.64236215699999999</v>
      </c>
      <c r="F1729" s="10">
        <v>-1.1346510080000001</v>
      </c>
      <c r="G1729" s="10">
        <v>-0.30301539</v>
      </c>
      <c r="H1729" s="9">
        <v>-0.88508274549999999</v>
      </c>
      <c r="I1729" s="10">
        <v>0.51344512491675298</v>
      </c>
      <c r="J1729" s="10">
        <v>0.26362589630077998</v>
      </c>
      <c r="K1729" s="10">
        <v>-0.28773917599999999</v>
      </c>
      <c r="L1729" s="10">
        <v>0.26128508099999997</v>
      </c>
      <c r="M1729" s="10">
        <v>-0.49939326000000001</v>
      </c>
      <c r="N1729" s="10">
        <v>-0.92847067800000005</v>
      </c>
      <c r="O1729" s="9">
        <v>-0.36357950849999998</v>
      </c>
      <c r="P1729" s="10">
        <v>0.49455532879557401</v>
      </c>
      <c r="Q1729" s="10">
        <v>0.24458497324009801</v>
      </c>
    </row>
    <row r="1730" spans="1:17" x14ac:dyDescent="0.2">
      <c r="A1730" s="10">
        <v>1789</v>
      </c>
      <c r="B1730" s="10" t="s">
        <v>2817</v>
      </c>
      <c r="C1730" s="9" t="s">
        <v>1473</v>
      </c>
      <c r="D1730" s="10">
        <v>-1.569333138</v>
      </c>
      <c r="E1730" s="10">
        <v>-5.2696813000000002E-2</v>
      </c>
      <c r="F1730" s="10">
        <v>-1.2396403819999999</v>
      </c>
      <c r="G1730" s="10">
        <v>-0.69109248899999998</v>
      </c>
      <c r="H1730" s="9">
        <v>-0.88819070550000001</v>
      </c>
      <c r="I1730" s="10">
        <v>0.66442196427076206</v>
      </c>
      <c r="J1730" s="10">
        <v>0.441456546605418</v>
      </c>
      <c r="K1730" s="10">
        <v>-0.35061770799999997</v>
      </c>
      <c r="L1730" s="10">
        <v>-0.144753888</v>
      </c>
      <c r="M1730" s="10">
        <v>-1.058190253</v>
      </c>
      <c r="N1730" s="10">
        <v>-0.56273211499999998</v>
      </c>
      <c r="O1730" s="9">
        <v>-0.52907349125000003</v>
      </c>
      <c r="P1730" s="10">
        <v>0.39185264004689202</v>
      </c>
      <c r="Q1730" s="10">
        <v>0.15354849151171901</v>
      </c>
    </row>
    <row r="1731" spans="1:17" x14ac:dyDescent="0.2">
      <c r="A1731" s="10">
        <v>1789</v>
      </c>
      <c r="B1731" s="10" t="s">
        <v>2825</v>
      </c>
      <c r="C1731" s="9" t="s">
        <v>1475</v>
      </c>
      <c r="D1731" s="10">
        <v>-1.3314160390000001</v>
      </c>
      <c r="E1731" s="10">
        <v>0.34643548499999999</v>
      </c>
      <c r="F1731" s="10">
        <v>-1.8915062119999999</v>
      </c>
      <c r="G1731" s="10">
        <v>0.55719772300000003</v>
      </c>
      <c r="H1731" s="9">
        <v>-0.57982226049999996</v>
      </c>
      <c r="I1731" s="10">
        <v>1.21602848794475</v>
      </c>
      <c r="J1731" s="10">
        <v>1.4787252834932101</v>
      </c>
      <c r="K1731" s="10">
        <v>-0.44309310099999999</v>
      </c>
      <c r="L1731" s="10">
        <v>0.66885806299999995</v>
      </c>
      <c r="M1731" s="10">
        <v>-8.0958500000000003E-2</v>
      </c>
      <c r="N1731" s="10">
        <v>0.67146474</v>
      </c>
      <c r="O1731" s="9">
        <v>0.20406780024999999</v>
      </c>
      <c r="P1731" s="10">
        <v>0.55813591880347402</v>
      </c>
      <c r="Q1731" s="10">
        <v>0.311515703858598</v>
      </c>
    </row>
    <row r="1732" spans="1:17" x14ac:dyDescent="0.2">
      <c r="A1732" s="10">
        <v>1789</v>
      </c>
      <c r="B1732" s="10" t="s">
        <v>74</v>
      </c>
      <c r="C1732" s="9" t="s">
        <v>1476</v>
      </c>
      <c r="D1732" s="10">
        <v>-0.29973868199999998</v>
      </c>
      <c r="E1732" s="10">
        <v>0.18810106200000001</v>
      </c>
      <c r="F1732" s="10">
        <v>0.206230784</v>
      </c>
      <c r="G1732" s="10">
        <v>-0.20329482600000001</v>
      </c>
      <c r="H1732" s="9">
        <v>-2.7175415500000001E-2</v>
      </c>
      <c r="I1732" s="10">
        <v>0.262126684849049</v>
      </c>
      <c r="J1732" s="10">
        <v>6.8710398909953105E-2</v>
      </c>
      <c r="K1732" s="10">
        <v>-0.20059671500000001</v>
      </c>
      <c r="L1732" s="10">
        <v>-0.23220760600000001</v>
      </c>
      <c r="M1732" s="10">
        <v>0.23367450400000001</v>
      </c>
      <c r="N1732" s="10">
        <v>0.16903349000000001</v>
      </c>
      <c r="O1732" s="9">
        <v>-7.5240817499999998E-3</v>
      </c>
      <c r="P1732" s="10">
        <v>0.24297397781761501</v>
      </c>
      <c r="Q1732" s="10">
        <v>5.9036353896515202E-2</v>
      </c>
    </row>
    <row r="1733" spans="1:17" x14ac:dyDescent="0.2">
      <c r="A1733" s="10">
        <v>1790</v>
      </c>
      <c r="B1733" s="10" t="s">
        <v>2825</v>
      </c>
      <c r="C1733" s="9" t="s">
        <v>1480</v>
      </c>
      <c r="D1733" s="10">
        <v>0.75539595000000004</v>
      </c>
      <c r="E1733" s="10">
        <v>-0.105387669</v>
      </c>
      <c r="F1733" s="10">
        <v>-0.46348327700000003</v>
      </c>
      <c r="G1733" s="10">
        <v>-0.22523001300000001</v>
      </c>
      <c r="H1733" s="9">
        <v>-9.6762522499999996E-3</v>
      </c>
      <c r="I1733" s="10">
        <v>0.53131923531209002</v>
      </c>
      <c r="J1733" s="10">
        <v>0.28230012981262398</v>
      </c>
      <c r="K1733" s="10">
        <v>0.27939209599999998</v>
      </c>
      <c r="L1733" s="10">
        <v>-0.98535310700000001</v>
      </c>
      <c r="M1733" s="10">
        <v>-0.22628916900000001</v>
      </c>
      <c r="N1733" s="10">
        <v>0.339867592</v>
      </c>
      <c r="O1733" s="9">
        <v>-0.148095647</v>
      </c>
      <c r="P1733" s="10">
        <v>0.61317973826033001</v>
      </c>
      <c r="Q1733" s="10">
        <v>0.37598939141300702</v>
      </c>
    </row>
    <row r="1734" spans="1:17" x14ac:dyDescent="0.2">
      <c r="A1734" s="10">
        <v>1790</v>
      </c>
      <c r="B1734" s="10" t="s">
        <v>2818</v>
      </c>
      <c r="C1734" s="9" t="s">
        <v>1481</v>
      </c>
      <c r="D1734" s="10">
        <v>0.35389757199999999</v>
      </c>
      <c r="E1734" s="10">
        <v>-2.6508541E-2</v>
      </c>
      <c r="F1734" s="10">
        <v>0.65287863099999999</v>
      </c>
      <c r="G1734" s="10">
        <v>-0.14717372500000001</v>
      </c>
      <c r="H1734" s="9">
        <v>0.20827348474999999</v>
      </c>
      <c r="I1734" s="10">
        <v>0.36530600387150902</v>
      </c>
      <c r="J1734" s="10">
        <v>0.133448476464571</v>
      </c>
      <c r="K1734" s="10">
        <v>-0.53072956299999996</v>
      </c>
      <c r="L1734" s="10">
        <v>0.13943783000000001</v>
      </c>
      <c r="M1734" s="10">
        <v>-0.20846271899999999</v>
      </c>
      <c r="N1734" s="10">
        <v>-0.47279207899999998</v>
      </c>
      <c r="O1734" s="9">
        <v>-0.26813663300000001</v>
      </c>
      <c r="P1734" s="10">
        <v>0.305786863335265</v>
      </c>
      <c r="Q1734" s="10">
        <v>9.3505605788420501E-2</v>
      </c>
    </row>
    <row r="1735" spans="1:17" x14ac:dyDescent="0.2">
      <c r="A1735" s="10">
        <v>1791</v>
      </c>
      <c r="B1735" s="10" t="s">
        <v>2817</v>
      </c>
      <c r="C1735" s="9" t="s">
        <v>1486</v>
      </c>
      <c r="D1735" s="10">
        <v>-1.5274004240000001</v>
      </c>
      <c r="E1735" s="10">
        <v>0.69158367600000004</v>
      </c>
      <c r="F1735" s="10">
        <v>-0.40171735400000003</v>
      </c>
      <c r="G1735" s="10">
        <v>-1.9984175999999999E-2</v>
      </c>
      <c r="H1735" s="9">
        <v>-0.31437956950000001</v>
      </c>
      <c r="I1735" s="10">
        <v>0.92694447533535096</v>
      </c>
      <c r="J1735" s="10">
        <v>0.85922606035473004</v>
      </c>
      <c r="K1735" s="10">
        <v>-0.43044238200000001</v>
      </c>
      <c r="L1735" s="10">
        <v>0.433083461</v>
      </c>
      <c r="M1735" s="10">
        <v>0.37856811000000001</v>
      </c>
      <c r="N1735" s="10">
        <v>-1.0667007239999999</v>
      </c>
      <c r="O1735" s="9">
        <v>-0.17137288349999999</v>
      </c>
      <c r="P1735" s="10">
        <v>0.71566554473569199</v>
      </c>
      <c r="Q1735" s="10">
        <v>0.51217717192183398</v>
      </c>
    </row>
    <row r="1736" spans="1:17" x14ac:dyDescent="0.2">
      <c r="A1736" s="10">
        <v>1791</v>
      </c>
      <c r="B1736" s="10" t="s">
        <v>2814</v>
      </c>
      <c r="C1736" s="9" t="s">
        <v>1487</v>
      </c>
      <c r="D1736" s="10">
        <v>1.082801339</v>
      </c>
      <c r="E1736" s="10">
        <v>8.8971742000000006E-2</v>
      </c>
      <c r="F1736" s="10">
        <v>0.39285005499999998</v>
      </c>
      <c r="G1736" s="10">
        <v>0.16432089999999999</v>
      </c>
      <c r="H1736" s="9">
        <v>0.43223600875000001</v>
      </c>
      <c r="I1736" s="10">
        <v>0.45254663280890201</v>
      </c>
      <c r="J1736" s="10">
        <v>0.204798454866676</v>
      </c>
      <c r="K1736" s="10">
        <v>7.5529890000000002E-2</v>
      </c>
      <c r="L1736" s="10">
        <v>2.7746015999999998E-2</v>
      </c>
      <c r="M1736" s="10">
        <v>0.17607394300000001</v>
      </c>
      <c r="N1736" s="10">
        <v>0.13887213400000001</v>
      </c>
      <c r="O1736" s="9">
        <v>0.10455549575</v>
      </c>
      <c r="P1736" s="10">
        <v>6.5915860323224398E-2</v>
      </c>
      <c r="Q1736" s="10">
        <v>4.3449006421508E-3</v>
      </c>
    </row>
    <row r="1737" spans="1:17" x14ac:dyDescent="0.2">
      <c r="A1737" s="10">
        <v>1791</v>
      </c>
      <c r="B1737" s="10" t="s">
        <v>2833</v>
      </c>
      <c r="C1737" s="9" t="s">
        <v>1488</v>
      </c>
      <c r="D1737" s="10">
        <v>0.44369556300000002</v>
      </c>
      <c r="E1737" s="10">
        <v>0.33963595299999999</v>
      </c>
      <c r="F1737" s="10">
        <v>-1.7735100000000001E-3</v>
      </c>
      <c r="G1737" s="10">
        <v>-9.027462E-2</v>
      </c>
      <c r="H1737" s="9">
        <v>0.17282084650000001</v>
      </c>
      <c r="I1737" s="10">
        <v>0.25878099209567301</v>
      </c>
      <c r="J1737" s="10">
        <v>6.6967601870021098E-2</v>
      </c>
      <c r="K1737" s="10">
        <v>0.121916421</v>
      </c>
      <c r="L1737" s="10">
        <v>0.587949469</v>
      </c>
      <c r="M1737" s="10">
        <v>0.348986299</v>
      </c>
      <c r="N1737" s="10">
        <v>-0.26017233499999998</v>
      </c>
      <c r="O1737" s="9">
        <v>0.19966996349999999</v>
      </c>
      <c r="P1737" s="10">
        <v>0.36081246065859701</v>
      </c>
      <c r="Q1737" s="10">
        <v>0.13018563176651099</v>
      </c>
    </row>
    <row r="1738" spans="1:17" x14ac:dyDescent="0.2">
      <c r="A1738" s="10">
        <v>1791</v>
      </c>
      <c r="B1738" s="10" t="s">
        <v>2825</v>
      </c>
      <c r="C1738" s="9" t="s">
        <v>1489</v>
      </c>
      <c r="D1738" s="10">
        <v>0.14145218100000001</v>
      </c>
      <c r="E1738" s="10">
        <v>5.4973473000000002E-2</v>
      </c>
      <c r="F1738" s="10">
        <v>-3.7749427000000002E-2</v>
      </c>
      <c r="G1738" s="10">
        <v>-0.21629805599999999</v>
      </c>
      <c r="H1738" s="9">
        <v>-1.4405457E-2</v>
      </c>
      <c r="I1738" s="10">
        <v>0.15319987131981</v>
      </c>
      <c r="J1738" s="10">
        <v>2.3470200572406501E-2</v>
      </c>
      <c r="K1738" s="10">
        <v>-0.51120085500000001</v>
      </c>
      <c r="L1738" s="10">
        <v>0.260979976</v>
      </c>
      <c r="M1738" s="10">
        <v>0.21502996099999999</v>
      </c>
      <c r="N1738" s="10">
        <v>5.7679972000000003E-2</v>
      </c>
      <c r="O1738" s="9">
        <v>5.6222635000000003E-3</v>
      </c>
      <c r="P1738" s="10">
        <v>0.355375522480947</v>
      </c>
      <c r="Q1738" s="10">
        <v>0.126291761978606</v>
      </c>
    </row>
    <row r="1739" spans="1:17" x14ac:dyDescent="0.2">
      <c r="A1739" s="10">
        <v>1792</v>
      </c>
      <c r="B1739" s="10" t="s">
        <v>2831</v>
      </c>
      <c r="C1739" s="9" t="s">
        <v>1491</v>
      </c>
      <c r="D1739" s="10">
        <v>-0.58238434500000003</v>
      </c>
      <c r="E1739" s="10">
        <v>-0.36995667199999999</v>
      </c>
      <c r="F1739" s="10">
        <v>-2.55699561</v>
      </c>
      <c r="G1739" s="10">
        <v>-0.15430503700000001</v>
      </c>
      <c r="H1739" s="9">
        <v>-0.91591041625000003</v>
      </c>
      <c r="I1739" s="10">
        <v>1.1079272686586199</v>
      </c>
      <c r="J1739" s="10">
        <v>1.22750283263735</v>
      </c>
      <c r="K1739" s="10">
        <v>-0.66663864100000003</v>
      </c>
      <c r="L1739" s="10">
        <v>0.22006042200000001</v>
      </c>
      <c r="M1739" s="10">
        <v>-0.60623089699999999</v>
      </c>
      <c r="N1739" s="10">
        <v>-2.3533324000000001E-2</v>
      </c>
      <c r="O1739" s="9">
        <v>-0.26908560975000001</v>
      </c>
      <c r="P1739" s="10">
        <v>0.43637717736867998</v>
      </c>
      <c r="Q1739" s="10">
        <v>0.19042504092825599</v>
      </c>
    </row>
    <row r="1740" spans="1:17" x14ac:dyDescent="0.2">
      <c r="A1740" s="10">
        <v>1792</v>
      </c>
      <c r="B1740" s="10" t="s">
        <v>2821</v>
      </c>
      <c r="C1740" s="9" t="s">
        <v>1493</v>
      </c>
      <c r="D1740" s="10">
        <v>-0.23391683799999999</v>
      </c>
      <c r="E1740" s="10">
        <v>0.41368691299999999</v>
      </c>
      <c r="F1740" s="10">
        <v>0.16307334400000001</v>
      </c>
      <c r="G1740" s="10">
        <v>0.54422730900000005</v>
      </c>
      <c r="H1740" s="9">
        <v>0.22176768175</v>
      </c>
      <c r="I1740" s="10">
        <v>0.34249409209186799</v>
      </c>
      <c r="J1740" s="10">
        <v>0.117302203117833</v>
      </c>
      <c r="K1740" s="10">
        <v>0.43113219000000003</v>
      </c>
      <c r="L1740" s="10">
        <v>0.124933394</v>
      </c>
      <c r="M1740" s="10">
        <v>0.20533569700000001</v>
      </c>
      <c r="N1740" s="10">
        <v>5.0959205E-2</v>
      </c>
      <c r="O1740" s="9">
        <v>0.2030901215</v>
      </c>
      <c r="P1740" s="10">
        <v>0.16458079821547</v>
      </c>
      <c r="Q1740" s="10">
        <v>2.7086839141241301E-2</v>
      </c>
    </row>
    <row r="1741" spans="1:17" x14ac:dyDescent="0.2">
      <c r="A1741" s="10">
        <v>1792</v>
      </c>
      <c r="B1741" s="10" t="s">
        <v>2824</v>
      </c>
      <c r="C1741" s="9" t="s">
        <v>1494</v>
      </c>
      <c r="D1741" s="10">
        <v>0.59592816299999996</v>
      </c>
      <c r="E1741" s="10">
        <v>0.223093134</v>
      </c>
      <c r="F1741" s="10">
        <v>0.25179209699999999</v>
      </c>
      <c r="G1741" s="10">
        <v>7.7087893000000005E-2</v>
      </c>
      <c r="H1741" s="9">
        <v>0.28697532199999998</v>
      </c>
      <c r="I1741" s="10">
        <v>0.21971449965752399</v>
      </c>
      <c r="J1741" s="10">
        <v>4.8274461359756403E-2</v>
      </c>
      <c r="K1741" s="10">
        <v>-9.8045509999999999E-3</v>
      </c>
      <c r="L1741" s="10">
        <v>2.855651E-2</v>
      </c>
      <c r="M1741" s="10">
        <v>0.17781526</v>
      </c>
      <c r="N1741" s="10">
        <v>-0.33619394400000002</v>
      </c>
      <c r="O1741" s="9">
        <v>-3.4906681250000002E-2</v>
      </c>
      <c r="P1741" s="10">
        <v>0.21655048108257</v>
      </c>
      <c r="Q1741" s="10">
        <v>4.6894110857092601E-2</v>
      </c>
    </row>
    <row r="1742" spans="1:17" x14ac:dyDescent="0.2">
      <c r="A1742" s="10">
        <v>1793</v>
      </c>
      <c r="B1742" s="10" t="s">
        <v>2823</v>
      </c>
      <c r="C1742" s="9" t="s">
        <v>1500</v>
      </c>
      <c r="D1742" s="10">
        <v>0.40587691599999998</v>
      </c>
      <c r="E1742" s="10">
        <v>-2.7900238000000001E-2</v>
      </c>
      <c r="F1742" s="10">
        <v>0.606495177</v>
      </c>
      <c r="G1742" s="10">
        <v>0.31025531899999997</v>
      </c>
      <c r="H1742" s="9">
        <v>0.32368179325000002</v>
      </c>
      <c r="I1742" s="10">
        <v>0.26490856481729302</v>
      </c>
      <c r="J1742" s="10">
        <v>7.0176547713557996E-2</v>
      </c>
      <c r="K1742" s="10">
        <v>-8.9766740999999997E-2</v>
      </c>
      <c r="L1742" s="10">
        <v>0.25486130200000001</v>
      </c>
      <c r="M1742" s="10">
        <v>-1.0026912000000001E-2</v>
      </c>
      <c r="N1742" s="10">
        <v>8.7445634999999994E-2</v>
      </c>
      <c r="O1742" s="9">
        <v>6.0628320999999999E-2</v>
      </c>
      <c r="P1742" s="10">
        <v>0.148387393739707</v>
      </c>
      <c r="Q1742" s="10">
        <v>2.2018818620862999E-2</v>
      </c>
    </row>
    <row r="1743" spans="1:17" x14ac:dyDescent="0.2">
      <c r="A1743" s="10">
        <v>1793</v>
      </c>
      <c r="B1743" s="10" t="s">
        <v>2826</v>
      </c>
      <c r="C1743" s="9" t="s">
        <v>1501</v>
      </c>
      <c r="D1743" s="10">
        <v>0.68770511199999995</v>
      </c>
      <c r="E1743" s="10">
        <v>0.12010888</v>
      </c>
      <c r="F1743" s="10">
        <v>-0.15956125700000001</v>
      </c>
      <c r="G1743" s="10">
        <v>0.527791495</v>
      </c>
      <c r="H1743" s="9">
        <v>0.29401105775000003</v>
      </c>
      <c r="I1743" s="10">
        <v>0.38540805791890598</v>
      </c>
      <c r="J1743" s="10">
        <v>0.14853937110882201</v>
      </c>
      <c r="K1743" s="10">
        <v>-0.96583334200000004</v>
      </c>
      <c r="L1743" s="10">
        <v>-0.27020649299999999</v>
      </c>
      <c r="M1743" s="10">
        <v>0.37124270300000001</v>
      </c>
      <c r="N1743" s="10">
        <v>0.30340524499999999</v>
      </c>
      <c r="O1743" s="9">
        <v>-0.14034797174999999</v>
      </c>
      <c r="P1743" s="10">
        <v>0.62100221897218899</v>
      </c>
      <c r="Q1743" s="10">
        <v>0.38564375596838302</v>
      </c>
    </row>
    <row r="1744" spans="1:17" x14ac:dyDescent="0.2">
      <c r="A1744" s="10">
        <v>1793</v>
      </c>
      <c r="B1744" s="10" t="s">
        <v>79</v>
      </c>
      <c r="C1744" s="9" t="s">
        <v>1503</v>
      </c>
      <c r="D1744" s="10">
        <v>0.29281664200000002</v>
      </c>
      <c r="E1744" s="10">
        <v>0.276592901</v>
      </c>
      <c r="F1744" s="10">
        <v>-0.16423090400000001</v>
      </c>
      <c r="G1744" s="10">
        <v>-0.429332398</v>
      </c>
      <c r="H1744" s="9">
        <v>-6.0384397500000001E-3</v>
      </c>
      <c r="I1744" s="10">
        <v>0.35279713977411098</v>
      </c>
      <c r="J1744" s="10">
        <v>0.124465821832794</v>
      </c>
      <c r="K1744" s="10">
        <v>-0.69936180800000003</v>
      </c>
      <c r="L1744" s="10">
        <v>0.54504236900000003</v>
      </c>
      <c r="M1744" s="10">
        <v>-0.54503491000000004</v>
      </c>
      <c r="N1744" s="10">
        <v>-4.9079255000000002E-2</v>
      </c>
      <c r="O1744" s="9">
        <v>-0.18710840100000001</v>
      </c>
      <c r="P1744" s="10">
        <v>0.56143023727652197</v>
      </c>
      <c r="Q1744" s="10">
        <v>0.315203911328372</v>
      </c>
    </row>
    <row r="1745" spans="1:17" x14ac:dyDescent="0.2">
      <c r="A1745" s="10">
        <v>1793</v>
      </c>
      <c r="B1745" s="10" t="s">
        <v>2824</v>
      </c>
      <c r="C1745" s="9" t="s">
        <v>1504</v>
      </c>
      <c r="D1745" s="10">
        <v>-0.26662523100000002</v>
      </c>
      <c r="E1745" s="10">
        <v>-0.16660528499999999</v>
      </c>
      <c r="F1745" s="10">
        <v>0.62779054599999995</v>
      </c>
      <c r="G1745" s="10">
        <v>0.38192603200000003</v>
      </c>
      <c r="H1745" s="9">
        <v>0.14412151549999999</v>
      </c>
      <c r="I1745" s="10">
        <v>0.43040707608879197</v>
      </c>
      <c r="J1745" s="10">
        <v>0.18525025114730301</v>
      </c>
      <c r="K1745" s="10">
        <v>0.363300501</v>
      </c>
      <c r="L1745" s="10">
        <v>-8.6423520000000004E-2</v>
      </c>
      <c r="M1745" s="10">
        <v>0.20856701899999999</v>
      </c>
      <c r="N1745" s="10">
        <v>1.0217254490000001</v>
      </c>
      <c r="O1745" s="9">
        <v>0.37679236249999998</v>
      </c>
      <c r="P1745" s="10">
        <v>0.468682350277562</v>
      </c>
      <c r="Q1745" s="10">
        <v>0.21966314546169899</v>
      </c>
    </row>
    <row r="1746" spans="1:17" x14ac:dyDescent="0.2">
      <c r="A1746" s="10">
        <v>1793</v>
      </c>
      <c r="B1746" s="10" t="s">
        <v>82</v>
      </c>
      <c r="C1746" s="9" t="s">
        <v>1506</v>
      </c>
      <c r="D1746" s="10">
        <v>0.50229422700000004</v>
      </c>
      <c r="E1746" s="10">
        <v>8.9362298000000007E-2</v>
      </c>
      <c r="F1746" s="10">
        <v>0.37115005400000001</v>
      </c>
      <c r="G1746" s="10">
        <v>-7.0729339000000002E-2</v>
      </c>
      <c r="H1746" s="9">
        <v>0.22301931</v>
      </c>
      <c r="I1746" s="10">
        <v>0.26082539640497898</v>
      </c>
      <c r="J1746" s="10">
        <v>6.8029887409814596E-2</v>
      </c>
      <c r="K1746" s="10">
        <v>-0.45954609800000001</v>
      </c>
      <c r="L1746" s="10">
        <v>-0.97326020000000002</v>
      </c>
      <c r="M1746" s="10">
        <v>-5.8373784999999997E-2</v>
      </c>
      <c r="N1746" s="10">
        <v>0.53101408999999999</v>
      </c>
      <c r="O1746" s="9">
        <v>-0.24004149825000001</v>
      </c>
      <c r="P1746" s="10">
        <v>0.63595644822487596</v>
      </c>
      <c r="Q1746" s="10">
        <v>0.4044406040388</v>
      </c>
    </row>
    <row r="1747" spans="1:17" x14ac:dyDescent="0.2">
      <c r="A1747" s="10">
        <v>1793</v>
      </c>
      <c r="B1747" s="10" t="s">
        <v>2833</v>
      </c>
      <c r="C1747" s="9" t="s">
        <v>1508</v>
      </c>
      <c r="D1747" s="10">
        <v>0.39883118400000001</v>
      </c>
      <c r="E1747" s="10">
        <v>0.23548048999999999</v>
      </c>
      <c r="F1747" s="10">
        <v>0.38243247800000002</v>
      </c>
      <c r="G1747" s="10">
        <v>8.3193241000000001E-2</v>
      </c>
      <c r="H1747" s="9">
        <v>0.27498434849999998</v>
      </c>
      <c r="I1747" s="10">
        <v>0.14745340840287699</v>
      </c>
      <c r="J1747" s="10">
        <v>2.1742507649625799E-2</v>
      </c>
      <c r="K1747" s="10">
        <v>-0.31015291499999997</v>
      </c>
      <c r="L1747" s="10">
        <v>0.392447561</v>
      </c>
      <c r="M1747" s="10">
        <v>-1.5039009000000001E-2</v>
      </c>
      <c r="N1747" s="10">
        <v>0.112020258</v>
      </c>
      <c r="O1747" s="9">
        <v>4.4818973499999998E-2</v>
      </c>
      <c r="P1747" s="10">
        <v>0.291518819964178</v>
      </c>
      <c r="Q1747" s="10">
        <v>8.4983222393307203E-2</v>
      </c>
    </row>
    <row r="1748" spans="1:17" x14ac:dyDescent="0.2">
      <c r="A1748" s="10">
        <v>1794</v>
      </c>
      <c r="B1748" s="10" t="s">
        <v>2831</v>
      </c>
      <c r="C1748" s="9" t="s">
        <v>2192</v>
      </c>
      <c r="D1748" s="10">
        <v>-8.3744958999999994E-2</v>
      </c>
      <c r="E1748" s="10">
        <v>-1.039384482</v>
      </c>
      <c r="F1748" s="10">
        <v>-4.3331181409999999</v>
      </c>
      <c r="G1748" s="10">
        <v>-0.66284148200000004</v>
      </c>
      <c r="H1748" s="9">
        <v>-1.5297722659999999</v>
      </c>
      <c r="I1748" s="10">
        <v>1.9097811594012899</v>
      </c>
      <c r="J1748" s="10">
        <v>3.64726407680415</v>
      </c>
      <c r="K1748" s="10">
        <v>-8.2861880999999998E-2</v>
      </c>
      <c r="L1748" s="10">
        <v>0.196246635</v>
      </c>
      <c r="M1748" s="10">
        <v>-0.74220931300000004</v>
      </c>
      <c r="N1748" s="10">
        <v>-0.32655162100000001</v>
      </c>
      <c r="O1748" s="9">
        <v>-0.23884404525</v>
      </c>
      <c r="P1748" s="10">
        <v>0.39778702309380398</v>
      </c>
      <c r="Q1748" s="10">
        <v>0.15823451574183001</v>
      </c>
    </row>
    <row r="1749" spans="1:17" x14ac:dyDescent="0.2">
      <c r="A1749" s="10">
        <v>1794</v>
      </c>
      <c r="B1749" s="10" t="s">
        <v>2822</v>
      </c>
      <c r="C1749" s="9" t="s">
        <v>1513</v>
      </c>
      <c r="D1749" s="10">
        <v>-1.650462205</v>
      </c>
      <c r="E1749" s="10">
        <v>-0.60809595000000005</v>
      </c>
      <c r="F1749" s="10">
        <v>-1.24149602</v>
      </c>
      <c r="G1749" s="10">
        <v>-1.977758519</v>
      </c>
      <c r="H1749" s="9">
        <v>-1.3694531735</v>
      </c>
      <c r="I1749" s="10">
        <v>0.59020881165225203</v>
      </c>
      <c r="J1749" s="10">
        <v>0.34834644135196402</v>
      </c>
      <c r="K1749" s="10">
        <v>-0.15798622100000001</v>
      </c>
      <c r="L1749" s="10">
        <v>-0.84049711900000001</v>
      </c>
      <c r="M1749" s="10">
        <v>-2.1609710259999999</v>
      </c>
      <c r="N1749" s="10">
        <v>-0.19866582599999999</v>
      </c>
      <c r="O1749" s="9">
        <v>-0.83953004824999999</v>
      </c>
      <c r="P1749" s="10">
        <v>0.93477557604760297</v>
      </c>
      <c r="Q1749" s="10">
        <v>0.87380537757512899</v>
      </c>
    </row>
    <row r="1750" spans="1:17" x14ac:dyDescent="0.2">
      <c r="A1750" s="10">
        <v>1794</v>
      </c>
      <c r="B1750" s="10" t="s">
        <v>2821</v>
      </c>
      <c r="C1750" s="9" t="s">
        <v>1515</v>
      </c>
      <c r="D1750" s="10">
        <v>0.34591364400000002</v>
      </c>
      <c r="E1750" s="10">
        <v>0.159448594</v>
      </c>
      <c r="F1750" s="10">
        <v>0.107663576</v>
      </c>
      <c r="G1750" s="10">
        <v>0.14872671100000001</v>
      </c>
      <c r="H1750" s="9">
        <v>0.19043813125</v>
      </c>
      <c r="I1750" s="10">
        <v>0.106025871150947</v>
      </c>
      <c r="J1750" s="10">
        <v>1.12414853533173E-2</v>
      </c>
      <c r="K1750" s="10">
        <v>-3.0551571999999999E-2</v>
      </c>
      <c r="L1750" s="10">
        <v>0.104437918</v>
      </c>
      <c r="M1750" s="10">
        <v>1.2055527999999999E-2</v>
      </c>
      <c r="N1750" s="10">
        <v>0.118267249</v>
      </c>
      <c r="O1750" s="9">
        <v>5.1052280499999998E-2</v>
      </c>
      <c r="P1750" s="10">
        <v>7.1990308908272294E-2</v>
      </c>
      <c r="Q1750" s="10">
        <v>5.1826045767084002E-3</v>
      </c>
    </row>
    <row r="1751" spans="1:17" x14ac:dyDescent="0.2">
      <c r="A1751" s="10">
        <v>1794</v>
      </c>
      <c r="B1751" s="10" t="s">
        <v>2824</v>
      </c>
      <c r="C1751" s="9" t="s">
        <v>1516</v>
      </c>
      <c r="D1751" s="10">
        <v>-0.114175318</v>
      </c>
      <c r="E1751" s="10">
        <v>0.43753980599999998</v>
      </c>
      <c r="F1751" s="10">
        <v>0.43358808300000001</v>
      </c>
      <c r="G1751" s="10">
        <v>-0.60647192599999999</v>
      </c>
      <c r="H1751" s="9">
        <v>3.7620161249999999E-2</v>
      </c>
      <c r="I1751" s="10">
        <v>0.501538566709407</v>
      </c>
      <c r="J1751" s="10">
        <v>0.251540933896926</v>
      </c>
      <c r="K1751" s="10">
        <v>-0.45656435899999998</v>
      </c>
      <c r="L1751" s="10">
        <v>-8.3128233999999995E-2</v>
      </c>
      <c r="M1751" s="10">
        <v>-0.36420335399999998</v>
      </c>
      <c r="N1751" s="10">
        <v>-0.270441765</v>
      </c>
      <c r="O1751" s="9">
        <v>-0.29358442800000001</v>
      </c>
      <c r="P1751" s="10">
        <v>0.159558644455944</v>
      </c>
      <c r="Q1751" s="10">
        <v>2.5458961020618402E-2</v>
      </c>
    </row>
    <row r="1752" spans="1:17" x14ac:dyDescent="0.2">
      <c r="A1752" s="10">
        <v>1794</v>
      </c>
      <c r="B1752" s="10" t="s">
        <v>2833</v>
      </c>
      <c r="C1752" s="9" t="s">
        <v>1519</v>
      </c>
      <c r="D1752" s="10">
        <v>0.47037437399999998</v>
      </c>
      <c r="E1752" s="10">
        <v>0.68332545</v>
      </c>
      <c r="F1752" s="10">
        <v>0.27470208000000002</v>
      </c>
      <c r="G1752" s="10">
        <v>-0.290155681</v>
      </c>
      <c r="H1752" s="9">
        <v>0.28456155574999997</v>
      </c>
      <c r="I1752" s="10">
        <v>0.41790595363991201</v>
      </c>
      <c r="J1752" s="10">
        <v>0.17464538608768401</v>
      </c>
      <c r="K1752" s="10">
        <v>-0.174044856</v>
      </c>
      <c r="L1752" s="10">
        <v>0.16570705299999999</v>
      </c>
      <c r="M1752" s="10">
        <v>-0.33795453800000003</v>
      </c>
      <c r="N1752" s="10">
        <v>-0.109674303</v>
      </c>
      <c r="O1752" s="9">
        <v>-0.11399166099999999</v>
      </c>
      <c r="P1752" s="10">
        <v>0.209774296723231</v>
      </c>
      <c r="Q1752" s="10">
        <v>4.4005255565726299E-2</v>
      </c>
    </row>
    <row r="1753" spans="1:17" x14ac:dyDescent="0.2">
      <c r="A1753" s="10">
        <v>1794</v>
      </c>
      <c r="B1753" s="10" t="s">
        <v>2825</v>
      </c>
      <c r="C1753" s="9" t="s">
        <v>1520</v>
      </c>
      <c r="D1753" s="10">
        <v>8.6689269999999999E-2</v>
      </c>
      <c r="E1753" s="10">
        <v>0.795651318</v>
      </c>
      <c r="F1753" s="10">
        <v>0.38729066000000001</v>
      </c>
      <c r="G1753" s="10">
        <v>-0.177305553</v>
      </c>
      <c r="H1753" s="9">
        <v>0.27308142349999998</v>
      </c>
      <c r="I1753" s="10">
        <v>0.41781714813493598</v>
      </c>
      <c r="J1753" s="10">
        <v>0.174571169275611</v>
      </c>
      <c r="K1753" s="10">
        <v>-0.66202549499999996</v>
      </c>
      <c r="L1753" s="10">
        <v>-0.80416498599999997</v>
      </c>
      <c r="M1753" s="10">
        <v>-0.44383273099999998</v>
      </c>
      <c r="N1753" s="10">
        <v>0.34711708400000002</v>
      </c>
      <c r="O1753" s="9">
        <v>-0.39072653224999998</v>
      </c>
      <c r="P1753" s="10">
        <v>0.51373402736401996</v>
      </c>
      <c r="Q1753" s="10">
        <v>0.26392265087165601</v>
      </c>
    </row>
    <row r="1754" spans="1:17" x14ac:dyDescent="0.2">
      <c r="A1754" s="10">
        <v>1794</v>
      </c>
      <c r="B1754" s="10" t="s">
        <v>74</v>
      </c>
      <c r="C1754" s="9" t="s">
        <v>1521</v>
      </c>
      <c r="D1754" s="10">
        <v>0.16828479800000001</v>
      </c>
      <c r="E1754" s="10">
        <v>0.49454230599999999</v>
      </c>
      <c r="F1754" s="10">
        <v>3.4260167000000001E-2</v>
      </c>
      <c r="G1754" s="10">
        <v>-0.13622255699999999</v>
      </c>
      <c r="H1754" s="9">
        <v>0.14021617850000001</v>
      </c>
      <c r="I1754" s="10">
        <v>0.26707046691064401</v>
      </c>
      <c r="J1754" s="10">
        <v>7.1326634295869704E-2</v>
      </c>
      <c r="K1754" s="10">
        <v>-0.241933226</v>
      </c>
      <c r="L1754" s="10">
        <v>6.2859999E-2</v>
      </c>
      <c r="M1754" s="10">
        <v>-0.13712153399999999</v>
      </c>
      <c r="N1754" s="10">
        <v>0.29592346000000003</v>
      </c>
      <c r="O1754" s="9">
        <v>-5.0678255000000004E-3</v>
      </c>
      <c r="P1754" s="10">
        <v>0.23717317384200701</v>
      </c>
      <c r="Q1754" s="10">
        <v>5.62511143902912E-2</v>
      </c>
    </row>
    <row r="1755" spans="1:17" x14ac:dyDescent="0.2">
      <c r="A1755" s="10">
        <v>1794</v>
      </c>
      <c r="B1755" s="10" t="s">
        <v>2835</v>
      </c>
      <c r="C1755" s="9" t="s">
        <v>1523</v>
      </c>
      <c r="D1755" s="10">
        <v>0.30703467499999998</v>
      </c>
      <c r="E1755" s="10">
        <v>1.2955942</v>
      </c>
      <c r="F1755" s="10">
        <v>0.42835925499999999</v>
      </c>
      <c r="G1755" s="10">
        <v>-1.2164952E-2</v>
      </c>
      <c r="H1755" s="9">
        <v>0.50470579449999997</v>
      </c>
      <c r="I1755" s="10">
        <v>0.55903562919245298</v>
      </c>
      <c r="J1755" s="10">
        <v>0.31252083470660202</v>
      </c>
      <c r="K1755" s="10">
        <v>0.15967442800000001</v>
      </c>
      <c r="L1755" s="10">
        <v>0.265620205</v>
      </c>
      <c r="M1755" s="10">
        <v>-0.35180981300000003</v>
      </c>
      <c r="N1755" s="10">
        <v>0.94720374699999998</v>
      </c>
      <c r="O1755" s="9">
        <v>0.25517214175000003</v>
      </c>
      <c r="P1755" s="10">
        <v>0.53434190409455196</v>
      </c>
      <c r="Q1755" s="10">
        <v>0.28552127047139098</v>
      </c>
    </row>
    <row r="1756" spans="1:17" x14ac:dyDescent="0.2">
      <c r="A1756" s="10">
        <v>1795</v>
      </c>
      <c r="B1756" s="10" t="s">
        <v>2831</v>
      </c>
      <c r="C1756" s="9" t="s">
        <v>1524</v>
      </c>
      <c r="D1756" s="10">
        <v>-3.7033027000000001</v>
      </c>
      <c r="E1756" s="10">
        <v>0.443944071</v>
      </c>
      <c r="F1756" s="10">
        <v>-1.7796067900000001</v>
      </c>
      <c r="G1756" s="10">
        <v>-0.51526668900000006</v>
      </c>
      <c r="H1756" s="9">
        <v>-1.388558027</v>
      </c>
      <c r="I1756" s="10">
        <v>1.7918020478860499</v>
      </c>
      <c r="J1756" s="10">
        <v>3.2105545788086398</v>
      </c>
      <c r="K1756" s="10">
        <v>-0.14673583200000001</v>
      </c>
      <c r="L1756" s="10">
        <v>1.1136300779999999</v>
      </c>
      <c r="M1756" s="10">
        <v>-0.390734462</v>
      </c>
      <c r="N1756" s="10">
        <v>-0.89916116300000004</v>
      </c>
      <c r="O1756" s="9">
        <v>-8.0750345000000001E-2</v>
      </c>
      <c r="P1756" s="10">
        <v>0.85572291059508698</v>
      </c>
      <c r="Q1756" s="10">
        <v>0.73226169971732802</v>
      </c>
    </row>
    <row r="1757" spans="1:17" x14ac:dyDescent="0.2">
      <c r="A1757" s="10">
        <v>1795</v>
      </c>
      <c r="B1757" s="10" t="s">
        <v>2822</v>
      </c>
      <c r="C1757" s="9" t="s">
        <v>1525</v>
      </c>
      <c r="D1757" s="10">
        <v>0.39276871400000002</v>
      </c>
      <c r="E1757" s="10">
        <v>1.108700781</v>
      </c>
      <c r="F1757" s="10">
        <v>-8.1215564000000004E-2</v>
      </c>
      <c r="G1757" s="10">
        <v>-0.10770342300000001</v>
      </c>
      <c r="H1757" s="9">
        <v>0.32813762675000002</v>
      </c>
      <c r="I1757" s="10">
        <v>0.56891225762742803</v>
      </c>
      <c r="J1757" s="10">
        <v>0.32366115687873798</v>
      </c>
      <c r="K1757" s="10">
        <v>-0.590742989</v>
      </c>
      <c r="L1757" s="10">
        <v>0.306328973</v>
      </c>
      <c r="M1757" s="10">
        <v>3.5428180000000001E-3</v>
      </c>
      <c r="N1757" s="10">
        <v>0.43722517100000002</v>
      </c>
      <c r="O1757" s="9">
        <v>3.9088493500000002E-2</v>
      </c>
      <c r="P1757" s="10">
        <v>0.45748642211145701</v>
      </c>
      <c r="Q1757" s="10">
        <v>0.209293826416342</v>
      </c>
    </row>
    <row r="1758" spans="1:17" x14ac:dyDescent="0.2">
      <c r="A1758" s="10">
        <v>1795</v>
      </c>
      <c r="B1758" s="10" t="s">
        <v>2817</v>
      </c>
      <c r="C1758" s="9" t="s">
        <v>1529</v>
      </c>
      <c r="D1758" s="10">
        <v>-0.143636442</v>
      </c>
      <c r="E1758" s="10">
        <v>-0.26669854399999998</v>
      </c>
      <c r="F1758" s="10">
        <v>-1.219194841</v>
      </c>
      <c r="G1758" s="10">
        <v>-1.0615581000000001E-2</v>
      </c>
      <c r="H1758" s="9">
        <v>-0.41003635225000001</v>
      </c>
      <c r="I1758" s="10">
        <v>0.54948128626831605</v>
      </c>
      <c r="J1758" s="10">
        <v>0.30192968395908298</v>
      </c>
      <c r="K1758" s="10">
        <v>5.9090614E-2</v>
      </c>
      <c r="L1758" s="10">
        <v>3.568257E-3</v>
      </c>
      <c r="M1758" s="10">
        <v>-0.18692682199999999</v>
      </c>
      <c r="N1758" s="10">
        <v>-0.13226668599999999</v>
      </c>
      <c r="O1758" s="9">
        <v>-6.4133659250000002E-2</v>
      </c>
      <c r="P1758" s="10">
        <v>0.114728725165317</v>
      </c>
      <c r="Q1758" s="10">
        <v>1.31626803780589E-2</v>
      </c>
    </row>
    <row r="1759" spans="1:17" x14ac:dyDescent="0.2">
      <c r="A1759" s="10">
        <v>1795</v>
      </c>
      <c r="B1759" s="10" t="s">
        <v>2825</v>
      </c>
      <c r="C1759" s="9" t="s">
        <v>1533</v>
      </c>
      <c r="D1759" s="10">
        <v>8.8312572000000006E-2</v>
      </c>
      <c r="E1759" s="10">
        <v>2.1537094E-2</v>
      </c>
      <c r="F1759" s="10">
        <v>-1.10979926</v>
      </c>
      <c r="G1759" s="10">
        <v>-0.93796352999999999</v>
      </c>
      <c r="H1759" s="9">
        <v>-0.48447828100000001</v>
      </c>
      <c r="I1759" s="10">
        <v>0.62737976772578197</v>
      </c>
      <c r="J1759" s="10">
        <v>0.39360537295165599</v>
      </c>
      <c r="K1759" s="10">
        <v>-0.39942873299999998</v>
      </c>
      <c r="L1759" s="10">
        <v>0.87101283299999999</v>
      </c>
      <c r="M1759" s="10">
        <v>-0.29599399799999998</v>
      </c>
      <c r="N1759" s="10">
        <v>-0.54123850500000004</v>
      </c>
      <c r="O1759" s="9">
        <v>-9.1412100750000003E-2</v>
      </c>
      <c r="P1759" s="10">
        <v>0.64944426126989896</v>
      </c>
      <c r="Q1759" s="10">
        <v>0.42177784849640498</v>
      </c>
    </row>
    <row r="1760" spans="1:17" x14ac:dyDescent="0.2">
      <c r="A1760" s="10">
        <v>1795</v>
      </c>
      <c r="B1760" s="10" t="s">
        <v>74</v>
      </c>
      <c r="C1760" s="9" t="s">
        <v>1534</v>
      </c>
      <c r="D1760" s="10">
        <v>0.68456211300000003</v>
      </c>
      <c r="E1760" s="10">
        <v>-0.12909559600000001</v>
      </c>
      <c r="F1760" s="10">
        <v>-4.5876307999999998E-2</v>
      </c>
      <c r="G1760" s="10">
        <v>0.25350315800000001</v>
      </c>
      <c r="H1760" s="9">
        <v>0.19077334174999999</v>
      </c>
      <c r="I1760" s="10">
        <v>0.367913746469402</v>
      </c>
      <c r="J1760" s="10">
        <v>0.13536052484115099</v>
      </c>
      <c r="K1760" s="10">
        <v>-6.7721509999999999E-2</v>
      </c>
      <c r="L1760" s="10">
        <v>6.9621669999999997E-2</v>
      </c>
      <c r="M1760" s="10">
        <v>0.48514914399999998</v>
      </c>
      <c r="N1760" s="10">
        <v>-0.30616628899999998</v>
      </c>
      <c r="O1760" s="9">
        <v>4.5220753750000002E-2</v>
      </c>
      <c r="P1760" s="10">
        <v>0.33184394023665198</v>
      </c>
      <c r="Q1760" s="10">
        <v>0.110120400671786</v>
      </c>
    </row>
    <row r="1761" spans="1:17" x14ac:dyDescent="0.2">
      <c r="A1761" s="10">
        <v>1795</v>
      </c>
      <c r="B1761" s="10" t="s">
        <v>2818</v>
      </c>
      <c r="C1761" s="9" t="s">
        <v>1535</v>
      </c>
      <c r="D1761" s="10">
        <v>0.50698769300000002</v>
      </c>
      <c r="E1761" s="10">
        <v>1.409840899</v>
      </c>
      <c r="F1761" s="10">
        <v>0.67696123200000002</v>
      </c>
      <c r="G1761" s="10">
        <v>-4.3465565999999997E-2</v>
      </c>
      <c r="H1761" s="9">
        <v>0.63758106425000005</v>
      </c>
      <c r="I1761" s="10">
        <v>0.59967079612329399</v>
      </c>
      <c r="J1761" s="10">
        <v>0.35960506372314499</v>
      </c>
      <c r="K1761" s="10">
        <v>-0.45774321600000001</v>
      </c>
      <c r="L1761" s="10">
        <v>-0.12807658299999999</v>
      </c>
      <c r="M1761" s="10">
        <v>0.154276361</v>
      </c>
      <c r="N1761" s="10">
        <v>-7.2218255999999995E-2</v>
      </c>
      <c r="O1761" s="9">
        <v>-0.12594042375</v>
      </c>
      <c r="P1761" s="10">
        <v>0.25265600717485698</v>
      </c>
      <c r="Q1761" s="10">
        <v>6.3835057961541597E-2</v>
      </c>
    </row>
    <row r="1762" spans="1:17" x14ac:dyDescent="0.2">
      <c r="A1762" s="10">
        <v>1795</v>
      </c>
      <c r="B1762" s="10" t="s">
        <v>2830</v>
      </c>
      <c r="C1762" s="9" t="s">
        <v>1536</v>
      </c>
      <c r="D1762" s="10">
        <v>-6.6831277999999994E-2</v>
      </c>
      <c r="E1762" s="10">
        <v>-0.248564652</v>
      </c>
      <c r="F1762" s="10">
        <v>-0.40551155100000003</v>
      </c>
      <c r="G1762" s="10">
        <v>0.85401928699999996</v>
      </c>
      <c r="H1762" s="9">
        <v>3.327795175E-2</v>
      </c>
      <c r="I1762" s="10">
        <v>0.56439043172885806</v>
      </c>
      <c r="J1762" s="10">
        <v>0.31853655942708697</v>
      </c>
      <c r="K1762" s="10">
        <v>-0.57793955900000005</v>
      </c>
      <c r="L1762" s="10">
        <v>0.29467621100000002</v>
      </c>
      <c r="M1762" s="10">
        <v>-0.76159805400000002</v>
      </c>
      <c r="N1762" s="10">
        <v>0.63048439899999997</v>
      </c>
      <c r="O1762" s="9">
        <v>-0.103594251</v>
      </c>
      <c r="P1762" s="10">
        <v>0.67217639085575198</v>
      </c>
      <c r="Q1762" s="10">
        <v>0.45182110042386397</v>
      </c>
    </row>
    <row r="1763" spans="1:17" x14ac:dyDescent="0.2">
      <c r="A1763" s="10">
        <v>1796</v>
      </c>
      <c r="B1763" s="10" t="s">
        <v>2831</v>
      </c>
      <c r="C1763" s="9" t="s">
        <v>1537</v>
      </c>
      <c r="D1763" s="10">
        <v>-0.93289612899999996</v>
      </c>
      <c r="E1763" s="10">
        <v>-0.450013993</v>
      </c>
      <c r="F1763" s="10">
        <v>-1.645403446</v>
      </c>
      <c r="G1763" s="10">
        <v>-0.49662744399999997</v>
      </c>
      <c r="H1763" s="9">
        <v>-0.88123525300000005</v>
      </c>
      <c r="I1763" s="10">
        <v>0.55392442779430295</v>
      </c>
      <c r="J1763" s="10">
        <v>0.30683227170724597</v>
      </c>
      <c r="K1763" s="10">
        <v>-0.32167651800000002</v>
      </c>
      <c r="L1763" s="10">
        <v>-0.37297605700000003</v>
      </c>
      <c r="M1763" s="10">
        <v>0.60104780599999996</v>
      </c>
      <c r="N1763" s="10">
        <v>-7.6449645999999996E-2</v>
      </c>
      <c r="O1763" s="9">
        <v>-4.2513604000000003E-2</v>
      </c>
      <c r="P1763" s="10">
        <v>0.44812956042628299</v>
      </c>
      <c r="Q1763" s="10">
        <v>0.20082010292785399</v>
      </c>
    </row>
    <row r="1764" spans="1:17" x14ac:dyDescent="0.2">
      <c r="A1764" s="10">
        <v>1796</v>
      </c>
      <c r="B1764" s="10" t="s">
        <v>2822</v>
      </c>
      <c r="C1764" s="9" t="s">
        <v>1538</v>
      </c>
      <c r="D1764" s="10">
        <v>0.135599838</v>
      </c>
      <c r="E1764" s="10">
        <v>0.33780591399999998</v>
      </c>
      <c r="F1764" s="10">
        <v>0.81132628500000004</v>
      </c>
      <c r="G1764" s="10">
        <v>0.37557131599999999</v>
      </c>
      <c r="H1764" s="9">
        <v>0.41507583825</v>
      </c>
      <c r="I1764" s="10">
        <v>0.28440141803274799</v>
      </c>
      <c r="J1764" s="10">
        <v>8.0884166579038005E-2</v>
      </c>
      <c r="K1764" s="10">
        <v>0.19292278900000001</v>
      </c>
      <c r="L1764" s="10">
        <v>1.3683981E-2</v>
      </c>
      <c r="M1764" s="10">
        <v>3.1445631000000002E-2</v>
      </c>
      <c r="N1764" s="10">
        <v>0.44513414200000001</v>
      </c>
      <c r="O1764" s="9">
        <v>0.17079663549999999</v>
      </c>
      <c r="P1764" s="10">
        <v>0.199878065163521</v>
      </c>
      <c r="Q1764" s="10">
        <v>3.9951240933512801E-2</v>
      </c>
    </row>
    <row r="1765" spans="1:17" x14ac:dyDescent="0.2">
      <c r="A1765" s="10">
        <v>1796</v>
      </c>
      <c r="B1765" s="10" t="s">
        <v>2821</v>
      </c>
      <c r="C1765" s="9" t="s">
        <v>1539</v>
      </c>
      <c r="D1765" s="10">
        <v>-0.17771520599999999</v>
      </c>
      <c r="E1765" s="10">
        <v>-0.27694532500000002</v>
      </c>
      <c r="F1765" s="10">
        <v>-1.098872013</v>
      </c>
      <c r="G1765" s="10">
        <v>0.384995851</v>
      </c>
      <c r="H1765" s="9">
        <v>-0.29213417325000002</v>
      </c>
      <c r="I1765" s="10">
        <v>0.61173344222327697</v>
      </c>
      <c r="J1765" s="10">
        <v>0.37421780433433999</v>
      </c>
      <c r="K1765" s="10">
        <v>-0.98594429800000005</v>
      </c>
      <c r="L1765" s="10">
        <v>1.6596583389999999</v>
      </c>
      <c r="M1765" s="10">
        <v>-4.5122631000000003E-2</v>
      </c>
      <c r="N1765" s="10">
        <v>0.462006904</v>
      </c>
      <c r="O1765" s="9">
        <v>0.27264957875000001</v>
      </c>
      <c r="P1765" s="10">
        <v>1.10222309017096</v>
      </c>
      <c r="Q1765" s="10">
        <v>1.2148957405060199</v>
      </c>
    </row>
    <row r="1766" spans="1:17" x14ac:dyDescent="0.2">
      <c r="A1766" s="10">
        <v>1796</v>
      </c>
      <c r="B1766" s="10" t="s">
        <v>2825</v>
      </c>
      <c r="C1766" s="9" t="s">
        <v>1542</v>
      </c>
      <c r="D1766" s="10">
        <v>7.7132249999999998E-3</v>
      </c>
      <c r="E1766" s="10">
        <v>-6.2337034E-2</v>
      </c>
      <c r="F1766" s="10">
        <v>0.12387385300000001</v>
      </c>
      <c r="G1766" s="10">
        <v>0.64090422000000002</v>
      </c>
      <c r="H1766" s="9">
        <v>0.17753856574999999</v>
      </c>
      <c r="I1766" s="10">
        <v>0.31831251972935098</v>
      </c>
      <c r="J1766" s="10">
        <v>0.101322860216448</v>
      </c>
      <c r="K1766" s="10">
        <v>-0.19750994599999999</v>
      </c>
      <c r="L1766" s="10">
        <v>-0.63936982600000003</v>
      </c>
      <c r="M1766" s="10">
        <v>0.37774280799999999</v>
      </c>
      <c r="N1766" s="10">
        <v>-0.113230729</v>
      </c>
      <c r="O1766" s="9">
        <v>-0.14309192300000001</v>
      </c>
      <c r="P1766" s="10">
        <v>0.41689870318669803</v>
      </c>
      <c r="Q1766" s="10">
        <v>0.17380452871875099</v>
      </c>
    </row>
    <row r="1767" spans="1:17" x14ac:dyDescent="0.2">
      <c r="A1767" s="10">
        <v>1796</v>
      </c>
      <c r="B1767" s="10" t="s">
        <v>2835</v>
      </c>
      <c r="C1767" s="9" t="s">
        <v>1543</v>
      </c>
      <c r="D1767" s="10">
        <v>0.612111458</v>
      </c>
      <c r="E1767" s="10">
        <v>0.44539899999999999</v>
      </c>
      <c r="F1767" s="10">
        <v>0.40340785800000001</v>
      </c>
      <c r="G1767" s="10">
        <v>-0.12929041499999999</v>
      </c>
      <c r="H1767" s="9">
        <v>0.33290697549999998</v>
      </c>
      <c r="I1767" s="10">
        <v>0.32104329969776602</v>
      </c>
      <c r="J1767" s="10">
        <v>0.103068800280829</v>
      </c>
      <c r="K1767" s="10">
        <v>-0.26004485399999999</v>
      </c>
      <c r="L1767" s="10">
        <v>0.67533303</v>
      </c>
      <c r="M1767" s="10">
        <v>-0.13362585099999999</v>
      </c>
      <c r="N1767" s="10">
        <v>-0.19525490500000001</v>
      </c>
      <c r="O1767" s="9">
        <v>2.160185475E-2</v>
      </c>
      <c r="P1767" s="10">
        <v>0.438866651321002</v>
      </c>
      <c r="Q1767" s="10">
        <v>0.19260393764170999</v>
      </c>
    </row>
    <row r="1768" spans="1:17" x14ac:dyDescent="0.2">
      <c r="A1768" s="10">
        <v>1797</v>
      </c>
      <c r="B1768" s="10" t="s">
        <v>96</v>
      </c>
      <c r="C1768" s="9" t="s">
        <v>1545</v>
      </c>
      <c r="D1768" s="10">
        <v>0.19221854499999999</v>
      </c>
      <c r="E1768" s="10">
        <v>0.52047001900000001</v>
      </c>
      <c r="F1768" s="10">
        <v>7.6124036000000006E-2</v>
      </c>
      <c r="G1768" s="10">
        <v>0.30590543100000001</v>
      </c>
      <c r="H1768" s="9">
        <v>0.27367950775</v>
      </c>
      <c r="I1768" s="10">
        <v>0.18939211479790899</v>
      </c>
      <c r="J1768" s="10">
        <v>3.5869373147624402E-2</v>
      </c>
      <c r="K1768" s="10">
        <v>-0.57245392699999997</v>
      </c>
      <c r="L1768" s="10">
        <v>-0.64007642399999998</v>
      </c>
      <c r="M1768" s="10">
        <v>0.31015862</v>
      </c>
      <c r="N1768" s="10">
        <v>0.26021228699999999</v>
      </c>
      <c r="O1768" s="9">
        <v>-0.16053986100000001</v>
      </c>
      <c r="P1768" s="10">
        <v>0.51582230244042504</v>
      </c>
      <c r="Q1768" s="10">
        <v>0.26607264769494199</v>
      </c>
    </row>
    <row r="1769" spans="1:17" x14ac:dyDescent="0.2">
      <c r="A1769" s="10">
        <v>1797</v>
      </c>
      <c r="B1769" s="10" t="s">
        <v>2820</v>
      </c>
      <c r="C1769" s="9" t="s">
        <v>1546</v>
      </c>
      <c r="D1769" s="10">
        <v>0.33906889099999998</v>
      </c>
      <c r="E1769" s="10">
        <v>-1.2285266E-2</v>
      </c>
      <c r="F1769" s="10">
        <v>0.40828810300000001</v>
      </c>
      <c r="G1769" s="10">
        <v>-0.34257759799999998</v>
      </c>
      <c r="H1769" s="9">
        <v>9.8123532250000006E-2</v>
      </c>
      <c r="I1769" s="10">
        <v>0.34672963328138601</v>
      </c>
      <c r="J1769" s="10">
        <v>0.120221438595444</v>
      </c>
      <c r="K1769" s="10">
        <v>4.7688115000000003E-2</v>
      </c>
      <c r="L1769" s="10">
        <v>0.12421083400000001</v>
      </c>
      <c r="M1769" s="10">
        <v>-0.45518837699999998</v>
      </c>
      <c r="N1769" s="10">
        <v>0.94640921300000003</v>
      </c>
      <c r="O1769" s="9">
        <v>0.16577994625</v>
      </c>
      <c r="P1769" s="10">
        <v>0.580418636930216</v>
      </c>
      <c r="Q1769" s="10">
        <v>0.33688579409593</v>
      </c>
    </row>
    <row r="1770" spans="1:17" x14ac:dyDescent="0.2">
      <c r="A1770" s="10">
        <v>1797</v>
      </c>
      <c r="B1770" s="10" t="s">
        <v>2825</v>
      </c>
      <c r="C1770" s="9" t="s">
        <v>1549</v>
      </c>
      <c r="D1770" s="10">
        <v>5.7258796000000001E-2</v>
      </c>
      <c r="E1770" s="10">
        <v>0.47424675700000002</v>
      </c>
      <c r="F1770" s="10">
        <v>0.14264484199999999</v>
      </c>
      <c r="G1770" s="10">
        <v>-0.45175309400000002</v>
      </c>
      <c r="H1770" s="9">
        <v>5.5599324999999998E-2</v>
      </c>
      <c r="I1770" s="10">
        <v>0.38308042030324901</v>
      </c>
      <c r="J1770" s="10">
        <v>0.14675060841971399</v>
      </c>
      <c r="K1770" s="10">
        <v>0.71382067100000002</v>
      </c>
      <c r="L1770" s="10">
        <v>-3.5094681000000003E-2</v>
      </c>
      <c r="M1770" s="10">
        <v>-0.51787467600000003</v>
      </c>
      <c r="N1770" s="10">
        <v>0.19225414900000001</v>
      </c>
      <c r="O1770" s="9">
        <v>8.8276365750000002E-2</v>
      </c>
      <c r="P1770" s="10">
        <v>0.51145431787895701</v>
      </c>
      <c r="Q1770" s="10">
        <v>0.26158551927703</v>
      </c>
    </row>
    <row r="1771" spans="1:17" x14ac:dyDescent="0.2">
      <c r="A1771" s="10">
        <v>1797</v>
      </c>
      <c r="B1771" s="10" t="s">
        <v>2830</v>
      </c>
      <c r="C1771" s="9" t="s">
        <v>1550</v>
      </c>
      <c r="D1771" s="10">
        <v>0.31596854400000002</v>
      </c>
      <c r="E1771" s="10">
        <v>0.13183442100000001</v>
      </c>
      <c r="F1771" s="10">
        <v>0.55460616699999998</v>
      </c>
      <c r="G1771" s="10">
        <v>0.37900182599999999</v>
      </c>
      <c r="H1771" s="9">
        <v>0.34535273975000003</v>
      </c>
      <c r="I1771" s="10">
        <v>0.17452102186941201</v>
      </c>
      <c r="J1771" s="10">
        <v>3.04575870743439E-2</v>
      </c>
      <c r="K1771" s="10">
        <v>-0.22259537200000001</v>
      </c>
      <c r="L1771" s="10">
        <v>-1.372682508</v>
      </c>
      <c r="M1771" s="10">
        <v>2.2322904000000001E-2</v>
      </c>
      <c r="N1771" s="10">
        <v>-0.45364845100000001</v>
      </c>
      <c r="O1771" s="9">
        <v>-0.50665085649999997</v>
      </c>
      <c r="P1771" s="10">
        <v>0.60918547639741705</v>
      </c>
      <c r="Q1771" s="10">
        <v>0.37110694465354799</v>
      </c>
    </row>
    <row r="1772" spans="1:17" x14ac:dyDescent="0.2">
      <c r="A1772" s="10">
        <v>1798</v>
      </c>
      <c r="B1772" s="10" t="s">
        <v>2820</v>
      </c>
      <c r="C1772" s="9" t="s">
        <v>1553</v>
      </c>
      <c r="D1772" s="10">
        <v>-0.72890719900000001</v>
      </c>
      <c r="E1772" s="10">
        <v>0.67672232799999998</v>
      </c>
      <c r="F1772" s="10">
        <v>-4.6595606999999997E-2</v>
      </c>
      <c r="G1772" s="10">
        <v>0.148200674</v>
      </c>
      <c r="H1772" s="9">
        <v>1.2355049E-2</v>
      </c>
      <c r="I1772" s="10">
        <v>0.58102863251029402</v>
      </c>
      <c r="J1772" s="10">
        <v>0.33759427179678198</v>
      </c>
      <c r="K1772" s="10">
        <v>0.71033744899999995</v>
      </c>
      <c r="L1772" s="10">
        <v>0.73539699300000005</v>
      </c>
      <c r="M1772" s="10">
        <v>0.79583679100000004</v>
      </c>
      <c r="N1772" s="10">
        <v>-0.112345575</v>
      </c>
      <c r="O1772" s="9">
        <v>0.53230641450000005</v>
      </c>
      <c r="P1772" s="10">
        <v>0.43126375503673098</v>
      </c>
      <c r="Q1772" s="10">
        <v>0.18598842640838101</v>
      </c>
    </row>
    <row r="1773" spans="1:17" x14ac:dyDescent="0.2">
      <c r="A1773" s="10">
        <v>1798</v>
      </c>
      <c r="B1773" s="10" t="s">
        <v>2814</v>
      </c>
      <c r="C1773" s="9" t="s">
        <v>1556</v>
      </c>
      <c r="D1773" s="10">
        <v>0.118008445</v>
      </c>
      <c r="E1773" s="10">
        <v>1.0001182099999999</v>
      </c>
      <c r="F1773" s="10">
        <v>0.49893862900000002</v>
      </c>
      <c r="G1773" s="10">
        <v>-0.16583004700000001</v>
      </c>
      <c r="H1773" s="9">
        <v>0.36280880924999998</v>
      </c>
      <c r="I1773" s="10">
        <v>0.50467179393599704</v>
      </c>
      <c r="J1773" s="10">
        <v>0.25469361959457698</v>
      </c>
      <c r="K1773" s="10">
        <v>0.35009214100000002</v>
      </c>
      <c r="L1773" s="10">
        <v>0.89110251299999998</v>
      </c>
      <c r="M1773" s="10">
        <v>0.45406174100000002</v>
      </c>
      <c r="N1773" s="10">
        <v>-0.37796152100000002</v>
      </c>
      <c r="O1773" s="9">
        <v>0.32932371874999999</v>
      </c>
      <c r="P1773" s="10">
        <v>0.52657342811640695</v>
      </c>
      <c r="Q1773" s="10">
        <v>0.27727957519826402</v>
      </c>
    </row>
    <row r="1774" spans="1:17" x14ac:dyDescent="0.2">
      <c r="A1774" s="10">
        <v>1798</v>
      </c>
      <c r="B1774" s="10" t="s">
        <v>2825</v>
      </c>
      <c r="C1774" s="9" t="s">
        <v>1557</v>
      </c>
      <c r="D1774" s="10">
        <v>-0.36339852</v>
      </c>
      <c r="E1774" s="10">
        <v>9.9152401000000001E-2</v>
      </c>
      <c r="F1774" s="10">
        <v>0.171832173</v>
      </c>
      <c r="G1774" s="10">
        <v>-3.8106898E-2</v>
      </c>
      <c r="H1774" s="9">
        <v>-3.2630210999999999E-2</v>
      </c>
      <c r="I1774" s="10">
        <v>0.23707185383038101</v>
      </c>
      <c r="J1774" s="10">
        <v>5.6203063878573802E-2</v>
      </c>
      <c r="K1774" s="10">
        <v>0.272469827</v>
      </c>
      <c r="L1774" s="10">
        <v>0.24060424499999999</v>
      </c>
      <c r="M1774" s="10">
        <v>0.28473362200000002</v>
      </c>
      <c r="N1774" s="10">
        <v>-1.2463847880000001</v>
      </c>
      <c r="O1774" s="9">
        <v>-0.1121442735</v>
      </c>
      <c r="P1774" s="10">
        <v>0.75638903840926996</v>
      </c>
      <c r="Q1774" s="10">
        <v>0.57212437742569999</v>
      </c>
    </row>
    <row r="1775" spans="1:17" x14ac:dyDescent="0.2">
      <c r="A1775" s="10">
        <v>1798</v>
      </c>
      <c r="B1775" s="10" t="s">
        <v>74</v>
      </c>
      <c r="C1775" s="9" t="s">
        <v>1558</v>
      </c>
      <c r="D1775" s="10">
        <v>0.294112875</v>
      </c>
      <c r="E1775" s="10">
        <v>1.965575E-2</v>
      </c>
      <c r="F1775" s="10">
        <v>7.2178372000000005E-2</v>
      </c>
      <c r="G1775" s="10">
        <v>-0.18627096700000001</v>
      </c>
      <c r="H1775" s="9">
        <v>4.9919007250000001E-2</v>
      </c>
      <c r="I1775" s="10">
        <v>0.19733870463526501</v>
      </c>
      <c r="J1775" s="10">
        <v>3.8942564347124398E-2</v>
      </c>
      <c r="K1775" s="10">
        <v>-0.29890032700000002</v>
      </c>
      <c r="L1775" s="10">
        <v>-0.21818309599999999</v>
      </c>
      <c r="M1775" s="10">
        <v>-2.3459219999999999E-2</v>
      </c>
      <c r="N1775" s="10">
        <v>-0.18007963299999999</v>
      </c>
      <c r="O1775" s="9">
        <v>-0.18015556899999999</v>
      </c>
      <c r="P1775" s="10">
        <v>0.115614534724114</v>
      </c>
      <c r="Q1775" s="10">
        <v>1.3366720639473299E-2</v>
      </c>
    </row>
    <row r="1776" spans="1:17" x14ac:dyDescent="0.2">
      <c r="A1776" s="10">
        <v>1798</v>
      </c>
      <c r="B1776" s="10" t="s">
        <v>2818</v>
      </c>
      <c r="C1776" s="9" t="s">
        <v>1559</v>
      </c>
      <c r="D1776" s="10">
        <v>0.63723593099999998</v>
      </c>
      <c r="E1776" s="10">
        <v>0.544779766</v>
      </c>
      <c r="F1776" s="10">
        <v>0.83728415</v>
      </c>
      <c r="G1776" s="10">
        <v>-0.36179285100000003</v>
      </c>
      <c r="H1776" s="9">
        <v>0.41437674899999999</v>
      </c>
      <c r="I1776" s="10">
        <v>0.53165185338689003</v>
      </c>
      <c r="J1776" s="10">
        <v>0.28265369320971501</v>
      </c>
      <c r="K1776" s="10">
        <v>6.4953561000000007E-2</v>
      </c>
      <c r="L1776" s="10">
        <v>0.15134984300000001</v>
      </c>
      <c r="M1776" s="10">
        <v>-0.33673266600000001</v>
      </c>
      <c r="N1776" s="10">
        <v>0.158518561</v>
      </c>
      <c r="O1776" s="9">
        <v>9.5223249999999999E-3</v>
      </c>
      <c r="P1776" s="10">
        <v>0.23471973636737101</v>
      </c>
      <c r="Q1776" s="10">
        <v>5.5093354640368498E-2</v>
      </c>
    </row>
    <row r="1777" spans="1:17" x14ac:dyDescent="0.2">
      <c r="A1777" s="10">
        <v>1798</v>
      </c>
      <c r="B1777" s="10" t="s">
        <v>2830</v>
      </c>
      <c r="C1777" s="9" t="s">
        <v>1560</v>
      </c>
      <c r="D1777" s="10">
        <v>0.42276902999999999</v>
      </c>
      <c r="E1777" s="10">
        <v>0.164431194</v>
      </c>
      <c r="F1777" s="10">
        <v>0.21822727</v>
      </c>
      <c r="G1777" s="10">
        <v>-0.24664203400000001</v>
      </c>
      <c r="H1777" s="9">
        <v>0.13969636499999999</v>
      </c>
      <c r="I1777" s="10">
        <v>0.28057465258398001</v>
      </c>
      <c r="J1777" s="10">
        <v>7.8722135672621193E-2</v>
      </c>
      <c r="K1777" s="10">
        <v>-0.46313834100000001</v>
      </c>
      <c r="L1777" s="10">
        <v>-4.7996200000000003E-2</v>
      </c>
      <c r="M1777" s="10">
        <v>-0.28226479799999998</v>
      </c>
      <c r="N1777" s="10">
        <v>9.9059484000000003E-2</v>
      </c>
      <c r="O1777" s="9">
        <v>-0.17358496374999999</v>
      </c>
      <c r="P1777" s="10">
        <v>0.248837294310053</v>
      </c>
      <c r="Q1777" s="10">
        <v>6.1919999039548E-2</v>
      </c>
    </row>
    <row r="1778" spans="1:17" x14ac:dyDescent="0.2">
      <c r="A1778" s="10">
        <v>1798</v>
      </c>
      <c r="B1778" s="10" t="s">
        <v>2832</v>
      </c>
      <c r="C1778" s="9" t="s">
        <v>1562</v>
      </c>
      <c r="D1778" s="10">
        <v>-0.11967772</v>
      </c>
      <c r="E1778" s="10">
        <v>8.5767116000000004E-2</v>
      </c>
      <c r="F1778" s="10">
        <v>-0.11978216799999999</v>
      </c>
      <c r="G1778" s="10">
        <v>-1.396987443</v>
      </c>
      <c r="H1778" s="9">
        <v>-0.38767005399999999</v>
      </c>
      <c r="I1778" s="10">
        <v>0.67981569958916099</v>
      </c>
      <c r="J1778" s="10">
        <v>0.46214938540790002</v>
      </c>
      <c r="K1778" s="10">
        <v>-0.57828041200000002</v>
      </c>
      <c r="L1778" s="10">
        <v>0.314789557</v>
      </c>
      <c r="M1778" s="10">
        <v>-0.87459890399999995</v>
      </c>
      <c r="N1778" s="10">
        <v>-0.78309093100000005</v>
      </c>
      <c r="O1778" s="9">
        <v>-0.48029517275</v>
      </c>
      <c r="P1778" s="10">
        <v>0.54434105065494098</v>
      </c>
      <c r="Q1778" s="10">
        <v>0.29630717942812501</v>
      </c>
    </row>
    <row r="1779" spans="1:17" x14ac:dyDescent="0.2">
      <c r="A1779" s="10">
        <v>1799</v>
      </c>
      <c r="B1779" s="10" t="s">
        <v>79</v>
      </c>
      <c r="C1779" s="9" t="s">
        <v>1563</v>
      </c>
      <c r="D1779" s="10">
        <v>-0.33381976299999999</v>
      </c>
      <c r="E1779" s="10">
        <v>0.32419557999999998</v>
      </c>
      <c r="F1779" s="10">
        <v>8.8786029000000002E-2</v>
      </c>
      <c r="G1779" s="10">
        <v>-1.049351739</v>
      </c>
      <c r="H1779" s="9">
        <v>-0.24254747325000001</v>
      </c>
      <c r="I1779" s="10">
        <v>0.60283865509465195</v>
      </c>
      <c r="J1779" s="10">
        <v>0.363414444076329</v>
      </c>
      <c r="K1779" s="10">
        <v>7.7315097999999999E-2</v>
      </c>
      <c r="L1779" s="10">
        <v>0.67907031500000004</v>
      </c>
      <c r="M1779" s="10">
        <v>-0.19730873099999999</v>
      </c>
      <c r="N1779" s="10">
        <v>-0.31461990400000001</v>
      </c>
      <c r="O1779" s="9">
        <v>6.1114194249999997E-2</v>
      </c>
      <c r="P1779" s="10">
        <v>0.44350526390608302</v>
      </c>
      <c r="Q1779" s="10">
        <v>0.196696919112404</v>
      </c>
    </row>
    <row r="1780" spans="1:17" x14ac:dyDescent="0.2">
      <c r="A1780" s="10">
        <v>1799</v>
      </c>
      <c r="B1780" s="10" t="s">
        <v>2817</v>
      </c>
      <c r="C1780" s="9" t="s">
        <v>1564</v>
      </c>
      <c r="D1780" s="10">
        <v>1.115511862</v>
      </c>
      <c r="E1780" s="10">
        <v>-0.19336214099999999</v>
      </c>
      <c r="F1780" s="10">
        <v>-0.14073657000000001</v>
      </c>
      <c r="G1780" s="10">
        <v>-0.23383615599999999</v>
      </c>
      <c r="H1780" s="9">
        <v>0.13689424875</v>
      </c>
      <c r="I1780" s="10">
        <v>0.653524195027678</v>
      </c>
      <c r="J1780" s="10">
        <v>0.42709387348657402</v>
      </c>
      <c r="K1780" s="10">
        <v>-0.49821842100000002</v>
      </c>
      <c r="L1780" s="10">
        <v>0.81048571199999997</v>
      </c>
      <c r="M1780" s="10">
        <v>-0.54891229699999999</v>
      </c>
      <c r="N1780" s="10">
        <v>0.80663170299999998</v>
      </c>
      <c r="O1780" s="9">
        <v>0.14249667425000001</v>
      </c>
      <c r="P1780" s="10">
        <v>0.76938219582838696</v>
      </c>
      <c r="Q1780" s="10">
        <v>0.59194896325771096</v>
      </c>
    </row>
    <row r="1781" spans="1:17" x14ac:dyDescent="0.2">
      <c r="A1781" s="10">
        <v>1799</v>
      </c>
      <c r="B1781" s="10" t="s">
        <v>2833</v>
      </c>
      <c r="C1781" s="9" t="s">
        <v>1565</v>
      </c>
      <c r="D1781" s="10">
        <v>0.35985553399999998</v>
      </c>
      <c r="E1781" s="10">
        <v>-0.37205433700000001</v>
      </c>
      <c r="F1781" s="10">
        <v>0.67469359200000001</v>
      </c>
      <c r="G1781" s="10">
        <v>0.119518739</v>
      </c>
      <c r="H1781" s="9">
        <v>0.195503382</v>
      </c>
      <c r="I1781" s="10">
        <v>0.44141073752050702</v>
      </c>
      <c r="J1781" s="10">
        <v>0.194843439198398</v>
      </c>
      <c r="K1781" s="10">
        <v>0.29804297200000002</v>
      </c>
      <c r="L1781" s="10">
        <v>1.174309713</v>
      </c>
      <c r="M1781" s="10">
        <v>-0.15060231800000001</v>
      </c>
      <c r="N1781" s="10">
        <v>-0.887249289</v>
      </c>
      <c r="O1781" s="9">
        <v>0.10862526975</v>
      </c>
      <c r="P1781" s="10">
        <v>0.86226977169308205</v>
      </c>
      <c r="Q1781" s="10">
        <v>0.74350915917564098</v>
      </c>
    </row>
    <row r="1782" spans="1:17" x14ac:dyDescent="0.2">
      <c r="A1782" s="10">
        <v>1799</v>
      </c>
      <c r="B1782" s="10" t="s">
        <v>2825</v>
      </c>
      <c r="C1782" s="9" t="s">
        <v>1566</v>
      </c>
      <c r="D1782" s="10">
        <v>0.94121787700000004</v>
      </c>
      <c r="E1782" s="10">
        <v>0.59708638999999997</v>
      </c>
      <c r="F1782" s="10">
        <v>0.842387581</v>
      </c>
      <c r="G1782" s="10">
        <v>-4.8866597999999997E-2</v>
      </c>
      <c r="H1782" s="9">
        <v>0.58295631275000004</v>
      </c>
      <c r="I1782" s="10">
        <v>0.44536718222022598</v>
      </c>
      <c r="J1782" s="10">
        <v>0.19835192699878401</v>
      </c>
      <c r="K1782" s="10">
        <v>0.33127398400000002</v>
      </c>
      <c r="L1782" s="10">
        <v>0.262567936</v>
      </c>
      <c r="M1782" s="10">
        <v>-0.10721246</v>
      </c>
      <c r="N1782" s="10">
        <v>8.7698120000000004E-2</v>
      </c>
      <c r="O1782" s="9">
        <v>0.14358189499999999</v>
      </c>
      <c r="P1782" s="10">
        <v>0.19613499010813401</v>
      </c>
      <c r="Q1782" s="10">
        <v>3.8468934344718E-2</v>
      </c>
    </row>
    <row r="1783" spans="1:17" x14ac:dyDescent="0.2">
      <c r="A1783" s="10">
        <v>1799</v>
      </c>
      <c r="B1783" s="10" t="s">
        <v>74</v>
      </c>
      <c r="C1783" s="9" t="s">
        <v>1567</v>
      </c>
      <c r="D1783" s="10">
        <v>-2.4623686999999998E-2</v>
      </c>
      <c r="E1783" s="10">
        <v>0.48953971000000002</v>
      </c>
      <c r="F1783" s="10">
        <v>0.48920468299999997</v>
      </c>
      <c r="G1783" s="10">
        <v>-0.335841995</v>
      </c>
      <c r="H1783" s="9">
        <v>0.15456967775</v>
      </c>
      <c r="I1783" s="10">
        <v>0.40693954505311603</v>
      </c>
      <c r="J1783" s="10">
        <v>0.16559979332803701</v>
      </c>
      <c r="K1783" s="10">
        <v>-6.6520544000000001E-2</v>
      </c>
      <c r="L1783" s="10">
        <v>0.112830396</v>
      </c>
      <c r="M1783" s="10">
        <v>-0.25086841399999998</v>
      </c>
      <c r="N1783" s="10">
        <v>0.28817766299999997</v>
      </c>
      <c r="O1783" s="9">
        <v>2.090477525E-2</v>
      </c>
      <c r="P1783" s="10">
        <v>0.23194034370758401</v>
      </c>
      <c r="Q1783" s="10">
        <v>5.3796323039192503E-2</v>
      </c>
    </row>
    <row r="1784" spans="1:17" x14ac:dyDescent="0.2">
      <c r="A1784" s="10">
        <v>1799</v>
      </c>
      <c r="B1784" s="10" t="s">
        <v>2835</v>
      </c>
      <c r="C1784" s="9" t="s">
        <v>1568</v>
      </c>
      <c r="D1784" s="10">
        <v>-0.63482244099999996</v>
      </c>
      <c r="E1784" s="10">
        <v>-8.0416788000000003E-2</v>
      </c>
      <c r="F1784" s="10">
        <v>0.54285646300000001</v>
      </c>
      <c r="G1784" s="10">
        <v>-1.7648550199999999</v>
      </c>
      <c r="H1784" s="9">
        <v>-0.48430944650000002</v>
      </c>
      <c r="I1784" s="10">
        <v>0.979906494272618</v>
      </c>
      <c r="J1784" s="10">
        <v>0.96021673751765302</v>
      </c>
      <c r="K1784" s="10">
        <v>-8.3243346999999995E-2</v>
      </c>
      <c r="L1784" s="10">
        <v>-0.14881064599999999</v>
      </c>
      <c r="M1784" s="10">
        <v>-1.6676828420000001</v>
      </c>
      <c r="N1784" s="10">
        <v>0.29817186899999998</v>
      </c>
      <c r="O1784" s="9">
        <v>-0.40039124149999999</v>
      </c>
      <c r="P1784" s="10">
        <v>0.86754327520633501</v>
      </c>
      <c r="Q1784" s="10">
        <v>0.75263133435573504</v>
      </c>
    </row>
    <row r="1785" spans="1:17" x14ac:dyDescent="0.2">
      <c r="A1785" s="10">
        <v>1800</v>
      </c>
      <c r="B1785" s="10" t="s">
        <v>2820</v>
      </c>
      <c r="C1785" s="9" t="s">
        <v>1569</v>
      </c>
      <c r="D1785" s="10">
        <v>-0.87014122100000002</v>
      </c>
      <c r="E1785" s="10">
        <v>-0.84642553899999995</v>
      </c>
      <c r="F1785" s="10">
        <v>-0.350477598</v>
      </c>
      <c r="G1785" s="10">
        <v>-0.32633287100000002</v>
      </c>
      <c r="H1785" s="9">
        <v>-0.59834430699999996</v>
      </c>
      <c r="I1785" s="10">
        <v>0.30046962512919301</v>
      </c>
      <c r="J1785" s="10">
        <v>9.0281995625277903E-2</v>
      </c>
      <c r="K1785" s="10">
        <v>0.120633746</v>
      </c>
      <c r="L1785" s="10">
        <v>-0.23808513100000001</v>
      </c>
      <c r="M1785" s="10">
        <v>-6.7883397999999998E-2</v>
      </c>
      <c r="N1785" s="10">
        <v>8.3461403000000003E-2</v>
      </c>
      <c r="O1785" s="9">
        <v>-2.5468345E-2</v>
      </c>
      <c r="P1785" s="10">
        <v>0.163520075631789</v>
      </c>
      <c r="Q1785" s="10">
        <v>2.6738815134626101E-2</v>
      </c>
    </row>
    <row r="1786" spans="1:17" x14ac:dyDescent="0.2">
      <c r="A1786" s="10">
        <v>1801</v>
      </c>
      <c r="B1786" s="10" t="s">
        <v>2824</v>
      </c>
      <c r="C1786" s="9" t="s">
        <v>1570</v>
      </c>
      <c r="D1786" s="10">
        <v>1.2165849369999999</v>
      </c>
      <c r="E1786" s="10">
        <v>0.28367139600000002</v>
      </c>
      <c r="F1786" s="10">
        <v>0.74201740999999999</v>
      </c>
      <c r="G1786" s="10">
        <v>-0.46676291399999997</v>
      </c>
      <c r="H1786" s="9">
        <v>0.44387770724999998</v>
      </c>
      <c r="I1786" s="10">
        <v>0.71668127469577703</v>
      </c>
      <c r="J1786" s="10">
        <v>0.51363204949956498</v>
      </c>
      <c r="K1786" s="10">
        <v>-0.95250263599999996</v>
      </c>
      <c r="L1786" s="10">
        <v>0.835923902</v>
      </c>
      <c r="M1786" s="10">
        <v>-0.21744375699999999</v>
      </c>
      <c r="N1786" s="10">
        <v>0.47390152200000002</v>
      </c>
      <c r="O1786" s="9">
        <v>3.4969757749999997E-2</v>
      </c>
      <c r="P1786" s="10">
        <v>0.79014828686470195</v>
      </c>
      <c r="Q1786" s="10">
        <v>0.62433431523522298</v>
      </c>
    </row>
    <row r="1787" spans="1:17" x14ac:dyDescent="0.2">
      <c r="A1787" s="10">
        <v>1801</v>
      </c>
      <c r="B1787" s="10" t="s">
        <v>2825</v>
      </c>
      <c r="C1787" s="9" t="s">
        <v>1571</v>
      </c>
      <c r="D1787" s="10">
        <v>-6.0777315999999998E-2</v>
      </c>
      <c r="E1787" s="10">
        <v>0.37244372399999998</v>
      </c>
      <c r="F1787" s="10">
        <v>-1.290528353</v>
      </c>
      <c r="G1787" s="10">
        <v>6.1027053999999997E-2</v>
      </c>
      <c r="H1787" s="9">
        <v>-0.22945872275000001</v>
      </c>
      <c r="I1787" s="10">
        <v>0.730522808021697</v>
      </c>
      <c r="J1787" s="10">
        <v>0.53366357303990597</v>
      </c>
      <c r="K1787" s="10">
        <v>7.8104740000000004E-3</v>
      </c>
      <c r="L1787" s="10">
        <v>0.78477753699999997</v>
      </c>
      <c r="M1787" s="10">
        <v>-0.66621753699999997</v>
      </c>
      <c r="N1787" s="10">
        <v>-0.95461463199999996</v>
      </c>
      <c r="O1787" s="9">
        <v>-0.20706103949999999</v>
      </c>
      <c r="P1787" s="10">
        <v>0.77450513060565496</v>
      </c>
      <c r="Q1787" s="10">
        <v>0.59985819733448298</v>
      </c>
    </row>
    <row r="1788" spans="1:17" x14ac:dyDescent="0.2">
      <c r="A1788" s="10">
        <v>1801</v>
      </c>
      <c r="B1788" s="10" t="s">
        <v>74</v>
      </c>
      <c r="C1788" s="9" t="s">
        <v>1572</v>
      </c>
      <c r="D1788" s="10">
        <v>-0.21760961000000001</v>
      </c>
      <c r="E1788" s="10">
        <v>0.54795229700000003</v>
      </c>
      <c r="F1788" s="10">
        <v>-2.7466775999999998E-2</v>
      </c>
      <c r="G1788" s="10">
        <v>0.26628856099999998</v>
      </c>
      <c r="H1788" s="9">
        <v>0.14229111799999999</v>
      </c>
      <c r="I1788" s="10">
        <v>0.33579886569614498</v>
      </c>
      <c r="J1788" s="10">
        <v>0.11276087820281699</v>
      </c>
      <c r="K1788" s="10">
        <v>0.42595760199999999</v>
      </c>
      <c r="L1788" s="10">
        <v>0.401051987</v>
      </c>
      <c r="M1788" s="10">
        <v>0.27621637300000002</v>
      </c>
      <c r="N1788" s="10">
        <v>-0.51729663199999998</v>
      </c>
      <c r="O1788" s="9">
        <v>0.14648233275</v>
      </c>
      <c r="P1788" s="10">
        <v>0.44734236338308597</v>
      </c>
      <c r="Q1788" s="10">
        <v>0.200115190077164</v>
      </c>
    </row>
    <row r="1789" spans="1:17" x14ac:dyDescent="0.2">
      <c r="A1789" s="10">
        <v>1801</v>
      </c>
      <c r="B1789" s="10" t="s">
        <v>2835</v>
      </c>
      <c r="C1789" s="9" t="s">
        <v>1573</v>
      </c>
      <c r="D1789" s="10">
        <v>0.62757788699999995</v>
      </c>
      <c r="E1789" s="10">
        <v>3.2155848000000001E-2</v>
      </c>
      <c r="F1789" s="10">
        <v>-7.1173099000000004E-2</v>
      </c>
      <c r="G1789" s="10">
        <v>-1.0387302679999999</v>
      </c>
      <c r="H1789" s="9">
        <v>-0.112542408</v>
      </c>
      <c r="I1789" s="10">
        <v>0.68998816610597102</v>
      </c>
      <c r="J1789" s="10">
        <v>0.47608366936628099</v>
      </c>
      <c r="K1789" s="10">
        <v>-1.1011828100000001</v>
      </c>
      <c r="L1789" s="10">
        <v>-0.79848063199999997</v>
      </c>
      <c r="M1789" s="10">
        <v>-0.67510524299999997</v>
      </c>
      <c r="N1789" s="10">
        <v>0.108772364</v>
      </c>
      <c r="O1789" s="9">
        <v>-0.61649908025</v>
      </c>
      <c r="P1789" s="10">
        <v>0.51558670567890197</v>
      </c>
      <c r="Q1789" s="10">
        <v>0.26582965107282303</v>
      </c>
    </row>
    <row r="1790" spans="1:17" x14ac:dyDescent="0.2">
      <c r="A1790" s="10">
        <v>1802</v>
      </c>
      <c r="B1790" s="10" t="s">
        <v>2831</v>
      </c>
      <c r="C1790" s="9" t="s">
        <v>1574</v>
      </c>
      <c r="D1790" s="10">
        <v>-1.4854453940000001</v>
      </c>
      <c r="E1790" s="10">
        <v>-4.9799312770000004</v>
      </c>
      <c r="F1790" s="10">
        <v>-1.9098861009999999</v>
      </c>
      <c r="G1790" s="10">
        <v>-0.200763042</v>
      </c>
      <c r="H1790" s="9">
        <v>-2.1440064532499998</v>
      </c>
      <c r="I1790" s="10">
        <v>2.0254365430219501</v>
      </c>
      <c r="J1790" s="10">
        <v>4.1023931898087103</v>
      </c>
      <c r="K1790" s="10">
        <v>-0.39813727199999999</v>
      </c>
      <c r="L1790" s="10">
        <v>-1.0802417150000001</v>
      </c>
      <c r="M1790" s="10">
        <v>-0.48453565599999998</v>
      </c>
      <c r="N1790" s="10">
        <v>-1.3547738499999999</v>
      </c>
      <c r="O1790" s="9">
        <v>-0.82942212324999998</v>
      </c>
      <c r="P1790" s="10">
        <v>0.46327033238875498</v>
      </c>
      <c r="Q1790" s="10">
        <v>0.21461940087158701</v>
      </c>
    </row>
    <row r="1791" spans="1:17" x14ac:dyDescent="0.2">
      <c r="A1791" s="10">
        <v>1802</v>
      </c>
      <c r="B1791" s="10" t="s">
        <v>2822</v>
      </c>
      <c r="C1791" s="9" t="s">
        <v>1575</v>
      </c>
      <c r="D1791" s="10">
        <v>1.0619840410000001</v>
      </c>
      <c r="E1791" s="10">
        <v>0.60136899300000002</v>
      </c>
      <c r="F1791" s="10">
        <v>1.41058186</v>
      </c>
      <c r="G1791" s="10">
        <v>0.12018176899999999</v>
      </c>
      <c r="H1791" s="9">
        <v>0.79852916574999999</v>
      </c>
      <c r="I1791" s="10">
        <v>0.56066754743132996</v>
      </c>
      <c r="J1791" s="10">
        <v>0.31434809874266201</v>
      </c>
      <c r="K1791" s="10">
        <v>-0.87857676200000001</v>
      </c>
      <c r="L1791" s="10">
        <v>-0.16249513700000001</v>
      </c>
      <c r="M1791" s="10">
        <v>0.467624237</v>
      </c>
      <c r="N1791" s="10">
        <v>1.0946248679999999</v>
      </c>
      <c r="O1791" s="9">
        <v>0.13029430124999999</v>
      </c>
      <c r="P1791" s="10">
        <v>0.84602431110368803</v>
      </c>
      <c r="Q1791" s="10">
        <v>0.71575713497847004</v>
      </c>
    </row>
    <row r="1792" spans="1:17" x14ac:dyDescent="0.2">
      <c r="A1792" s="10">
        <v>1802</v>
      </c>
      <c r="B1792" s="10" t="s">
        <v>2821</v>
      </c>
      <c r="C1792" s="9" t="s">
        <v>1576</v>
      </c>
      <c r="D1792" s="10">
        <v>-0.31895979600000002</v>
      </c>
      <c r="E1792" s="10">
        <v>0.44991381699999999</v>
      </c>
      <c r="F1792" s="10">
        <v>0.21053617999999999</v>
      </c>
      <c r="G1792" s="10">
        <v>-0.86943224299999999</v>
      </c>
      <c r="H1792" s="9">
        <v>-0.13198551049999999</v>
      </c>
      <c r="I1792" s="10">
        <v>0.587286132000717</v>
      </c>
      <c r="J1792" s="10">
        <v>0.34490500084036402</v>
      </c>
      <c r="K1792" s="10">
        <v>0.133255342</v>
      </c>
      <c r="L1792" s="10">
        <v>0.36307775799999997</v>
      </c>
      <c r="M1792" s="10">
        <v>-0.58733914700000001</v>
      </c>
      <c r="N1792" s="10">
        <v>2.4082330999999998E-2</v>
      </c>
      <c r="O1792" s="9">
        <v>-1.6730929249999998E-2</v>
      </c>
      <c r="P1792" s="10">
        <v>0.40579550714208701</v>
      </c>
      <c r="Q1792" s="10">
        <v>0.16466999361670401</v>
      </c>
    </row>
    <row r="1793" spans="1:17" x14ac:dyDescent="0.2">
      <c r="A1793" s="10">
        <v>1802</v>
      </c>
      <c r="B1793" s="10" t="s">
        <v>2820</v>
      </c>
      <c r="C1793" s="9" t="s">
        <v>1577</v>
      </c>
      <c r="D1793" s="10">
        <v>4.9266092999999997E-2</v>
      </c>
      <c r="E1793" s="10">
        <v>0.38875743299999999</v>
      </c>
      <c r="F1793" s="10">
        <v>-0.37183081600000001</v>
      </c>
      <c r="G1793" s="10">
        <v>-0.80045582599999998</v>
      </c>
      <c r="H1793" s="9">
        <v>-0.18356577900000001</v>
      </c>
      <c r="I1793" s="10">
        <v>0.515674830960136</v>
      </c>
      <c r="J1793" s="10">
        <v>0.26592053128576498</v>
      </c>
      <c r="K1793" s="10">
        <v>0.91087804900000002</v>
      </c>
      <c r="L1793" s="10">
        <v>-0.50368436400000005</v>
      </c>
      <c r="M1793" s="10">
        <v>-0.33627443099999998</v>
      </c>
      <c r="N1793" s="10">
        <v>-0.105614955</v>
      </c>
      <c r="O1793" s="9">
        <v>-8.6739250000000007E-3</v>
      </c>
      <c r="P1793" s="10">
        <v>0.634384431932558</v>
      </c>
      <c r="Q1793" s="10">
        <v>0.40244360747839503</v>
      </c>
    </row>
    <row r="1794" spans="1:17" x14ac:dyDescent="0.2">
      <c r="A1794" s="10">
        <v>1802</v>
      </c>
      <c r="B1794" s="10" t="s">
        <v>2824</v>
      </c>
      <c r="C1794" s="9" t="s">
        <v>1578</v>
      </c>
      <c r="D1794" s="10">
        <v>-0.20594619</v>
      </c>
      <c r="E1794" s="10">
        <v>0.19706591400000001</v>
      </c>
      <c r="F1794" s="10">
        <v>-0.143049337</v>
      </c>
      <c r="G1794" s="10">
        <v>-0.21936488800000001</v>
      </c>
      <c r="H1794" s="9">
        <v>-9.2823625500000007E-2</v>
      </c>
      <c r="I1794" s="10">
        <v>0.19610199125400099</v>
      </c>
      <c r="J1794" s="10">
        <v>3.8455990973784597E-2</v>
      </c>
      <c r="K1794" s="10">
        <v>-0.37280434099999998</v>
      </c>
      <c r="L1794" s="10">
        <v>0.50091339499999998</v>
      </c>
      <c r="M1794" s="10">
        <v>-0.54298830799999998</v>
      </c>
      <c r="N1794" s="10">
        <v>-0.55584346399999995</v>
      </c>
      <c r="O1794" s="9">
        <v>-0.24268067925</v>
      </c>
      <c r="P1794" s="10">
        <v>0.50269935224570805</v>
      </c>
      <c r="Q1794" s="10">
        <v>0.252706638748255</v>
      </c>
    </row>
    <row r="1795" spans="1:17" x14ac:dyDescent="0.2">
      <c r="A1795" s="10">
        <v>1802</v>
      </c>
      <c r="B1795" s="10" t="s">
        <v>2817</v>
      </c>
      <c r="C1795" s="9" t="s">
        <v>1579</v>
      </c>
      <c r="D1795" s="10">
        <v>0.41828295100000001</v>
      </c>
      <c r="E1795" s="10">
        <v>-0.94805874199999995</v>
      </c>
      <c r="F1795" s="10">
        <v>0.84496839999999995</v>
      </c>
      <c r="G1795" s="10">
        <v>0.36284989200000001</v>
      </c>
      <c r="H1795" s="9">
        <v>0.16951062524999999</v>
      </c>
      <c r="I1795" s="10">
        <v>0.77555834472382501</v>
      </c>
      <c r="J1795" s="10">
        <v>0.60149074607075903</v>
      </c>
      <c r="K1795" s="10">
        <v>-0.20519295500000001</v>
      </c>
      <c r="L1795" s="10">
        <v>0.18964605600000001</v>
      </c>
      <c r="M1795" s="10">
        <v>-0.38422896299999998</v>
      </c>
      <c r="N1795" s="10">
        <v>0.323928139</v>
      </c>
      <c r="O1795" s="9">
        <v>-1.8961930750000001E-2</v>
      </c>
      <c r="P1795" s="10">
        <v>0.33125664336028698</v>
      </c>
      <c r="Q1795" s="10">
        <v>0.109730963770324</v>
      </c>
    </row>
    <row r="1796" spans="1:17" x14ac:dyDescent="0.2">
      <c r="A1796" s="10">
        <v>1802</v>
      </c>
      <c r="B1796" s="10" t="s">
        <v>2814</v>
      </c>
      <c r="C1796" s="9" t="s">
        <v>1581</v>
      </c>
      <c r="D1796" s="10">
        <v>0.28599122700000001</v>
      </c>
      <c r="E1796" s="10">
        <v>0.767573587</v>
      </c>
      <c r="F1796" s="10">
        <v>-8.4087642000000004E-2</v>
      </c>
      <c r="G1796" s="10">
        <v>-0.32276752199999997</v>
      </c>
      <c r="H1796" s="9">
        <v>0.16167741275</v>
      </c>
      <c r="I1796" s="10">
        <v>0.47527236237949899</v>
      </c>
      <c r="J1796" s="10">
        <v>0.22588381844179001</v>
      </c>
      <c r="K1796" s="10">
        <v>-0.40370222099999997</v>
      </c>
      <c r="L1796" s="10">
        <v>9.4650006999999994E-2</v>
      </c>
      <c r="M1796" s="10">
        <v>-0.34090256899999999</v>
      </c>
      <c r="N1796" s="10">
        <v>-4.2582569999999997E-3</v>
      </c>
      <c r="O1796" s="9">
        <v>-0.16355326000000001</v>
      </c>
      <c r="P1796" s="10">
        <v>0.245742497981389</v>
      </c>
      <c r="Q1796" s="10">
        <v>6.0389375314133402E-2</v>
      </c>
    </row>
    <row r="1797" spans="1:17" x14ac:dyDescent="0.2">
      <c r="A1797" s="10">
        <v>1802</v>
      </c>
      <c r="B1797" s="10" t="s">
        <v>2833</v>
      </c>
      <c r="C1797" s="9" t="s">
        <v>1582</v>
      </c>
      <c r="D1797" s="10">
        <v>3.9694456000000003E-2</v>
      </c>
      <c r="E1797" s="10">
        <v>0.75331594800000001</v>
      </c>
      <c r="F1797" s="10">
        <v>0.14998130600000001</v>
      </c>
      <c r="G1797" s="10">
        <v>0.93027856799999997</v>
      </c>
      <c r="H1797" s="9">
        <v>0.46831756949999997</v>
      </c>
      <c r="I1797" s="10">
        <v>0.43957850643858098</v>
      </c>
      <c r="J1797" s="10">
        <v>0.19322926332277299</v>
      </c>
      <c r="K1797" s="10">
        <v>-0.54441388599999996</v>
      </c>
      <c r="L1797" s="10">
        <v>0.19898265700000001</v>
      </c>
      <c r="M1797" s="10">
        <v>0.49146553599999998</v>
      </c>
      <c r="N1797" s="10">
        <v>0.51655958000000002</v>
      </c>
      <c r="O1797" s="9">
        <v>0.16564847175</v>
      </c>
      <c r="P1797" s="10">
        <v>0.494838386091695</v>
      </c>
      <c r="Q1797" s="10">
        <v>0.24486502834983401</v>
      </c>
    </row>
    <row r="1798" spans="1:17" x14ac:dyDescent="0.2">
      <c r="A1798" s="10">
        <v>1802</v>
      </c>
      <c r="B1798" s="10" t="s">
        <v>2825</v>
      </c>
      <c r="C1798" s="9" t="s">
        <v>1583</v>
      </c>
      <c r="D1798" s="10">
        <v>5.6352290000000003E-3</v>
      </c>
      <c r="E1798" s="10">
        <v>0.29101111699999999</v>
      </c>
      <c r="F1798" s="10">
        <v>0.46477876200000001</v>
      </c>
      <c r="G1798" s="10">
        <v>-0.18011374599999999</v>
      </c>
      <c r="H1798" s="9">
        <v>0.1453278405</v>
      </c>
      <c r="I1798" s="10">
        <v>0.28792288332717397</v>
      </c>
      <c r="J1798" s="10">
        <v>8.2899586743433798E-2</v>
      </c>
      <c r="K1798" s="10">
        <v>-0.671819999</v>
      </c>
      <c r="L1798" s="10">
        <v>7.4644739000000002E-2</v>
      </c>
      <c r="M1798" s="10">
        <v>-0.10146480300000001</v>
      </c>
      <c r="N1798" s="10">
        <v>-0.10267150899999999</v>
      </c>
      <c r="O1798" s="9">
        <v>-0.20032789300000001</v>
      </c>
      <c r="P1798" s="10">
        <v>0.32517966022371197</v>
      </c>
      <c r="Q1798" s="10">
        <v>0.105741811423208</v>
      </c>
    </row>
    <row r="1799" spans="1:17" x14ac:dyDescent="0.2">
      <c r="A1799" s="10">
        <v>1802</v>
      </c>
      <c r="B1799" s="10" t="s">
        <v>2830</v>
      </c>
      <c r="C1799" s="9" t="s">
        <v>1585</v>
      </c>
      <c r="D1799" s="10">
        <v>-0.199894865</v>
      </c>
      <c r="E1799" s="10">
        <v>-8.9267281000000004E-2</v>
      </c>
      <c r="F1799" s="10">
        <v>-0.29182124500000001</v>
      </c>
      <c r="G1799" s="10">
        <v>-0.230029596</v>
      </c>
      <c r="H1799" s="9">
        <v>-0.20275324650000001</v>
      </c>
      <c r="I1799" s="10">
        <v>8.47827464938255E-2</v>
      </c>
      <c r="J1799" s="10">
        <v>7.1881141030362E-3</v>
      </c>
      <c r="K1799" s="10">
        <v>-0.29093585399999999</v>
      </c>
      <c r="L1799" s="10">
        <v>3.0179897000000001E-2</v>
      </c>
      <c r="M1799" s="10">
        <v>-0.110218365</v>
      </c>
      <c r="N1799" s="10">
        <v>-0.168894607</v>
      </c>
      <c r="O1799" s="9">
        <v>-0.13496723225000001</v>
      </c>
      <c r="P1799" s="10">
        <v>0.13337085945799801</v>
      </c>
      <c r="Q1799" s="10">
        <v>1.77877861525652E-2</v>
      </c>
    </row>
    <row r="1800" spans="1:17" x14ac:dyDescent="0.2">
      <c r="A1800" s="10">
        <v>1803</v>
      </c>
      <c r="B1800" s="10" t="s">
        <v>2831</v>
      </c>
      <c r="C1800" s="9" t="s">
        <v>1586</v>
      </c>
      <c r="D1800" s="10">
        <v>-1.651991317</v>
      </c>
      <c r="E1800" s="10">
        <v>-1.7527271310000001</v>
      </c>
      <c r="F1800" s="10">
        <v>-1.158361872</v>
      </c>
      <c r="G1800" s="10">
        <v>-0.23194098799999999</v>
      </c>
      <c r="H1800" s="9">
        <v>-1.19875532725</v>
      </c>
      <c r="I1800" s="10">
        <v>0.69490268372896102</v>
      </c>
      <c r="J1800" s="10">
        <v>0.48288973985371197</v>
      </c>
      <c r="K1800" s="10">
        <v>-0.81106444</v>
      </c>
      <c r="L1800" s="10">
        <v>4.8520288000000002E-2</v>
      </c>
      <c r="M1800" s="10">
        <v>-0.218678971</v>
      </c>
      <c r="N1800" s="10">
        <v>0.87740756099999995</v>
      </c>
      <c r="O1800" s="9">
        <v>-2.595389025E-2</v>
      </c>
      <c r="P1800" s="10">
        <v>0.70122508200751998</v>
      </c>
      <c r="Q1800" s="10">
        <v>0.49171661563645302</v>
      </c>
    </row>
    <row r="1801" spans="1:17" x14ac:dyDescent="0.2">
      <c r="A1801" s="10">
        <v>1803</v>
      </c>
      <c r="B1801" s="10" t="s">
        <v>2817</v>
      </c>
      <c r="C1801" s="9" t="s">
        <v>1587</v>
      </c>
      <c r="D1801" s="10">
        <v>-0.424722504</v>
      </c>
      <c r="E1801" s="10">
        <v>3.0895321E-2</v>
      </c>
      <c r="F1801" s="10">
        <v>-0.13630374000000001</v>
      </c>
      <c r="G1801" s="10">
        <v>-0.33975560199999999</v>
      </c>
      <c r="H1801" s="9">
        <v>-0.21747163124999999</v>
      </c>
      <c r="I1801" s="10">
        <v>0.205085887128579</v>
      </c>
      <c r="J1801" s="10">
        <v>4.20602210993163E-2</v>
      </c>
      <c r="K1801" s="10">
        <v>-0.91267134900000002</v>
      </c>
      <c r="L1801" s="10">
        <v>-6.5316787000000001E-2</v>
      </c>
      <c r="M1801" s="10">
        <v>-0.306855041</v>
      </c>
      <c r="N1801" s="10">
        <v>-6.7435574999999998E-2</v>
      </c>
      <c r="O1801" s="9">
        <v>-0.33806968799999998</v>
      </c>
      <c r="P1801" s="10">
        <v>0.39949067203732702</v>
      </c>
      <c r="Q1801" s="10">
        <v>0.15959279704483501</v>
      </c>
    </row>
    <row r="1802" spans="1:17" x14ac:dyDescent="0.2">
      <c r="A1802" s="10">
        <v>1803</v>
      </c>
      <c r="B1802" s="10" t="s">
        <v>82</v>
      </c>
      <c r="C1802" s="9" t="s">
        <v>1588</v>
      </c>
      <c r="D1802" s="10">
        <v>0.32134215599999999</v>
      </c>
      <c r="E1802" s="10">
        <v>0.75508909499999999</v>
      </c>
      <c r="F1802" s="10">
        <v>-0.27481915699999998</v>
      </c>
      <c r="G1802" s="10">
        <v>-0.847356412</v>
      </c>
      <c r="H1802" s="9">
        <v>-1.143607975E-2</v>
      </c>
      <c r="I1802" s="10">
        <v>0.69915082897398395</v>
      </c>
      <c r="J1802" s="10">
        <v>0.48881188165500999</v>
      </c>
      <c r="K1802" s="10">
        <v>-0.916199298</v>
      </c>
      <c r="L1802" s="10">
        <v>-0.52831350600000004</v>
      </c>
      <c r="M1802" s="10">
        <v>-0.96812964899999998</v>
      </c>
      <c r="N1802" s="10">
        <v>-0.240330233</v>
      </c>
      <c r="O1802" s="9">
        <v>-0.66324317150000001</v>
      </c>
      <c r="P1802" s="10">
        <v>0.343513189595823</v>
      </c>
      <c r="Q1802" s="10">
        <v>0.118001311426296</v>
      </c>
    </row>
    <row r="1803" spans="1:17" x14ac:dyDescent="0.2">
      <c r="A1803" s="10">
        <v>1803</v>
      </c>
      <c r="B1803" s="10" t="s">
        <v>2818</v>
      </c>
      <c r="C1803" s="9" t="s">
        <v>1589</v>
      </c>
      <c r="D1803" s="10">
        <v>0.38733636999999999</v>
      </c>
      <c r="E1803" s="10">
        <v>-0.16394044999999999</v>
      </c>
      <c r="F1803" s="10">
        <v>5.7225061000000001E-2</v>
      </c>
      <c r="G1803" s="10">
        <v>-0.29167144</v>
      </c>
      <c r="H1803" s="9">
        <v>-2.7626149999999999E-3</v>
      </c>
      <c r="I1803" s="10">
        <v>0.297333899305185</v>
      </c>
      <c r="J1803" s="10">
        <v>8.8407447676026304E-2</v>
      </c>
      <c r="K1803" s="10">
        <v>-0.84501588299999997</v>
      </c>
      <c r="L1803" s="10">
        <v>-0.92796204900000001</v>
      </c>
      <c r="M1803" s="10">
        <v>-7.4692171000000002E-2</v>
      </c>
      <c r="N1803" s="10">
        <v>-0.43957959400000002</v>
      </c>
      <c r="O1803" s="9">
        <v>-0.57181242399999999</v>
      </c>
      <c r="P1803" s="10">
        <v>0.39416441267986801</v>
      </c>
      <c r="Q1803" s="10">
        <v>0.15536558422326599</v>
      </c>
    </row>
    <row r="1804" spans="1:17" x14ac:dyDescent="0.2">
      <c r="A1804" s="10">
        <v>1803</v>
      </c>
      <c r="B1804" s="10" t="s">
        <v>2830</v>
      </c>
      <c r="C1804" s="9" t="s">
        <v>1590</v>
      </c>
      <c r="D1804" s="10">
        <v>-0.64711464399999996</v>
      </c>
      <c r="E1804" s="10">
        <v>0.47673935299999998</v>
      </c>
      <c r="F1804" s="10">
        <v>0.37663524399999998</v>
      </c>
      <c r="G1804" s="10">
        <v>-1.277427071</v>
      </c>
      <c r="H1804" s="9">
        <v>-0.26779177975000001</v>
      </c>
      <c r="I1804" s="10">
        <v>0.84318089266253604</v>
      </c>
      <c r="J1804" s="10">
        <v>0.71095401775119205</v>
      </c>
      <c r="K1804" s="10">
        <v>0.48726878400000001</v>
      </c>
      <c r="L1804" s="10">
        <v>0.88881761599999998</v>
      </c>
      <c r="M1804" s="10">
        <v>-0.870104133</v>
      </c>
      <c r="N1804" s="10">
        <v>0.55088305100000001</v>
      </c>
      <c r="O1804" s="9">
        <v>0.26421632974999998</v>
      </c>
      <c r="P1804" s="10">
        <v>0.77647491597554696</v>
      </c>
      <c r="Q1804" s="10">
        <v>0.60291329513923297</v>
      </c>
    </row>
    <row r="1805" spans="1:17" x14ac:dyDescent="0.2">
      <c r="A1805" s="10">
        <v>1804</v>
      </c>
      <c r="B1805" s="10" t="s">
        <v>2822</v>
      </c>
      <c r="C1805" s="9" t="s">
        <v>1592</v>
      </c>
      <c r="D1805" s="10">
        <v>-5.3724079000000001E-2</v>
      </c>
      <c r="E1805" s="10">
        <v>-5.0909070000000004E-3</v>
      </c>
      <c r="F1805" s="10">
        <v>0.228514047</v>
      </c>
      <c r="G1805" s="10">
        <v>-0.73050558600000004</v>
      </c>
      <c r="H1805" s="9">
        <v>-0.14020163124999999</v>
      </c>
      <c r="I1805" s="10">
        <v>0.412368478116097</v>
      </c>
      <c r="J1805" s="10">
        <v>0.170047761743786</v>
      </c>
      <c r="K1805" s="10">
        <v>0.109412121</v>
      </c>
      <c r="L1805" s="10">
        <v>0.34405793699999998</v>
      </c>
      <c r="M1805" s="10">
        <v>-1.2133886229999999</v>
      </c>
      <c r="N1805" s="10">
        <v>6.4558426000000002E-2</v>
      </c>
      <c r="O1805" s="9">
        <v>-0.173840035</v>
      </c>
      <c r="P1805" s="10">
        <v>0.703786233241392</v>
      </c>
      <c r="Q1805" s="10">
        <v>0.49531506210010701</v>
      </c>
    </row>
    <row r="1806" spans="1:17" x14ac:dyDescent="0.2">
      <c r="A1806" s="10">
        <v>1804</v>
      </c>
      <c r="B1806" s="10" t="s">
        <v>2834</v>
      </c>
      <c r="C1806" s="9" t="s">
        <v>1594</v>
      </c>
      <c r="D1806" s="10">
        <v>0.10350659500000001</v>
      </c>
      <c r="E1806" s="10">
        <v>0.71813733899999999</v>
      </c>
      <c r="F1806" s="10">
        <v>1.148121E-2</v>
      </c>
      <c r="G1806" s="10">
        <v>-0.49499949399999998</v>
      </c>
      <c r="H1806" s="9">
        <v>8.4531412750000007E-2</v>
      </c>
      <c r="I1806" s="10">
        <v>0.49766418775476601</v>
      </c>
      <c r="J1806" s="10">
        <v>0.247669643773611</v>
      </c>
      <c r="K1806" s="10">
        <v>-0.31428747099999998</v>
      </c>
      <c r="L1806" s="10">
        <v>-0.25847344900000002</v>
      </c>
      <c r="M1806" s="10">
        <v>0.35092517600000001</v>
      </c>
      <c r="N1806" s="10">
        <v>-0.91012692799999995</v>
      </c>
      <c r="O1806" s="9">
        <v>-0.282990668</v>
      </c>
      <c r="P1806" s="10">
        <v>0.51534123639472595</v>
      </c>
      <c r="Q1806" s="10">
        <v>0.26557658992884398</v>
      </c>
    </row>
    <row r="1807" spans="1:17" x14ac:dyDescent="0.2">
      <c r="A1807" s="10">
        <v>1804</v>
      </c>
      <c r="B1807" s="10" t="s">
        <v>2824</v>
      </c>
      <c r="C1807" s="9" t="s">
        <v>1596</v>
      </c>
      <c r="D1807" s="10">
        <v>0.57183856</v>
      </c>
      <c r="E1807" s="10">
        <v>0.42237070199999999</v>
      </c>
      <c r="F1807" s="10">
        <v>-0.115187547</v>
      </c>
      <c r="G1807" s="10">
        <v>-8.2599240000000001E-3</v>
      </c>
      <c r="H1807" s="9">
        <v>0.21769044774999999</v>
      </c>
      <c r="I1807" s="10">
        <v>0.33124825623331</v>
      </c>
      <c r="J1807" s="10">
        <v>0.109725407257609</v>
      </c>
      <c r="K1807" s="10">
        <v>-8.9136070999999997E-2</v>
      </c>
      <c r="L1807" s="10">
        <v>0.92091334199999997</v>
      </c>
      <c r="M1807" s="10">
        <v>-3.1786459000000003E-2</v>
      </c>
      <c r="N1807" s="10">
        <v>-4.0266077999999997E-2</v>
      </c>
      <c r="O1807" s="9">
        <v>0.18993118349999999</v>
      </c>
      <c r="P1807" s="10">
        <v>0.48797641362991501</v>
      </c>
      <c r="Q1807" s="10">
        <v>0.23812098025911399</v>
      </c>
    </row>
    <row r="1808" spans="1:17" x14ac:dyDescent="0.2">
      <c r="A1808" s="10">
        <v>1804</v>
      </c>
      <c r="B1808" s="10" t="s">
        <v>2817</v>
      </c>
      <c r="C1808" s="9" t="s">
        <v>1597</v>
      </c>
      <c r="D1808" s="10">
        <v>-1.3150286000000001E-2</v>
      </c>
      <c r="E1808" s="10">
        <v>3.3760277999999998E-2</v>
      </c>
      <c r="F1808" s="10">
        <v>-0.15298645399999999</v>
      </c>
      <c r="G1808" s="10">
        <v>-0.93256600999999995</v>
      </c>
      <c r="H1808" s="9">
        <v>-0.26623561774999999</v>
      </c>
      <c r="I1808" s="10">
        <v>0.45124689743715102</v>
      </c>
      <c r="J1808" s="10">
        <v>0.203623762446655</v>
      </c>
      <c r="K1808" s="10">
        <v>-1.0309184929999999</v>
      </c>
      <c r="L1808" s="10">
        <v>0.78746557500000003</v>
      </c>
      <c r="M1808" s="10">
        <v>-0.36789432</v>
      </c>
      <c r="N1808" s="10">
        <v>-0.17686199</v>
      </c>
      <c r="O1808" s="9">
        <v>-0.19705230700000001</v>
      </c>
      <c r="P1808" s="10">
        <v>0.75148806121330702</v>
      </c>
      <c r="Q1808" s="10">
        <v>0.56473430614613496</v>
      </c>
    </row>
    <row r="1809" spans="1:17" x14ac:dyDescent="0.2">
      <c r="A1809" s="10">
        <v>1804</v>
      </c>
      <c r="B1809" s="10" t="s">
        <v>2818</v>
      </c>
      <c r="C1809" s="9" t="s">
        <v>1598</v>
      </c>
      <c r="D1809" s="10">
        <v>0.28740633500000001</v>
      </c>
      <c r="E1809" s="10">
        <v>-0.71391547899999996</v>
      </c>
      <c r="F1809" s="10">
        <v>0.66073107099999995</v>
      </c>
      <c r="G1809" s="10">
        <v>-0.67448213099999998</v>
      </c>
      <c r="H1809" s="9">
        <v>-0.11006505075</v>
      </c>
      <c r="I1809" s="10">
        <v>0.69169168082571497</v>
      </c>
      <c r="J1809" s="10">
        <v>0.478437381323503</v>
      </c>
      <c r="K1809" s="10">
        <v>-0.462162721</v>
      </c>
      <c r="L1809" s="10">
        <v>-8.6287857999999995E-2</v>
      </c>
      <c r="M1809" s="10">
        <v>-9.3299037000000001E-2</v>
      </c>
      <c r="N1809" s="10">
        <v>3.9263026999999999E-2</v>
      </c>
      <c r="O1809" s="9">
        <v>-0.15062164724999999</v>
      </c>
      <c r="P1809" s="10">
        <v>0.21643994412112499</v>
      </c>
      <c r="Q1809" s="10">
        <v>4.6846249411156102E-2</v>
      </c>
    </row>
    <row r="1810" spans="1:17" x14ac:dyDescent="0.2">
      <c r="A1810" s="10">
        <v>1805</v>
      </c>
      <c r="B1810" s="10" t="s">
        <v>2831</v>
      </c>
      <c r="C1810" s="9" t="s">
        <v>1599</v>
      </c>
      <c r="D1810" s="10">
        <v>-1.714145356</v>
      </c>
      <c r="E1810" s="10">
        <v>0.14731197300000001</v>
      </c>
      <c r="F1810" s="10">
        <v>-1.7853182409999999</v>
      </c>
      <c r="G1810" s="10">
        <v>-0.44019815000000001</v>
      </c>
      <c r="H1810" s="9">
        <v>-0.94808744374999998</v>
      </c>
      <c r="I1810" s="10">
        <v>0.95666984024563195</v>
      </c>
      <c r="J1810" s="10">
        <v>0.91521718323560397</v>
      </c>
      <c r="K1810" s="10">
        <v>-0.444485517</v>
      </c>
      <c r="L1810" s="10">
        <v>-1.3552814129999999</v>
      </c>
      <c r="M1810" s="10">
        <v>-0.214083046</v>
      </c>
      <c r="N1810" s="10">
        <v>0.155392847</v>
      </c>
      <c r="O1810" s="9">
        <v>-0.46461428225000001</v>
      </c>
      <c r="P1810" s="10">
        <v>0.64313498988592499</v>
      </c>
      <c r="Q1810" s="10">
        <v>0.41362261521556798</v>
      </c>
    </row>
    <row r="1811" spans="1:17" x14ac:dyDescent="0.2">
      <c r="A1811" s="10">
        <v>1805</v>
      </c>
      <c r="B1811" s="10" t="s">
        <v>2822</v>
      </c>
      <c r="C1811" s="9" t="s">
        <v>1600</v>
      </c>
      <c r="D1811" s="10">
        <v>4.3020734999999997E-2</v>
      </c>
      <c r="E1811" s="10">
        <v>0.46804433400000001</v>
      </c>
      <c r="F1811" s="10">
        <v>0.61941120299999997</v>
      </c>
      <c r="G1811" s="10">
        <v>7.6108034000000005E-2</v>
      </c>
      <c r="H1811" s="9">
        <v>0.30164607650000003</v>
      </c>
      <c r="I1811" s="10">
        <v>0.286599332169099</v>
      </c>
      <c r="J1811" s="10">
        <v>8.2139177199773497E-2</v>
      </c>
      <c r="K1811" s="10">
        <v>-0.64936142200000002</v>
      </c>
      <c r="L1811" s="10">
        <v>0.17666837199999999</v>
      </c>
      <c r="M1811" s="10">
        <v>-8.4212426000000007E-2</v>
      </c>
      <c r="N1811" s="10">
        <v>0.34648861399999997</v>
      </c>
      <c r="O1811" s="9">
        <v>-5.2604215500000003E-2</v>
      </c>
      <c r="P1811" s="10">
        <v>0.43549177122649002</v>
      </c>
      <c r="Q1811" s="10">
        <v>0.189653082805985</v>
      </c>
    </row>
    <row r="1812" spans="1:17" x14ac:dyDescent="0.2">
      <c r="A1812" s="10">
        <v>1805</v>
      </c>
      <c r="B1812" s="10" t="s">
        <v>2821</v>
      </c>
      <c r="C1812" s="9" t="s">
        <v>1601</v>
      </c>
      <c r="D1812" s="10">
        <v>0.13240271000000001</v>
      </c>
      <c r="E1812" s="10">
        <v>0.56497008299999996</v>
      </c>
      <c r="F1812" s="10">
        <v>-0.101047758</v>
      </c>
      <c r="G1812" s="10">
        <v>-0.273748771</v>
      </c>
      <c r="H1812" s="9">
        <v>8.0644066E-2</v>
      </c>
      <c r="I1812" s="10">
        <v>0.36325236856174697</v>
      </c>
      <c r="J1812" s="10">
        <v>0.13195228326571901</v>
      </c>
      <c r="K1812" s="10">
        <v>0.48560416200000001</v>
      </c>
      <c r="L1812" s="10">
        <v>0.138912119</v>
      </c>
      <c r="M1812" s="10">
        <v>0.59942735999999996</v>
      </c>
      <c r="N1812" s="10">
        <v>0.32893271299999999</v>
      </c>
      <c r="O1812" s="9">
        <v>0.38821908849999998</v>
      </c>
      <c r="P1812" s="10">
        <v>0.19980125612869901</v>
      </c>
      <c r="Q1812" s="10">
        <v>3.9920541950606299E-2</v>
      </c>
    </row>
    <row r="1813" spans="1:17" x14ac:dyDescent="0.2">
      <c r="A1813" s="10">
        <v>1805</v>
      </c>
      <c r="B1813" s="10" t="s">
        <v>2820</v>
      </c>
      <c r="C1813" s="9" t="s">
        <v>1602</v>
      </c>
      <c r="D1813" s="10">
        <v>-7.4079908E-2</v>
      </c>
      <c r="E1813" s="10">
        <v>-0.21191776800000001</v>
      </c>
      <c r="F1813" s="10">
        <v>-2.1213293000000001E-2</v>
      </c>
      <c r="G1813" s="10">
        <v>7.1126517E-2</v>
      </c>
      <c r="H1813" s="9">
        <v>-5.9021113E-2</v>
      </c>
      <c r="I1813" s="10">
        <v>0.118282136246082</v>
      </c>
      <c r="J1813" s="10">
        <v>1.39906637549367E-2</v>
      </c>
      <c r="K1813" s="10">
        <v>-0.812158147</v>
      </c>
      <c r="L1813" s="10">
        <v>-1.131278791</v>
      </c>
      <c r="M1813" s="10">
        <v>-0.12731329499999999</v>
      </c>
      <c r="N1813" s="10">
        <v>-4.9914371999999999E-2</v>
      </c>
      <c r="O1813" s="9">
        <v>-0.53016615125</v>
      </c>
      <c r="P1813" s="10">
        <v>0.52719006268955604</v>
      </c>
      <c r="Q1813" s="10">
        <v>0.27792936219861802</v>
      </c>
    </row>
    <row r="1814" spans="1:17" x14ac:dyDescent="0.2">
      <c r="A1814" s="10">
        <v>1805</v>
      </c>
      <c r="B1814" s="10" t="s">
        <v>2824</v>
      </c>
      <c r="C1814" s="9" t="s">
        <v>1603</v>
      </c>
      <c r="D1814" s="10">
        <v>0.38637922600000002</v>
      </c>
      <c r="E1814" s="10">
        <v>0.49239354000000002</v>
      </c>
      <c r="F1814" s="10">
        <v>0.14159148899999999</v>
      </c>
      <c r="G1814" s="10">
        <v>-0.40836277799999998</v>
      </c>
      <c r="H1814" s="9">
        <v>0.153000369</v>
      </c>
      <c r="I1814" s="10">
        <v>0.402041523878922</v>
      </c>
      <c r="J1814" s="10">
        <v>0.16163738692288601</v>
      </c>
      <c r="K1814" s="10">
        <v>-1.9603519999999998E-3</v>
      </c>
      <c r="L1814" s="10">
        <v>0.855628956</v>
      </c>
      <c r="M1814" s="10">
        <v>-0.31943295900000002</v>
      </c>
      <c r="N1814" s="10">
        <v>9.6469649000000005E-2</v>
      </c>
      <c r="O1814" s="9">
        <v>0.15767632375000001</v>
      </c>
      <c r="P1814" s="10">
        <v>0.49799640889916202</v>
      </c>
      <c r="Q1814" s="10">
        <v>0.24800042327646199</v>
      </c>
    </row>
    <row r="1815" spans="1:17" x14ac:dyDescent="0.2">
      <c r="A1815" s="10">
        <v>1805</v>
      </c>
      <c r="B1815" s="10" t="s">
        <v>2817</v>
      </c>
      <c r="C1815" s="9" t="s">
        <v>1604</v>
      </c>
      <c r="D1815" s="10">
        <v>0.271084304</v>
      </c>
      <c r="E1815" s="10">
        <v>0.14690994600000001</v>
      </c>
      <c r="F1815" s="10">
        <v>-0.202416821</v>
      </c>
      <c r="G1815" s="10">
        <v>0.62227949100000002</v>
      </c>
      <c r="H1815" s="9">
        <v>0.20946423</v>
      </c>
      <c r="I1815" s="10">
        <v>0.34047638775392303</v>
      </c>
      <c r="J1815" s="10">
        <v>0.11592417061796</v>
      </c>
      <c r="K1815" s="10">
        <v>0.162111532</v>
      </c>
      <c r="L1815" s="10">
        <v>0.58091025900000004</v>
      </c>
      <c r="M1815" s="10">
        <v>0.27655078399999999</v>
      </c>
      <c r="N1815" s="10">
        <v>-2.6983640999999999E-2</v>
      </c>
      <c r="O1815" s="9">
        <v>0.24814723375</v>
      </c>
      <c r="P1815" s="10">
        <v>0.25471365154924502</v>
      </c>
      <c r="Q1815" s="10">
        <v>6.4879044285550497E-2</v>
      </c>
    </row>
    <row r="1816" spans="1:17" x14ac:dyDescent="0.2">
      <c r="A1816" s="10">
        <v>1805</v>
      </c>
      <c r="B1816" s="10" t="s">
        <v>2814</v>
      </c>
      <c r="C1816" s="9" t="s">
        <v>1605</v>
      </c>
      <c r="D1816" s="10">
        <v>-9.4477374000000003E-2</v>
      </c>
      <c r="E1816" s="10">
        <v>0.121721572</v>
      </c>
      <c r="F1816" s="10">
        <v>7.0859224999999998E-2</v>
      </c>
      <c r="G1816" s="10">
        <v>0.57003336199999999</v>
      </c>
      <c r="H1816" s="9">
        <v>0.16703419650000001</v>
      </c>
      <c r="I1816" s="10">
        <v>0.28407715382807303</v>
      </c>
      <c r="J1816" s="10">
        <v>8.0699829327058895E-2</v>
      </c>
      <c r="K1816" s="10">
        <v>0.144841837</v>
      </c>
      <c r="L1816" s="10">
        <v>-6.6873375999999998E-2</v>
      </c>
      <c r="M1816" s="10">
        <v>7.9554610000000005E-3</v>
      </c>
      <c r="N1816" s="10">
        <v>0.25944252800000001</v>
      </c>
      <c r="O1816" s="9">
        <v>8.6341612750000005E-2</v>
      </c>
      <c r="P1816" s="10">
        <v>0.14492000628107901</v>
      </c>
      <c r="Q1816" s="10">
        <v>2.1001808220508199E-2</v>
      </c>
    </row>
    <row r="1817" spans="1:17" x14ac:dyDescent="0.2">
      <c r="A1817" s="10">
        <v>1805</v>
      </c>
      <c r="B1817" s="10" t="s">
        <v>2825</v>
      </c>
      <c r="C1817" s="9" t="s">
        <v>1607</v>
      </c>
      <c r="D1817" s="10">
        <v>0.56848289600000002</v>
      </c>
      <c r="E1817" s="10">
        <v>4.7027079999999999E-2</v>
      </c>
      <c r="F1817" s="10">
        <v>-7.5329380000000003E-3</v>
      </c>
      <c r="G1817" s="10">
        <v>-8.3599791000000007E-2</v>
      </c>
      <c r="H1817" s="9">
        <v>0.1310943115</v>
      </c>
      <c r="I1817" s="10">
        <v>0.29647211516723498</v>
      </c>
      <c r="J1817" s="10">
        <v>8.7895715071734604E-2</v>
      </c>
      <c r="K1817" s="10">
        <v>0.35062437299999999</v>
      </c>
      <c r="L1817" s="10">
        <v>8.220479E-2</v>
      </c>
      <c r="M1817" s="10">
        <v>-0.144266599</v>
      </c>
      <c r="N1817" s="10">
        <v>0.29152667300000001</v>
      </c>
      <c r="O1817" s="9">
        <v>0.1450223095</v>
      </c>
      <c r="P1817" s="10">
        <v>0.22462550343275201</v>
      </c>
      <c r="Q1817" s="10">
        <v>5.0456616792417398E-2</v>
      </c>
    </row>
    <row r="1818" spans="1:17" x14ac:dyDescent="0.2">
      <c r="A1818" s="10">
        <v>1805</v>
      </c>
      <c r="B1818" s="10" t="s">
        <v>74</v>
      </c>
      <c r="C1818" s="9" t="s">
        <v>1608</v>
      </c>
      <c r="D1818" s="10">
        <v>0.34506503199999999</v>
      </c>
      <c r="E1818" s="10">
        <v>-0.113046379</v>
      </c>
      <c r="F1818" s="10">
        <v>0.40920809299999999</v>
      </c>
      <c r="G1818" s="10">
        <v>-0.39815291400000002</v>
      </c>
      <c r="H1818" s="9">
        <v>6.0768458249999997E-2</v>
      </c>
      <c r="I1818" s="10">
        <v>0.38429812405941999</v>
      </c>
      <c r="J1818" s="10">
        <v>0.147685048155589</v>
      </c>
      <c r="K1818" s="10">
        <v>-0.49272199100000003</v>
      </c>
      <c r="L1818" s="10">
        <v>-0.103981932</v>
      </c>
      <c r="M1818" s="10">
        <v>-0.64455415599999999</v>
      </c>
      <c r="N1818" s="10">
        <v>-0.167643083</v>
      </c>
      <c r="O1818" s="9">
        <v>-0.35222529050000001</v>
      </c>
      <c r="P1818" s="10">
        <v>0.25877328869162403</v>
      </c>
      <c r="Q1818" s="10">
        <v>6.6963614940278707E-2</v>
      </c>
    </row>
    <row r="1819" spans="1:17" x14ac:dyDescent="0.2">
      <c r="A1819" s="10">
        <v>1805</v>
      </c>
      <c r="B1819" s="10" t="s">
        <v>2830</v>
      </c>
      <c r="C1819" s="9" t="s">
        <v>1609</v>
      </c>
      <c r="D1819" s="10">
        <v>0.39499933999999998</v>
      </c>
      <c r="E1819" s="10">
        <v>0.16270475600000001</v>
      </c>
      <c r="F1819" s="10">
        <v>-0.149934293</v>
      </c>
      <c r="G1819" s="10">
        <v>-1.803994573</v>
      </c>
      <c r="H1819" s="9">
        <v>-0.34905619249999997</v>
      </c>
      <c r="I1819" s="10">
        <v>0.99532459123743899</v>
      </c>
      <c r="J1819" s="10">
        <v>0.99067104192197597</v>
      </c>
      <c r="K1819" s="10">
        <v>0.68934607599999997</v>
      </c>
      <c r="L1819" s="10">
        <v>-3.5164841720000002</v>
      </c>
      <c r="M1819" s="10">
        <v>-2.1047803119999999</v>
      </c>
      <c r="N1819" s="10">
        <v>0.53047127599999999</v>
      </c>
      <c r="O1819" s="9">
        <v>-1.1003617830000001</v>
      </c>
      <c r="P1819" s="10">
        <v>2.05824963394622</v>
      </c>
      <c r="Q1819" s="10">
        <v>4.2363915556397496</v>
      </c>
    </row>
    <row r="1820" spans="1:17" x14ac:dyDescent="0.2">
      <c r="A1820" s="10">
        <v>1805</v>
      </c>
      <c r="B1820" s="10" t="s">
        <v>2835</v>
      </c>
      <c r="C1820" s="9" t="s">
        <v>1610</v>
      </c>
      <c r="D1820" s="10">
        <v>0.287058233</v>
      </c>
      <c r="E1820" s="10">
        <v>0.64257972799999996</v>
      </c>
      <c r="F1820" s="10">
        <v>0.79787260699999996</v>
      </c>
      <c r="G1820" s="10">
        <v>-0.219395123</v>
      </c>
      <c r="H1820" s="9">
        <v>0.37702886125000001</v>
      </c>
      <c r="I1820" s="10">
        <v>0.45145800989863599</v>
      </c>
      <c r="J1820" s="10">
        <v>0.20381433470163601</v>
      </c>
      <c r="K1820" s="10">
        <v>-0.17184834500000001</v>
      </c>
      <c r="L1820" s="10">
        <v>0.20867043499999999</v>
      </c>
      <c r="M1820" s="10">
        <v>-0.13510344899999999</v>
      </c>
      <c r="N1820" s="10">
        <v>-5.5300918999999997E-2</v>
      </c>
      <c r="O1820" s="9">
        <v>-3.8395569499999997E-2</v>
      </c>
      <c r="P1820" s="10">
        <v>0.17174541106664301</v>
      </c>
      <c r="Q1820" s="10">
        <v>2.94964862224503E-2</v>
      </c>
    </row>
    <row r="1821" spans="1:17" x14ac:dyDescent="0.2">
      <c r="A1821" s="10">
        <v>1806</v>
      </c>
      <c r="B1821" s="10" t="s">
        <v>2822</v>
      </c>
      <c r="C1821" s="9" t="s">
        <v>1612</v>
      </c>
      <c r="D1821" s="10">
        <v>-0.25226715100000002</v>
      </c>
      <c r="E1821" s="10">
        <v>-0.34105255600000001</v>
      </c>
      <c r="F1821" s="10">
        <v>0.48531085000000002</v>
      </c>
      <c r="G1821" s="10">
        <v>0.17567180299999999</v>
      </c>
      <c r="H1821" s="9">
        <v>1.69157365E-2</v>
      </c>
      <c r="I1821" s="10">
        <v>0.38522642534810297</v>
      </c>
      <c r="J1821" s="10">
        <v>0.14839939878647701</v>
      </c>
      <c r="K1821" s="10">
        <v>6.1828319999999999E-2</v>
      </c>
      <c r="L1821" s="10">
        <v>0.29403932599999999</v>
      </c>
      <c r="M1821" s="10">
        <v>-7.2483312999999994E-2</v>
      </c>
      <c r="N1821" s="10">
        <v>-0.55605589600000005</v>
      </c>
      <c r="O1821" s="9">
        <v>-6.8167890999999994E-2</v>
      </c>
      <c r="P1821" s="10">
        <v>0.35876938331429498</v>
      </c>
      <c r="Q1821" s="10">
        <v>0.128715470403719</v>
      </c>
    </row>
    <row r="1822" spans="1:17" x14ac:dyDescent="0.2">
      <c r="A1822" s="10">
        <v>1806</v>
      </c>
      <c r="B1822" s="10" t="s">
        <v>2820</v>
      </c>
      <c r="C1822" s="9" t="s">
        <v>1614</v>
      </c>
      <c r="D1822" s="10">
        <v>-3.2706522000000002E-2</v>
      </c>
      <c r="E1822" s="10">
        <v>0.97495257400000002</v>
      </c>
      <c r="F1822" s="10">
        <v>0.44397511299999998</v>
      </c>
      <c r="G1822" s="10">
        <v>-0.152775563</v>
      </c>
      <c r="H1822" s="9">
        <v>0.30836140049999999</v>
      </c>
      <c r="I1822" s="10">
        <v>0.51371506319833404</v>
      </c>
      <c r="J1822" s="10">
        <v>0.26390316615686799</v>
      </c>
      <c r="K1822" s="10">
        <v>-0.64256409599999997</v>
      </c>
      <c r="L1822" s="10">
        <v>0.33418174</v>
      </c>
      <c r="M1822" s="10">
        <v>-0.54213683099999999</v>
      </c>
      <c r="N1822" s="10">
        <v>-0.56457958600000002</v>
      </c>
      <c r="O1822" s="9">
        <v>-0.35377469324999999</v>
      </c>
      <c r="P1822" s="10">
        <v>0.460652570069842</v>
      </c>
      <c r="Q1822" s="10">
        <v>0.21220079031194999</v>
      </c>
    </row>
    <row r="1823" spans="1:17" x14ac:dyDescent="0.2">
      <c r="A1823" s="10">
        <v>1806</v>
      </c>
      <c r="B1823" s="10" t="s">
        <v>2824</v>
      </c>
      <c r="C1823" s="9" t="s">
        <v>1615</v>
      </c>
      <c r="D1823" s="10">
        <v>0.716738447</v>
      </c>
      <c r="E1823" s="10">
        <v>0.33014826000000003</v>
      </c>
      <c r="F1823" s="10">
        <v>-2.8261119000000001E-2</v>
      </c>
      <c r="G1823" s="10">
        <v>-0.139780453</v>
      </c>
      <c r="H1823" s="9">
        <v>0.21971128375000001</v>
      </c>
      <c r="I1823" s="10">
        <v>0.38727980756757102</v>
      </c>
      <c r="J1823" s="10">
        <v>0.14998564934957401</v>
      </c>
      <c r="K1823" s="10">
        <v>0.50988552700000001</v>
      </c>
      <c r="L1823" s="10">
        <v>-0.2480685</v>
      </c>
      <c r="M1823" s="10">
        <v>-0.54647323299999995</v>
      </c>
      <c r="N1823" s="10">
        <v>-0.131803845</v>
      </c>
      <c r="O1823" s="9">
        <v>-0.10411501275</v>
      </c>
      <c r="P1823" s="10">
        <v>0.44503435663584501</v>
      </c>
      <c r="Q1823" s="10">
        <v>0.19805557858628101</v>
      </c>
    </row>
    <row r="1824" spans="1:17" x14ac:dyDescent="0.2">
      <c r="A1824" s="10">
        <v>1806</v>
      </c>
      <c r="B1824" s="10" t="s">
        <v>2825</v>
      </c>
      <c r="C1824" s="9" t="s">
        <v>1617</v>
      </c>
      <c r="D1824" s="10">
        <v>0.32456102799999997</v>
      </c>
      <c r="E1824" s="10">
        <v>-9.7947882E-2</v>
      </c>
      <c r="F1824" s="10">
        <v>0.69802708599999996</v>
      </c>
      <c r="G1824" s="10">
        <v>0.47448617100000001</v>
      </c>
      <c r="H1824" s="9">
        <v>0.34978160074999998</v>
      </c>
      <c r="I1824" s="10">
        <v>0.335620775504966</v>
      </c>
      <c r="J1824" s="10">
        <v>0.11264130495055499</v>
      </c>
      <c r="K1824" s="10">
        <v>-0.30392820399999998</v>
      </c>
      <c r="L1824" s="10">
        <v>0.11724430800000001</v>
      </c>
      <c r="M1824" s="10">
        <v>0.30681092900000001</v>
      </c>
      <c r="N1824" s="10">
        <v>0.17556372200000001</v>
      </c>
      <c r="O1824" s="9">
        <v>7.3922688750000007E-2</v>
      </c>
      <c r="P1824" s="10">
        <v>0.26408072751419698</v>
      </c>
      <c r="Q1824" s="10">
        <v>6.9738630644427702E-2</v>
      </c>
    </row>
    <row r="1825" spans="1:17" x14ac:dyDescent="0.2">
      <c r="A1825" s="10">
        <v>1806</v>
      </c>
      <c r="B1825" s="10" t="s">
        <v>74</v>
      </c>
      <c r="C1825" s="9" t="s">
        <v>1618</v>
      </c>
      <c r="D1825" s="10">
        <v>0.274814632</v>
      </c>
      <c r="E1825" s="10">
        <v>0.19217956999999999</v>
      </c>
      <c r="F1825" s="10">
        <v>0.45087780300000002</v>
      </c>
      <c r="G1825" s="10">
        <v>0.56724165699999995</v>
      </c>
      <c r="H1825" s="9">
        <v>0.37127841550000001</v>
      </c>
      <c r="I1825" s="10">
        <v>0.16942974207236999</v>
      </c>
      <c r="J1825" s="10">
        <v>2.8706437498710002E-2</v>
      </c>
      <c r="K1825" s="10">
        <v>-0.26129291900000001</v>
      </c>
      <c r="L1825" s="10">
        <v>0.89941512999999995</v>
      </c>
      <c r="M1825" s="10">
        <v>0.26749141399999998</v>
      </c>
      <c r="N1825" s="10">
        <v>0.18648529</v>
      </c>
      <c r="O1825" s="9">
        <v>0.27302472900000002</v>
      </c>
      <c r="P1825" s="10">
        <v>0.47797488619749201</v>
      </c>
      <c r="Q1825" s="10">
        <v>0.228459991835505</v>
      </c>
    </row>
    <row r="1826" spans="1:17" x14ac:dyDescent="0.2">
      <c r="A1826" s="10">
        <v>1806</v>
      </c>
      <c r="B1826" s="10" t="s">
        <v>2818</v>
      </c>
      <c r="C1826" s="9" t="s">
        <v>1619</v>
      </c>
      <c r="D1826" s="10">
        <v>1.076396028</v>
      </c>
      <c r="E1826" s="10">
        <v>0.649301189</v>
      </c>
      <c r="F1826" s="10">
        <v>0.74491782200000001</v>
      </c>
      <c r="G1826" s="10">
        <v>-0.18912442099999999</v>
      </c>
      <c r="H1826" s="9">
        <v>0.57037265449999996</v>
      </c>
      <c r="I1826" s="10">
        <v>0.53838994272345397</v>
      </c>
      <c r="J1826" s="10">
        <v>0.28986373042576402</v>
      </c>
      <c r="K1826" s="10">
        <v>0.15114108800000001</v>
      </c>
      <c r="L1826" s="10">
        <v>0.42525065699999998</v>
      </c>
      <c r="M1826" s="10">
        <v>0.65609103700000004</v>
      </c>
      <c r="N1826" s="10">
        <v>-3.0574684000000001E-2</v>
      </c>
      <c r="O1826" s="9">
        <v>0.30047702450000002</v>
      </c>
      <c r="P1826" s="10">
        <v>0.30217337235693897</v>
      </c>
      <c r="Q1826" s="10">
        <v>9.1308746961565407E-2</v>
      </c>
    </row>
    <row r="1827" spans="1:17" x14ac:dyDescent="0.2">
      <c r="A1827" s="10">
        <v>1806</v>
      </c>
      <c r="B1827" s="10" t="s">
        <v>2835</v>
      </c>
      <c r="C1827" s="9" t="s">
        <v>1620</v>
      </c>
      <c r="D1827" s="10">
        <v>-0.39433530900000002</v>
      </c>
      <c r="E1827" s="10">
        <v>-0.83921826600000005</v>
      </c>
      <c r="F1827" s="10">
        <v>0.65109879299999995</v>
      </c>
      <c r="G1827" s="10">
        <v>-0.22575600600000001</v>
      </c>
      <c r="H1827" s="9">
        <v>-0.20205269725</v>
      </c>
      <c r="I1827" s="10">
        <v>0.62486848668163897</v>
      </c>
      <c r="J1827" s="10">
        <v>0.39046062564780198</v>
      </c>
      <c r="K1827" s="10">
        <v>0.96973184099999998</v>
      </c>
      <c r="L1827" s="10">
        <v>0.63936027500000003</v>
      </c>
      <c r="M1827" s="10">
        <v>0.25812646</v>
      </c>
      <c r="N1827" s="10">
        <v>0.361773448</v>
      </c>
      <c r="O1827" s="9">
        <v>0.55724800600000002</v>
      </c>
      <c r="P1827" s="10">
        <v>0.31862691922443298</v>
      </c>
      <c r="Q1827" s="10">
        <v>0.101523113654453</v>
      </c>
    </row>
    <row r="1828" spans="1:17" x14ac:dyDescent="0.2">
      <c r="A1828" s="10">
        <v>1807</v>
      </c>
      <c r="B1828" s="10" t="s">
        <v>2820</v>
      </c>
      <c r="C1828" s="9" t="s">
        <v>1622</v>
      </c>
      <c r="D1828" s="10">
        <v>2.1122957000000001E-2</v>
      </c>
      <c r="E1828" s="10">
        <v>-1.487883265</v>
      </c>
      <c r="F1828" s="10">
        <v>-1.0441907850000001</v>
      </c>
      <c r="G1828" s="10">
        <v>-1.4660361180000001</v>
      </c>
      <c r="H1828" s="9">
        <v>-0.99424680300000001</v>
      </c>
      <c r="I1828" s="10">
        <v>0.70704367267859702</v>
      </c>
      <c r="J1828" s="10">
        <v>0.49991075507484001</v>
      </c>
      <c r="K1828" s="10">
        <v>0.67474384300000001</v>
      </c>
      <c r="L1828" s="10">
        <v>1.2068861019999999</v>
      </c>
      <c r="M1828" s="10">
        <v>-0.61016890700000004</v>
      </c>
      <c r="N1828" s="10">
        <v>0.392526875</v>
      </c>
      <c r="O1828" s="9">
        <v>0.41599697800000002</v>
      </c>
      <c r="P1828" s="10">
        <v>0.76289422942753105</v>
      </c>
      <c r="Q1828" s="10">
        <v>0.582007605293826</v>
      </c>
    </row>
    <row r="1829" spans="1:17" x14ac:dyDescent="0.2">
      <c r="A1829" s="10">
        <v>1807</v>
      </c>
      <c r="B1829" s="10" t="s">
        <v>2817</v>
      </c>
      <c r="C1829" s="9" t="s">
        <v>40</v>
      </c>
      <c r="D1829" s="10">
        <v>0.145591322</v>
      </c>
      <c r="E1829" s="10">
        <v>-0.1085666</v>
      </c>
      <c r="F1829" s="10">
        <v>0.12691651300000001</v>
      </c>
      <c r="G1829" s="10">
        <v>-0.51952379199999998</v>
      </c>
      <c r="H1829" s="9">
        <v>-8.8895639250000005E-2</v>
      </c>
      <c r="I1829" s="10">
        <v>0.30950852044962102</v>
      </c>
      <c r="J1829" s="10">
        <v>9.5795524230913795E-2</v>
      </c>
      <c r="K1829" s="10">
        <v>-0.443563551</v>
      </c>
      <c r="L1829" s="10">
        <v>0.52448520200000004</v>
      </c>
      <c r="M1829" s="10">
        <v>-0.31275685800000003</v>
      </c>
      <c r="N1829" s="10">
        <v>0.52642624699999996</v>
      </c>
      <c r="O1829" s="9">
        <v>7.3647760249999999E-2</v>
      </c>
      <c r="P1829" s="10">
        <v>0.52442947617297297</v>
      </c>
      <c r="Q1829" s="10">
        <v>0.275026275479059</v>
      </c>
    </row>
    <row r="1830" spans="1:17" x14ac:dyDescent="0.2">
      <c r="A1830" s="10">
        <v>1808</v>
      </c>
      <c r="B1830" s="10" t="s">
        <v>2820</v>
      </c>
      <c r="C1830" s="9" t="s">
        <v>1627</v>
      </c>
      <c r="D1830" s="10">
        <v>-0.71260149900000003</v>
      </c>
      <c r="E1830" s="10">
        <v>0.14198508500000001</v>
      </c>
      <c r="F1830" s="10">
        <v>-0.71889669099999998</v>
      </c>
      <c r="G1830" s="10">
        <v>-0.27428024499999998</v>
      </c>
      <c r="H1830" s="9">
        <v>-0.39094833750000002</v>
      </c>
      <c r="I1830" s="10">
        <v>0.41176059204812099</v>
      </c>
      <c r="J1830" s="10">
        <v>0.16954678516381899</v>
      </c>
      <c r="K1830" s="10">
        <v>-0.31668453299999999</v>
      </c>
      <c r="L1830" s="10">
        <v>-0.13992944500000001</v>
      </c>
      <c r="M1830" s="10">
        <v>-0.20901840499999999</v>
      </c>
      <c r="N1830" s="10">
        <v>-0.16084942599999999</v>
      </c>
      <c r="O1830" s="9">
        <v>-0.20662045225</v>
      </c>
      <c r="P1830" s="10">
        <v>7.8872321593681793E-2</v>
      </c>
      <c r="Q1830" s="10">
        <v>6.2208431135771002E-3</v>
      </c>
    </row>
    <row r="1831" spans="1:17" x14ac:dyDescent="0.2">
      <c r="A1831" s="10">
        <v>1808</v>
      </c>
      <c r="B1831" s="10" t="s">
        <v>2814</v>
      </c>
      <c r="C1831" s="9" t="s">
        <v>1630</v>
      </c>
      <c r="D1831" s="10">
        <v>-0.48225662400000002</v>
      </c>
      <c r="E1831" s="10">
        <v>-0.74431794500000004</v>
      </c>
      <c r="F1831" s="10">
        <v>-1.6661567939999999</v>
      </c>
      <c r="G1831" s="10">
        <v>-1.026402515</v>
      </c>
      <c r="H1831" s="9">
        <v>-0.97978346949999995</v>
      </c>
      <c r="I1831" s="10">
        <v>0.50867758328491797</v>
      </c>
      <c r="J1831" s="10">
        <v>0.25875288373658401</v>
      </c>
      <c r="K1831" s="10">
        <v>-4.310159734</v>
      </c>
      <c r="L1831" s="10">
        <v>1.1680403909999999</v>
      </c>
      <c r="M1831" s="10">
        <v>-0.94869060000000005</v>
      </c>
      <c r="N1831" s="10">
        <v>0.90314401700000002</v>
      </c>
      <c r="O1831" s="9">
        <v>-0.79691648150000005</v>
      </c>
      <c r="P1831" s="10">
        <v>2.5243596378506399</v>
      </c>
      <c r="Q1831" s="10">
        <v>6.3723915812094196</v>
      </c>
    </row>
    <row r="1832" spans="1:17" x14ac:dyDescent="0.2">
      <c r="A1832" s="10">
        <v>1808</v>
      </c>
      <c r="B1832" s="10" t="s">
        <v>2825</v>
      </c>
      <c r="C1832" s="9" t="s">
        <v>1632</v>
      </c>
      <c r="D1832" s="10">
        <v>-0.50521327999999999</v>
      </c>
      <c r="E1832" s="10">
        <v>-0.66117880600000001</v>
      </c>
      <c r="F1832" s="10">
        <v>-0.72778561900000005</v>
      </c>
      <c r="G1832" s="10">
        <v>-0.12065936100000001</v>
      </c>
      <c r="H1832" s="9">
        <v>-0.50370926625000001</v>
      </c>
      <c r="I1832" s="10">
        <v>0.27186783540304599</v>
      </c>
      <c r="J1832" s="10">
        <v>7.3912119926737796E-2</v>
      </c>
      <c r="K1832" s="10">
        <v>-0.17874330499999999</v>
      </c>
      <c r="L1832" s="10">
        <v>-0.33443650400000002</v>
      </c>
      <c r="M1832" s="10">
        <v>-0.50051371099999997</v>
      </c>
      <c r="N1832" s="10">
        <v>-0.30890340399999999</v>
      </c>
      <c r="O1832" s="9">
        <v>-0.33064923125000001</v>
      </c>
      <c r="P1832" s="10">
        <v>0.132182419845048</v>
      </c>
      <c r="Q1832" s="10">
        <v>1.7472192116092699E-2</v>
      </c>
    </row>
    <row r="1833" spans="1:17" x14ac:dyDescent="0.2">
      <c r="A1833" s="10">
        <v>1809</v>
      </c>
      <c r="B1833" s="10" t="s">
        <v>2819</v>
      </c>
      <c r="C1833" s="9" t="s">
        <v>1634</v>
      </c>
      <c r="D1833" s="10">
        <v>-1.4761394299999999</v>
      </c>
      <c r="E1833" s="10">
        <v>-0.72242400900000003</v>
      </c>
      <c r="F1833" s="10">
        <v>-1.704920199</v>
      </c>
      <c r="G1833" s="10">
        <v>-0.71448557999999995</v>
      </c>
      <c r="H1833" s="9">
        <v>-1.1544923042499999</v>
      </c>
      <c r="I1833" s="10">
        <v>0.51209265762086698</v>
      </c>
      <c r="J1833" s="10">
        <v>0.26223888998920297</v>
      </c>
      <c r="K1833" s="10">
        <v>-0.622026368</v>
      </c>
      <c r="L1833" s="10">
        <v>0.917948914</v>
      </c>
      <c r="M1833" s="10">
        <v>-0.61663944800000003</v>
      </c>
      <c r="N1833" s="10">
        <v>0.53215149699999997</v>
      </c>
      <c r="O1833" s="9">
        <v>5.2858648750000001E-2</v>
      </c>
      <c r="P1833" s="10">
        <v>0.79200174427405401</v>
      </c>
      <c r="Q1833" s="10">
        <v>0.62726676293314398</v>
      </c>
    </row>
    <row r="1834" spans="1:17" x14ac:dyDescent="0.2">
      <c r="A1834" s="10">
        <v>1809</v>
      </c>
      <c r="B1834" s="10" t="s">
        <v>2814</v>
      </c>
      <c r="C1834" s="9" t="s">
        <v>1636</v>
      </c>
      <c r="D1834" s="10">
        <v>-1.230364375</v>
      </c>
      <c r="E1834" s="10">
        <v>-1.262200899</v>
      </c>
      <c r="F1834" s="10">
        <v>-4.253496524</v>
      </c>
      <c r="G1834" s="10">
        <v>-0.97217229000000005</v>
      </c>
      <c r="H1834" s="9">
        <v>-1.929558522</v>
      </c>
      <c r="I1834" s="10">
        <v>1.55472557991629</v>
      </c>
      <c r="J1834" s="10">
        <v>2.4171716288460501</v>
      </c>
      <c r="K1834" s="10">
        <v>-0.164970065</v>
      </c>
      <c r="L1834" s="10">
        <v>-1.4730926230000001</v>
      </c>
      <c r="M1834" s="10">
        <v>-0.78687116700000004</v>
      </c>
      <c r="N1834" s="10">
        <v>-1.1567470550000001</v>
      </c>
      <c r="O1834" s="9">
        <v>-0.89542022750000005</v>
      </c>
      <c r="P1834" s="10">
        <v>0.56194230004085899</v>
      </c>
      <c r="Q1834" s="10">
        <v>0.31577914857521</v>
      </c>
    </row>
    <row r="1835" spans="1:17" x14ac:dyDescent="0.2">
      <c r="A1835" s="10">
        <v>1809</v>
      </c>
      <c r="B1835" s="10" t="s">
        <v>2833</v>
      </c>
      <c r="C1835" s="9" t="s">
        <v>1637</v>
      </c>
      <c r="D1835" s="10">
        <v>-1.02564265</v>
      </c>
      <c r="E1835" s="10">
        <v>-0.69061179299999997</v>
      </c>
      <c r="F1835" s="10">
        <v>-1.036482578</v>
      </c>
      <c r="G1835" s="10">
        <v>-0.701055698</v>
      </c>
      <c r="H1835" s="9">
        <v>-0.86344817974999999</v>
      </c>
      <c r="I1835" s="10">
        <v>0.19364200979396401</v>
      </c>
      <c r="J1835" s="10">
        <v>3.7497227957045798E-2</v>
      </c>
      <c r="K1835" s="10">
        <v>-0.68714041699999995</v>
      </c>
      <c r="L1835" s="10">
        <v>0.35495052399999999</v>
      </c>
      <c r="M1835" s="10">
        <v>-7.2551518999999995E-2</v>
      </c>
      <c r="N1835" s="10">
        <v>-0.44882115900000003</v>
      </c>
      <c r="O1835" s="9">
        <v>-0.21339064275</v>
      </c>
      <c r="P1835" s="10">
        <v>0.45559986727576501</v>
      </c>
      <c r="Q1835" s="10">
        <v>0.207571239061695</v>
      </c>
    </row>
    <row r="1836" spans="1:17" x14ac:dyDescent="0.2">
      <c r="A1836" s="10">
        <v>1809</v>
      </c>
      <c r="B1836" s="10" t="s">
        <v>74</v>
      </c>
      <c r="C1836" s="9" t="s">
        <v>1638</v>
      </c>
      <c r="D1836" s="10">
        <v>-0.47447404399999998</v>
      </c>
      <c r="E1836" s="10">
        <v>0.35375553599999998</v>
      </c>
      <c r="F1836" s="10">
        <v>-1.459128757</v>
      </c>
      <c r="G1836" s="10">
        <v>0.313690686</v>
      </c>
      <c r="H1836" s="9">
        <v>-0.31653914449999998</v>
      </c>
      <c r="I1836" s="10">
        <v>0.85184878412224296</v>
      </c>
      <c r="J1836" s="10">
        <v>0.72564635101054298</v>
      </c>
      <c r="K1836" s="10">
        <v>-0.49652658999999999</v>
      </c>
      <c r="L1836" s="10">
        <v>-0.226457085</v>
      </c>
      <c r="M1836" s="10">
        <v>0.16568512899999999</v>
      </c>
      <c r="N1836" s="10">
        <v>-0.72557917599999999</v>
      </c>
      <c r="O1836" s="9">
        <v>-0.32071943074999998</v>
      </c>
      <c r="P1836" s="10">
        <v>0.383098923751787</v>
      </c>
      <c r="Q1836" s="10">
        <v>0.146764785379777</v>
      </c>
    </row>
    <row r="1837" spans="1:17" x14ac:dyDescent="0.2">
      <c r="A1837" s="10">
        <v>1810</v>
      </c>
      <c r="B1837" s="10" t="s">
        <v>2831</v>
      </c>
      <c r="C1837" s="9" t="s">
        <v>1639</v>
      </c>
      <c r="D1837" s="10">
        <v>-0.92964270599999999</v>
      </c>
      <c r="E1837" s="10">
        <v>-0.67983507200000004</v>
      </c>
      <c r="F1837" s="10">
        <v>-2.0589490260000001</v>
      </c>
      <c r="G1837" s="10">
        <v>-0.41838530899999998</v>
      </c>
      <c r="H1837" s="9">
        <v>-1.0217030282499999</v>
      </c>
      <c r="I1837" s="10">
        <v>0.72231579719970596</v>
      </c>
      <c r="J1837" s="10">
        <v>0.52174011088424599</v>
      </c>
      <c r="K1837" s="10">
        <v>-1.029555486</v>
      </c>
      <c r="L1837" s="10">
        <v>-0.519352751</v>
      </c>
      <c r="M1837" s="10">
        <v>-0.314206969</v>
      </c>
      <c r="N1837" s="10">
        <v>-0.48961803500000001</v>
      </c>
      <c r="O1837" s="9">
        <v>-0.58818331049999995</v>
      </c>
      <c r="P1837" s="10">
        <v>0.30785558977265098</v>
      </c>
      <c r="Q1837" s="10">
        <v>9.4775064154267105E-2</v>
      </c>
    </row>
    <row r="1838" spans="1:17" x14ac:dyDescent="0.2">
      <c r="A1838" s="10">
        <v>1810</v>
      </c>
      <c r="B1838" s="10" t="s">
        <v>2819</v>
      </c>
      <c r="C1838" s="9" t="s">
        <v>1641</v>
      </c>
      <c r="D1838" s="10">
        <v>-1.169991349</v>
      </c>
      <c r="E1838" s="10">
        <v>-1.3839127250000001</v>
      </c>
      <c r="F1838" s="10">
        <v>-1.689141682</v>
      </c>
      <c r="G1838" s="10">
        <v>-0.32765359199999999</v>
      </c>
      <c r="H1838" s="9">
        <v>-1.1426748367499999</v>
      </c>
      <c r="I1838" s="10">
        <v>0.583617326941821</v>
      </c>
      <c r="J1838" s="10">
        <v>0.340609184306716</v>
      </c>
      <c r="K1838" s="10">
        <v>-0.19323315299999999</v>
      </c>
      <c r="L1838" s="10">
        <v>-2.7716660000000001E-2</v>
      </c>
      <c r="M1838" s="10">
        <v>-1.1832418000000001E-2</v>
      </c>
      <c r="N1838" s="10">
        <v>-0.344708336</v>
      </c>
      <c r="O1838" s="9">
        <v>-0.14437264175</v>
      </c>
      <c r="P1838" s="10">
        <v>0.15673466851125301</v>
      </c>
      <c r="Q1838" s="10">
        <v>2.4565756313332399E-2</v>
      </c>
    </row>
    <row r="1839" spans="1:17" x14ac:dyDescent="0.2">
      <c r="A1839" s="10">
        <v>1810</v>
      </c>
      <c r="B1839" s="10" t="s">
        <v>2824</v>
      </c>
      <c r="C1839" s="9" t="s">
        <v>1642</v>
      </c>
      <c r="D1839" s="10">
        <v>0.24870862199999999</v>
      </c>
      <c r="E1839" s="10">
        <v>0.15957163899999999</v>
      </c>
      <c r="F1839" s="10">
        <v>0.517790953</v>
      </c>
      <c r="G1839" s="10">
        <v>-5.9527315999999997E-2</v>
      </c>
      <c r="H1839" s="9">
        <v>0.21663597449999999</v>
      </c>
      <c r="I1839" s="10">
        <v>0.23891803141024301</v>
      </c>
      <c r="J1839" s="10">
        <v>5.7081825732946199E-2</v>
      </c>
      <c r="K1839" s="10">
        <v>-0.32435395700000003</v>
      </c>
      <c r="L1839" s="10">
        <v>-5.5268421999999998E-2</v>
      </c>
      <c r="M1839" s="10">
        <v>-1.6198582999999999E-2</v>
      </c>
      <c r="N1839" s="10">
        <v>-3.5176950999999998E-2</v>
      </c>
      <c r="O1839" s="9">
        <v>-0.107749478</v>
      </c>
      <c r="P1839" s="10">
        <v>0.145281450539063</v>
      </c>
      <c r="Q1839" s="10">
        <v>2.1106699870734401E-2</v>
      </c>
    </row>
    <row r="1840" spans="1:17" x14ac:dyDescent="0.2">
      <c r="A1840" s="10">
        <v>1810</v>
      </c>
      <c r="B1840" s="10" t="s">
        <v>2817</v>
      </c>
      <c r="C1840" s="9" t="s">
        <v>2191</v>
      </c>
      <c r="D1840" s="10">
        <v>-0.49300817000000002</v>
      </c>
      <c r="E1840" s="10">
        <v>0.15181879100000001</v>
      </c>
      <c r="F1840" s="10">
        <v>-0.26476717500000002</v>
      </c>
      <c r="G1840" s="10">
        <v>0.26272665899999997</v>
      </c>
      <c r="H1840" s="9">
        <v>-8.5807473750000002E-2</v>
      </c>
      <c r="I1840" s="10">
        <v>0.353921490865232</v>
      </c>
      <c r="J1840" s="10">
        <v>0.125260421696268</v>
      </c>
      <c r="K1840" s="10">
        <v>0.67061747599999999</v>
      </c>
      <c r="L1840" s="10">
        <v>0.84908804900000001</v>
      </c>
      <c r="M1840" s="10">
        <v>6.5905659000000005E-2</v>
      </c>
      <c r="N1840" s="10">
        <v>-0.35746644100000002</v>
      </c>
      <c r="O1840" s="9">
        <v>0.30703618575000002</v>
      </c>
      <c r="P1840" s="10">
        <v>0.55549354900575598</v>
      </c>
      <c r="Q1840" s="10">
        <v>0.30857308298701103</v>
      </c>
    </row>
    <row r="1841" spans="1:17" x14ac:dyDescent="0.2">
      <c r="A1841" s="10">
        <v>1810</v>
      </c>
      <c r="B1841" s="10" t="s">
        <v>2814</v>
      </c>
      <c r="C1841" s="9" t="s">
        <v>1643</v>
      </c>
      <c r="D1841" s="10">
        <v>-3.929946003</v>
      </c>
      <c r="E1841" s="10">
        <v>-0.89947387300000003</v>
      </c>
      <c r="F1841" s="10">
        <v>-1.892043728</v>
      </c>
      <c r="G1841" s="10">
        <v>0.55860197700000003</v>
      </c>
      <c r="H1841" s="9">
        <v>-1.54071540675</v>
      </c>
      <c r="I1841" s="10">
        <v>1.88416016779275</v>
      </c>
      <c r="J1841" s="10">
        <v>3.55005953789682</v>
      </c>
      <c r="K1841" s="10">
        <v>-1.324485117</v>
      </c>
      <c r="L1841" s="10">
        <v>-1.6596601999999998E-2</v>
      </c>
      <c r="M1841" s="10">
        <v>-0.28205286200000002</v>
      </c>
      <c r="N1841" s="10">
        <v>-0.23963213899999999</v>
      </c>
      <c r="O1841" s="9">
        <v>-0.46569168025000002</v>
      </c>
      <c r="P1841" s="10">
        <v>0.58424843119791203</v>
      </c>
      <c r="Q1841" s="10">
        <v>0.34134622935722198</v>
      </c>
    </row>
    <row r="1842" spans="1:17" x14ac:dyDescent="0.2">
      <c r="A1842" s="10">
        <v>1810</v>
      </c>
      <c r="B1842" s="10" t="s">
        <v>2818</v>
      </c>
      <c r="C1842" s="9" t="s">
        <v>1645</v>
      </c>
      <c r="D1842" s="10">
        <v>-0.26191848000000001</v>
      </c>
      <c r="E1842" s="10">
        <v>-8.2796770000000006E-2</v>
      </c>
      <c r="F1842" s="10">
        <v>0.35327108600000001</v>
      </c>
      <c r="G1842" s="10">
        <v>-0.18960118400000001</v>
      </c>
      <c r="H1842" s="9">
        <v>-4.5261336999999999E-2</v>
      </c>
      <c r="I1842" s="10">
        <v>0.27568781254506802</v>
      </c>
      <c r="J1842" s="10">
        <v>7.6003769985884706E-2</v>
      </c>
      <c r="K1842" s="10">
        <v>0.65670856</v>
      </c>
      <c r="L1842" s="10">
        <v>0.82228228699999995</v>
      </c>
      <c r="M1842" s="10">
        <v>0.14349036300000001</v>
      </c>
      <c r="N1842" s="10">
        <v>0.61745904399999996</v>
      </c>
      <c r="O1842" s="9">
        <v>0.55998506349999999</v>
      </c>
      <c r="P1842" s="10">
        <v>0.29150549578015</v>
      </c>
      <c r="Q1842" s="10">
        <v>8.4975454070031098E-2</v>
      </c>
    </row>
    <row r="1843" spans="1:17" x14ac:dyDescent="0.2">
      <c r="A1843" s="10">
        <v>1810</v>
      </c>
      <c r="B1843" s="10" t="s">
        <v>2835</v>
      </c>
      <c r="C1843" s="9" t="s">
        <v>1646</v>
      </c>
      <c r="D1843" s="10">
        <v>-0.29460549200000002</v>
      </c>
      <c r="E1843" s="10">
        <v>-0.37727909500000001</v>
      </c>
      <c r="F1843" s="10">
        <v>-0.11561178799999999</v>
      </c>
      <c r="G1843" s="10">
        <v>-0.206952724</v>
      </c>
      <c r="H1843" s="9">
        <v>-0.24861227475</v>
      </c>
      <c r="I1843" s="10">
        <v>0.112687139625129</v>
      </c>
      <c r="J1843" s="10">
        <v>1.26983914368934E-2</v>
      </c>
      <c r="K1843" s="10">
        <v>0.176758526</v>
      </c>
      <c r="L1843" s="10">
        <v>0.60410463599999997</v>
      </c>
      <c r="M1843" s="10">
        <v>0.110285757</v>
      </c>
      <c r="N1843" s="10">
        <v>-0.71622060700000001</v>
      </c>
      <c r="O1843" s="9">
        <v>4.3732078000000001E-2</v>
      </c>
      <c r="P1843" s="10">
        <v>0.55186680616917705</v>
      </c>
      <c r="Q1843" s="10">
        <v>0.30455697175136798</v>
      </c>
    </row>
    <row r="1844" spans="1:17" x14ac:dyDescent="0.2">
      <c r="A1844" s="10">
        <v>1811</v>
      </c>
      <c r="B1844" s="10" t="s">
        <v>2819</v>
      </c>
      <c r="C1844" s="9" t="s">
        <v>1649</v>
      </c>
      <c r="D1844" s="10">
        <v>0.75418023000000001</v>
      </c>
      <c r="E1844" s="10">
        <v>0.633057015</v>
      </c>
      <c r="F1844" s="10">
        <v>-9.0203523999999993E-2</v>
      </c>
      <c r="G1844" s="10">
        <v>-0.37806816599999998</v>
      </c>
      <c r="H1844" s="9">
        <v>0.22974138875</v>
      </c>
      <c r="I1844" s="10">
        <v>0.550604756799003</v>
      </c>
      <c r="J1844" s="10">
        <v>0.30316559820969002</v>
      </c>
      <c r="K1844" s="10">
        <v>-0.77273954899999997</v>
      </c>
      <c r="L1844" s="10">
        <v>-0.70580281099999997</v>
      </c>
      <c r="M1844" s="10">
        <v>4.3007729999999999E-3</v>
      </c>
      <c r="N1844" s="10">
        <v>5.4654305E-2</v>
      </c>
      <c r="O1844" s="9">
        <v>-0.35489682025000002</v>
      </c>
      <c r="P1844" s="10">
        <v>0.44515263131635302</v>
      </c>
      <c r="Q1844" s="10">
        <v>0.19816086516787201</v>
      </c>
    </row>
    <row r="1845" spans="1:17" x14ac:dyDescent="0.2">
      <c r="A1845" s="10">
        <v>1811</v>
      </c>
      <c r="B1845" s="10" t="s">
        <v>2820</v>
      </c>
      <c r="C1845" s="9" t="s">
        <v>2190</v>
      </c>
      <c r="D1845" s="10">
        <v>-7.9966548999999998E-2</v>
      </c>
      <c r="E1845" s="10">
        <v>-0.66757815399999998</v>
      </c>
      <c r="F1845" s="10">
        <v>-0.43164655499999999</v>
      </c>
      <c r="G1845" s="10">
        <v>8.6355349999999997E-2</v>
      </c>
      <c r="H1845" s="9">
        <v>-0.27320897700000002</v>
      </c>
      <c r="I1845" s="10">
        <v>0.34022475665382401</v>
      </c>
      <c r="J1845" s="10">
        <v>0.11575288504015301</v>
      </c>
      <c r="K1845" s="10">
        <v>7.5037883E-2</v>
      </c>
      <c r="L1845" s="10">
        <v>0.619873165</v>
      </c>
      <c r="M1845" s="10">
        <v>-0.81983801599999995</v>
      </c>
      <c r="N1845" s="10">
        <v>-0.38441655000000002</v>
      </c>
      <c r="O1845" s="9">
        <v>-0.1273358795</v>
      </c>
      <c r="P1845" s="10">
        <v>0.61777185004735702</v>
      </c>
      <c r="Q1845" s="10">
        <v>0.38164205871093398</v>
      </c>
    </row>
    <row r="1846" spans="1:17" x14ac:dyDescent="0.2">
      <c r="A1846" s="10">
        <v>1811</v>
      </c>
      <c r="B1846" s="10" t="s">
        <v>2824</v>
      </c>
      <c r="C1846" s="9" t="s">
        <v>1651</v>
      </c>
      <c r="D1846" s="10">
        <v>0.60348908899999998</v>
      </c>
      <c r="E1846" s="10">
        <v>-4.4474119999999999E-2</v>
      </c>
      <c r="F1846" s="10">
        <v>-0.48227602600000002</v>
      </c>
      <c r="G1846" s="10">
        <v>-1.486608615</v>
      </c>
      <c r="H1846" s="9">
        <v>-0.35246741799999998</v>
      </c>
      <c r="I1846" s="10">
        <v>0.87784570480467405</v>
      </c>
      <c r="J1846" s="10">
        <v>0.77061308144401597</v>
      </c>
      <c r="K1846" s="10">
        <v>0.49355822300000002</v>
      </c>
      <c r="L1846" s="10">
        <v>-0.70353353500000004</v>
      </c>
      <c r="M1846" s="10">
        <v>0.35484745299999998</v>
      </c>
      <c r="N1846" s="10">
        <v>-0.19840533799999999</v>
      </c>
      <c r="O1846" s="9">
        <v>-1.3383299249999999E-2</v>
      </c>
      <c r="P1846" s="10">
        <v>0.54867236629666105</v>
      </c>
      <c r="Q1846" s="10">
        <v>0.30104136553757799</v>
      </c>
    </row>
    <row r="1847" spans="1:17" x14ac:dyDescent="0.2">
      <c r="A1847" s="10">
        <v>1811</v>
      </c>
      <c r="B1847" s="10" t="s">
        <v>2814</v>
      </c>
      <c r="C1847" s="9" t="s">
        <v>1653</v>
      </c>
      <c r="D1847" s="10">
        <v>-7.0419365999999997E-2</v>
      </c>
      <c r="E1847" s="10">
        <v>0.12460278</v>
      </c>
      <c r="F1847" s="10">
        <v>-1.0712187259999999</v>
      </c>
      <c r="G1847" s="10">
        <v>5.9159059E-2</v>
      </c>
      <c r="H1847" s="9">
        <v>-0.23946906325</v>
      </c>
      <c r="I1847" s="10">
        <v>0.56039044842891095</v>
      </c>
      <c r="J1847" s="10">
        <v>0.31403745469035599</v>
      </c>
      <c r="K1847" s="10">
        <v>-0.41399072399999998</v>
      </c>
      <c r="L1847" s="10">
        <v>0.263714799</v>
      </c>
      <c r="M1847" s="10">
        <v>0.21562589200000001</v>
      </c>
      <c r="N1847" s="10">
        <v>-0.40496114799999999</v>
      </c>
      <c r="O1847" s="9">
        <v>-8.4902795500000003E-2</v>
      </c>
      <c r="P1847" s="10">
        <v>0.37531672531115801</v>
      </c>
      <c r="Q1847" s="10">
        <v>0.14086264429829101</v>
      </c>
    </row>
    <row r="1848" spans="1:17" x14ac:dyDescent="0.2">
      <c r="A1848" s="10">
        <v>1811</v>
      </c>
      <c r="B1848" s="10" t="s">
        <v>2825</v>
      </c>
      <c r="C1848" s="9" t="s">
        <v>1654</v>
      </c>
      <c r="D1848" s="10">
        <v>-0.31077292699999998</v>
      </c>
      <c r="E1848" s="10">
        <v>-0.76901014899999998</v>
      </c>
      <c r="F1848" s="10">
        <v>-2.141711828</v>
      </c>
      <c r="G1848" s="10">
        <v>-0.13766800600000001</v>
      </c>
      <c r="H1848" s="9">
        <v>-0.83979072774999997</v>
      </c>
      <c r="I1848" s="10">
        <v>0.90789951564262705</v>
      </c>
      <c r="J1848" s="10">
        <v>0.82428153050411601</v>
      </c>
      <c r="K1848" s="10">
        <v>0.288725597</v>
      </c>
      <c r="L1848" s="10">
        <v>-5.8600556999999998E-2</v>
      </c>
      <c r="M1848" s="10">
        <v>0.18209231200000001</v>
      </c>
      <c r="N1848" s="10">
        <v>-0.235739054</v>
      </c>
      <c r="O1848" s="9">
        <v>4.4119574500000001E-2</v>
      </c>
      <c r="P1848" s="10">
        <v>0.236460609755474</v>
      </c>
      <c r="Q1848" s="10">
        <v>5.5913619965930798E-2</v>
      </c>
    </row>
    <row r="1849" spans="1:17" x14ac:dyDescent="0.2">
      <c r="A1849" s="10">
        <v>1811</v>
      </c>
      <c r="B1849" s="10" t="s">
        <v>2818</v>
      </c>
      <c r="C1849" s="9" t="s">
        <v>1656</v>
      </c>
      <c r="D1849" s="10">
        <v>0.197795428</v>
      </c>
      <c r="E1849" s="10">
        <v>0.59514899200000004</v>
      </c>
      <c r="F1849" s="10">
        <v>-0.160355725</v>
      </c>
      <c r="G1849" s="10">
        <v>0.41576695499999999</v>
      </c>
      <c r="H1849" s="9">
        <v>0.26208891249999999</v>
      </c>
      <c r="I1849" s="10">
        <v>0.32513539805483899</v>
      </c>
      <c r="J1849" s="10">
        <v>0.105713027068278</v>
      </c>
      <c r="K1849" s="10">
        <v>-0.22336282099999999</v>
      </c>
      <c r="L1849" s="10">
        <v>-1.2065062209999999</v>
      </c>
      <c r="M1849" s="10">
        <v>0.71574121199999996</v>
      </c>
      <c r="N1849" s="10">
        <v>0.72512981799999998</v>
      </c>
      <c r="O1849" s="9">
        <v>2.7504970000000002E-3</v>
      </c>
      <c r="P1849" s="10">
        <v>0.92079977658731205</v>
      </c>
      <c r="Q1849" s="10">
        <v>0.84787222856324396</v>
      </c>
    </row>
    <row r="1850" spans="1:17" x14ac:dyDescent="0.2">
      <c r="A1850" s="10">
        <v>1812</v>
      </c>
      <c r="B1850" s="10" t="s">
        <v>2831</v>
      </c>
      <c r="C1850" s="9" t="s">
        <v>1657</v>
      </c>
      <c r="D1850" s="10">
        <v>-1.017833067</v>
      </c>
      <c r="E1850" s="10">
        <v>0.41949365100000002</v>
      </c>
      <c r="F1850" s="10">
        <v>-0.83519037799999996</v>
      </c>
      <c r="G1850" s="10">
        <v>-0.212663771</v>
      </c>
      <c r="H1850" s="9">
        <v>-0.41154839124999998</v>
      </c>
      <c r="I1850" s="10">
        <v>0.65249255657205396</v>
      </c>
      <c r="J1850" s="10">
        <v>0.42574653638193499</v>
      </c>
      <c r="K1850" s="10">
        <v>0.403830721</v>
      </c>
      <c r="L1850" s="10">
        <v>0.204692446</v>
      </c>
      <c r="M1850" s="10">
        <v>-0.43571722699999998</v>
      </c>
      <c r="N1850" s="10">
        <v>-0.15758275899999999</v>
      </c>
      <c r="O1850" s="9">
        <v>3.8057955E-3</v>
      </c>
      <c r="P1850" s="10">
        <v>0.37398847584808598</v>
      </c>
      <c r="Q1850" s="10">
        <v>0.139867380067174</v>
      </c>
    </row>
    <row r="1851" spans="1:17" x14ac:dyDescent="0.2">
      <c r="A1851" s="10">
        <v>1812</v>
      </c>
      <c r="B1851" s="10" t="s">
        <v>2823</v>
      </c>
      <c r="C1851" s="9" t="s">
        <v>1659</v>
      </c>
      <c r="D1851" s="10">
        <v>-0.53174899099999995</v>
      </c>
      <c r="E1851" s="10">
        <v>-0.19957193300000001</v>
      </c>
      <c r="F1851" s="10">
        <v>-1.382742146</v>
      </c>
      <c r="G1851" s="10">
        <v>0.34120044700000002</v>
      </c>
      <c r="H1851" s="9">
        <v>-0.44321565574999999</v>
      </c>
      <c r="I1851" s="10">
        <v>0.72231550429179903</v>
      </c>
      <c r="J1851" s="10">
        <v>0.52173968774031598</v>
      </c>
      <c r="K1851" s="10">
        <v>-1.185193903</v>
      </c>
      <c r="L1851" s="10">
        <v>0.40446027099999998</v>
      </c>
      <c r="M1851" s="10">
        <v>0.28402394800000003</v>
      </c>
      <c r="N1851" s="10">
        <v>0.22976512299999999</v>
      </c>
      <c r="O1851" s="9">
        <v>-6.6736140250000006E-2</v>
      </c>
      <c r="P1851" s="10">
        <v>0.74920390274134896</v>
      </c>
      <c r="Q1851" s="10">
        <v>0.56130648788286897</v>
      </c>
    </row>
    <row r="1852" spans="1:17" x14ac:dyDescent="0.2">
      <c r="A1852" s="10">
        <v>1812</v>
      </c>
      <c r="B1852" s="10" t="s">
        <v>2824</v>
      </c>
      <c r="C1852" s="9" t="s">
        <v>1660</v>
      </c>
      <c r="D1852" s="10">
        <v>0.19350708999999999</v>
      </c>
      <c r="E1852" s="10">
        <v>7.7340703999999996E-2</v>
      </c>
      <c r="F1852" s="10">
        <v>-0.16024883400000001</v>
      </c>
      <c r="G1852" s="10">
        <v>-8.3253595E-2</v>
      </c>
      <c r="H1852" s="9">
        <v>6.83634125E-3</v>
      </c>
      <c r="I1852" s="10">
        <v>0.159007846774429</v>
      </c>
      <c r="J1852" s="10">
        <v>2.52834953358404E-2</v>
      </c>
      <c r="K1852" s="10">
        <v>5.5629340000000003E-3</v>
      </c>
      <c r="L1852" s="10">
        <v>0.55533194799999996</v>
      </c>
      <c r="M1852" s="10">
        <v>-0.202629218</v>
      </c>
      <c r="N1852" s="10">
        <v>-9.4949415999999995E-2</v>
      </c>
      <c r="O1852" s="9">
        <v>6.5829061999999994E-2</v>
      </c>
      <c r="P1852" s="10">
        <v>0.33722625870227202</v>
      </c>
      <c r="Q1852" s="10">
        <v>0.113721549558332</v>
      </c>
    </row>
    <row r="1853" spans="1:17" x14ac:dyDescent="0.2">
      <c r="A1853" s="10">
        <v>1813</v>
      </c>
      <c r="B1853" s="10" t="s">
        <v>2821</v>
      </c>
      <c r="C1853" s="9" t="s">
        <v>1665</v>
      </c>
      <c r="D1853" s="10">
        <v>-0.32973772600000001</v>
      </c>
      <c r="E1853" s="10">
        <v>-0.63413763899999998</v>
      </c>
      <c r="F1853" s="10">
        <v>4.0519448999999999E-2</v>
      </c>
      <c r="G1853" s="10">
        <v>-0.94684449199999998</v>
      </c>
      <c r="H1853" s="9">
        <v>-0.46755010200000002</v>
      </c>
      <c r="I1853" s="10">
        <v>0.422137986682595</v>
      </c>
      <c r="J1853" s="10">
        <v>0.17820047980043499</v>
      </c>
      <c r="K1853" s="10">
        <v>9.6498666999999996E-2</v>
      </c>
      <c r="L1853" s="10">
        <v>3.9390620000000001E-3</v>
      </c>
      <c r="M1853" s="10">
        <v>-0.64748706499999997</v>
      </c>
      <c r="N1853" s="10">
        <v>0.33765714200000002</v>
      </c>
      <c r="O1853" s="9">
        <v>-5.2348048500000001E-2</v>
      </c>
      <c r="P1853" s="10">
        <v>0.42095846236143197</v>
      </c>
      <c r="Q1853" s="10">
        <v>0.177206027033701</v>
      </c>
    </row>
    <row r="1854" spans="1:17" x14ac:dyDescent="0.2">
      <c r="A1854" s="10">
        <v>1813</v>
      </c>
      <c r="B1854" s="10" t="s">
        <v>2817</v>
      </c>
      <c r="C1854" s="9" t="s">
        <v>1668</v>
      </c>
      <c r="D1854" s="10">
        <v>-0.38660391900000002</v>
      </c>
      <c r="E1854" s="10">
        <v>-0.57988885099999998</v>
      </c>
      <c r="F1854" s="10">
        <v>-0.21406151500000001</v>
      </c>
      <c r="G1854" s="10">
        <v>5.4958171E-2</v>
      </c>
      <c r="H1854" s="9">
        <v>-0.28139902875</v>
      </c>
      <c r="I1854" s="10">
        <v>0.26946536543128202</v>
      </c>
      <c r="J1854" s="10">
        <v>7.2611583167014604E-2</v>
      </c>
      <c r="K1854" s="10">
        <v>-0.352802114</v>
      </c>
      <c r="L1854" s="10">
        <v>0.21952777400000001</v>
      </c>
      <c r="M1854" s="10">
        <v>0.35452383999999998</v>
      </c>
      <c r="N1854" s="10">
        <v>0.59685527500000002</v>
      </c>
      <c r="O1854" s="9">
        <v>0.20452619375</v>
      </c>
      <c r="P1854" s="10">
        <v>0.40301418167953801</v>
      </c>
      <c r="Q1854" s="10">
        <v>0.162420430634828</v>
      </c>
    </row>
    <row r="1855" spans="1:17" x14ac:dyDescent="0.2">
      <c r="A1855" s="10">
        <v>1813</v>
      </c>
      <c r="B1855" s="10" t="s">
        <v>82</v>
      </c>
      <c r="C1855" s="9" t="s">
        <v>1669</v>
      </c>
      <c r="D1855" s="10">
        <v>0.57035845900000004</v>
      </c>
      <c r="E1855" s="10">
        <v>-0.24434984100000001</v>
      </c>
      <c r="F1855" s="10">
        <v>0.24235852799999999</v>
      </c>
      <c r="G1855" s="10">
        <v>-9.8234295999999999E-2</v>
      </c>
      <c r="H1855" s="9">
        <v>0.1175332125</v>
      </c>
      <c r="I1855" s="10">
        <v>0.36430162658262599</v>
      </c>
      <c r="J1855" s="10">
        <v>0.132715675130747</v>
      </c>
      <c r="K1855" s="10">
        <v>0.26206849799999998</v>
      </c>
      <c r="L1855" s="10">
        <v>0.80251375199999997</v>
      </c>
      <c r="M1855" s="10">
        <v>-0.481415433</v>
      </c>
      <c r="N1855" s="10">
        <v>5.6048761000000002E-2</v>
      </c>
      <c r="O1855" s="9">
        <v>0.15980389449999999</v>
      </c>
      <c r="P1855" s="10">
        <v>0.53086764318545399</v>
      </c>
      <c r="Q1855" s="10">
        <v>0.28182045458127902</v>
      </c>
    </row>
    <row r="1856" spans="1:17" x14ac:dyDescent="0.2">
      <c r="A1856" s="10">
        <v>1813</v>
      </c>
      <c r="B1856" s="10" t="s">
        <v>2825</v>
      </c>
      <c r="C1856" s="9" t="s">
        <v>1670</v>
      </c>
      <c r="D1856" s="10">
        <v>-1.1837733829999999</v>
      </c>
      <c r="E1856" s="10">
        <v>-0.64550465800000001</v>
      </c>
      <c r="F1856" s="10">
        <v>-0.75851454500000004</v>
      </c>
      <c r="G1856" s="10">
        <v>-0.35165708299999998</v>
      </c>
      <c r="H1856" s="9">
        <v>-0.73486241750000003</v>
      </c>
      <c r="I1856" s="10">
        <v>0.34492106133313799</v>
      </c>
      <c r="J1856" s="10">
        <v>0.11897053855117801</v>
      </c>
      <c r="K1856" s="10">
        <v>3.7688681000000002E-2</v>
      </c>
      <c r="L1856" s="10">
        <v>0.385719068</v>
      </c>
      <c r="M1856" s="10">
        <v>0.31753344</v>
      </c>
      <c r="N1856" s="10">
        <v>-0.14127631099999999</v>
      </c>
      <c r="O1856" s="9">
        <v>0.1499162195</v>
      </c>
      <c r="P1856" s="10">
        <v>0.24568721726728199</v>
      </c>
      <c r="Q1856" s="10">
        <v>6.0362208728540603E-2</v>
      </c>
    </row>
    <row r="1857" spans="1:17" x14ac:dyDescent="0.2">
      <c r="A1857" s="10">
        <v>1813</v>
      </c>
      <c r="B1857" s="10" t="s">
        <v>2818</v>
      </c>
      <c r="C1857" s="9" t="s">
        <v>1672</v>
      </c>
      <c r="D1857" s="10">
        <v>0.16502562300000001</v>
      </c>
      <c r="E1857" s="10">
        <v>0.44768378800000003</v>
      </c>
      <c r="F1857" s="10">
        <v>-0.41267597099999997</v>
      </c>
      <c r="G1857" s="10">
        <v>-0.124506439</v>
      </c>
      <c r="H1857" s="9">
        <v>1.8881750249999999E-2</v>
      </c>
      <c r="I1857" s="10">
        <v>0.370599270869856</v>
      </c>
      <c r="J1857" s="10">
        <v>0.137343819569269</v>
      </c>
      <c r="K1857" s="10">
        <v>-0.18331510300000001</v>
      </c>
      <c r="L1857" s="10">
        <v>4.8358611000000003E-2</v>
      </c>
      <c r="M1857" s="10">
        <v>2.3813910000000001E-2</v>
      </c>
      <c r="N1857" s="10">
        <v>-0.29051845900000001</v>
      </c>
      <c r="O1857" s="9">
        <v>-0.10041526025</v>
      </c>
      <c r="P1857" s="10">
        <v>0.16388833760691199</v>
      </c>
      <c r="Q1857" s="10">
        <v>2.6859387203557201E-2</v>
      </c>
    </row>
    <row r="1858" spans="1:17" x14ac:dyDescent="0.2">
      <c r="A1858" s="10">
        <v>1813</v>
      </c>
      <c r="B1858" s="10" t="s">
        <v>2830</v>
      </c>
      <c r="C1858" s="9" t="s">
        <v>1673</v>
      </c>
      <c r="D1858" s="10">
        <v>0.41667954699999998</v>
      </c>
      <c r="E1858" s="10">
        <v>0.202287681</v>
      </c>
      <c r="F1858" s="10">
        <v>0.37137857099999999</v>
      </c>
      <c r="G1858" s="10">
        <v>0.280634944</v>
      </c>
      <c r="H1858" s="9">
        <v>0.31774518600000001</v>
      </c>
      <c r="I1858" s="10">
        <v>9.5519898965538599E-2</v>
      </c>
      <c r="J1858" s="10">
        <v>9.1240510983866992E-3</v>
      </c>
      <c r="K1858" s="10">
        <v>0.25687969799999999</v>
      </c>
      <c r="L1858" s="10">
        <v>0.42211053500000001</v>
      </c>
      <c r="M1858" s="10">
        <v>0.381451655</v>
      </c>
      <c r="N1858" s="10">
        <v>0.42183752400000002</v>
      </c>
      <c r="O1858" s="9">
        <v>0.37056985325000003</v>
      </c>
      <c r="P1858" s="10">
        <v>7.8163676452003797E-2</v>
      </c>
      <c r="Q1858" s="10">
        <v>6.1095603164934998E-3</v>
      </c>
    </row>
    <row r="1859" spans="1:17" x14ac:dyDescent="0.2">
      <c r="A1859" s="10">
        <v>1814</v>
      </c>
      <c r="B1859" s="10" t="s">
        <v>2824</v>
      </c>
      <c r="C1859" s="9" t="s">
        <v>1674</v>
      </c>
      <c r="D1859" s="10">
        <v>0.107209949</v>
      </c>
      <c r="E1859" s="10">
        <v>1.7303225520000001</v>
      </c>
      <c r="F1859" s="10">
        <v>0.113468162</v>
      </c>
      <c r="G1859" s="10">
        <v>-0.23531315899999999</v>
      </c>
      <c r="H1859" s="9">
        <v>0.42892187599999998</v>
      </c>
      <c r="I1859" s="10">
        <v>0.88277243403290795</v>
      </c>
      <c r="J1859" s="10">
        <v>0.77928717028838501</v>
      </c>
      <c r="K1859" s="10">
        <v>-0.63620554200000001</v>
      </c>
      <c r="L1859" s="10">
        <v>-0.61698503699999996</v>
      </c>
      <c r="M1859" s="10">
        <v>0.174689233</v>
      </c>
      <c r="N1859" s="10">
        <v>0.72346457500000005</v>
      </c>
      <c r="O1859" s="9">
        <v>-8.8759192749999993E-2</v>
      </c>
      <c r="P1859" s="10">
        <v>0.66026069845401103</v>
      </c>
      <c r="Q1859" s="10">
        <v>0.43594418992297901</v>
      </c>
    </row>
    <row r="1860" spans="1:17" x14ac:dyDescent="0.2">
      <c r="A1860" s="10">
        <v>1814</v>
      </c>
      <c r="B1860" s="10" t="s">
        <v>2825</v>
      </c>
      <c r="C1860" s="9" t="s">
        <v>1676</v>
      </c>
      <c r="D1860" s="10">
        <v>0.15377497400000001</v>
      </c>
      <c r="E1860" s="10">
        <v>0.73858685800000001</v>
      </c>
      <c r="F1860" s="10">
        <v>0.28706500099999999</v>
      </c>
      <c r="G1860" s="10">
        <v>-0.21820867099999999</v>
      </c>
      <c r="H1860" s="9">
        <v>0.2403045405</v>
      </c>
      <c r="I1860" s="10">
        <v>0.39505001354177199</v>
      </c>
      <c r="J1860" s="10">
        <v>0.15606451319935399</v>
      </c>
      <c r="K1860" s="10">
        <v>-0.259003335</v>
      </c>
      <c r="L1860" s="10">
        <v>0.363448094</v>
      </c>
      <c r="M1860" s="10">
        <v>-0.126903181</v>
      </c>
      <c r="N1860" s="10">
        <v>-0.51461764499999996</v>
      </c>
      <c r="O1860" s="9">
        <v>-0.13426901675</v>
      </c>
      <c r="P1860" s="10">
        <v>0.36878191705061097</v>
      </c>
      <c r="Q1860" s="10">
        <v>0.136000102343524</v>
      </c>
    </row>
    <row r="1861" spans="1:17" x14ac:dyDescent="0.2">
      <c r="A1861" s="10">
        <v>1814</v>
      </c>
      <c r="B1861" s="10" t="s">
        <v>2830</v>
      </c>
      <c r="C1861" s="9" t="s">
        <v>1678</v>
      </c>
      <c r="D1861" s="10">
        <v>-0.327684113</v>
      </c>
      <c r="E1861" s="10">
        <v>1.3446254580000001</v>
      </c>
      <c r="F1861" s="10">
        <v>4.5011951000000001E-2</v>
      </c>
      <c r="G1861" s="10">
        <v>-0.96579506599999998</v>
      </c>
      <c r="H1861" s="9">
        <v>2.4039557499999999E-2</v>
      </c>
      <c r="I1861" s="10">
        <v>0.97431498742413802</v>
      </c>
      <c r="J1861" s="10">
        <v>0.94928969471929803</v>
      </c>
      <c r="K1861" s="10">
        <v>-7.5496139000000004E-2</v>
      </c>
      <c r="L1861" s="10">
        <v>-0.28270801800000001</v>
      </c>
      <c r="M1861" s="10">
        <v>-0.17384767000000001</v>
      </c>
      <c r="N1861" s="10">
        <v>-0.39513742800000001</v>
      </c>
      <c r="O1861" s="9">
        <v>-0.231797314</v>
      </c>
      <c r="P1861" s="10">
        <v>0.13791315041166999</v>
      </c>
      <c r="Q1861" s="10">
        <v>1.90200370564719E-2</v>
      </c>
    </row>
    <row r="1862" spans="1:17" x14ac:dyDescent="0.2">
      <c r="A1862" s="10">
        <v>1814</v>
      </c>
      <c r="B1862" s="10" t="s">
        <v>2835</v>
      </c>
      <c r="C1862" s="9" t="s">
        <v>2189</v>
      </c>
      <c r="D1862" s="10">
        <v>-0.41076576399999998</v>
      </c>
      <c r="E1862" s="10">
        <v>-1.748513674</v>
      </c>
      <c r="F1862" s="10">
        <v>-0.57709209800000005</v>
      </c>
      <c r="G1862" s="10">
        <v>0.46287141500000001</v>
      </c>
      <c r="H1862" s="9">
        <v>-0.56837503</v>
      </c>
      <c r="I1862" s="10">
        <v>0.90941613455939796</v>
      </c>
      <c r="J1862" s="10">
        <v>0.82703770579695701</v>
      </c>
      <c r="K1862" s="10">
        <v>0.45588589099999999</v>
      </c>
      <c r="L1862" s="10">
        <v>2.0392877E-2</v>
      </c>
      <c r="M1862" s="10">
        <v>0.16788498199999999</v>
      </c>
      <c r="N1862" s="10">
        <v>-3.1264699E-2</v>
      </c>
      <c r="O1862" s="9">
        <v>0.15322476274999999</v>
      </c>
      <c r="P1862" s="10">
        <v>0.21870783551786299</v>
      </c>
      <c r="Q1862" s="10">
        <v>4.7833117316908903E-2</v>
      </c>
    </row>
    <row r="1863" spans="1:17" x14ac:dyDescent="0.2">
      <c r="A1863" s="10">
        <v>1815</v>
      </c>
      <c r="B1863" s="10" t="s">
        <v>2819</v>
      </c>
      <c r="C1863" s="9" t="s">
        <v>1680</v>
      </c>
      <c r="D1863" s="10">
        <v>0.86712118000000005</v>
      </c>
      <c r="E1863" s="10">
        <v>0.82750690100000002</v>
      </c>
      <c r="F1863" s="10">
        <v>8.1022802000000005E-2</v>
      </c>
      <c r="G1863" s="10">
        <v>2.5150814000000001E-2</v>
      </c>
      <c r="H1863" s="9">
        <v>0.45020042425000001</v>
      </c>
      <c r="I1863" s="10">
        <v>0.45939902115571601</v>
      </c>
      <c r="J1863" s="10">
        <v>0.21104746063883001</v>
      </c>
      <c r="K1863" s="10">
        <v>-0.61336226000000005</v>
      </c>
      <c r="L1863" s="10">
        <v>0.84911752200000001</v>
      </c>
      <c r="M1863" s="10">
        <v>-0.381999692</v>
      </c>
      <c r="N1863" s="10">
        <v>0.11885008599999999</v>
      </c>
      <c r="O1863" s="9">
        <v>-6.8485860000000003E-3</v>
      </c>
      <c r="P1863" s="10">
        <v>0.64732148717342197</v>
      </c>
      <c r="Q1863" s="10">
        <v>0.41902510775641</v>
      </c>
    </row>
    <row r="1864" spans="1:17" x14ac:dyDescent="0.2">
      <c r="A1864" s="10">
        <v>1815</v>
      </c>
      <c r="B1864" s="10" t="s">
        <v>2821</v>
      </c>
      <c r="C1864" s="9" t="s">
        <v>1681</v>
      </c>
      <c r="D1864" s="10">
        <v>-0.126452973</v>
      </c>
      <c r="E1864" s="10">
        <v>0.51732747599999995</v>
      </c>
      <c r="F1864" s="10">
        <v>-0.27014019900000003</v>
      </c>
      <c r="G1864" s="10">
        <v>-0.25020019999999998</v>
      </c>
      <c r="H1864" s="9">
        <v>-3.2366473999999999E-2</v>
      </c>
      <c r="I1864" s="10">
        <v>0.37193349963136202</v>
      </c>
      <c r="J1864" s="10">
        <v>0.13833452814803199</v>
      </c>
      <c r="K1864" s="10">
        <v>-0.116265757</v>
      </c>
      <c r="L1864" s="10">
        <v>1.0845651E-2</v>
      </c>
      <c r="M1864" s="10">
        <v>-0.258985193</v>
      </c>
      <c r="N1864" s="10">
        <v>-5.3629401E-2</v>
      </c>
      <c r="O1864" s="9">
        <v>-0.104508675</v>
      </c>
      <c r="P1864" s="10">
        <v>0.11532063221043</v>
      </c>
      <c r="Q1864" s="10">
        <v>1.32988482134134E-2</v>
      </c>
    </row>
    <row r="1865" spans="1:17" x14ac:dyDescent="0.2">
      <c r="A1865" s="10">
        <v>1815</v>
      </c>
      <c r="B1865" s="10" t="s">
        <v>2814</v>
      </c>
      <c r="C1865" s="9" t="s">
        <v>1684</v>
      </c>
      <c r="D1865" s="10">
        <v>-0.434152292</v>
      </c>
      <c r="E1865" s="10">
        <v>-9.2356103999999994E-2</v>
      </c>
      <c r="F1865" s="10">
        <v>0.39323342900000002</v>
      </c>
      <c r="G1865" s="10">
        <v>-0.23239515799999999</v>
      </c>
      <c r="H1865" s="9">
        <v>-9.1417530999999996E-2</v>
      </c>
      <c r="I1865" s="10">
        <v>0.35224482095103299</v>
      </c>
      <c r="J1865" s="10">
        <v>0.124076413886825</v>
      </c>
      <c r="K1865" s="10">
        <v>0.123606931</v>
      </c>
      <c r="L1865" s="10">
        <v>0.40028375599999999</v>
      </c>
      <c r="M1865" s="10">
        <v>-0.188775412</v>
      </c>
      <c r="N1865" s="10">
        <v>0.38975913600000001</v>
      </c>
      <c r="O1865" s="9">
        <v>0.18121860300000001</v>
      </c>
      <c r="P1865" s="10">
        <v>0.27790488243839401</v>
      </c>
      <c r="Q1865" s="10">
        <v>7.7231123683097702E-2</v>
      </c>
    </row>
    <row r="1866" spans="1:17" x14ac:dyDescent="0.2">
      <c r="A1866" s="10">
        <v>1815</v>
      </c>
      <c r="B1866" s="10" t="s">
        <v>2825</v>
      </c>
      <c r="C1866" s="9" t="s">
        <v>1685</v>
      </c>
      <c r="D1866" s="10">
        <v>6.3148335E-2</v>
      </c>
      <c r="E1866" s="10">
        <v>0.14332303199999999</v>
      </c>
      <c r="F1866" s="10">
        <v>-0.27438380600000001</v>
      </c>
      <c r="G1866" s="10">
        <v>9.1823092999999995E-2</v>
      </c>
      <c r="H1866" s="9">
        <v>5.9776632500000001E-3</v>
      </c>
      <c r="I1866" s="10">
        <v>0.18982819185990299</v>
      </c>
      <c r="J1866" s="10">
        <v>3.6034742424800197E-2</v>
      </c>
      <c r="K1866" s="10">
        <v>0.37013395100000002</v>
      </c>
      <c r="L1866" s="10">
        <v>-0.228975703</v>
      </c>
      <c r="M1866" s="10">
        <v>-3.1299215999999998E-2</v>
      </c>
      <c r="N1866" s="10">
        <v>-0.10020981399999999</v>
      </c>
      <c r="O1866" s="9">
        <v>2.4123047500000001E-3</v>
      </c>
      <c r="P1866" s="10">
        <v>0.25847461844401698</v>
      </c>
      <c r="Q1866" s="10">
        <v>6.68091283797803E-2</v>
      </c>
    </row>
    <row r="1867" spans="1:17" x14ac:dyDescent="0.2">
      <c r="A1867" s="10">
        <v>1815</v>
      </c>
      <c r="B1867" s="10" t="s">
        <v>74</v>
      </c>
      <c r="C1867" s="9" t="s">
        <v>1686</v>
      </c>
      <c r="D1867" s="10">
        <v>0.59213509399999997</v>
      </c>
      <c r="E1867" s="10">
        <v>0.24503565199999999</v>
      </c>
      <c r="F1867" s="10">
        <v>-1.855944E-3</v>
      </c>
      <c r="G1867" s="10">
        <v>0.22984283</v>
      </c>
      <c r="H1867" s="9">
        <v>0.26628940800000001</v>
      </c>
      <c r="I1867" s="10">
        <v>0.24485193898628599</v>
      </c>
      <c r="J1867" s="10">
        <v>5.9952472025343997E-2</v>
      </c>
      <c r="K1867" s="10">
        <v>0.62573457099999996</v>
      </c>
      <c r="L1867" s="10">
        <v>0.41895416299999999</v>
      </c>
      <c r="M1867" s="10">
        <v>6.4139069000000007E-2</v>
      </c>
      <c r="N1867" s="10">
        <v>-0.68994495700000003</v>
      </c>
      <c r="O1867" s="9">
        <v>0.10472071149999999</v>
      </c>
      <c r="P1867" s="10">
        <v>0.57831320759407301</v>
      </c>
      <c r="Q1867" s="10">
        <v>0.33444616607774602</v>
      </c>
    </row>
    <row r="1868" spans="1:17" x14ac:dyDescent="0.2">
      <c r="A1868" s="10">
        <v>1815</v>
      </c>
      <c r="B1868" s="10" t="s">
        <v>2818</v>
      </c>
      <c r="C1868" s="9" t="s">
        <v>1687</v>
      </c>
      <c r="D1868" s="10">
        <v>0.28689239799999999</v>
      </c>
      <c r="E1868" s="10">
        <v>0.52627652199999997</v>
      </c>
      <c r="F1868" s="10">
        <v>-0.18293778199999999</v>
      </c>
      <c r="G1868" s="10">
        <v>0.293870717</v>
      </c>
      <c r="H1868" s="9">
        <v>0.23102546374999999</v>
      </c>
      <c r="I1868" s="10">
        <v>0.297550777979249</v>
      </c>
      <c r="J1868" s="10">
        <v>8.8536465476056703E-2</v>
      </c>
      <c r="K1868" s="10">
        <v>-0.151111681</v>
      </c>
      <c r="L1868" s="10">
        <v>0.44650792</v>
      </c>
      <c r="M1868" s="10">
        <v>-0.27068479400000001</v>
      </c>
      <c r="N1868" s="10">
        <v>-0.86213849300000001</v>
      </c>
      <c r="O1868" s="9">
        <v>-0.209356762</v>
      </c>
      <c r="P1868" s="10">
        <v>0.53648115418655196</v>
      </c>
      <c r="Q1868" s="10">
        <v>0.28781202879733497</v>
      </c>
    </row>
    <row r="1869" spans="1:17" x14ac:dyDescent="0.2">
      <c r="A1869" s="10">
        <v>1816</v>
      </c>
      <c r="B1869" s="10" t="s">
        <v>2826</v>
      </c>
      <c r="C1869" s="9" t="s">
        <v>1689</v>
      </c>
      <c r="D1869" s="10">
        <v>0.180897426</v>
      </c>
      <c r="E1869" s="10">
        <v>0.48033712299999998</v>
      </c>
      <c r="F1869" s="10">
        <v>-0.208514687</v>
      </c>
      <c r="G1869" s="10">
        <v>1.054151609</v>
      </c>
      <c r="H1869" s="9">
        <v>0.37671786774999999</v>
      </c>
      <c r="I1869" s="10">
        <v>0.53244599487926503</v>
      </c>
      <c r="J1869" s="10">
        <v>0.283498737462971</v>
      </c>
      <c r="K1869" s="10">
        <v>-0.55377238100000004</v>
      </c>
      <c r="L1869" s="10">
        <v>0.25825664700000001</v>
      </c>
      <c r="M1869" s="10">
        <v>-8.1343530000000004E-3</v>
      </c>
      <c r="N1869" s="10">
        <v>-0.40781094800000001</v>
      </c>
      <c r="O1869" s="9">
        <v>-0.17786525850000001</v>
      </c>
      <c r="P1869" s="10">
        <v>0.37112086153734303</v>
      </c>
      <c r="Q1869" s="10">
        <v>0.13773069386822001</v>
      </c>
    </row>
    <row r="1870" spans="1:17" x14ac:dyDescent="0.2">
      <c r="A1870" s="10">
        <v>1816</v>
      </c>
      <c r="B1870" s="10" t="s">
        <v>2834</v>
      </c>
      <c r="C1870" s="9" t="s">
        <v>1690</v>
      </c>
      <c r="D1870" s="10">
        <v>0.66836443099999998</v>
      </c>
      <c r="E1870" s="10">
        <v>-0.65699370499999998</v>
      </c>
      <c r="F1870" s="10">
        <v>0.76401388999999997</v>
      </c>
      <c r="G1870" s="10">
        <v>-1.254099257</v>
      </c>
      <c r="H1870" s="9">
        <v>-0.11967866025</v>
      </c>
      <c r="I1870" s="10">
        <v>0.99624996606934701</v>
      </c>
      <c r="J1870" s="10">
        <v>0.99251399489317504</v>
      </c>
      <c r="K1870" s="10">
        <v>0.56887164800000001</v>
      </c>
      <c r="L1870" s="10">
        <v>0.50078115899999998</v>
      </c>
      <c r="M1870" s="10">
        <v>0.39934579100000001</v>
      </c>
      <c r="N1870" s="10">
        <v>0.84826402300000003</v>
      </c>
      <c r="O1870" s="9">
        <v>0.57931565524999995</v>
      </c>
      <c r="P1870" s="10">
        <v>0.192353078947918</v>
      </c>
      <c r="Q1870" s="10">
        <v>3.6999706980744E-2</v>
      </c>
    </row>
    <row r="1871" spans="1:17" x14ac:dyDescent="0.2">
      <c r="A1871" s="10">
        <v>1816</v>
      </c>
      <c r="B1871" s="10" t="s">
        <v>2833</v>
      </c>
      <c r="C1871" s="9" t="s">
        <v>1694</v>
      </c>
      <c r="D1871" s="10">
        <v>-0.31584366800000002</v>
      </c>
      <c r="E1871" s="10">
        <v>0.15577745600000001</v>
      </c>
      <c r="F1871" s="10">
        <v>0.36480105899999998</v>
      </c>
      <c r="G1871" s="10">
        <v>-0.21126156800000001</v>
      </c>
      <c r="H1871" s="9">
        <v>-1.6316805000000001E-3</v>
      </c>
      <c r="I1871" s="10">
        <v>0.31713532950099399</v>
      </c>
      <c r="J1871" s="10">
        <v>0.100574817217704</v>
      </c>
      <c r="K1871" s="10">
        <v>-0.47972898000000003</v>
      </c>
      <c r="L1871" s="10">
        <v>0.103603906</v>
      </c>
      <c r="M1871" s="10">
        <v>0.17698354899999999</v>
      </c>
      <c r="N1871" s="10">
        <v>0.390171661</v>
      </c>
      <c r="O1871" s="9">
        <v>4.7757533999999997E-2</v>
      </c>
      <c r="P1871" s="10">
        <v>0.37206972332229399</v>
      </c>
      <c r="Q1871" s="10">
        <v>0.13843587901312901</v>
      </c>
    </row>
    <row r="1872" spans="1:17" x14ac:dyDescent="0.2">
      <c r="A1872" s="10">
        <v>1817</v>
      </c>
      <c r="B1872" s="10" t="s">
        <v>2823</v>
      </c>
      <c r="C1872" s="9" t="s">
        <v>2188</v>
      </c>
      <c r="D1872" s="10">
        <v>0.486853914</v>
      </c>
      <c r="E1872" s="10">
        <v>-0.12018535800000001</v>
      </c>
      <c r="F1872" s="10">
        <v>0.203117996</v>
      </c>
      <c r="G1872" s="10">
        <v>0.95789955699999996</v>
      </c>
      <c r="H1872" s="9">
        <v>0.38192152699999998</v>
      </c>
      <c r="I1872" s="10">
        <v>0.45710812854534</v>
      </c>
      <c r="J1872" s="10">
        <v>0.20894784118222301</v>
      </c>
      <c r="K1872" s="10">
        <v>0.74131108499999998</v>
      </c>
      <c r="L1872" s="10">
        <v>-5.9472181999999998E-2</v>
      </c>
      <c r="M1872" s="10">
        <v>-0.20638409099999999</v>
      </c>
      <c r="N1872" s="10">
        <v>0.21101994700000001</v>
      </c>
      <c r="O1872" s="9">
        <v>0.17161868975</v>
      </c>
      <c r="P1872" s="10">
        <v>0.41728925920336102</v>
      </c>
      <c r="Q1872" s="10">
        <v>0.17413032584648999</v>
      </c>
    </row>
    <row r="1873" spans="1:17" x14ac:dyDescent="0.2">
      <c r="A1873" s="10">
        <v>1817</v>
      </c>
      <c r="B1873" s="10" t="s">
        <v>79</v>
      </c>
      <c r="C1873" s="9" t="s">
        <v>1696</v>
      </c>
      <c r="D1873" s="10">
        <v>0.32200171100000002</v>
      </c>
      <c r="E1873" s="10">
        <v>0.17460105100000001</v>
      </c>
      <c r="F1873" s="10">
        <v>0.72220635899999996</v>
      </c>
      <c r="G1873" s="10">
        <v>0.199229921</v>
      </c>
      <c r="H1873" s="9">
        <v>0.35450976024999997</v>
      </c>
      <c r="I1873" s="10">
        <v>0.253466982820159</v>
      </c>
      <c r="J1873" s="10">
        <v>6.4245511379955197E-2</v>
      </c>
      <c r="K1873" s="10">
        <v>0.24135668699999999</v>
      </c>
      <c r="L1873" s="10">
        <v>9.2448969000000006E-2</v>
      </c>
      <c r="M1873" s="10">
        <v>5.4214348000000002E-2</v>
      </c>
      <c r="N1873" s="10">
        <v>-0.202032463</v>
      </c>
      <c r="O1873" s="9">
        <v>4.6496885250000002E-2</v>
      </c>
      <c r="P1873" s="10">
        <v>0.18430801439608599</v>
      </c>
      <c r="Q1873" s="10">
        <v>3.3969444170627902E-2</v>
      </c>
    </row>
    <row r="1874" spans="1:17" x14ac:dyDescent="0.2">
      <c r="A1874" s="10">
        <v>1817</v>
      </c>
      <c r="B1874" s="10" t="s">
        <v>2820</v>
      </c>
      <c r="C1874" s="9" t="s">
        <v>1697</v>
      </c>
      <c r="D1874" s="10">
        <v>-0.118572741</v>
      </c>
      <c r="E1874" s="10">
        <v>1.0265536559999999</v>
      </c>
      <c r="F1874" s="10">
        <v>-0.57701936300000001</v>
      </c>
      <c r="G1874" s="10">
        <v>-6.0985253000000003E-2</v>
      </c>
      <c r="H1874" s="9">
        <v>6.7494074749999994E-2</v>
      </c>
      <c r="I1874" s="10">
        <v>0.67978443872798899</v>
      </c>
      <c r="J1874" s="10">
        <v>0.46210688313672799</v>
      </c>
      <c r="K1874" s="10">
        <v>0.82586964500000004</v>
      </c>
      <c r="L1874" s="10">
        <v>0.60573667499999995</v>
      </c>
      <c r="M1874" s="10">
        <v>-0.41723708799999998</v>
      </c>
      <c r="N1874" s="10">
        <v>0.192424069</v>
      </c>
      <c r="O1874" s="9">
        <v>0.30169832549999998</v>
      </c>
      <c r="P1874" s="10">
        <v>0.54650522476035501</v>
      </c>
      <c r="Q1874" s="10">
        <v>0.298667960690366</v>
      </c>
    </row>
    <row r="1875" spans="1:17" x14ac:dyDescent="0.2">
      <c r="A1875" s="10">
        <v>1817</v>
      </c>
      <c r="B1875" s="10" t="s">
        <v>2824</v>
      </c>
      <c r="C1875" s="9" t="s">
        <v>1698</v>
      </c>
      <c r="D1875" s="10">
        <v>0.59305685200000002</v>
      </c>
      <c r="E1875" s="10">
        <v>0.120110461</v>
      </c>
      <c r="F1875" s="10">
        <v>-0.61464655999999995</v>
      </c>
      <c r="G1875" s="10">
        <v>-1.7048007060000001</v>
      </c>
      <c r="H1875" s="9">
        <v>-0.40156998799999999</v>
      </c>
      <c r="I1875" s="10">
        <v>1.00087378018597</v>
      </c>
      <c r="J1875" s="10">
        <v>1.0017483238637599</v>
      </c>
      <c r="K1875" s="10">
        <v>-0.24389319300000001</v>
      </c>
      <c r="L1875" s="10">
        <v>-0.37445493099999999</v>
      </c>
      <c r="M1875" s="10">
        <v>-0.90168082500000002</v>
      </c>
      <c r="N1875" s="10">
        <v>0.60556708000000004</v>
      </c>
      <c r="O1875" s="9">
        <v>-0.2286154675</v>
      </c>
      <c r="P1875" s="10">
        <v>0.62460122105511195</v>
      </c>
      <c r="Q1875" s="10">
        <v>0.39012668534353701</v>
      </c>
    </row>
    <row r="1876" spans="1:17" x14ac:dyDescent="0.2">
      <c r="A1876" s="10">
        <v>1817</v>
      </c>
      <c r="B1876" s="10" t="s">
        <v>2817</v>
      </c>
      <c r="C1876" s="9" t="s">
        <v>1699</v>
      </c>
      <c r="D1876" s="10">
        <v>2.9153776630000001</v>
      </c>
      <c r="E1876" s="10">
        <v>-0.55716531300000005</v>
      </c>
      <c r="F1876" s="10">
        <v>0.62668969399999996</v>
      </c>
      <c r="G1876" s="10">
        <v>-0.64935440099999997</v>
      </c>
      <c r="H1876" s="9">
        <v>0.58388691074999999</v>
      </c>
      <c r="I1876" s="10">
        <v>1.65937392977119</v>
      </c>
      <c r="J1876" s="10">
        <v>2.7535218388042999</v>
      </c>
      <c r="K1876" s="10">
        <v>-1.3042621670000001</v>
      </c>
      <c r="L1876" s="10">
        <v>0.255458874</v>
      </c>
      <c r="M1876" s="10">
        <v>-0.14568461099999999</v>
      </c>
      <c r="N1876" s="10">
        <v>-6.3495785999999999E-2</v>
      </c>
      <c r="O1876" s="9">
        <v>-0.31449592250000002</v>
      </c>
      <c r="P1876" s="10">
        <v>0.68214954768446401</v>
      </c>
      <c r="Q1876" s="10">
        <v>0.46532800540611902</v>
      </c>
    </row>
    <row r="1877" spans="1:17" x14ac:dyDescent="0.2">
      <c r="A1877" s="10">
        <v>1817</v>
      </c>
      <c r="B1877" s="10" t="s">
        <v>2825</v>
      </c>
      <c r="C1877" s="9" t="s">
        <v>1701</v>
      </c>
      <c r="D1877" s="10">
        <v>0.13878299199999999</v>
      </c>
      <c r="E1877" s="10">
        <v>0.16131853700000001</v>
      </c>
      <c r="F1877" s="10">
        <v>0.31665932400000002</v>
      </c>
      <c r="G1877" s="10">
        <v>0.25906232099999998</v>
      </c>
      <c r="H1877" s="9">
        <v>0.2189557935</v>
      </c>
      <c r="I1877" s="10">
        <v>8.3475035903911296E-2</v>
      </c>
      <c r="J1877" s="10">
        <v>6.9680816191591997E-3</v>
      </c>
      <c r="K1877" s="10">
        <v>-0.16453348500000001</v>
      </c>
      <c r="L1877" s="10">
        <v>0.446336758</v>
      </c>
      <c r="M1877" s="10">
        <v>-4.0939295000000001E-2</v>
      </c>
      <c r="N1877" s="10">
        <v>-0.14354877599999999</v>
      </c>
      <c r="O1877" s="9">
        <v>2.4328800500000001E-2</v>
      </c>
      <c r="P1877" s="10">
        <v>0.28647424785910203</v>
      </c>
      <c r="Q1877" s="10">
        <v>8.2067494686438494E-2</v>
      </c>
    </row>
    <row r="1878" spans="1:17" x14ac:dyDescent="0.2">
      <c r="A1878" s="10">
        <v>1817</v>
      </c>
      <c r="B1878" s="10" t="s">
        <v>2818</v>
      </c>
      <c r="C1878" s="9" t="s">
        <v>1702</v>
      </c>
      <c r="D1878" s="10">
        <v>0.294861659</v>
      </c>
      <c r="E1878" s="10">
        <v>-0.222067556</v>
      </c>
      <c r="F1878" s="10">
        <v>-0.42142054800000001</v>
      </c>
      <c r="G1878" s="10">
        <v>-0.361402638</v>
      </c>
      <c r="H1878" s="9">
        <v>-0.17750727099999999</v>
      </c>
      <c r="I1878" s="10">
        <v>0.32579605979281401</v>
      </c>
      <c r="J1878" s="10">
        <v>0.106143072576523</v>
      </c>
      <c r="K1878" s="10">
        <v>0.336504366</v>
      </c>
      <c r="L1878" s="10">
        <v>-0.20611728700000001</v>
      </c>
      <c r="M1878" s="10">
        <v>-0.24180215099999999</v>
      </c>
      <c r="N1878" s="10">
        <v>0.540444496</v>
      </c>
      <c r="O1878" s="9">
        <v>0.10725735625</v>
      </c>
      <c r="P1878" s="10">
        <v>0.39168503339536298</v>
      </c>
      <c r="Q1878" s="10">
        <v>0.15341716538592601</v>
      </c>
    </row>
    <row r="1879" spans="1:17" x14ac:dyDescent="0.2">
      <c r="A1879" s="10">
        <v>1817</v>
      </c>
      <c r="B1879" s="10" t="s">
        <v>2830</v>
      </c>
      <c r="C1879" s="9" t="s">
        <v>1703</v>
      </c>
      <c r="D1879" s="10">
        <v>-0.623675431</v>
      </c>
      <c r="E1879" s="10">
        <v>0.386885743</v>
      </c>
      <c r="F1879" s="10">
        <v>2.8282317000000001E-2</v>
      </c>
      <c r="G1879" s="10">
        <v>-0.92567491199999996</v>
      </c>
      <c r="H1879" s="9">
        <v>-0.28354557074999998</v>
      </c>
      <c r="I1879" s="10">
        <v>0.598535209424647</v>
      </c>
      <c r="J1879" s="10">
        <v>0.35824439692100701</v>
      </c>
      <c r="K1879" s="10">
        <v>0.57753573000000002</v>
      </c>
      <c r="L1879" s="10">
        <v>0.125775886</v>
      </c>
      <c r="M1879" s="10">
        <v>-0.115315919</v>
      </c>
      <c r="N1879" s="10">
        <v>0.57474175400000005</v>
      </c>
      <c r="O1879" s="9">
        <v>0.29068436274999998</v>
      </c>
      <c r="P1879" s="10">
        <v>0.34399774364668601</v>
      </c>
      <c r="Q1879" s="10">
        <v>0.11833444763401101</v>
      </c>
    </row>
    <row r="1880" spans="1:17" x14ac:dyDescent="0.2">
      <c r="A1880" s="10">
        <v>1818</v>
      </c>
      <c r="B1880" s="10" t="s">
        <v>2831</v>
      </c>
      <c r="C1880" s="9" t="s">
        <v>1705</v>
      </c>
      <c r="D1880" s="10">
        <v>-0.400773504</v>
      </c>
      <c r="E1880" s="10">
        <v>-0.84664664999999995</v>
      </c>
      <c r="F1880" s="10">
        <v>-1.525952258</v>
      </c>
      <c r="G1880" s="10">
        <v>-8.57512E-2</v>
      </c>
      <c r="H1880" s="9">
        <v>-0.71478090299999997</v>
      </c>
      <c r="I1880" s="10">
        <v>0.62441080395506099</v>
      </c>
      <c r="J1880" s="10">
        <v>0.38988885209580498</v>
      </c>
      <c r="K1880" s="10">
        <v>-0.765172254</v>
      </c>
      <c r="L1880" s="10">
        <v>0.186756809</v>
      </c>
      <c r="M1880" s="10">
        <v>-0.11317785499999999</v>
      </c>
      <c r="N1880" s="10">
        <v>-5.4912412000000001E-2</v>
      </c>
      <c r="O1880" s="9">
        <v>-0.18662642825</v>
      </c>
      <c r="P1880" s="10">
        <v>0.40696993719487601</v>
      </c>
      <c r="Q1880" s="10">
        <v>0.16562452978040099</v>
      </c>
    </row>
    <row r="1881" spans="1:17" x14ac:dyDescent="0.2">
      <c r="A1881" s="10">
        <v>1818</v>
      </c>
      <c r="B1881" s="10" t="s">
        <v>2824</v>
      </c>
      <c r="C1881" s="9" t="s">
        <v>1707</v>
      </c>
      <c r="D1881" s="10">
        <v>0.68731617899999997</v>
      </c>
      <c r="E1881" s="10">
        <v>0.105987332</v>
      </c>
      <c r="F1881" s="10">
        <v>-0.31299778900000003</v>
      </c>
      <c r="G1881" s="10">
        <v>-9.1410035000000001E-2</v>
      </c>
      <c r="H1881" s="9">
        <v>9.7223921749999997E-2</v>
      </c>
      <c r="I1881" s="10">
        <v>0.42901060244685002</v>
      </c>
      <c r="J1881" s="10">
        <v>0.18405009701180899</v>
      </c>
      <c r="K1881" s="10">
        <v>-0.69036532500000003</v>
      </c>
      <c r="L1881" s="10">
        <v>1.2643689060000001</v>
      </c>
      <c r="M1881" s="10">
        <v>0.24512351199999999</v>
      </c>
      <c r="N1881" s="10">
        <v>9.9396330000000005E-2</v>
      </c>
      <c r="O1881" s="9">
        <v>0.22963085575</v>
      </c>
      <c r="P1881" s="10">
        <v>0.80296883694714805</v>
      </c>
      <c r="Q1881" s="10">
        <v>0.64475895310825504</v>
      </c>
    </row>
    <row r="1882" spans="1:17" x14ac:dyDescent="0.2">
      <c r="A1882" s="10">
        <v>1818</v>
      </c>
      <c r="B1882" s="10" t="s">
        <v>2825</v>
      </c>
      <c r="C1882" s="9" t="s">
        <v>1709</v>
      </c>
      <c r="D1882" s="10">
        <v>6.9828497000000003E-2</v>
      </c>
      <c r="E1882" s="10">
        <v>0.47282276200000001</v>
      </c>
      <c r="F1882" s="10">
        <v>0.27693611299999998</v>
      </c>
      <c r="G1882" s="10">
        <v>-0.34925589800000001</v>
      </c>
      <c r="H1882" s="9">
        <v>0.11758286850000001</v>
      </c>
      <c r="I1882" s="10">
        <v>0.35204533437762803</v>
      </c>
      <c r="J1882" s="10">
        <v>0.123935917457056</v>
      </c>
      <c r="K1882" s="10">
        <v>0.12209597</v>
      </c>
      <c r="L1882" s="10">
        <v>-0.20212759999999999</v>
      </c>
      <c r="M1882" s="10">
        <v>-0.32767032699999998</v>
      </c>
      <c r="N1882" s="10">
        <v>3.4750430000000001E-3</v>
      </c>
      <c r="O1882" s="9">
        <v>-0.10105672825000001</v>
      </c>
      <c r="P1882" s="10">
        <v>0.20190184264608099</v>
      </c>
      <c r="Q1882" s="10">
        <v>4.0764354063882902E-2</v>
      </c>
    </row>
    <row r="1883" spans="1:17" x14ac:dyDescent="0.2">
      <c r="A1883" s="10">
        <v>1819</v>
      </c>
      <c r="B1883" s="10" t="s">
        <v>2822</v>
      </c>
      <c r="C1883" s="9" t="s">
        <v>1711</v>
      </c>
      <c r="D1883" s="10">
        <v>0.314735551</v>
      </c>
      <c r="E1883" s="10">
        <v>0.634702553</v>
      </c>
      <c r="F1883" s="10">
        <v>0.79969391999999995</v>
      </c>
      <c r="G1883" s="10">
        <v>6.0662109999999998E-2</v>
      </c>
      <c r="H1883" s="9">
        <v>0.45244853350000003</v>
      </c>
      <c r="I1883" s="10">
        <v>0.32977636526258503</v>
      </c>
      <c r="J1883" s="10">
        <v>0.108752451085802</v>
      </c>
      <c r="K1883" s="10">
        <v>-0.30078699599999997</v>
      </c>
      <c r="L1883" s="10">
        <v>0.29070345199999997</v>
      </c>
      <c r="M1883" s="10">
        <v>-0.20317170200000001</v>
      </c>
      <c r="N1883" s="10">
        <v>-0.37110663300000002</v>
      </c>
      <c r="O1883" s="9">
        <v>-0.14609046975000001</v>
      </c>
      <c r="P1883" s="10">
        <v>0.29922705209171302</v>
      </c>
      <c r="Q1883" s="10">
        <v>8.9536828703496996E-2</v>
      </c>
    </row>
    <row r="1884" spans="1:17" x14ac:dyDescent="0.2">
      <c r="A1884" s="10">
        <v>1819</v>
      </c>
      <c r="B1884" s="10" t="s">
        <v>2819</v>
      </c>
      <c r="C1884" s="9" t="s">
        <v>1712</v>
      </c>
      <c r="D1884" s="10">
        <v>0.228634107</v>
      </c>
      <c r="E1884" s="10">
        <v>1.7572765000000001E-2</v>
      </c>
      <c r="F1884" s="10">
        <v>0.29504456800000001</v>
      </c>
      <c r="G1884" s="10">
        <v>-0.311227543</v>
      </c>
      <c r="H1884" s="9">
        <v>5.7505974000000001E-2</v>
      </c>
      <c r="I1884" s="10">
        <v>0.27280547971267499</v>
      </c>
      <c r="J1884" s="10">
        <v>7.4422829761263104E-2</v>
      </c>
      <c r="K1884" s="10">
        <v>1.9151285000000001E-2</v>
      </c>
      <c r="L1884" s="10">
        <v>-0.255335282</v>
      </c>
      <c r="M1884" s="10">
        <v>1.7719853000000001E-2</v>
      </c>
      <c r="N1884" s="10">
        <v>-0.12338792899999999</v>
      </c>
      <c r="O1884" s="9">
        <v>-8.5463018249999995E-2</v>
      </c>
      <c r="P1884" s="10">
        <v>0.13151139647805099</v>
      </c>
      <c r="Q1884" s="10">
        <v>1.72952474036073E-2</v>
      </c>
    </row>
    <row r="1885" spans="1:17" x14ac:dyDescent="0.2">
      <c r="A1885" s="10">
        <v>1819</v>
      </c>
      <c r="B1885" s="10" t="s">
        <v>2826</v>
      </c>
      <c r="C1885" s="9" t="s">
        <v>1713</v>
      </c>
      <c r="D1885" s="10">
        <v>9.3222298999999995E-2</v>
      </c>
      <c r="E1885" s="10">
        <v>3.3642860000000002E-3</v>
      </c>
      <c r="F1885" s="10">
        <v>0.80796261199999997</v>
      </c>
      <c r="G1885" s="10">
        <v>0.71227442399999996</v>
      </c>
      <c r="H1885" s="9">
        <v>0.40420590525</v>
      </c>
      <c r="I1885" s="10">
        <v>0.414451644774812</v>
      </c>
      <c r="J1885" s="10">
        <v>0.171770165856547</v>
      </c>
      <c r="K1885" s="10">
        <v>0.83025102100000003</v>
      </c>
      <c r="L1885" s="10">
        <v>-4.5393502000000002E-2</v>
      </c>
      <c r="M1885" s="10">
        <v>-0.242846327</v>
      </c>
      <c r="N1885" s="10">
        <v>-0.66770989700000005</v>
      </c>
      <c r="O1885" s="9">
        <v>-3.1424676249999998E-2</v>
      </c>
      <c r="P1885" s="10">
        <v>0.63040678186782395</v>
      </c>
      <c r="Q1885" s="10">
        <v>0.39741271062494599</v>
      </c>
    </row>
    <row r="1886" spans="1:17" x14ac:dyDescent="0.2">
      <c r="A1886" s="10">
        <v>1819</v>
      </c>
      <c r="B1886" s="10" t="s">
        <v>2820</v>
      </c>
      <c r="C1886" s="9" t="s">
        <v>1714</v>
      </c>
      <c r="D1886" s="10">
        <v>0.67217901000000002</v>
      </c>
      <c r="E1886" s="10">
        <v>0.32692448000000002</v>
      </c>
      <c r="F1886" s="10">
        <v>0.48507812900000002</v>
      </c>
      <c r="G1886" s="10">
        <v>-0.16560689300000001</v>
      </c>
      <c r="H1886" s="9">
        <v>0.32964368150000001</v>
      </c>
      <c r="I1886" s="10">
        <v>0.35905934715568899</v>
      </c>
      <c r="J1886" s="10">
        <v>0.12892361477986999</v>
      </c>
      <c r="K1886" s="10">
        <v>-0.19433022699999999</v>
      </c>
      <c r="L1886" s="10">
        <v>0.37146565300000001</v>
      </c>
      <c r="M1886" s="10">
        <v>2.8412616000000002E-2</v>
      </c>
      <c r="N1886" s="10">
        <v>0.12673217000000001</v>
      </c>
      <c r="O1886" s="9">
        <v>8.3070053249999998E-2</v>
      </c>
      <c r="P1886" s="10">
        <v>0.23453269375772801</v>
      </c>
      <c r="Q1886" s="10">
        <v>5.5005584441256299E-2</v>
      </c>
    </row>
    <row r="1887" spans="1:17" x14ac:dyDescent="0.2">
      <c r="A1887" s="10">
        <v>1819</v>
      </c>
      <c r="B1887" s="10" t="s">
        <v>2824</v>
      </c>
      <c r="C1887" s="9" t="s">
        <v>1715</v>
      </c>
      <c r="D1887" s="10">
        <v>0.46317516600000003</v>
      </c>
      <c r="E1887" s="10">
        <v>2.9639370000000002E-2</v>
      </c>
      <c r="F1887" s="10">
        <v>0.35019409200000001</v>
      </c>
      <c r="G1887" s="10">
        <v>-0.424463651</v>
      </c>
      <c r="H1887" s="9">
        <v>0.10463624425</v>
      </c>
      <c r="I1887" s="10">
        <v>0.39766822239235899</v>
      </c>
      <c r="J1887" s="10">
        <v>0.158140015100698</v>
      </c>
      <c r="K1887" s="10">
        <v>-0.377189475</v>
      </c>
      <c r="L1887" s="10">
        <v>0.220446169</v>
      </c>
      <c r="M1887" s="10">
        <v>-0.268618001</v>
      </c>
      <c r="N1887" s="10">
        <v>0.245005838</v>
      </c>
      <c r="O1887" s="9">
        <v>-4.5088867249999998E-2</v>
      </c>
      <c r="P1887" s="10">
        <v>0.32399582342643302</v>
      </c>
      <c r="Q1887" s="10">
        <v>0.10497329359777199</v>
      </c>
    </row>
    <row r="1888" spans="1:17" x14ac:dyDescent="0.2">
      <c r="A1888" s="10">
        <v>1819</v>
      </c>
      <c r="B1888" s="10" t="s">
        <v>2817</v>
      </c>
      <c r="C1888" s="9" t="s">
        <v>1716</v>
      </c>
      <c r="D1888" s="10">
        <v>0.39315556899999998</v>
      </c>
      <c r="E1888" s="10">
        <v>0.31118424700000002</v>
      </c>
      <c r="F1888" s="10">
        <v>0.63603071600000005</v>
      </c>
      <c r="G1888" s="10">
        <v>-0.56435141200000005</v>
      </c>
      <c r="H1888" s="9">
        <v>0.19400478025000001</v>
      </c>
      <c r="I1888" s="10">
        <v>0.52404933173863899</v>
      </c>
      <c r="J1888" s="10">
        <v>0.27462770209571402</v>
      </c>
      <c r="K1888" s="10">
        <v>0.17259027800000001</v>
      </c>
      <c r="L1888" s="10">
        <v>-9.7957766000000002E-2</v>
      </c>
      <c r="M1888" s="10">
        <v>-0.28934772600000003</v>
      </c>
      <c r="N1888" s="10">
        <v>0.553005195</v>
      </c>
      <c r="O1888" s="9">
        <v>8.4572494999999998E-2</v>
      </c>
      <c r="P1888" s="10">
        <v>0.36528981754534801</v>
      </c>
      <c r="Q1888" s="10">
        <v>0.13343665080231401</v>
      </c>
    </row>
    <row r="1889" spans="1:17" x14ac:dyDescent="0.2">
      <c r="A1889" s="10">
        <v>1819</v>
      </c>
      <c r="B1889" s="10" t="s">
        <v>2814</v>
      </c>
      <c r="C1889" s="9" t="s">
        <v>1717</v>
      </c>
      <c r="D1889" s="10">
        <v>-0.23633683599999999</v>
      </c>
      <c r="E1889" s="10">
        <v>-0.24670542300000001</v>
      </c>
      <c r="F1889" s="10">
        <v>7.9957702000000005E-2</v>
      </c>
      <c r="G1889" s="10">
        <v>-1.351615502</v>
      </c>
      <c r="H1889" s="9">
        <v>-0.43867501474999998</v>
      </c>
      <c r="I1889" s="10">
        <v>0.62722491736226005</v>
      </c>
      <c r="J1889" s="10">
        <v>0.39341109696009302</v>
      </c>
      <c r="K1889" s="10">
        <v>-0.79696988000000002</v>
      </c>
      <c r="L1889" s="10">
        <v>0.48089628499999998</v>
      </c>
      <c r="M1889" s="10">
        <v>-0.94983913200000003</v>
      </c>
      <c r="N1889" s="10">
        <v>-0.22493096900000001</v>
      </c>
      <c r="O1889" s="9">
        <v>-0.372710924</v>
      </c>
      <c r="P1889" s="10">
        <v>0.64898813871340499</v>
      </c>
      <c r="Q1889" s="10">
        <v>0.42118560419069001</v>
      </c>
    </row>
    <row r="1890" spans="1:17" x14ac:dyDescent="0.2">
      <c r="A1890" s="10">
        <v>1819</v>
      </c>
      <c r="B1890" s="10" t="s">
        <v>2833</v>
      </c>
      <c r="C1890" s="9" t="s">
        <v>1718</v>
      </c>
      <c r="D1890" s="10">
        <v>1.2366860129999999</v>
      </c>
      <c r="E1890" s="10">
        <v>-0.36258370200000001</v>
      </c>
      <c r="F1890" s="10">
        <v>-0.10331362600000001</v>
      </c>
      <c r="G1890" s="10">
        <v>-0.12594387700000001</v>
      </c>
      <c r="H1890" s="9">
        <v>0.161211202</v>
      </c>
      <c r="I1890" s="10">
        <v>0.72650730544062203</v>
      </c>
      <c r="J1890" s="10">
        <v>0.52781286485859302</v>
      </c>
      <c r="K1890" s="10">
        <v>-0.27904721900000001</v>
      </c>
      <c r="L1890" s="10">
        <v>0.29674229200000002</v>
      </c>
      <c r="M1890" s="10">
        <v>9.4522006000000006E-2</v>
      </c>
      <c r="N1890" s="10">
        <v>0.31173825900000002</v>
      </c>
      <c r="O1890" s="9">
        <v>0.1059888345</v>
      </c>
      <c r="P1890" s="10">
        <v>0.275138727360695</v>
      </c>
      <c r="Q1890" s="10">
        <v>7.5701319293662903E-2</v>
      </c>
    </row>
    <row r="1891" spans="1:17" x14ac:dyDescent="0.2">
      <c r="A1891" s="10">
        <v>1819</v>
      </c>
      <c r="B1891" s="10" t="s">
        <v>2825</v>
      </c>
      <c r="C1891" s="9" t="s">
        <v>1719</v>
      </c>
      <c r="D1891" s="10">
        <v>0.36986822800000002</v>
      </c>
      <c r="E1891" s="10">
        <v>0.51240937399999997</v>
      </c>
      <c r="F1891" s="10">
        <v>0.47882168000000003</v>
      </c>
      <c r="G1891" s="10">
        <v>5.2082524999999998E-2</v>
      </c>
      <c r="H1891" s="9">
        <v>0.35329545174999999</v>
      </c>
      <c r="I1891" s="10">
        <v>0.20982370249519999</v>
      </c>
      <c r="J1891" s="10">
        <v>4.4025986128794499E-2</v>
      </c>
      <c r="K1891" s="10">
        <v>-6.6063171000000004E-2</v>
      </c>
      <c r="L1891" s="10">
        <v>0.12913859</v>
      </c>
      <c r="M1891" s="10">
        <v>-1.3886299E-2</v>
      </c>
      <c r="N1891" s="10">
        <v>0.15635254000000001</v>
      </c>
      <c r="O1891" s="9">
        <v>5.1385414999999997E-2</v>
      </c>
      <c r="P1891" s="10">
        <v>0.108194609470224</v>
      </c>
      <c r="Q1891" s="10">
        <v>1.1706073518414401E-2</v>
      </c>
    </row>
    <row r="1892" spans="1:17" x14ac:dyDescent="0.2">
      <c r="A1892" s="10">
        <v>1819</v>
      </c>
      <c r="B1892" s="10" t="s">
        <v>2818</v>
      </c>
      <c r="C1892" s="9" t="s">
        <v>1720</v>
      </c>
      <c r="D1892" s="10">
        <v>0.87794900399999998</v>
      </c>
      <c r="E1892" s="10">
        <v>0.56475400099999995</v>
      </c>
      <c r="F1892" s="10">
        <v>0.56747482299999996</v>
      </c>
      <c r="G1892" s="10">
        <v>-0.10139195300000001</v>
      </c>
      <c r="H1892" s="9">
        <v>0.47719646874999999</v>
      </c>
      <c r="I1892" s="10">
        <v>0.41278875105484503</v>
      </c>
      <c r="J1892" s="10">
        <v>0.17039455299741799</v>
      </c>
      <c r="K1892" s="10">
        <v>-0.15619850900000001</v>
      </c>
      <c r="L1892" s="10">
        <v>0.54899388299999996</v>
      </c>
      <c r="M1892" s="10">
        <v>-5.3972794999999997E-2</v>
      </c>
      <c r="N1892" s="10">
        <v>-0.20441024999999999</v>
      </c>
      <c r="O1892" s="9">
        <v>3.3603082499999999E-2</v>
      </c>
      <c r="P1892" s="10">
        <v>0.34927171950770802</v>
      </c>
      <c r="Q1892" s="10">
        <v>0.121990734047871</v>
      </c>
    </row>
    <row r="1893" spans="1:17" x14ac:dyDescent="0.2">
      <c r="A1893" s="10">
        <v>1819</v>
      </c>
      <c r="B1893" s="10" t="s">
        <v>2830</v>
      </c>
      <c r="C1893" s="9" t="s">
        <v>1721</v>
      </c>
      <c r="D1893" s="10">
        <v>5.9111521E-2</v>
      </c>
      <c r="E1893" s="10">
        <v>0.35032366799999998</v>
      </c>
      <c r="F1893" s="10">
        <v>0.57673453900000005</v>
      </c>
      <c r="G1893" s="10">
        <v>-1.0108859999999999E-3</v>
      </c>
      <c r="H1893" s="9">
        <v>0.24628971050000001</v>
      </c>
      <c r="I1893" s="10">
        <v>0.26845863036307799</v>
      </c>
      <c r="J1893" s="10">
        <v>7.20700362164199E-2</v>
      </c>
      <c r="K1893" s="10">
        <v>0.15544442999999999</v>
      </c>
      <c r="L1893" s="10">
        <v>0.74059702800000005</v>
      </c>
      <c r="M1893" s="10">
        <v>1.2299536E-2</v>
      </c>
      <c r="N1893" s="10">
        <v>0.38408365799999999</v>
      </c>
      <c r="O1893" s="9">
        <v>0.323106163</v>
      </c>
      <c r="P1893" s="10">
        <v>0.31766234345848199</v>
      </c>
      <c r="Q1893" s="10">
        <v>0.10090936445153401</v>
      </c>
    </row>
    <row r="1894" spans="1:17" x14ac:dyDescent="0.2">
      <c r="A1894" s="10">
        <v>1819</v>
      </c>
      <c r="B1894" s="10" t="s">
        <v>2835</v>
      </c>
      <c r="C1894" s="9" t="s">
        <v>1722</v>
      </c>
      <c r="D1894" s="10">
        <v>-4.8008396000000002E-2</v>
      </c>
      <c r="E1894" s="10">
        <v>-0.29806515700000003</v>
      </c>
      <c r="F1894" s="10">
        <v>0.86627821699999996</v>
      </c>
      <c r="G1894" s="10">
        <v>-5.5556204999999997E-2</v>
      </c>
      <c r="H1894" s="9">
        <v>0.11616211475</v>
      </c>
      <c r="I1894" s="10">
        <v>0.51338664359131203</v>
      </c>
      <c r="J1894" s="10">
        <v>0.263565845817953</v>
      </c>
      <c r="K1894" s="10">
        <v>-0.26869135</v>
      </c>
      <c r="L1894" s="10">
        <v>1.1414959929999999</v>
      </c>
      <c r="M1894" s="10">
        <v>-0.770774195</v>
      </c>
      <c r="N1894" s="10">
        <v>1.046966697</v>
      </c>
      <c r="O1894" s="9">
        <v>0.28724928599999999</v>
      </c>
      <c r="P1894" s="10">
        <v>0.95488073567685705</v>
      </c>
      <c r="Q1894" s="10">
        <v>0.91179721936677605</v>
      </c>
    </row>
    <row r="1895" spans="1:17" x14ac:dyDescent="0.2">
      <c r="A1895" s="10">
        <v>1820</v>
      </c>
      <c r="B1895" s="10" t="s">
        <v>96</v>
      </c>
      <c r="C1895" s="9" t="s">
        <v>2187</v>
      </c>
      <c r="D1895" s="10">
        <v>0.198403999</v>
      </c>
      <c r="E1895" s="10">
        <v>0.28572799300000001</v>
      </c>
      <c r="F1895" s="10">
        <v>-0.51588861900000005</v>
      </c>
      <c r="G1895" s="10">
        <v>0.19427211799999999</v>
      </c>
      <c r="H1895" s="9">
        <v>4.0628872750000003E-2</v>
      </c>
      <c r="I1895" s="10">
        <v>0.37340082781785999</v>
      </c>
      <c r="J1895" s="10">
        <v>0.13942817821506301</v>
      </c>
      <c r="K1895" s="10">
        <v>-0.16657677600000001</v>
      </c>
      <c r="L1895" s="10">
        <v>-0.63169592900000004</v>
      </c>
      <c r="M1895" s="10">
        <v>-0.41852604999999998</v>
      </c>
      <c r="N1895" s="10">
        <v>0.126428189</v>
      </c>
      <c r="O1895" s="9">
        <v>-0.27259264150000001</v>
      </c>
      <c r="P1895" s="10">
        <v>0.32696009834043399</v>
      </c>
      <c r="Q1895" s="10">
        <v>0.106902905906786</v>
      </c>
    </row>
    <row r="1896" spans="1:17" x14ac:dyDescent="0.2">
      <c r="A1896" s="10">
        <v>1820</v>
      </c>
      <c r="B1896" s="10" t="s">
        <v>2824</v>
      </c>
      <c r="C1896" s="9" t="s">
        <v>1724</v>
      </c>
      <c r="D1896" s="10">
        <v>0.39372533599999998</v>
      </c>
      <c r="E1896" s="10">
        <v>1.4353736100000001</v>
      </c>
      <c r="F1896" s="10">
        <v>0.15945152400000001</v>
      </c>
      <c r="G1896" s="10">
        <v>-0.21852413500000001</v>
      </c>
      <c r="H1896" s="9">
        <v>0.44250658399999998</v>
      </c>
      <c r="I1896" s="10">
        <v>0.70834227129916505</v>
      </c>
      <c r="J1896" s="10">
        <v>0.50174877330926104</v>
      </c>
      <c r="K1896" s="10">
        <v>-0.376563184</v>
      </c>
      <c r="L1896" s="10">
        <v>-0.13514195500000001</v>
      </c>
      <c r="M1896" s="10">
        <v>1.062735121</v>
      </c>
      <c r="N1896" s="10">
        <v>1.223649387</v>
      </c>
      <c r="O1896" s="9">
        <v>0.44366984225</v>
      </c>
      <c r="P1896" s="10">
        <v>0.81637720521199397</v>
      </c>
      <c r="Q1896" s="10">
        <v>0.66647174118974595</v>
      </c>
    </row>
    <row r="1897" spans="1:17" x14ac:dyDescent="0.2">
      <c r="A1897" s="10">
        <v>1820</v>
      </c>
      <c r="B1897" s="10" t="s">
        <v>2825</v>
      </c>
      <c r="C1897" s="9" t="s">
        <v>1725</v>
      </c>
      <c r="D1897" s="10">
        <v>-9.3961411999999994E-2</v>
      </c>
      <c r="E1897" s="10">
        <v>-0.123557298</v>
      </c>
      <c r="F1897" s="10">
        <v>-5.0818573999999998E-2</v>
      </c>
      <c r="G1897" s="10">
        <v>-1.0909531E-2</v>
      </c>
      <c r="H1897" s="9">
        <v>-6.9811703749999995E-2</v>
      </c>
      <c r="I1897" s="10">
        <v>4.9335593108886799E-2</v>
      </c>
      <c r="J1897" s="10">
        <v>2.4340007474056E-3</v>
      </c>
      <c r="K1897" s="10">
        <v>-0.301029877</v>
      </c>
      <c r="L1897" s="10">
        <v>0.196053806</v>
      </c>
      <c r="M1897" s="10">
        <v>-6.1752460000000002E-2</v>
      </c>
      <c r="N1897" s="10">
        <v>-0.36330381699999997</v>
      </c>
      <c r="O1897" s="9">
        <v>-0.13250808675</v>
      </c>
      <c r="P1897" s="10">
        <v>0.25470606521697597</v>
      </c>
      <c r="Q1897" s="10">
        <v>6.4875179658314505E-2</v>
      </c>
    </row>
    <row r="1898" spans="1:17" x14ac:dyDescent="0.2">
      <c r="A1898" s="10">
        <v>1820</v>
      </c>
      <c r="B1898" s="10" t="s">
        <v>2830</v>
      </c>
      <c r="C1898" s="9" t="s">
        <v>1726</v>
      </c>
      <c r="D1898" s="10">
        <v>0.29527742400000001</v>
      </c>
      <c r="E1898" s="10">
        <v>-0.23127980200000001</v>
      </c>
      <c r="F1898" s="10">
        <v>-0.36327607200000001</v>
      </c>
      <c r="G1898" s="10">
        <v>-0.483667599</v>
      </c>
      <c r="H1898" s="9">
        <v>-0.19573651224999999</v>
      </c>
      <c r="I1898" s="10">
        <v>0.34318693926014099</v>
      </c>
      <c r="J1898" s="10">
        <v>0.117777275278743</v>
      </c>
      <c r="K1898" s="10">
        <v>-0.960554876</v>
      </c>
      <c r="L1898" s="10">
        <v>-0.31358228500000002</v>
      </c>
      <c r="M1898" s="10">
        <v>-0.15591485699999999</v>
      </c>
      <c r="N1898" s="10">
        <v>0.14078236199999999</v>
      </c>
      <c r="O1898" s="9">
        <v>-0.32231741375</v>
      </c>
      <c r="P1898" s="10">
        <v>0.46532231620896802</v>
      </c>
      <c r="Q1898" s="10">
        <v>0.21652485796207799</v>
      </c>
    </row>
    <row r="1899" spans="1:17" x14ac:dyDescent="0.2">
      <c r="A1899" s="10">
        <v>1821</v>
      </c>
      <c r="B1899" s="10" t="s">
        <v>2822</v>
      </c>
      <c r="C1899" s="9" t="s">
        <v>1728</v>
      </c>
      <c r="D1899" s="10">
        <v>0.32456469300000002</v>
      </c>
      <c r="E1899" s="10">
        <v>7.2999212999999993E-2</v>
      </c>
      <c r="F1899" s="10">
        <v>-0.30020093199999998</v>
      </c>
      <c r="G1899" s="10">
        <v>0.24187679000000001</v>
      </c>
      <c r="H1899" s="9">
        <v>8.4809940750000007E-2</v>
      </c>
      <c r="I1899" s="10">
        <v>0.27720341615588701</v>
      </c>
      <c r="J1899" s="10">
        <v>7.6841733928494096E-2</v>
      </c>
      <c r="K1899" s="10">
        <v>-0.54371211900000005</v>
      </c>
      <c r="L1899" s="10">
        <v>0.30845683699999998</v>
      </c>
      <c r="M1899" s="10">
        <v>-0.38794956600000002</v>
      </c>
      <c r="N1899" s="10">
        <v>-0.144421984</v>
      </c>
      <c r="O1899" s="9">
        <v>-0.19190670774999999</v>
      </c>
      <c r="P1899" s="10">
        <v>0.37185047423214301</v>
      </c>
      <c r="Q1899" s="10">
        <v>0.13827277518667</v>
      </c>
    </row>
    <row r="1900" spans="1:17" x14ac:dyDescent="0.2">
      <c r="A1900" s="10">
        <v>1821</v>
      </c>
      <c r="B1900" s="10" t="s">
        <v>2824</v>
      </c>
      <c r="C1900" s="9" t="s">
        <v>1729</v>
      </c>
      <c r="D1900" s="10">
        <v>0.29647554199999998</v>
      </c>
      <c r="E1900" s="10">
        <v>-0.21475287900000001</v>
      </c>
      <c r="F1900" s="10">
        <v>0.79349572400000001</v>
      </c>
      <c r="G1900" s="10">
        <v>-0.253178389</v>
      </c>
      <c r="H1900" s="9">
        <v>0.15550999974999999</v>
      </c>
      <c r="I1900" s="10">
        <v>0.49363207179974999</v>
      </c>
      <c r="J1900" s="10">
        <v>0.243672622309313</v>
      </c>
      <c r="K1900" s="10">
        <v>0.121452806</v>
      </c>
      <c r="L1900" s="10">
        <v>-0.11647447599999999</v>
      </c>
      <c r="M1900" s="10">
        <v>-0.28169113400000001</v>
      </c>
      <c r="N1900" s="10">
        <v>-0.41025530799999999</v>
      </c>
      <c r="O1900" s="9">
        <v>-0.17174202825000001</v>
      </c>
      <c r="P1900" s="10">
        <v>0.22948863707158201</v>
      </c>
      <c r="Q1900" s="10">
        <v>5.2665034544972601E-2</v>
      </c>
    </row>
    <row r="1901" spans="1:17" x14ac:dyDescent="0.2">
      <c r="A1901" s="10">
        <v>1821</v>
      </c>
      <c r="B1901" s="10" t="s">
        <v>2814</v>
      </c>
      <c r="C1901" s="9" t="s">
        <v>1731</v>
      </c>
      <c r="D1901" s="10">
        <v>-0.25999916000000001</v>
      </c>
      <c r="E1901" s="10">
        <v>0.34660802299999999</v>
      </c>
      <c r="F1901" s="10">
        <v>0.18353356500000001</v>
      </c>
      <c r="G1901" s="10">
        <v>0.35747716200000001</v>
      </c>
      <c r="H1901" s="9">
        <v>0.1569048975</v>
      </c>
      <c r="I1901" s="10">
        <v>0.28909893819931498</v>
      </c>
      <c r="J1901" s="10">
        <v>8.3578196067971802E-2</v>
      </c>
      <c r="K1901" s="10">
        <v>-4.1372707000000002E-2</v>
      </c>
      <c r="L1901" s="10">
        <v>0.33535574400000001</v>
      </c>
      <c r="M1901" s="10">
        <v>-0.78878636000000002</v>
      </c>
      <c r="N1901" s="10">
        <v>-0.215791398</v>
      </c>
      <c r="O1901" s="9">
        <v>-0.17764868025</v>
      </c>
      <c r="P1901" s="10">
        <v>0.46786351667727399</v>
      </c>
      <c r="Q1901" s="10">
        <v>0.21889627023762601</v>
      </c>
    </row>
    <row r="1902" spans="1:17" x14ac:dyDescent="0.2">
      <c r="A1902" s="10">
        <v>1821</v>
      </c>
      <c r="B1902" s="10" t="s">
        <v>2825</v>
      </c>
      <c r="C1902" s="9" t="s">
        <v>1732</v>
      </c>
      <c r="D1902" s="10">
        <v>0.17078089900000001</v>
      </c>
      <c r="E1902" s="10">
        <v>-0.35901031799999999</v>
      </c>
      <c r="F1902" s="10">
        <v>-7.5850644999999994E-2</v>
      </c>
      <c r="G1902" s="10">
        <v>-0.81195638800000003</v>
      </c>
      <c r="H1902" s="9">
        <v>-0.26900911300000002</v>
      </c>
      <c r="I1902" s="10">
        <v>0.42174929707368602</v>
      </c>
      <c r="J1902" s="10">
        <v>0.177872469582148</v>
      </c>
      <c r="K1902" s="10">
        <v>-2.0627675000000002E-2</v>
      </c>
      <c r="L1902" s="10">
        <v>0.74142036200000005</v>
      </c>
      <c r="M1902" s="10">
        <v>-0.53346898099999995</v>
      </c>
      <c r="N1902" s="10">
        <v>7.2605003000000001E-2</v>
      </c>
      <c r="O1902" s="9">
        <v>6.4982177249999995E-2</v>
      </c>
      <c r="P1902" s="10">
        <v>0.52380007664289896</v>
      </c>
      <c r="Q1902" s="10">
        <v>0.27436652029110697</v>
      </c>
    </row>
    <row r="1903" spans="1:17" x14ac:dyDescent="0.2">
      <c r="A1903" s="10">
        <v>1821</v>
      </c>
      <c r="B1903" s="10" t="s">
        <v>74</v>
      </c>
      <c r="C1903" s="9" t="s">
        <v>1733</v>
      </c>
      <c r="D1903" s="10">
        <v>0.527260591</v>
      </c>
      <c r="E1903" s="10">
        <v>-0.132916957</v>
      </c>
      <c r="F1903" s="10">
        <v>0.22037822200000001</v>
      </c>
      <c r="G1903" s="10">
        <v>-0.28289041399999998</v>
      </c>
      <c r="H1903" s="9">
        <v>8.2957860750000001E-2</v>
      </c>
      <c r="I1903" s="10">
        <v>0.36365559204180697</v>
      </c>
      <c r="J1903" s="10">
        <v>0.132245389623277</v>
      </c>
      <c r="K1903" s="10">
        <v>-0.89487477299999996</v>
      </c>
      <c r="L1903" s="10">
        <v>0.68686449999999999</v>
      </c>
      <c r="M1903" s="10">
        <v>-0.71477372299999997</v>
      </c>
      <c r="N1903" s="10">
        <v>-0.40556216899999997</v>
      </c>
      <c r="O1903" s="9">
        <v>-0.33208654124999998</v>
      </c>
      <c r="P1903" s="10">
        <v>0.708717142732737</v>
      </c>
      <c r="Q1903" s="10">
        <v>0.50227998840325505</v>
      </c>
    </row>
    <row r="1904" spans="1:17" x14ac:dyDescent="0.2">
      <c r="A1904" s="10">
        <v>1821</v>
      </c>
      <c r="B1904" s="10" t="s">
        <v>2835</v>
      </c>
      <c r="C1904" s="9" t="s">
        <v>1735</v>
      </c>
      <c r="D1904" s="10">
        <v>0.60615498400000001</v>
      </c>
      <c r="E1904" s="10">
        <v>8.1331874999999998E-2</v>
      </c>
      <c r="F1904" s="10">
        <v>0.20025128</v>
      </c>
      <c r="G1904" s="10">
        <v>-0.127936578</v>
      </c>
      <c r="H1904" s="9">
        <v>0.18995039024999999</v>
      </c>
      <c r="I1904" s="10">
        <v>0.308859449494715</v>
      </c>
      <c r="J1904" s="10">
        <v>9.5394159542178295E-2</v>
      </c>
      <c r="K1904" s="10">
        <v>9.9732822999999998E-2</v>
      </c>
      <c r="L1904" s="10">
        <v>-0.108090592</v>
      </c>
      <c r="M1904" s="10">
        <v>3.7205889999999998E-3</v>
      </c>
      <c r="N1904" s="10">
        <v>0.29839520000000003</v>
      </c>
      <c r="O1904" s="9">
        <v>7.3439504749999995E-2</v>
      </c>
      <c r="P1904" s="10">
        <v>0.17234684664886901</v>
      </c>
      <c r="Q1904" s="10">
        <v>2.9703435549808799E-2</v>
      </c>
    </row>
    <row r="1905" spans="1:17" x14ac:dyDescent="0.2">
      <c r="A1905" s="10">
        <v>1822</v>
      </c>
      <c r="B1905" s="10" t="s">
        <v>79</v>
      </c>
      <c r="C1905" s="9" t="s">
        <v>1737</v>
      </c>
      <c r="D1905" s="10">
        <v>-0.378860531</v>
      </c>
      <c r="E1905" s="10">
        <v>8.4923110999999996E-2</v>
      </c>
      <c r="F1905" s="10">
        <v>0.23265938799999999</v>
      </c>
      <c r="G1905" s="10">
        <v>-0.10163222299999999</v>
      </c>
      <c r="H1905" s="9">
        <v>-4.0727563750000001E-2</v>
      </c>
      <c r="I1905" s="10">
        <v>0.26367391383546401</v>
      </c>
      <c r="J1905" s="10">
        <v>6.9523932837311703E-2</v>
      </c>
      <c r="K1905" s="10">
        <v>-0.60664778100000005</v>
      </c>
      <c r="L1905" s="10">
        <v>0.23014586500000001</v>
      </c>
      <c r="M1905" s="10">
        <v>-0.18647449999999999</v>
      </c>
      <c r="N1905" s="10">
        <v>-0.58916304600000002</v>
      </c>
      <c r="O1905" s="9">
        <v>-0.28803486524999999</v>
      </c>
      <c r="P1905" s="10">
        <v>0.39623988875286897</v>
      </c>
      <c r="Q1905" s="10">
        <v>0.15700604943888599</v>
      </c>
    </row>
    <row r="1906" spans="1:17" x14ac:dyDescent="0.2">
      <c r="A1906" s="10">
        <v>1822</v>
      </c>
      <c r="B1906" s="10" t="s">
        <v>2824</v>
      </c>
      <c r="C1906" s="9" t="s">
        <v>1738</v>
      </c>
      <c r="D1906" s="10">
        <v>0.46768924099999998</v>
      </c>
      <c r="E1906" s="10">
        <v>-0.305144305</v>
      </c>
      <c r="F1906" s="10">
        <v>0.41143702999999998</v>
      </c>
      <c r="G1906" s="10">
        <v>-0.24107167400000001</v>
      </c>
      <c r="H1906" s="9">
        <v>8.3227573250000006E-2</v>
      </c>
      <c r="I1906" s="10">
        <v>0.41293055875114099</v>
      </c>
      <c r="J1906" s="10">
        <v>0.17051164635053001</v>
      </c>
      <c r="K1906" s="10">
        <v>-0.387928096</v>
      </c>
      <c r="L1906" s="10">
        <v>-1.5543192000000001E-2</v>
      </c>
      <c r="M1906" s="10">
        <v>0.246348819</v>
      </c>
      <c r="N1906" s="10">
        <v>9.2604297000000002E-2</v>
      </c>
      <c r="O1906" s="9">
        <v>-1.612954275E-2</v>
      </c>
      <c r="P1906" s="10">
        <v>0.27015578610605201</v>
      </c>
      <c r="Q1906" s="10">
        <v>7.2984148766579202E-2</v>
      </c>
    </row>
    <row r="1907" spans="1:17" x14ac:dyDescent="0.2">
      <c r="A1907" s="10">
        <v>1822</v>
      </c>
      <c r="B1907" s="10" t="s">
        <v>2817</v>
      </c>
      <c r="C1907" s="9" t="s">
        <v>1739</v>
      </c>
      <c r="D1907" s="10">
        <v>0.552268694</v>
      </c>
      <c r="E1907" s="10">
        <v>0.58824879500000005</v>
      </c>
      <c r="F1907" s="10">
        <v>-0.28843973899999997</v>
      </c>
      <c r="G1907" s="10">
        <v>-0.14273007700000001</v>
      </c>
      <c r="H1907" s="9">
        <v>0.17733691825</v>
      </c>
      <c r="I1907" s="10">
        <v>0.45782572477912797</v>
      </c>
      <c r="J1907" s="10">
        <v>0.20960439426953401</v>
      </c>
      <c r="K1907" s="10">
        <v>-0.67789079900000004</v>
      </c>
      <c r="L1907" s="10">
        <v>-0.84656818300000003</v>
      </c>
      <c r="M1907" s="10">
        <v>-1.1984807E-2</v>
      </c>
      <c r="N1907" s="10">
        <v>0.21587800800000001</v>
      </c>
      <c r="O1907" s="9">
        <v>-0.33014144525</v>
      </c>
      <c r="P1907" s="10">
        <v>0.51218065767416399</v>
      </c>
      <c r="Q1907" s="10">
        <v>0.26232902609553999</v>
      </c>
    </row>
    <row r="1908" spans="1:17" x14ac:dyDescent="0.2">
      <c r="A1908" s="10">
        <v>1822</v>
      </c>
      <c r="B1908" s="10" t="s">
        <v>82</v>
      </c>
      <c r="C1908" s="9" t="s">
        <v>1740</v>
      </c>
      <c r="D1908" s="10">
        <v>-0.41572694799999999</v>
      </c>
      <c r="E1908" s="10">
        <v>-0.31008092999999998</v>
      </c>
      <c r="F1908" s="10">
        <v>0.151014967</v>
      </c>
      <c r="G1908" s="10">
        <v>-0.54325643599999995</v>
      </c>
      <c r="H1908" s="9">
        <v>-0.27951233674999998</v>
      </c>
      <c r="I1908" s="10">
        <v>0.30243653239134899</v>
      </c>
      <c r="J1908" s="10">
        <v>9.1467856124903699E-2</v>
      </c>
      <c r="K1908" s="10">
        <v>-8.2618308000000001E-2</v>
      </c>
      <c r="L1908" s="10">
        <v>0.34818227400000001</v>
      </c>
      <c r="M1908" s="10">
        <v>0.50040535200000003</v>
      </c>
      <c r="N1908" s="10">
        <v>-0.68219822799999996</v>
      </c>
      <c r="O1908" s="9">
        <v>2.0942772250000002E-2</v>
      </c>
      <c r="P1908" s="10">
        <v>0.52981198566448395</v>
      </c>
      <c r="Q1908" s="10">
        <v>0.28070074015374302</v>
      </c>
    </row>
    <row r="1909" spans="1:17" x14ac:dyDescent="0.2">
      <c r="A1909" s="10">
        <v>1822</v>
      </c>
      <c r="B1909" s="10" t="s">
        <v>2814</v>
      </c>
      <c r="C1909" s="9" t="s">
        <v>1741</v>
      </c>
      <c r="D1909" s="10">
        <v>0.33112218500000001</v>
      </c>
      <c r="E1909" s="10">
        <v>9.6369929999999999E-3</v>
      </c>
      <c r="F1909" s="10">
        <v>0.33523730899999998</v>
      </c>
      <c r="G1909" s="10">
        <v>-0.34310661999999997</v>
      </c>
      <c r="H1909" s="9">
        <v>8.3222466750000001E-2</v>
      </c>
      <c r="I1909" s="10">
        <v>0.32256113796654701</v>
      </c>
      <c r="J1909" s="10">
        <v>0.104045687726274</v>
      </c>
      <c r="K1909" s="10">
        <v>-7.9196620999999995E-2</v>
      </c>
      <c r="L1909" s="10">
        <v>0.33573662399999998</v>
      </c>
      <c r="M1909" s="10">
        <v>-0.101046547</v>
      </c>
      <c r="N1909" s="10">
        <v>0.13876355300000001</v>
      </c>
      <c r="O1909" s="9">
        <v>7.3564252250000003E-2</v>
      </c>
      <c r="P1909" s="10">
        <v>0.20559678737611201</v>
      </c>
      <c r="Q1909" s="10">
        <v>4.2270038979378498E-2</v>
      </c>
    </row>
    <row r="1910" spans="1:17" x14ac:dyDescent="0.2">
      <c r="A1910" s="10">
        <v>1822</v>
      </c>
      <c r="B1910" s="10" t="s">
        <v>2825</v>
      </c>
      <c r="C1910" s="9" t="s">
        <v>1743</v>
      </c>
      <c r="D1910" s="10">
        <v>-0.21432832499999999</v>
      </c>
      <c r="E1910" s="10">
        <v>0.19346248699999999</v>
      </c>
      <c r="F1910" s="10">
        <v>0.55261278199999997</v>
      </c>
      <c r="G1910" s="10">
        <v>0.163378253</v>
      </c>
      <c r="H1910" s="9">
        <v>0.17378129924999999</v>
      </c>
      <c r="I1910" s="10">
        <v>0.31338897304604801</v>
      </c>
      <c r="J1910" s="10">
        <v>9.8212648426856605E-2</v>
      </c>
      <c r="K1910" s="10">
        <v>3.2973209000000003E-2</v>
      </c>
      <c r="L1910" s="10">
        <v>1.2770794860000001</v>
      </c>
      <c r="M1910" s="10">
        <v>-0.10283824</v>
      </c>
      <c r="N1910" s="10">
        <v>-1.09698E-3</v>
      </c>
      <c r="O1910" s="9">
        <v>0.30152936875000003</v>
      </c>
      <c r="P1910" s="10">
        <v>0.65292069762723504</v>
      </c>
      <c r="Q1910" s="10">
        <v>0.42630543739003501</v>
      </c>
    </row>
    <row r="1911" spans="1:17" x14ac:dyDescent="0.2">
      <c r="A1911" s="10">
        <v>1822</v>
      </c>
      <c r="B1911" s="10" t="s">
        <v>74</v>
      </c>
      <c r="C1911" s="9" t="s">
        <v>1744</v>
      </c>
      <c r="D1911" s="10">
        <v>0.44946286800000002</v>
      </c>
      <c r="E1911" s="10">
        <v>0.44022976000000003</v>
      </c>
      <c r="F1911" s="10">
        <v>-7.2506028E-2</v>
      </c>
      <c r="G1911" s="10">
        <v>-0.51140934100000002</v>
      </c>
      <c r="H1911" s="9">
        <v>7.6444314750000006E-2</v>
      </c>
      <c r="I1911" s="10">
        <v>0.46160618728827202</v>
      </c>
      <c r="J1911" s="10">
        <v>0.213080272142815</v>
      </c>
      <c r="K1911" s="10">
        <v>-0.11096278900000001</v>
      </c>
      <c r="L1911" s="10">
        <v>-0.122195283</v>
      </c>
      <c r="M1911" s="10">
        <v>-0.435575667</v>
      </c>
      <c r="N1911" s="10">
        <v>-0.38372379899999998</v>
      </c>
      <c r="O1911" s="9">
        <v>-0.26311438450000002</v>
      </c>
      <c r="P1911" s="10">
        <v>0.170585097051628</v>
      </c>
      <c r="Q1911" s="10">
        <v>2.9099275336113499E-2</v>
      </c>
    </row>
    <row r="1912" spans="1:17" x14ac:dyDescent="0.2">
      <c r="A1912" s="10">
        <v>1822</v>
      </c>
      <c r="B1912" s="10" t="s">
        <v>2830</v>
      </c>
      <c r="C1912" s="9" t="s">
        <v>1745</v>
      </c>
      <c r="D1912" s="10">
        <v>-0.37713445200000001</v>
      </c>
      <c r="E1912" s="10">
        <v>-0.63783756999999996</v>
      </c>
      <c r="F1912" s="10">
        <v>0.98625092800000003</v>
      </c>
      <c r="G1912" s="10">
        <v>-0.42649995499999999</v>
      </c>
      <c r="H1912" s="9">
        <v>-0.11380526225</v>
      </c>
      <c r="I1912" s="10">
        <v>0.74203632308253398</v>
      </c>
      <c r="J1912" s="10">
        <v>0.55061790477384698</v>
      </c>
      <c r="K1912" s="10">
        <v>-0.51293425100000001</v>
      </c>
      <c r="L1912" s="10">
        <v>4.8926389539999997</v>
      </c>
      <c r="M1912" s="10">
        <v>0.21368100300000001</v>
      </c>
      <c r="N1912" s="10">
        <v>-0.47982786799999999</v>
      </c>
      <c r="O1912" s="9">
        <v>1.0283894595</v>
      </c>
      <c r="P1912" s="10">
        <v>2.5978563157827401</v>
      </c>
      <c r="Q1912" s="10">
        <v>6.7488574374522798</v>
      </c>
    </row>
    <row r="1913" spans="1:17" x14ac:dyDescent="0.2">
      <c r="A1913" s="10">
        <v>1822</v>
      </c>
      <c r="B1913" s="10" t="s">
        <v>2835</v>
      </c>
      <c r="C1913" s="9" t="s">
        <v>1746</v>
      </c>
      <c r="D1913" s="10">
        <v>1.068941849</v>
      </c>
      <c r="E1913" s="10">
        <v>0.62329887699999997</v>
      </c>
      <c r="F1913" s="10">
        <v>-0.285695596</v>
      </c>
      <c r="G1913" s="10">
        <v>-1.3057192989999999</v>
      </c>
      <c r="H1913" s="9">
        <v>2.5206458000000001E-2</v>
      </c>
      <c r="I1913" s="10">
        <v>1.0512090762416699</v>
      </c>
      <c r="J1913" s="10">
        <v>1.1050405219728701</v>
      </c>
      <c r="K1913" s="10">
        <v>0.23141251600000001</v>
      </c>
      <c r="L1913" s="10">
        <v>1.009559037</v>
      </c>
      <c r="M1913" s="10">
        <v>-0.411348451</v>
      </c>
      <c r="N1913" s="10">
        <v>0.905738618</v>
      </c>
      <c r="O1913" s="9">
        <v>0.43384043</v>
      </c>
      <c r="P1913" s="10">
        <v>0.66067165804104899</v>
      </c>
      <c r="Q1913" s="10">
        <v>0.436487039738709</v>
      </c>
    </row>
    <row r="1914" spans="1:17" x14ac:dyDescent="0.2">
      <c r="A1914" s="10">
        <v>1823</v>
      </c>
      <c r="B1914" s="10" t="s">
        <v>2820</v>
      </c>
      <c r="C1914" s="9" t="s">
        <v>1749</v>
      </c>
      <c r="D1914" s="10">
        <v>-0.87554352499999999</v>
      </c>
      <c r="E1914" s="10">
        <v>-0.172032987</v>
      </c>
      <c r="F1914" s="10">
        <v>-0.138515269</v>
      </c>
      <c r="G1914" s="10">
        <v>-0.71880448399999997</v>
      </c>
      <c r="H1914" s="9">
        <v>-0.476224066</v>
      </c>
      <c r="I1914" s="10">
        <v>0.37633351062033499</v>
      </c>
      <c r="J1914" s="10">
        <v>0.14162691121582599</v>
      </c>
      <c r="K1914" s="10">
        <v>-4.0143542999999997E-2</v>
      </c>
      <c r="L1914" s="10">
        <v>6.0931668000000001E-2</v>
      </c>
      <c r="M1914" s="10">
        <v>4.7138962E-2</v>
      </c>
      <c r="N1914" s="10">
        <v>0.3015543</v>
      </c>
      <c r="O1914" s="9">
        <v>9.2370347000000005E-2</v>
      </c>
      <c r="P1914" s="10">
        <v>0.14646060444356299</v>
      </c>
      <c r="Q1914" s="10">
        <v>2.1450708653973801E-2</v>
      </c>
    </row>
    <row r="1915" spans="1:17" x14ac:dyDescent="0.2">
      <c r="A1915" s="10">
        <v>1823</v>
      </c>
      <c r="B1915" s="10" t="s">
        <v>2833</v>
      </c>
      <c r="C1915" s="9" t="s">
        <v>1751</v>
      </c>
      <c r="D1915" s="10">
        <v>0.69233142000000003</v>
      </c>
      <c r="E1915" s="10">
        <v>0.47846786699999999</v>
      </c>
      <c r="F1915" s="10">
        <v>0.52803037100000005</v>
      </c>
      <c r="G1915" s="10">
        <v>4.2432137000000002E-2</v>
      </c>
      <c r="H1915" s="9">
        <v>0.43531544875</v>
      </c>
      <c r="I1915" s="10">
        <v>0.27741226489220799</v>
      </c>
      <c r="J1915" s="10">
        <v>7.6957564712625007E-2</v>
      </c>
      <c r="K1915" s="10">
        <v>-0.91305366600000004</v>
      </c>
      <c r="L1915" s="10">
        <v>1.9065747000000001E-2</v>
      </c>
      <c r="M1915" s="10">
        <v>0.50542047099999998</v>
      </c>
      <c r="N1915" s="10">
        <v>0.83570724299999999</v>
      </c>
      <c r="O1915" s="9">
        <v>0.11178494899999999</v>
      </c>
      <c r="P1915" s="10">
        <v>0.76111835460394905</v>
      </c>
      <c r="Q1915" s="10">
        <v>0.579301149715023</v>
      </c>
    </row>
    <row r="1916" spans="1:17" x14ac:dyDescent="0.2">
      <c r="A1916" s="63">
        <v>1823</v>
      </c>
      <c r="B1916" s="63" t="s">
        <v>74</v>
      </c>
      <c r="C1916" s="64" t="s">
        <v>1752</v>
      </c>
      <c r="D1916" s="63">
        <v>0.42035399200000001</v>
      </c>
      <c r="E1916" s="63">
        <v>0.40198404599999998</v>
      </c>
      <c r="F1916" s="63">
        <v>0.50142156999999998</v>
      </c>
      <c r="G1916" s="63">
        <v>-0.28517802799999997</v>
      </c>
      <c r="H1916" s="64">
        <v>0.259645395</v>
      </c>
      <c r="I1916" s="63">
        <v>0.36577580827845702</v>
      </c>
      <c r="J1916" s="63">
        <v>0.133791941921758</v>
      </c>
      <c r="K1916" s="63">
        <v>-0.174125324</v>
      </c>
      <c r="L1916" s="63">
        <v>2.2166584999999999E-2</v>
      </c>
      <c r="M1916" s="63">
        <v>-0.26643926800000001</v>
      </c>
      <c r="N1916" s="63">
        <v>-0.162577158</v>
      </c>
      <c r="O1916" s="64">
        <v>-0.1452437915</v>
      </c>
      <c r="P1916" s="63">
        <v>0.12089825777309</v>
      </c>
      <c r="Q1916" s="63">
        <v>1.46163887325685E-2</v>
      </c>
    </row>
    <row r="1917" spans="1:17" x14ac:dyDescent="0.2">
      <c r="A1917" s="63">
        <v>1823</v>
      </c>
      <c r="B1917" s="63" t="s">
        <v>2818</v>
      </c>
      <c r="C1917" s="64" t="s">
        <v>66</v>
      </c>
      <c r="D1917" s="63">
        <v>0.188844343</v>
      </c>
      <c r="E1917" s="63">
        <v>-0.46591352899999999</v>
      </c>
      <c r="F1917" s="63">
        <v>0.19309146699999999</v>
      </c>
      <c r="G1917" s="63">
        <v>-2.4866046999999999E-2</v>
      </c>
      <c r="H1917" s="64">
        <v>-2.7210941249999999E-2</v>
      </c>
      <c r="I1917" s="63">
        <v>0.30966567776699999</v>
      </c>
      <c r="J1917" s="63">
        <v>9.5892831986895993E-2</v>
      </c>
      <c r="K1917" s="63">
        <v>-8.9031138999999995E-2</v>
      </c>
      <c r="L1917" s="63">
        <v>0.40342096500000002</v>
      </c>
      <c r="M1917" s="63">
        <v>-0.192581421</v>
      </c>
      <c r="N1917" s="63">
        <v>0.17166325099999999</v>
      </c>
      <c r="O1917" s="64">
        <v>7.3367914000000006E-2</v>
      </c>
      <c r="P1917" s="63">
        <v>0.26814143715123601</v>
      </c>
      <c r="Q1917" s="63">
        <v>7.1899830317530403E-2</v>
      </c>
    </row>
    <row r="1918" spans="1:17" x14ac:dyDescent="0.2">
      <c r="A1918" s="10">
        <v>1824</v>
      </c>
      <c r="B1918" s="10" t="s">
        <v>2820</v>
      </c>
      <c r="C1918" s="9" t="s">
        <v>1753</v>
      </c>
      <c r="D1918" s="10">
        <v>0.73694718999999997</v>
      </c>
      <c r="E1918" s="10">
        <v>0.232186793</v>
      </c>
      <c r="F1918" s="10">
        <v>0.148726842</v>
      </c>
      <c r="G1918" s="10">
        <v>0.17005056900000001</v>
      </c>
      <c r="H1918" s="9">
        <v>0.32197784824999998</v>
      </c>
      <c r="I1918" s="10">
        <v>0.27890249045277499</v>
      </c>
      <c r="J1918" s="10">
        <v>7.7786599180760599E-2</v>
      </c>
      <c r="K1918" s="10">
        <v>5.4695372999999999E-2</v>
      </c>
      <c r="L1918" s="10">
        <v>0.12582808500000001</v>
      </c>
      <c r="M1918" s="10">
        <v>0.59806887600000003</v>
      </c>
      <c r="N1918" s="10">
        <v>0.36301331100000001</v>
      </c>
      <c r="O1918" s="9">
        <v>0.28540141125000001</v>
      </c>
      <c r="P1918" s="10">
        <v>0.246626217200237</v>
      </c>
      <c r="Q1918" s="10">
        <v>6.0824491010498603E-2</v>
      </c>
    </row>
    <row r="1919" spans="1:17" x14ac:dyDescent="0.2">
      <c r="A1919" s="10">
        <v>1824</v>
      </c>
      <c r="B1919" s="10" t="s">
        <v>2817</v>
      </c>
      <c r="C1919" s="9" t="s">
        <v>1755</v>
      </c>
      <c r="D1919" s="10">
        <v>0.22004233200000001</v>
      </c>
      <c r="E1919" s="10">
        <v>2.7615252999999999E-2</v>
      </c>
      <c r="F1919" s="10">
        <v>2.4233721E-2</v>
      </c>
      <c r="G1919" s="10">
        <v>-0.43365858899999998</v>
      </c>
      <c r="H1919" s="9">
        <v>-4.0441820750000003E-2</v>
      </c>
      <c r="I1919" s="10">
        <v>0.27766053113765099</v>
      </c>
      <c r="J1919" s="10">
        <v>7.7095370551642797E-2</v>
      </c>
      <c r="K1919" s="10">
        <v>0.55332874600000004</v>
      </c>
      <c r="L1919" s="10">
        <v>0.49844485300000002</v>
      </c>
      <c r="M1919" s="10">
        <v>-0.21473071799999999</v>
      </c>
      <c r="N1919" s="10">
        <v>-0.35354364700000002</v>
      </c>
      <c r="O1919" s="9">
        <v>0.12087480875000001</v>
      </c>
      <c r="P1919" s="10">
        <v>0.47162113569380099</v>
      </c>
      <c r="Q1919" s="10">
        <v>0.22242649563311101</v>
      </c>
    </row>
    <row r="1920" spans="1:17" x14ac:dyDescent="0.2">
      <c r="A1920" s="10">
        <v>1824</v>
      </c>
      <c r="B1920" s="10" t="s">
        <v>2814</v>
      </c>
      <c r="C1920" s="9" t="s">
        <v>1756</v>
      </c>
      <c r="D1920" s="10">
        <v>7.5136522999999997E-2</v>
      </c>
      <c r="E1920" s="10">
        <v>0.38215513200000001</v>
      </c>
      <c r="F1920" s="10">
        <v>0.10788990900000001</v>
      </c>
      <c r="G1920" s="10">
        <v>-0.14806961799999999</v>
      </c>
      <c r="H1920" s="9">
        <v>0.10427798675</v>
      </c>
      <c r="I1920" s="10">
        <v>0.21737624246697501</v>
      </c>
      <c r="J1920" s="10">
        <v>4.7252430789061398E-2</v>
      </c>
      <c r="K1920" s="10">
        <v>0.12471721700000001</v>
      </c>
      <c r="L1920" s="10">
        <v>0.26916800800000001</v>
      </c>
      <c r="M1920" s="10">
        <v>8.8028573999999998E-2</v>
      </c>
      <c r="N1920" s="10">
        <v>-0.31937338199999998</v>
      </c>
      <c r="O1920" s="9">
        <v>4.0635104499999998E-2</v>
      </c>
      <c r="P1920" s="10">
        <v>0.25242116982526802</v>
      </c>
      <c r="Q1920" s="10">
        <v>6.3716446975957006E-2</v>
      </c>
    </row>
    <row r="1921" spans="1:17" x14ac:dyDescent="0.2">
      <c r="A1921" s="10">
        <v>1824</v>
      </c>
      <c r="B1921" s="10" t="s">
        <v>2833</v>
      </c>
      <c r="C1921" s="9" t="s">
        <v>1757</v>
      </c>
      <c r="D1921" s="10">
        <v>3.8744642000000003E-2</v>
      </c>
      <c r="E1921" s="10">
        <v>1.090699549</v>
      </c>
      <c r="F1921" s="10">
        <v>-3.1241756999999998E-2</v>
      </c>
      <c r="G1921" s="10">
        <v>-0.48110955799999999</v>
      </c>
      <c r="H1921" s="9">
        <v>0.15427321899999999</v>
      </c>
      <c r="I1921" s="10">
        <v>0.66542422640233201</v>
      </c>
      <c r="J1921" s="10">
        <v>0.44278940108314102</v>
      </c>
      <c r="K1921" s="10">
        <v>-0.23058256899999999</v>
      </c>
      <c r="L1921" s="10">
        <v>-1.0453479139999999</v>
      </c>
      <c r="M1921" s="10">
        <v>-0.45111247900000001</v>
      </c>
      <c r="N1921" s="10">
        <v>-0.108200427</v>
      </c>
      <c r="O1921" s="9">
        <v>-0.45881084724999999</v>
      </c>
      <c r="P1921" s="10">
        <v>0.41597307978852299</v>
      </c>
      <c r="Q1921" s="10">
        <v>0.17303360310874899</v>
      </c>
    </row>
    <row r="1922" spans="1:17" x14ac:dyDescent="0.2">
      <c r="A1922" s="10">
        <v>1824</v>
      </c>
      <c r="B1922" s="10" t="s">
        <v>2818</v>
      </c>
      <c r="C1922" s="9" t="s">
        <v>1759</v>
      </c>
      <c r="D1922" s="10">
        <v>0.10346090099999999</v>
      </c>
      <c r="E1922" s="10">
        <v>0.26839012099999998</v>
      </c>
      <c r="F1922" s="10">
        <v>-0.12543739100000001</v>
      </c>
      <c r="G1922" s="10">
        <v>-0.43680500100000003</v>
      </c>
      <c r="H1922" s="9">
        <v>-4.7597842500000001E-2</v>
      </c>
      <c r="I1922" s="10">
        <v>0.30561868649402701</v>
      </c>
      <c r="J1922" s="10">
        <v>9.3402781534334595E-2</v>
      </c>
      <c r="K1922" s="10">
        <v>-0.48660776500000003</v>
      </c>
      <c r="L1922" s="10">
        <v>-4.046048E-2</v>
      </c>
      <c r="M1922" s="10">
        <v>-0.59972645599999996</v>
      </c>
      <c r="N1922" s="10">
        <v>0.18317460499999999</v>
      </c>
      <c r="O1922" s="9">
        <v>-0.23590502399999999</v>
      </c>
      <c r="P1922" s="10">
        <v>0.36925339264954099</v>
      </c>
      <c r="Q1922" s="10">
        <v>0.13634806798319599</v>
      </c>
    </row>
    <row r="1923" spans="1:17" x14ac:dyDescent="0.2">
      <c r="A1923" s="10">
        <v>1824</v>
      </c>
      <c r="B1923" s="10" t="s">
        <v>2835</v>
      </c>
      <c r="C1923" s="9" t="s">
        <v>1761</v>
      </c>
      <c r="D1923" s="10">
        <v>3.4545234000000001E-2</v>
      </c>
      <c r="E1923" s="10">
        <v>0.40020117700000002</v>
      </c>
      <c r="F1923" s="10">
        <v>0.116094557</v>
      </c>
      <c r="G1923" s="10">
        <v>-6.0246282999999998E-2</v>
      </c>
      <c r="H1923" s="9">
        <v>0.122648671</v>
      </c>
      <c r="I1923" s="10">
        <v>0.19857083522602201</v>
      </c>
      <c r="J1923" s="10">
        <v>3.9430376602359998E-2</v>
      </c>
      <c r="K1923" s="10">
        <v>0.216349388</v>
      </c>
      <c r="L1923" s="10">
        <v>0.38600551399999999</v>
      </c>
      <c r="M1923" s="10">
        <v>-0.49026267899999998</v>
      </c>
      <c r="N1923" s="10">
        <v>3.7203236000000001E-2</v>
      </c>
      <c r="O1923" s="9">
        <v>3.7323864499999998E-2</v>
      </c>
      <c r="P1923" s="10">
        <v>0.37946304440002299</v>
      </c>
      <c r="Q1923" s="10">
        <v>0.143992202065334</v>
      </c>
    </row>
    <row r="1924" spans="1:17" x14ac:dyDescent="0.2">
      <c r="A1924" s="10">
        <v>1825</v>
      </c>
      <c r="B1924" s="10" t="s">
        <v>2824</v>
      </c>
      <c r="C1924" s="9" t="s">
        <v>1763</v>
      </c>
      <c r="D1924" s="10">
        <v>0.25259154299999997</v>
      </c>
      <c r="E1924" s="10">
        <v>0.90135043599999998</v>
      </c>
      <c r="F1924" s="10">
        <v>-5.6490998000000001E-2</v>
      </c>
      <c r="G1924" s="10">
        <v>-0.26052472199999999</v>
      </c>
      <c r="H1924" s="9">
        <v>0.20923156449999999</v>
      </c>
      <c r="I1924" s="10">
        <v>0.50734211631133397</v>
      </c>
      <c r="J1924" s="10">
        <v>0.25739602298326297</v>
      </c>
      <c r="K1924" s="10">
        <v>-0.359965023</v>
      </c>
      <c r="L1924" s="10">
        <v>0.73802208999999996</v>
      </c>
      <c r="M1924" s="10">
        <v>1.3048432489999999</v>
      </c>
      <c r="N1924" s="10">
        <v>-0.105998389</v>
      </c>
      <c r="O1924" s="9">
        <v>0.39422548175</v>
      </c>
      <c r="P1924" s="10">
        <v>0.76734348332385205</v>
      </c>
      <c r="Q1924" s="10">
        <v>0.588816021399583</v>
      </c>
    </row>
    <row r="1925" spans="1:17" x14ac:dyDescent="0.2">
      <c r="A1925" s="10">
        <v>1825</v>
      </c>
      <c r="B1925" s="10" t="s">
        <v>74</v>
      </c>
      <c r="C1925" s="9" t="s">
        <v>1766</v>
      </c>
      <c r="D1925" s="10">
        <v>0.53631957600000002</v>
      </c>
      <c r="E1925" s="10">
        <v>-0.28626859599999999</v>
      </c>
      <c r="F1925" s="10">
        <v>0.91575485000000001</v>
      </c>
      <c r="G1925" s="10">
        <v>-0.79607652799999995</v>
      </c>
      <c r="H1925" s="9">
        <v>9.2432325250000003E-2</v>
      </c>
      <c r="I1925" s="10">
        <v>0.77626418209231096</v>
      </c>
      <c r="J1925" s="10">
        <v>0.60258608039944495</v>
      </c>
      <c r="K1925" s="10">
        <v>-1.716040099</v>
      </c>
      <c r="L1925" s="10">
        <v>0.55197677199999995</v>
      </c>
      <c r="M1925" s="10">
        <v>9.3608641000000006E-2</v>
      </c>
      <c r="N1925" s="10">
        <v>-0.78537497300000003</v>
      </c>
      <c r="O1925" s="9">
        <v>-0.46395741475000002</v>
      </c>
      <c r="P1925" s="10">
        <v>1.0023343542754</v>
      </c>
      <c r="Q1925" s="10">
        <v>1.0046741577606899</v>
      </c>
    </row>
    <row r="1926" spans="1:17" x14ac:dyDescent="0.2">
      <c r="A1926" s="10">
        <v>1825</v>
      </c>
      <c r="B1926" s="10" t="s">
        <v>2818</v>
      </c>
      <c r="C1926" s="9" t="s">
        <v>1767</v>
      </c>
      <c r="D1926" s="10">
        <v>0.82575281099999998</v>
      </c>
      <c r="E1926" s="10">
        <v>1.411124504</v>
      </c>
      <c r="F1926" s="10">
        <v>0.55705902500000004</v>
      </c>
      <c r="G1926" s="10">
        <v>0.46274448099999999</v>
      </c>
      <c r="H1926" s="9">
        <v>0.81417020524999995</v>
      </c>
      <c r="I1926" s="10">
        <v>0.42665161049981098</v>
      </c>
      <c r="J1926" s="10">
        <v>0.182031596742083</v>
      </c>
      <c r="K1926" s="10">
        <v>-2.5677611260000002</v>
      </c>
      <c r="L1926" s="10">
        <v>0.71231890499999995</v>
      </c>
      <c r="M1926" s="10">
        <v>4.9538612000000003E-2</v>
      </c>
      <c r="N1926" s="10">
        <v>0.36821939300000001</v>
      </c>
      <c r="O1926" s="9">
        <v>-0.35942105375</v>
      </c>
      <c r="P1926" s="10">
        <v>1.49689690602965</v>
      </c>
      <c r="Q1926" s="10">
        <v>2.2407003472811602</v>
      </c>
    </row>
    <row r="1927" spans="1:17" x14ac:dyDescent="0.2">
      <c r="A1927" s="10">
        <v>1825</v>
      </c>
      <c r="B1927" s="10" t="s">
        <v>2830</v>
      </c>
      <c r="C1927" s="9" t="s">
        <v>1768</v>
      </c>
      <c r="D1927" s="10">
        <v>-0.96134357400000003</v>
      </c>
      <c r="E1927" s="10">
        <v>-1.3840944989999999</v>
      </c>
      <c r="F1927" s="10">
        <v>-0.88709902399999996</v>
      </c>
      <c r="G1927" s="10">
        <v>-1.6660840649999999</v>
      </c>
      <c r="H1927" s="9">
        <v>-1.2246552905000001</v>
      </c>
      <c r="I1927" s="10">
        <v>0.36676855429697203</v>
      </c>
      <c r="J1927" s="10">
        <v>0.13451917242109099</v>
      </c>
      <c r="K1927" s="10">
        <v>-1.688775855</v>
      </c>
      <c r="L1927" s="10">
        <v>-0.34948585900000001</v>
      </c>
      <c r="M1927" s="10">
        <v>-0.73930768199999997</v>
      </c>
      <c r="N1927" s="10">
        <v>0.278569554</v>
      </c>
      <c r="O1927" s="9">
        <v>-0.62474996024999996</v>
      </c>
      <c r="P1927" s="10">
        <v>0.82402084248982299</v>
      </c>
      <c r="Q1927" s="10">
        <v>0.679010348857638</v>
      </c>
    </row>
    <row r="1928" spans="1:17" x14ac:dyDescent="0.2">
      <c r="A1928" s="10">
        <v>1825</v>
      </c>
      <c r="B1928" s="10" t="s">
        <v>2835</v>
      </c>
      <c r="C1928" s="9" t="s">
        <v>1769</v>
      </c>
      <c r="D1928" s="10">
        <v>9.3437351000000002E-2</v>
      </c>
      <c r="E1928" s="10">
        <v>-0.64892474899999997</v>
      </c>
      <c r="F1928" s="10">
        <v>0.23322199499999999</v>
      </c>
      <c r="G1928" s="10">
        <v>0.47046465300000001</v>
      </c>
      <c r="H1928" s="9">
        <v>3.7049812500000001E-2</v>
      </c>
      <c r="I1928" s="10">
        <v>0.48307094119313299</v>
      </c>
      <c r="J1928" s="10">
        <v>0.23335753422521999</v>
      </c>
      <c r="K1928" s="10">
        <v>1.1735024E-2</v>
      </c>
      <c r="L1928" s="10">
        <v>0.36063616700000001</v>
      </c>
      <c r="M1928" s="10">
        <v>8.5208840999999994E-2</v>
      </c>
      <c r="N1928" s="10">
        <v>-0.79445703300000003</v>
      </c>
      <c r="O1928" s="9">
        <v>-8.4219249999999996E-2</v>
      </c>
      <c r="P1928" s="10">
        <v>0.49673841243111999</v>
      </c>
      <c r="Q1928" s="10">
        <v>0.24674905038459</v>
      </c>
    </row>
    <row r="1929" spans="1:17" x14ac:dyDescent="0.2">
      <c r="A1929" s="10">
        <v>1826</v>
      </c>
      <c r="B1929" s="10" t="s">
        <v>2822</v>
      </c>
      <c r="C1929" s="9" t="s">
        <v>1771</v>
      </c>
      <c r="D1929" s="10">
        <v>-3.8275242000000001E-2</v>
      </c>
      <c r="E1929" s="10">
        <v>0.64351744799999999</v>
      </c>
      <c r="F1929" s="10">
        <v>0.27184732900000003</v>
      </c>
      <c r="G1929" s="10">
        <v>-0.17578125999999999</v>
      </c>
      <c r="H1929" s="9">
        <v>0.17532706875000001</v>
      </c>
      <c r="I1929" s="10">
        <v>0.36396950308890003</v>
      </c>
      <c r="J1929" s="10">
        <v>0.13247379917878099</v>
      </c>
      <c r="K1929" s="10">
        <v>-4.1181781000000001E-2</v>
      </c>
      <c r="L1929" s="10">
        <v>0.35647645999999999</v>
      </c>
      <c r="M1929" s="10">
        <v>-1.1131049E-2</v>
      </c>
      <c r="N1929" s="10">
        <v>0.39844430400000003</v>
      </c>
      <c r="O1929" s="9">
        <v>0.1756519835</v>
      </c>
      <c r="P1929" s="10">
        <v>0.23397912444803701</v>
      </c>
      <c r="Q1929" s="10">
        <v>5.4746230677470399E-2</v>
      </c>
    </row>
    <row r="1930" spans="1:17" x14ac:dyDescent="0.2">
      <c r="A1930" s="10">
        <v>1826</v>
      </c>
      <c r="B1930" s="10" t="s">
        <v>2814</v>
      </c>
      <c r="C1930" s="9" t="s">
        <v>1774</v>
      </c>
      <c r="D1930" s="10">
        <v>0.68063052099999999</v>
      </c>
      <c r="E1930" s="10">
        <v>0.94268948100000005</v>
      </c>
      <c r="F1930" s="10">
        <v>0.136545316</v>
      </c>
      <c r="G1930" s="10">
        <v>-0.43731905500000001</v>
      </c>
      <c r="H1930" s="9">
        <v>0.33063656600000002</v>
      </c>
      <c r="I1930" s="10">
        <v>0.61224499139059096</v>
      </c>
      <c r="J1930" s="10">
        <v>0.37484392948286499</v>
      </c>
      <c r="K1930" s="10">
        <v>-1.3566823130000001</v>
      </c>
      <c r="L1930" s="10">
        <v>-0.36367448299999999</v>
      </c>
      <c r="M1930" s="10">
        <v>2.7167462E-2</v>
      </c>
      <c r="N1930" s="10">
        <v>0.32585644499999999</v>
      </c>
      <c r="O1930" s="9">
        <v>-0.34183322199999999</v>
      </c>
      <c r="P1930" s="10">
        <v>0.73311361429559097</v>
      </c>
      <c r="Q1930" s="10">
        <v>0.53745557146554501</v>
      </c>
    </row>
    <row r="1931" spans="1:17" x14ac:dyDescent="0.2">
      <c r="A1931" s="10">
        <v>1826</v>
      </c>
      <c r="B1931" s="10" t="s">
        <v>2825</v>
      </c>
      <c r="C1931" s="9" t="s">
        <v>1775</v>
      </c>
      <c r="D1931" s="10">
        <v>-0.36136448199999999</v>
      </c>
      <c r="E1931" s="10">
        <v>0.58365736099999999</v>
      </c>
      <c r="F1931" s="10">
        <v>0.32293150799999998</v>
      </c>
      <c r="G1931" s="10">
        <v>-0.48157319799999998</v>
      </c>
      <c r="H1931" s="9">
        <v>1.5912797249999999E-2</v>
      </c>
      <c r="I1931" s="10">
        <v>0.51846724079297202</v>
      </c>
      <c r="J1931" s="10">
        <v>0.268808279775478</v>
      </c>
      <c r="K1931" s="10">
        <v>-0.23790932200000001</v>
      </c>
      <c r="L1931" s="10">
        <v>0.48013096199999999</v>
      </c>
      <c r="M1931" s="10">
        <v>-0.440877203</v>
      </c>
      <c r="N1931" s="10">
        <v>-3.7785987E-2</v>
      </c>
      <c r="O1931" s="9">
        <v>-5.911038775E-2</v>
      </c>
      <c r="P1931" s="10">
        <v>0.39536941521510899</v>
      </c>
      <c r="Q1931" s="10">
        <v>0.15631697448753701</v>
      </c>
    </row>
    <row r="1932" spans="1:17" x14ac:dyDescent="0.2">
      <c r="A1932" s="10">
        <v>1826</v>
      </c>
      <c r="B1932" s="10" t="s">
        <v>74</v>
      </c>
      <c r="C1932" s="9" t="s">
        <v>1776</v>
      </c>
      <c r="D1932" s="10">
        <v>0.63021809500000003</v>
      </c>
      <c r="E1932" s="10">
        <v>0.26913495399999998</v>
      </c>
      <c r="F1932" s="10">
        <v>-6.9133860000000005E-2</v>
      </c>
      <c r="G1932" s="10">
        <v>2.8264246E-2</v>
      </c>
      <c r="H1932" s="9">
        <v>0.21462085850000001</v>
      </c>
      <c r="I1932" s="10">
        <v>0.311415251653966</v>
      </c>
      <c r="J1932" s="10">
        <v>9.6979458962703102E-2</v>
      </c>
      <c r="K1932" s="10">
        <v>0.491401068</v>
      </c>
      <c r="L1932" s="10">
        <v>-0.13797943900000001</v>
      </c>
      <c r="M1932" s="10">
        <v>-0.70628086599999995</v>
      </c>
      <c r="N1932" s="10">
        <v>3.432446E-3</v>
      </c>
      <c r="O1932" s="9">
        <v>-8.7356697750000004E-2</v>
      </c>
      <c r="P1932" s="10">
        <v>0.49289383847315699</v>
      </c>
      <c r="Q1932" s="10">
        <v>0.242944336004802</v>
      </c>
    </row>
    <row r="1933" spans="1:17" x14ac:dyDescent="0.2">
      <c r="A1933" s="10">
        <v>1826</v>
      </c>
      <c r="B1933" s="10" t="s">
        <v>2818</v>
      </c>
      <c r="C1933" s="9" t="s">
        <v>1777</v>
      </c>
      <c r="D1933" s="10">
        <v>0.14409598600000001</v>
      </c>
      <c r="E1933" s="10">
        <v>0.30901372799999999</v>
      </c>
      <c r="F1933" s="10">
        <v>8.1848171999999997E-2</v>
      </c>
      <c r="G1933" s="10">
        <v>4.9812852999999997E-2</v>
      </c>
      <c r="H1933" s="9">
        <v>0.14619268499999999</v>
      </c>
      <c r="I1933" s="10">
        <v>0.115389740387176</v>
      </c>
      <c r="J1933" s="10">
        <v>1.3314792186619901E-2</v>
      </c>
      <c r="K1933" s="10">
        <v>-0.214559272</v>
      </c>
      <c r="L1933" s="10">
        <v>-5.0954054999999998E-2</v>
      </c>
      <c r="M1933" s="10">
        <v>-1.8722206000000002E-2</v>
      </c>
      <c r="N1933" s="10">
        <v>0.36405385899999998</v>
      </c>
      <c r="O1933" s="9">
        <v>1.9954581249999999E-2</v>
      </c>
      <c r="P1933" s="10">
        <v>0.244897930358105</v>
      </c>
      <c r="Q1933" s="10">
        <v>5.9974996293683497E-2</v>
      </c>
    </row>
    <row r="1934" spans="1:17" x14ac:dyDescent="0.2">
      <c r="A1934" s="10">
        <v>1827</v>
      </c>
      <c r="B1934" s="10" t="s">
        <v>2819</v>
      </c>
      <c r="C1934" s="9" t="s">
        <v>1782</v>
      </c>
      <c r="D1934" s="10">
        <v>0.297939071</v>
      </c>
      <c r="E1934" s="10">
        <v>0.903600756</v>
      </c>
      <c r="F1934" s="10">
        <v>-0.36294900099999999</v>
      </c>
      <c r="G1934" s="10">
        <v>-0.55494835899999995</v>
      </c>
      <c r="H1934" s="9">
        <v>7.0910616750000002E-2</v>
      </c>
      <c r="I1934" s="10">
        <v>0.66454205096049501</v>
      </c>
      <c r="J1934" s="10">
        <v>0.44161613749478101</v>
      </c>
      <c r="K1934" s="10">
        <v>-0.11293210400000001</v>
      </c>
      <c r="L1934" s="10">
        <v>0.401086834</v>
      </c>
      <c r="M1934" s="10">
        <v>0.38238281899999998</v>
      </c>
      <c r="N1934" s="10">
        <v>-1.7671644E-2</v>
      </c>
      <c r="O1934" s="9">
        <v>0.16321647650000001</v>
      </c>
      <c r="P1934" s="10">
        <v>0.26682999788391598</v>
      </c>
      <c r="Q1934" s="10">
        <v>7.1198247770730805E-2</v>
      </c>
    </row>
    <row r="1935" spans="1:17" x14ac:dyDescent="0.2">
      <c r="A1935" s="10">
        <v>1827</v>
      </c>
      <c r="B1935" s="10" t="s">
        <v>2834</v>
      </c>
      <c r="C1935" s="9" t="s">
        <v>1783</v>
      </c>
      <c r="D1935" s="10">
        <v>7.9461997000000006E-2</v>
      </c>
      <c r="E1935" s="10">
        <v>2.0581835E-2</v>
      </c>
      <c r="F1935" s="10">
        <v>0.35767452300000002</v>
      </c>
      <c r="G1935" s="10">
        <v>-0.37410711299999999</v>
      </c>
      <c r="H1935" s="9">
        <v>2.0902810500000001E-2</v>
      </c>
      <c r="I1935" s="10">
        <v>0.301594267934296</v>
      </c>
      <c r="J1935" s="10">
        <v>9.0959102450823906E-2</v>
      </c>
      <c r="K1935" s="10">
        <v>-0.138003286</v>
      </c>
      <c r="L1935" s="10">
        <v>0.88035842399999997</v>
      </c>
      <c r="M1935" s="10">
        <v>0.30731183699999998</v>
      </c>
      <c r="N1935" s="10">
        <v>0.32135719099999999</v>
      </c>
      <c r="O1935" s="9">
        <v>0.3427560415</v>
      </c>
      <c r="P1935" s="10">
        <v>0.41707715316764699</v>
      </c>
      <c r="Q1935" s="10">
        <v>0.17395335169442899</v>
      </c>
    </row>
    <row r="1936" spans="1:17" x14ac:dyDescent="0.2">
      <c r="A1936" s="10">
        <v>1827</v>
      </c>
      <c r="B1936" s="10" t="s">
        <v>2824</v>
      </c>
      <c r="C1936" s="9" t="s">
        <v>1785</v>
      </c>
      <c r="D1936" s="10">
        <v>-8.6486506000000005E-2</v>
      </c>
      <c r="E1936" s="10">
        <v>-0.238176367</v>
      </c>
      <c r="F1936" s="10">
        <v>0.11131424500000001</v>
      </c>
      <c r="G1936" s="10">
        <v>0.74243553699999998</v>
      </c>
      <c r="H1936" s="9">
        <v>0.13227172749999999</v>
      </c>
      <c r="I1936" s="10">
        <v>0.43120994343011598</v>
      </c>
      <c r="J1936" s="10">
        <v>0.185942015313003</v>
      </c>
      <c r="K1936" s="10">
        <v>-0.48013588000000001</v>
      </c>
      <c r="L1936" s="10">
        <v>0.98093889999999995</v>
      </c>
      <c r="M1936" s="10">
        <v>-0.29825515000000002</v>
      </c>
      <c r="N1936" s="10">
        <v>0.22508871699999999</v>
      </c>
      <c r="O1936" s="9">
        <v>0.106909147</v>
      </c>
      <c r="P1936" s="10">
        <v>0.65489805598112205</v>
      </c>
      <c r="Q1936" s="10">
        <v>0.42889146372785297</v>
      </c>
    </row>
    <row r="1937" spans="1:17" x14ac:dyDescent="0.2">
      <c r="A1937" s="10">
        <v>1827</v>
      </c>
      <c r="B1937" s="10" t="s">
        <v>2814</v>
      </c>
      <c r="C1937" s="9" t="s">
        <v>1786</v>
      </c>
      <c r="D1937" s="10">
        <v>0.54558548299999998</v>
      </c>
      <c r="E1937" s="10">
        <v>0.54001381999999998</v>
      </c>
      <c r="F1937" s="10">
        <v>0.53999224099999998</v>
      </c>
      <c r="G1937" s="10">
        <v>0.100406497</v>
      </c>
      <c r="H1937" s="9">
        <v>0.43149951025</v>
      </c>
      <c r="I1937" s="10">
        <v>0.22074436244019799</v>
      </c>
      <c r="J1937" s="10">
        <v>4.8728073549129697E-2</v>
      </c>
      <c r="K1937" s="10">
        <v>-9.5181041999999993E-2</v>
      </c>
      <c r="L1937" s="10">
        <v>0.43554319899999999</v>
      </c>
      <c r="M1937" s="10">
        <v>0.16674751600000001</v>
      </c>
      <c r="N1937" s="10">
        <v>0.52015727099999998</v>
      </c>
      <c r="O1937" s="9">
        <v>0.25681673625000001</v>
      </c>
      <c r="P1937" s="10">
        <v>0.27887051120482498</v>
      </c>
      <c r="Q1937" s="10">
        <v>7.7768762019640697E-2</v>
      </c>
    </row>
    <row r="1938" spans="1:17" x14ac:dyDescent="0.2">
      <c r="A1938" s="10">
        <v>1827</v>
      </c>
      <c r="B1938" s="10" t="s">
        <v>2825</v>
      </c>
      <c r="C1938" s="9" t="s">
        <v>1787</v>
      </c>
      <c r="D1938" s="10">
        <v>0.30823356099999999</v>
      </c>
      <c r="E1938" s="10">
        <v>-1.5222505000000001E-2</v>
      </c>
      <c r="F1938" s="10">
        <v>0.53696750199999999</v>
      </c>
      <c r="G1938" s="10">
        <v>-0.68547327300000005</v>
      </c>
      <c r="H1938" s="9">
        <v>3.6126321500000003E-2</v>
      </c>
      <c r="I1938" s="10">
        <v>0.53173518303708101</v>
      </c>
      <c r="J1938" s="10">
        <v>0.28274230487947799</v>
      </c>
      <c r="K1938" s="10">
        <v>-1.6122215820000001</v>
      </c>
      <c r="L1938" s="10">
        <v>-0.87105920100000001</v>
      </c>
      <c r="M1938" s="10">
        <v>-3.2231800999999997E-2</v>
      </c>
      <c r="N1938" s="10">
        <v>-0.180582678</v>
      </c>
      <c r="O1938" s="9">
        <v>-0.67402381524999999</v>
      </c>
      <c r="P1938" s="10">
        <v>0.72443521409393596</v>
      </c>
      <c r="Q1938" s="10">
        <v>0.52480637941932795</v>
      </c>
    </row>
    <row r="1939" spans="1:17" x14ac:dyDescent="0.2">
      <c r="A1939" s="10">
        <v>1827</v>
      </c>
      <c r="B1939" s="10" t="s">
        <v>2818</v>
      </c>
      <c r="C1939" s="9" t="s">
        <v>1788</v>
      </c>
      <c r="D1939" s="10">
        <v>0.85799449400000005</v>
      </c>
      <c r="E1939" s="10">
        <v>5.0533380000000001E-3</v>
      </c>
      <c r="F1939" s="10">
        <v>0.33232033599999999</v>
      </c>
      <c r="G1939" s="10">
        <v>-0.69070046799999996</v>
      </c>
      <c r="H1939" s="9">
        <v>0.12616692525000001</v>
      </c>
      <c r="I1939" s="10">
        <v>0.64807706802972298</v>
      </c>
      <c r="J1939" s="10">
        <v>0.42000388610600198</v>
      </c>
      <c r="K1939" s="10">
        <v>2.4551940000000001E-2</v>
      </c>
      <c r="L1939" s="10">
        <v>-0.27252956900000003</v>
      </c>
      <c r="M1939" s="10">
        <v>-0.56990343300000001</v>
      </c>
      <c r="N1939" s="10">
        <v>-0.74357359700000003</v>
      </c>
      <c r="O1939" s="9">
        <v>-0.39036366475000001</v>
      </c>
      <c r="P1939" s="10">
        <v>0.33814770826252399</v>
      </c>
      <c r="Q1939" s="10">
        <v>0.11434387260319701</v>
      </c>
    </row>
    <row r="1940" spans="1:17" x14ac:dyDescent="0.2">
      <c r="A1940" s="10">
        <v>1827</v>
      </c>
      <c r="B1940" s="10" t="s">
        <v>2830</v>
      </c>
      <c r="C1940" s="9" t="s">
        <v>1789</v>
      </c>
      <c r="D1940" s="10">
        <v>0.22074090399999999</v>
      </c>
      <c r="E1940" s="10">
        <v>0.58363583399999996</v>
      </c>
      <c r="F1940" s="10">
        <v>0.146480315</v>
      </c>
      <c r="G1940" s="10">
        <v>-3.1474519999999999E-2</v>
      </c>
      <c r="H1940" s="9">
        <v>0.22984563324999999</v>
      </c>
      <c r="I1940" s="10">
        <v>0.25851395901895902</v>
      </c>
      <c r="J1940" s="10">
        <v>6.6829467007656101E-2</v>
      </c>
      <c r="K1940" s="10">
        <v>-2.5908972999999998E-2</v>
      </c>
      <c r="L1940" s="10">
        <v>-0.478496855</v>
      </c>
      <c r="M1940" s="10">
        <v>-2.4334369000000002E-2</v>
      </c>
      <c r="N1940" s="10">
        <v>0.32974894700000001</v>
      </c>
      <c r="O1940" s="9">
        <v>-4.9747812500000002E-2</v>
      </c>
      <c r="P1940" s="10">
        <v>0.33118859948922402</v>
      </c>
      <c r="Q1940" s="10">
        <v>0.109685888431634</v>
      </c>
    </row>
    <row r="1941" spans="1:17" x14ac:dyDescent="0.2">
      <c r="A1941" s="10">
        <v>1828</v>
      </c>
      <c r="B1941" s="10" t="s">
        <v>2822</v>
      </c>
      <c r="C1941" s="9" t="s">
        <v>1790</v>
      </c>
      <c r="D1941" s="10">
        <v>0.29166006100000003</v>
      </c>
      <c r="E1941" s="10">
        <v>7.9626511999999997E-2</v>
      </c>
      <c r="F1941" s="10">
        <v>0.20102826200000001</v>
      </c>
      <c r="G1941" s="10">
        <v>-0.48820819999999998</v>
      </c>
      <c r="H1941" s="9">
        <v>2.102665875E-2</v>
      </c>
      <c r="I1941" s="10">
        <v>0.35042692997401198</v>
      </c>
      <c r="J1941" s="10">
        <v>0.12279903325101101</v>
      </c>
      <c r="K1941" s="10">
        <v>0.118577301</v>
      </c>
      <c r="L1941" s="10">
        <v>0.79867019800000005</v>
      </c>
      <c r="M1941" s="10">
        <v>-0.11823544499999999</v>
      </c>
      <c r="N1941" s="10">
        <v>-0.45660845500000002</v>
      </c>
      <c r="O1941" s="9">
        <v>8.5600899750000001E-2</v>
      </c>
      <c r="P1941" s="10">
        <v>0.53075276949052896</v>
      </c>
      <c r="Q1941" s="10">
        <v>0.281698502321866</v>
      </c>
    </row>
    <row r="1942" spans="1:17" x14ac:dyDescent="0.2">
      <c r="A1942" s="10">
        <v>1828</v>
      </c>
      <c r="B1942" s="10" t="s">
        <v>2826</v>
      </c>
      <c r="C1942" s="9" t="s">
        <v>2186</v>
      </c>
      <c r="D1942" s="10">
        <v>6.0547598000000001E-2</v>
      </c>
      <c r="E1942" s="10">
        <v>1.3447859179999999</v>
      </c>
      <c r="F1942" s="10">
        <v>8.0642726999999997E-2</v>
      </c>
      <c r="G1942" s="10">
        <v>0.10101919700000001</v>
      </c>
      <c r="H1942" s="9">
        <v>0.39674885999999998</v>
      </c>
      <c r="I1942" s="10">
        <v>0.63224063794570995</v>
      </c>
      <c r="J1942" s="10">
        <v>0.39972822426999799</v>
      </c>
      <c r="K1942" s="10">
        <v>-0.82944490500000001</v>
      </c>
      <c r="L1942" s="10">
        <v>1.145339887</v>
      </c>
      <c r="M1942" s="10">
        <v>2.0914240000000001E-3</v>
      </c>
      <c r="N1942" s="10">
        <v>0.25992767900000002</v>
      </c>
      <c r="O1942" s="9">
        <v>0.14447852150000001</v>
      </c>
      <c r="P1942" s="10">
        <v>0.81319388978233198</v>
      </c>
      <c r="Q1942" s="10">
        <v>0.66128430237932001</v>
      </c>
    </row>
    <row r="1943" spans="1:17" x14ac:dyDescent="0.2">
      <c r="A1943" s="10">
        <v>1828</v>
      </c>
      <c r="B1943" s="10" t="s">
        <v>2820</v>
      </c>
      <c r="C1943" s="9" t="s">
        <v>1792</v>
      </c>
      <c r="D1943" s="10">
        <v>0.233902374</v>
      </c>
      <c r="E1943" s="10">
        <v>0.114441458</v>
      </c>
      <c r="F1943" s="10">
        <v>0.32762842399999997</v>
      </c>
      <c r="G1943" s="10">
        <v>-1.2810185059999999</v>
      </c>
      <c r="H1943" s="9">
        <v>-0.1512615625</v>
      </c>
      <c r="I1943" s="10">
        <v>0.75820747460472604</v>
      </c>
      <c r="J1943" s="10">
        <v>0.57487857454647695</v>
      </c>
      <c r="K1943" s="10">
        <v>-3.8286140319999999</v>
      </c>
      <c r="L1943" s="10">
        <v>0.114395147</v>
      </c>
      <c r="M1943" s="10">
        <v>2.6583940570000002</v>
      </c>
      <c r="N1943" s="10">
        <v>-0.46878793400000002</v>
      </c>
      <c r="O1943" s="9">
        <v>-0.38115319050000002</v>
      </c>
      <c r="P1943" s="10">
        <v>2.66939954087856</v>
      </c>
      <c r="Q1943" s="10">
        <v>7.1256939088426803</v>
      </c>
    </row>
    <row r="1944" spans="1:17" x14ac:dyDescent="0.2">
      <c r="A1944" s="10">
        <v>1828</v>
      </c>
      <c r="B1944" s="10" t="s">
        <v>2824</v>
      </c>
      <c r="C1944" s="9" t="s">
        <v>1793</v>
      </c>
      <c r="D1944" s="10">
        <v>0.150352808</v>
      </c>
      <c r="E1944" s="10">
        <v>-0.30016578500000002</v>
      </c>
      <c r="F1944" s="10">
        <v>1.175031E-3</v>
      </c>
      <c r="G1944" s="10">
        <v>-0.33288963700000002</v>
      </c>
      <c r="H1944" s="9">
        <v>-0.12038189575</v>
      </c>
      <c r="I1944" s="10">
        <v>0.23491498687861401</v>
      </c>
      <c r="J1944" s="10">
        <v>5.5185051060179402E-2</v>
      </c>
      <c r="K1944" s="10">
        <v>0.31211651400000001</v>
      </c>
      <c r="L1944" s="10">
        <v>-0.15781564000000001</v>
      </c>
      <c r="M1944" s="10">
        <v>-0.102472254</v>
      </c>
      <c r="N1944" s="10">
        <v>-3.1853890000000003E-2</v>
      </c>
      <c r="O1944" s="9">
        <v>4.9936824999999999E-3</v>
      </c>
      <c r="P1944" s="10">
        <v>0.21113816979129299</v>
      </c>
      <c r="Q1944" s="10">
        <v>4.4579326742816998E-2</v>
      </c>
    </row>
    <row r="1945" spans="1:17" x14ac:dyDescent="0.2">
      <c r="A1945" s="10">
        <v>1828</v>
      </c>
      <c r="B1945" s="10" t="s">
        <v>2825</v>
      </c>
      <c r="C1945" s="9" t="s">
        <v>1794</v>
      </c>
      <c r="D1945" s="10">
        <v>0.10462316100000001</v>
      </c>
      <c r="E1945" s="10">
        <v>0.78081741800000004</v>
      </c>
      <c r="F1945" s="10">
        <v>-0.12890733400000001</v>
      </c>
      <c r="G1945" s="10">
        <v>4.5008541999999999E-2</v>
      </c>
      <c r="H1945" s="9">
        <v>0.20038544675</v>
      </c>
      <c r="I1945" s="10">
        <v>0.39943602182952198</v>
      </c>
      <c r="J1945" s="10">
        <v>0.159549135534994</v>
      </c>
      <c r="K1945" s="10">
        <v>1.8989733000000002E-2</v>
      </c>
      <c r="L1945" s="10">
        <v>0.66205180900000005</v>
      </c>
      <c r="M1945" s="10">
        <v>0.27037877599999999</v>
      </c>
      <c r="N1945" s="10">
        <v>-0.33149264299999998</v>
      </c>
      <c r="O1945" s="9">
        <v>0.15498191875</v>
      </c>
      <c r="P1945" s="10">
        <v>0.418564085924023</v>
      </c>
      <c r="Q1945" s="10">
        <v>0.175195894025413</v>
      </c>
    </row>
    <row r="1946" spans="1:17" x14ac:dyDescent="0.2">
      <c r="A1946" s="10">
        <v>1828</v>
      </c>
      <c r="B1946" s="10" t="s">
        <v>2818</v>
      </c>
      <c r="C1946" s="9" t="s">
        <v>1796</v>
      </c>
      <c r="D1946" s="10">
        <v>-0.26973550099999999</v>
      </c>
      <c r="E1946" s="10">
        <v>0.73219890200000004</v>
      </c>
      <c r="F1946" s="10">
        <v>0.45417675200000002</v>
      </c>
      <c r="G1946" s="10">
        <v>-2.0899002999999999E-2</v>
      </c>
      <c r="H1946" s="9">
        <v>0.22393528725</v>
      </c>
      <c r="I1946" s="10">
        <v>0.452768414321847</v>
      </c>
      <c r="J1946" s="10">
        <v>0.20499923700751899</v>
      </c>
      <c r="K1946" s="10">
        <v>3.1341308999999998E-2</v>
      </c>
      <c r="L1946" s="10">
        <v>0.94967348900000004</v>
      </c>
      <c r="M1946" s="10">
        <v>-0.257189687</v>
      </c>
      <c r="N1946" s="10">
        <v>-0.43739687399999999</v>
      </c>
      <c r="O1946" s="9">
        <v>7.1607059000000001E-2</v>
      </c>
      <c r="P1946" s="10">
        <v>0.61639118804691495</v>
      </c>
      <c r="Q1946" s="10">
        <v>0.379938096701888</v>
      </c>
    </row>
    <row r="1947" spans="1:17" x14ac:dyDescent="0.2">
      <c r="A1947" s="10">
        <v>1828</v>
      </c>
      <c r="B1947" s="10" t="s">
        <v>2835</v>
      </c>
      <c r="C1947" s="9" t="s">
        <v>1797</v>
      </c>
      <c r="D1947" s="10">
        <v>-0.46639921400000001</v>
      </c>
      <c r="E1947" s="10">
        <v>-2.5276864999999999E-2</v>
      </c>
      <c r="F1947" s="10">
        <v>3.4585210999999998E-2</v>
      </c>
      <c r="G1947" s="10">
        <v>-0.62998579300000002</v>
      </c>
      <c r="H1947" s="9">
        <v>-0.27176916525</v>
      </c>
      <c r="I1947" s="10">
        <v>0.32701246979438497</v>
      </c>
      <c r="J1947" s="10">
        <v>0.106937155401024</v>
      </c>
      <c r="K1947" s="10">
        <v>-0.12645790300000001</v>
      </c>
      <c r="L1947" s="10">
        <v>0.73651295999999999</v>
      </c>
      <c r="M1947" s="10">
        <v>-0.839945783</v>
      </c>
      <c r="N1947" s="10">
        <v>0.40286377699999998</v>
      </c>
      <c r="O1947" s="9">
        <v>4.3243262749999997E-2</v>
      </c>
      <c r="P1947" s="10">
        <v>0.68769449699321294</v>
      </c>
      <c r="Q1947" s="10">
        <v>0.47292372119474801</v>
      </c>
    </row>
    <row r="1948" spans="1:17" x14ac:dyDescent="0.2">
      <c r="A1948" s="10">
        <v>1829</v>
      </c>
      <c r="B1948" s="10" t="s">
        <v>2831</v>
      </c>
      <c r="C1948" s="9" t="s">
        <v>1798</v>
      </c>
      <c r="D1948" s="10">
        <v>-3.1584574440000002</v>
      </c>
      <c r="E1948" s="10">
        <v>-1.1602315430000001</v>
      </c>
      <c r="F1948" s="10">
        <v>-1.441378262</v>
      </c>
      <c r="G1948" s="10">
        <v>-1.160643742</v>
      </c>
      <c r="H1948" s="9">
        <v>-1.730177748</v>
      </c>
      <c r="I1948" s="10">
        <v>0.961352466355607</v>
      </c>
      <c r="J1948" s="10">
        <v>0.92419856456800897</v>
      </c>
      <c r="K1948" s="10">
        <v>0.27181098100000001</v>
      </c>
      <c r="L1948" s="10">
        <v>-2.903774E-3</v>
      </c>
      <c r="M1948" s="10">
        <v>-0.80193329300000005</v>
      </c>
      <c r="N1948" s="10">
        <v>0.219260593</v>
      </c>
      <c r="O1948" s="9">
        <v>-7.8441372999999995E-2</v>
      </c>
      <c r="P1948" s="10">
        <v>0.49680635369352799</v>
      </c>
      <c r="Q1948" s="10">
        <v>0.24681655307025899</v>
      </c>
    </row>
    <row r="1949" spans="1:17" x14ac:dyDescent="0.2">
      <c r="A1949" s="10">
        <v>1829</v>
      </c>
      <c r="B1949" s="10" t="s">
        <v>96</v>
      </c>
      <c r="C1949" s="9" t="s">
        <v>1799</v>
      </c>
      <c r="D1949" s="10">
        <v>-0.121719804</v>
      </c>
      <c r="E1949" s="10">
        <v>0.32169799599999999</v>
      </c>
      <c r="F1949" s="10">
        <v>7.2569528999999994E-2</v>
      </c>
      <c r="G1949" s="10">
        <v>5.9555314999999998E-2</v>
      </c>
      <c r="H1949" s="9">
        <v>8.3025758749999998E-2</v>
      </c>
      <c r="I1949" s="10">
        <v>0.18215870074392199</v>
      </c>
      <c r="J1949" s="10">
        <v>3.3181792256713701E-2</v>
      </c>
      <c r="K1949" s="10">
        <v>-7.3872080000000001E-3</v>
      </c>
      <c r="L1949" s="10">
        <v>0.13155599900000001</v>
      </c>
      <c r="M1949" s="10">
        <v>-3.0660773999999998E-2</v>
      </c>
      <c r="N1949" s="10">
        <v>-0.146756739</v>
      </c>
      <c r="O1949" s="9">
        <v>-1.3312180749999999E-2</v>
      </c>
      <c r="P1949" s="10">
        <v>0.114207878625569</v>
      </c>
      <c r="Q1949" s="10">
        <v>1.3043439540152701E-2</v>
      </c>
    </row>
    <row r="1950" spans="1:17" x14ac:dyDescent="0.2">
      <c r="A1950" s="10">
        <v>1829</v>
      </c>
      <c r="B1950" s="10" t="s">
        <v>2821</v>
      </c>
      <c r="C1950" s="9" t="s">
        <v>1801</v>
      </c>
      <c r="D1950" s="10">
        <v>-0.13903980399999999</v>
      </c>
      <c r="E1950" s="10">
        <v>0.17270365500000001</v>
      </c>
      <c r="F1950" s="10">
        <v>0.88406016099999996</v>
      </c>
      <c r="G1950" s="10">
        <v>-0.24324129</v>
      </c>
      <c r="H1950" s="9">
        <v>0.16862068050000001</v>
      </c>
      <c r="I1950" s="10">
        <v>0.508643810344657</v>
      </c>
      <c r="J1950" s="10">
        <v>0.258718525801931</v>
      </c>
      <c r="K1950" s="10">
        <v>-0.34221280199999998</v>
      </c>
      <c r="L1950" s="10">
        <v>-0.455384707</v>
      </c>
      <c r="M1950" s="10">
        <v>-0.42148212200000001</v>
      </c>
      <c r="N1950" s="10">
        <v>0.13314678299999999</v>
      </c>
      <c r="O1950" s="9">
        <v>-0.27148321199999997</v>
      </c>
      <c r="P1950" s="10">
        <v>0.27389020952423598</v>
      </c>
      <c r="Q1950" s="10">
        <v>7.5015846873230402E-2</v>
      </c>
    </row>
    <row r="1951" spans="1:17" x14ac:dyDescent="0.2">
      <c r="A1951" s="10">
        <v>1829</v>
      </c>
      <c r="B1951" s="10" t="s">
        <v>2820</v>
      </c>
      <c r="C1951" s="9" t="s">
        <v>1802</v>
      </c>
      <c r="D1951" s="10">
        <v>-0.48092126600000001</v>
      </c>
      <c r="E1951" s="10">
        <v>-7.9054068000000005E-2</v>
      </c>
      <c r="F1951" s="10">
        <v>-1.098727E-2</v>
      </c>
      <c r="G1951" s="10">
        <v>-0.490642462</v>
      </c>
      <c r="H1951" s="9">
        <v>-0.26540126650000001</v>
      </c>
      <c r="I1951" s="10">
        <v>0.25601707386985501</v>
      </c>
      <c r="J1951" s="10">
        <v>6.5544742112883206E-2</v>
      </c>
      <c r="K1951" s="10">
        <v>0.64558790700000002</v>
      </c>
      <c r="L1951" s="10">
        <v>-0.46048887799999999</v>
      </c>
      <c r="M1951" s="10">
        <v>-1.3082208639999999</v>
      </c>
      <c r="N1951" s="10">
        <v>-0.21418923600000001</v>
      </c>
      <c r="O1951" s="9">
        <v>-0.33432776800000003</v>
      </c>
      <c r="P1951" s="10">
        <v>0.80395944862385404</v>
      </c>
      <c r="Q1951" s="10">
        <v>0.646350795031572</v>
      </c>
    </row>
    <row r="1952" spans="1:17" x14ac:dyDescent="0.2">
      <c r="A1952" s="10">
        <v>1829</v>
      </c>
      <c r="B1952" s="10" t="s">
        <v>2824</v>
      </c>
      <c r="C1952" s="9" t="s">
        <v>1803</v>
      </c>
      <c r="D1952" s="10">
        <v>-9.2430921999999999E-2</v>
      </c>
      <c r="E1952" s="10">
        <v>-8.0300483000000006E-2</v>
      </c>
      <c r="F1952" s="10">
        <v>-0.116152032</v>
      </c>
      <c r="G1952" s="10">
        <v>-7.6839715000000003E-2</v>
      </c>
      <c r="H1952" s="9">
        <v>-9.1430787999999999E-2</v>
      </c>
      <c r="I1952" s="10">
        <v>1.7785043094407899E-2</v>
      </c>
      <c r="J1952" s="10">
        <v>3.1630775786990002E-4</v>
      </c>
      <c r="K1952" s="10">
        <v>2.4609473999999999E-2</v>
      </c>
      <c r="L1952" s="10">
        <v>5.4672801E-2</v>
      </c>
      <c r="M1952" s="10">
        <v>3.10195E-3</v>
      </c>
      <c r="N1952" s="10">
        <v>6.4225199999999995E-4</v>
      </c>
      <c r="O1952" s="9">
        <v>2.075661925E-2</v>
      </c>
      <c r="P1952" s="10">
        <v>2.5042809948954699E-2</v>
      </c>
      <c r="Q1952" s="10">
        <v>6.271423301394E-4</v>
      </c>
    </row>
    <row r="1953" spans="1:17" x14ac:dyDescent="0.2">
      <c r="A1953" s="10">
        <v>1829</v>
      </c>
      <c r="B1953" s="10" t="s">
        <v>2817</v>
      </c>
      <c r="C1953" s="9" t="s">
        <v>1804</v>
      </c>
      <c r="D1953" s="10">
        <v>5.8291588999999998E-2</v>
      </c>
      <c r="E1953" s="10">
        <v>-2.7537104E-2</v>
      </c>
      <c r="F1953" s="10">
        <v>2.2414961000000001E-2</v>
      </c>
      <c r="G1953" s="10">
        <v>2.2405294999999999E-2</v>
      </c>
      <c r="H1953" s="9">
        <v>1.889368525E-2</v>
      </c>
      <c r="I1953" s="10">
        <v>3.5273898736487903E-2</v>
      </c>
      <c r="J1953" s="10">
        <v>1.2442479320720001E-3</v>
      </c>
      <c r="K1953" s="10">
        <v>-0.20777449100000001</v>
      </c>
      <c r="L1953" s="10">
        <v>4.0343555000000003E-2</v>
      </c>
      <c r="M1953" s="10">
        <v>-0.128247629</v>
      </c>
      <c r="N1953" s="10">
        <v>-0.22382701699999999</v>
      </c>
      <c r="O1953" s="9">
        <v>-0.12987639575000001</v>
      </c>
      <c r="P1953" s="10">
        <v>0.120930168542699</v>
      </c>
      <c r="Q1953" s="10">
        <v>1.46241056637657E-2</v>
      </c>
    </row>
    <row r="1954" spans="1:17" x14ac:dyDescent="0.2">
      <c r="A1954" s="10">
        <v>1829</v>
      </c>
      <c r="B1954" s="10" t="s">
        <v>82</v>
      </c>
      <c r="C1954" s="9" t="s">
        <v>1805</v>
      </c>
      <c r="D1954" s="10">
        <v>0.116133421</v>
      </c>
      <c r="E1954" s="10">
        <v>0.24215015200000001</v>
      </c>
      <c r="F1954" s="10">
        <v>2.8234581000000002E-2</v>
      </c>
      <c r="G1954" s="10">
        <v>0.185098348</v>
      </c>
      <c r="H1954" s="9">
        <v>0.14290412550000001</v>
      </c>
      <c r="I1954" s="10">
        <v>9.2188034732789498E-2</v>
      </c>
      <c r="J1954" s="10">
        <v>8.4986337478940004E-3</v>
      </c>
      <c r="K1954" s="10">
        <v>-9.5704499999999994E-3</v>
      </c>
      <c r="L1954" s="10">
        <v>3.4453400000000002E-4</v>
      </c>
      <c r="M1954" s="10">
        <v>-0.111745548</v>
      </c>
      <c r="N1954" s="10">
        <v>-1.7456815000000001E-2</v>
      </c>
      <c r="O1954" s="9">
        <v>-3.4607069499999997E-2</v>
      </c>
      <c r="P1954" s="10">
        <v>5.1938819771980199E-2</v>
      </c>
      <c r="Q1954" s="10">
        <v>2.6976409993062001E-3</v>
      </c>
    </row>
    <row r="1955" spans="1:17" x14ac:dyDescent="0.2">
      <c r="A1955" s="10">
        <v>1829</v>
      </c>
      <c r="B1955" s="10" t="s">
        <v>2814</v>
      </c>
      <c r="C1955" s="9" t="s">
        <v>1806</v>
      </c>
      <c r="D1955" s="10">
        <v>-0.23976255599999999</v>
      </c>
      <c r="E1955" s="10">
        <v>9.0929249000000004E-2</v>
      </c>
      <c r="F1955" s="10">
        <v>0.164189064</v>
      </c>
      <c r="G1955" s="10">
        <v>0.34305029999999997</v>
      </c>
      <c r="H1955" s="9">
        <v>8.960151425E-2</v>
      </c>
      <c r="I1955" s="10">
        <v>0.24377725025596</v>
      </c>
      <c r="J1955" s="10">
        <v>5.9427347742357098E-2</v>
      </c>
      <c r="K1955" s="10">
        <v>-0.111509225</v>
      </c>
      <c r="L1955" s="10">
        <v>-0.27055418799999997</v>
      </c>
      <c r="M1955" s="10">
        <v>0.30078243199999999</v>
      </c>
      <c r="N1955" s="10">
        <v>-0.53406534299999997</v>
      </c>
      <c r="O1955" s="9">
        <v>-0.153836581</v>
      </c>
      <c r="P1955" s="10">
        <v>0.349603090796264</v>
      </c>
      <c r="Q1955" s="10">
        <v>0.12222232109430101</v>
      </c>
    </row>
    <row r="1956" spans="1:17" x14ac:dyDescent="0.2">
      <c r="A1956" s="10">
        <v>1829</v>
      </c>
      <c r="B1956" s="10" t="s">
        <v>2825</v>
      </c>
      <c r="C1956" s="9" t="s">
        <v>1808</v>
      </c>
      <c r="D1956" s="10">
        <v>-0.67732542299999998</v>
      </c>
      <c r="E1956" s="10">
        <v>-1.27435955</v>
      </c>
      <c r="F1956" s="10">
        <v>0.334851173</v>
      </c>
      <c r="G1956" s="10">
        <v>-1.3587193099999999</v>
      </c>
      <c r="H1956" s="9">
        <v>-0.74388827749999997</v>
      </c>
      <c r="I1956" s="10">
        <v>0.78049693254511798</v>
      </c>
      <c r="J1956" s="10">
        <v>0.60917546171233805</v>
      </c>
      <c r="K1956" s="10">
        <v>0.81929334099999995</v>
      </c>
      <c r="L1956" s="10">
        <v>1.382771942</v>
      </c>
      <c r="M1956" s="10">
        <v>-0.78398408900000005</v>
      </c>
      <c r="N1956" s="10">
        <v>0.87016965800000001</v>
      </c>
      <c r="O1956" s="9">
        <v>0.572062713</v>
      </c>
      <c r="P1956" s="10">
        <v>0.93916685015296197</v>
      </c>
      <c r="Q1956" s="10">
        <v>0.88203437242623595</v>
      </c>
    </row>
    <row r="1957" spans="1:17" x14ac:dyDescent="0.2">
      <c r="A1957" s="10">
        <v>1829</v>
      </c>
      <c r="B1957" s="10" t="s">
        <v>74</v>
      </c>
      <c r="C1957" s="9" t="s">
        <v>1809</v>
      </c>
      <c r="D1957" s="10">
        <v>0.30555784000000002</v>
      </c>
      <c r="E1957" s="10">
        <v>0.48078031900000001</v>
      </c>
      <c r="F1957" s="10">
        <v>-9.5200836999999996E-2</v>
      </c>
      <c r="G1957" s="10">
        <v>-5.6532510000000001E-2</v>
      </c>
      <c r="H1957" s="9">
        <v>0.15865120299999999</v>
      </c>
      <c r="I1957" s="10">
        <v>0.28053140995987003</v>
      </c>
      <c r="J1957" s="10">
        <v>7.8697871974073005E-2</v>
      </c>
      <c r="K1957" s="10">
        <v>0.18203055200000001</v>
      </c>
      <c r="L1957" s="10">
        <v>-2.5134829000000001E-2</v>
      </c>
      <c r="M1957" s="10">
        <v>-0.12979305899999999</v>
      </c>
      <c r="N1957" s="10">
        <v>0.189079888</v>
      </c>
      <c r="O1957" s="9">
        <v>5.4045638E-2</v>
      </c>
      <c r="P1957" s="10">
        <v>0.15777684637238501</v>
      </c>
      <c r="Q1957" s="10">
        <v>2.48935332512152E-2</v>
      </c>
    </row>
    <row r="1958" spans="1:17" x14ac:dyDescent="0.2">
      <c r="A1958" s="10">
        <v>1829</v>
      </c>
      <c r="B1958" s="10" t="s">
        <v>2818</v>
      </c>
      <c r="C1958" s="9" t="s">
        <v>1810</v>
      </c>
      <c r="D1958" s="10">
        <v>0.23642943</v>
      </c>
      <c r="E1958" s="10">
        <v>0.51093135999999995</v>
      </c>
      <c r="F1958" s="10">
        <v>0.417897089</v>
      </c>
      <c r="G1958" s="10">
        <v>-0.19011441600000001</v>
      </c>
      <c r="H1958" s="9">
        <v>0.2437858655</v>
      </c>
      <c r="I1958" s="10">
        <v>0.31091531795081001</v>
      </c>
      <c r="J1958" s="10">
        <v>9.6668334936453701E-2</v>
      </c>
      <c r="K1958" s="10">
        <v>-0.36973734400000002</v>
      </c>
      <c r="L1958" s="10">
        <v>-5.7304338000000003E-2</v>
      </c>
      <c r="M1958" s="10">
        <v>0.26183680399999998</v>
      </c>
      <c r="N1958" s="10">
        <v>-0.28039243000000003</v>
      </c>
      <c r="O1958" s="9">
        <v>-0.11139932675</v>
      </c>
      <c r="P1958" s="10">
        <v>0.28138270333469301</v>
      </c>
      <c r="Q1958" s="10">
        <v>7.9176225735940006E-2</v>
      </c>
    </row>
    <row r="1959" spans="1:17" x14ac:dyDescent="0.2">
      <c r="A1959" s="10">
        <v>1829</v>
      </c>
      <c r="B1959" s="10" t="s">
        <v>2830</v>
      </c>
      <c r="C1959" s="9" t="s">
        <v>1811</v>
      </c>
      <c r="D1959" s="10">
        <v>-0.102380665</v>
      </c>
      <c r="E1959" s="10">
        <v>0.67317799099999998</v>
      </c>
      <c r="F1959" s="10">
        <v>-0.24565071499999999</v>
      </c>
      <c r="G1959" s="10">
        <v>-6.9902245000000002E-2</v>
      </c>
      <c r="H1959" s="9">
        <v>6.38110915E-2</v>
      </c>
      <c r="I1959" s="10">
        <v>0.41335762731360598</v>
      </c>
      <c r="J1959" s="10">
        <v>0.17086452805833399</v>
      </c>
      <c r="K1959" s="10">
        <v>-0.40870972799999999</v>
      </c>
      <c r="L1959" s="10">
        <v>1.004549621</v>
      </c>
      <c r="M1959" s="10">
        <v>-0.24884893299999999</v>
      </c>
      <c r="N1959" s="10">
        <v>-8.6584016999999999E-2</v>
      </c>
      <c r="O1959" s="9">
        <v>6.510173575E-2</v>
      </c>
      <c r="P1959" s="10">
        <v>0.639956566827656</v>
      </c>
      <c r="Q1959" s="10">
        <v>0.40954440742583997</v>
      </c>
    </row>
    <row r="1960" spans="1:17" x14ac:dyDescent="0.2">
      <c r="A1960" s="10">
        <v>1830</v>
      </c>
      <c r="B1960" s="10" t="s">
        <v>2831</v>
      </c>
      <c r="C1960" s="9" t="s">
        <v>2185</v>
      </c>
      <c r="D1960" s="10">
        <v>-1.1532084709999999</v>
      </c>
      <c r="E1960" s="10">
        <v>-0.54565857799999995</v>
      </c>
      <c r="F1960" s="10">
        <v>-1.4684610250000001</v>
      </c>
      <c r="G1960" s="10">
        <v>-1.373509884</v>
      </c>
      <c r="H1960" s="9">
        <v>-1.1352094895</v>
      </c>
      <c r="I1960" s="10">
        <v>0.41462348563384599</v>
      </c>
      <c r="J1960" s="10">
        <v>0.17191263483916</v>
      </c>
      <c r="K1960" s="10">
        <v>-0.255165372</v>
      </c>
      <c r="L1960" s="10">
        <v>0.18196014799999999</v>
      </c>
      <c r="M1960" s="10">
        <v>-0.248350346</v>
      </c>
      <c r="N1960" s="10">
        <v>0.167546372</v>
      </c>
      <c r="O1960" s="9">
        <v>-3.8502299750000003E-2</v>
      </c>
      <c r="P1960" s="10">
        <v>0.24633231983752499</v>
      </c>
      <c r="Q1960" s="10">
        <v>6.0679611796537102E-2</v>
      </c>
    </row>
    <row r="1961" spans="1:17" x14ac:dyDescent="0.2">
      <c r="A1961" s="10">
        <v>1830</v>
      </c>
      <c r="B1961" s="10" t="s">
        <v>96</v>
      </c>
      <c r="C1961" s="9" t="s">
        <v>1812</v>
      </c>
      <c r="D1961" s="10">
        <v>0.67437775700000002</v>
      </c>
      <c r="E1961" s="10">
        <v>0.57276154700000004</v>
      </c>
      <c r="F1961" s="10">
        <v>1.1847366800000001</v>
      </c>
      <c r="G1961" s="10">
        <v>0.32930173499999998</v>
      </c>
      <c r="H1961" s="9">
        <v>0.69029443025000004</v>
      </c>
      <c r="I1961" s="10">
        <v>0.360026009937294</v>
      </c>
      <c r="J1961" s="10">
        <v>0.12961872783136799</v>
      </c>
      <c r="K1961" s="10">
        <v>0.32614808499999998</v>
      </c>
      <c r="L1961" s="10">
        <v>-0.13913603099999999</v>
      </c>
      <c r="M1961" s="10">
        <v>-0.73290192499999995</v>
      </c>
      <c r="N1961" s="10">
        <v>1.549822E-3</v>
      </c>
      <c r="O1961" s="9">
        <v>-0.13608501225</v>
      </c>
      <c r="P1961" s="10">
        <v>0.44302088733760803</v>
      </c>
      <c r="Q1961" s="10">
        <v>0.196267506617402</v>
      </c>
    </row>
    <row r="1962" spans="1:17" x14ac:dyDescent="0.2">
      <c r="A1962" s="10">
        <v>1830</v>
      </c>
      <c r="B1962" s="10" t="s">
        <v>2826</v>
      </c>
      <c r="C1962" s="9" t="s">
        <v>1814</v>
      </c>
      <c r="D1962" s="10">
        <v>2.1121088299999999</v>
      </c>
      <c r="E1962" s="10">
        <v>-0.69062747199999996</v>
      </c>
      <c r="F1962" s="10">
        <v>7.0082910999999998E-2</v>
      </c>
      <c r="G1962" s="10">
        <v>0.161984665</v>
      </c>
      <c r="H1962" s="9">
        <v>0.41338723350000001</v>
      </c>
      <c r="I1962" s="10">
        <v>1.1952077422874099</v>
      </c>
      <c r="J1962" s="10">
        <v>1.42852154722378</v>
      </c>
      <c r="K1962" s="10">
        <v>0.62889539800000005</v>
      </c>
      <c r="L1962" s="10">
        <v>-1.3209585349999999</v>
      </c>
      <c r="M1962" s="10">
        <v>1.2625642909999999</v>
      </c>
      <c r="N1962" s="10">
        <v>-5.9444223999999997E-2</v>
      </c>
      <c r="O1962" s="9">
        <v>0.12776423249999999</v>
      </c>
      <c r="P1962" s="10">
        <v>1.1064580547954099</v>
      </c>
      <c r="Q1962" s="10">
        <v>1.22424942702165</v>
      </c>
    </row>
    <row r="1963" spans="1:17" x14ac:dyDescent="0.2">
      <c r="A1963" s="10">
        <v>1830</v>
      </c>
      <c r="B1963" s="10" t="s">
        <v>2821</v>
      </c>
      <c r="C1963" s="9" t="s">
        <v>1815</v>
      </c>
      <c r="D1963" s="10">
        <v>0.21688243700000001</v>
      </c>
      <c r="E1963" s="10">
        <v>-0.214484549</v>
      </c>
      <c r="F1963" s="10">
        <v>4.6163432999999997E-2</v>
      </c>
      <c r="G1963" s="10">
        <v>0.37528662400000001</v>
      </c>
      <c r="H1963" s="9">
        <v>0.10596198649999999</v>
      </c>
      <c r="I1963" s="10">
        <v>0.252389220463338</v>
      </c>
      <c r="J1963" s="10">
        <v>6.3700318606091502E-2</v>
      </c>
      <c r="K1963" s="10">
        <v>3.9028498000000002E-2</v>
      </c>
      <c r="L1963" s="10">
        <v>8.7507188999999999E-2</v>
      </c>
      <c r="M1963" s="10">
        <v>9.6901528000000001E-2</v>
      </c>
      <c r="N1963" s="10">
        <v>-0.27743140900000002</v>
      </c>
      <c r="O1963" s="9">
        <v>-1.349854875E-2</v>
      </c>
      <c r="P1963" s="10">
        <v>0.17777324636068501</v>
      </c>
      <c r="Q1963" s="10">
        <v>3.16033271216168E-2</v>
      </c>
    </row>
    <row r="1964" spans="1:17" x14ac:dyDescent="0.2">
      <c r="A1964" s="10">
        <v>1830</v>
      </c>
      <c r="B1964" s="10" t="s">
        <v>2820</v>
      </c>
      <c r="C1964" s="9" t="s">
        <v>1816</v>
      </c>
      <c r="D1964" s="10">
        <v>-0.27771376800000003</v>
      </c>
      <c r="E1964" s="10">
        <v>4.4068488000000003E-2</v>
      </c>
      <c r="F1964" s="10">
        <v>0.23904903499999999</v>
      </c>
      <c r="G1964" s="10">
        <v>-7.3262105999999994E-2</v>
      </c>
      <c r="H1964" s="9">
        <v>-1.6964587749999999E-2</v>
      </c>
      <c r="I1964" s="10">
        <v>0.216354305812819</v>
      </c>
      <c r="J1964" s="10">
        <v>4.6809185643746802E-2</v>
      </c>
      <c r="K1964" s="10">
        <v>0.34439130099999998</v>
      </c>
      <c r="L1964" s="10">
        <v>-0.148115354</v>
      </c>
      <c r="M1964" s="10">
        <v>-0.12343024800000001</v>
      </c>
      <c r="N1964" s="10">
        <v>-0.35024189100000003</v>
      </c>
      <c r="O1964" s="9">
        <v>-6.9349048250000003E-2</v>
      </c>
      <c r="P1964" s="10">
        <v>0.29394487736852398</v>
      </c>
      <c r="Q1964" s="10">
        <v>8.6403590931196594E-2</v>
      </c>
    </row>
    <row r="1965" spans="1:17" x14ac:dyDescent="0.2">
      <c r="A1965" s="10">
        <v>1830</v>
      </c>
      <c r="B1965" s="10" t="s">
        <v>2817</v>
      </c>
      <c r="C1965" s="9" t="s">
        <v>1817</v>
      </c>
      <c r="D1965" s="10">
        <v>3.1030288E-2</v>
      </c>
      <c r="E1965" s="10">
        <v>0.39196587399999999</v>
      </c>
      <c r="F1965" s="10">
        <v>4.8275322000000002E-2</v>
      </c>
      <c r="G1965" s="10">
        <v>-0.32925114700000002</v>
      </c>
      <c r="H1965" s="9">
        <v>3.5505084249999999E-2</v>
      </c>
      <c r="I1965" s="10">
        <v>0.29455871267517397</v>
      </c>
      <c r="J1965" s="10">
        <v>8.6764835212855898E-2</v>
      </c>
      <c r="K1965" s="10">
        <v>0.59461487499999999</v>
      </c>
      <c r="L1965" s="10">
        <v>0.76571921799999998</v>
      </c>
      <c r="M1965" s="10">
        <v>-0.54967361800000003</v>
      </c>
      <c r="N1965" s="10">
        <v>1.0407680800000001</v>
      </c>
      <c r="O1965" s="9">
        <v>0.46285713875000001</v>
      </c>
      <c r="P1965" s="10">
        <v>0.69959157834900199</v>
      </c>
      <c r="Q1965" s="10">
        <v>0.48942837649684801</v>
      </c>
    </row>
    <row r="1966" spans="1:17" x14ac:dyDescent="0.2">
      <c r="A1966" s="10">
        <v>1830</v>
      </c>
      <c r="B1966" s="10" t="s">
        <v>2814</v>
      </c>
      <c r="C1966" s="9" t="s">
        <v>1818</v>
      </c>
      <c r="D1966" s="10">
        <v>-0.29161502</v>
      </c>
      <c r="E1966" s="10">
        <v>-0.29832713500000002</v>
      </c>
      <c r="F1966" s="10">
        <v>-0.42645083700000003</v>
      </c>
      <c r="G1966" s="10">
        <v>-0.237914073</v>
      </c>
      <c r="H1966" s="9">
        <v>-0.31357676649999999</v>
      </c>
      <c r="I1966" s="10">
        <v>7.9958882244000801E-2</v>
      </c>
      <c r="J1966" s="10">
        <v>6.3934228497098998E-3</v>
      </c>
      <c r="K1966" s="10">
        <v>-2.0011797000000001E-2</v>
      </c>
      <c r="L1966" s="10">
        <v>-0.34714178200000001</v>
      </c>
      <c r="M1966" s="10">
        <v>-0.14866917199999999</v>
      </c>
      <c r="N1966" s="10">
        <v>0.34290797200000001</v>
      </c>
      <c r="O1966" s="9">
        <v>-4.3228694749999998E-2</v>
      </c>
      <c r="P1966" s="10">
        <v>0.29047169029842201</v>
      </c>
      <c r="Q1966" s="10">
        <v>8.4373802864822794E-2</v>
      </c>
    </row>
    <row r="1967" spans="1:17" x14ac:dyDescent="0.2">
      <c r="A1967" s="10">
        <v>1830</v>
      </c>
      <c r="B1967" s="10" t="s">
        <v>2833</v>
      </c>
      <c r="C1967" s="9" t="s">
        <v>1819</v>
      </c>
      <c r="D1967" s="10">
        <v>1.8321884E-2</v>
      </c>
      <c r="E1967" s="10">
        <v>0.35445263999999999</v>
      </c>
      <c r="F1967" s="10">
        <v>0.288248432</v>
      </c>
      <c r="G1967" s="10">
        <v>3.8825106999999998E-2</v>
      </c>
      <c r="H1967" s="9">
        <v>0.17496201624999999</v>
      </c>
      <c r="I1967" s="10">
        <v>0.17138658553018399</v>
      </c>
      <c r="J1967" s="10">
        <v>2.9373361699695299E-2</v>
      </c>
      <c r="K1967" s="10">
        <v>5.3940624E-2</v>
      </c>
      <c r="L1967" s="10">
        <v>0.37850155499999999</v>
      </c>
      <c r="M1967" s="10">
        <v>-0.221852195</v>
      </c>
      <c r="N1967" s="10">
        <v>0.95964333199999996</v>
      </c>
      <c r="O1967" s="9">
        <v>0.29255832900000001</v>
      </c>
      <c r="P1967" s="10">
        <v>0.50791903412001205</v>
      </c>
      <c r="Q1967" s="10">
        <v>0.25798174522140599</v>
      </c>
    </row>
    <row r="1968" spans="1:17" x14ac:dyDescent="0.2">
      <c r="A1968" s="10">
        <v>1830</v>
      </c>
      <c r="B1968" s="10" t="s">
        <v>2825</v>
      </c>
      <c r="C1968" s="9" t="s">
        <v>1820</v>
      </c>
      <c r="D1968" s="10">
        <v>0.31125408199999999</v>
      </c>
      <c r="E1968" s="10">
        <v>0.82733156799999996</v>
      </c>
      <c r="F1968" s="10">
        <v>0.46785368999999999</v>
      </c>
      <c r="G1968" s="10">
        <v>-7.6280417000000003E-2</v>
      </c>
      <c r="H1968" s="9">
        <v>0.38253973074999997</v>
      </c>
      <c r="I1968" s="10">
        <v>0.37448445531876701</v>
      </c>
      <c r="J1968" s="10">
        <v>0.140238607275393</v>
      </c>
      <c r="K1968" s="10">
        <v>0.10392668400000001</v>
      </c>
      <c r="L1968" s="10">
        <v>-0.28182938000000002</v>
      </c>
      <c r="M1968" s="10">
        <v>0.19374778400000001</v>
      </c>
      <c r="N1968" s="10">
        <v>0.14352825699999999</v>
      </c>
      <c r="O1968" s="9">
        <v>3.984333625E-2</v>
      </c>
      <c r="P1968" s="10">
        <v>0.21757539204198201</v>
      </c>
      <c r="Q1968" s="10">
        <v>4.7339051222222199E-2</v>
      </c>
    </row>
    <row r="1969" spans="1:17" x14ac:dyDescent="0.2">
      <c r="A1969" s="10">
        <v>1830</v>
      </c>
      <c r="B1969" s="10" t="s">
        <v>74</v>
      </c>
      <c r="C1969" s="9" t="s">
        <v>1821</v>
      </c>
      <c r="D1969" s="10">
        <v>-0.58018958399999998</v>
      </c>
      <c r="E1969" s="10">
        <v>1.0840072940000001</v>
      </c>
      <c r="F1969" s="10">
        <v>-0.13773882300000001</v>
      </c>
      <c r="G1969" s="10">
        <v>-0.44543049600000001</v>
      </c>
      <c r="H1969" s="9">
        <v>-1.9837902000000001E-2</v>
      </c>
      <c r="I1969" s="10">
        <v>0.75883636960212597</v>
      </c>
      <c r="J1969" s="10">
        <v>0.57583263583093403</v>
      </c>
      <c r="K1969" s="10">
        <v>0.57592389799999999</v>
      </c>
      <c r="L1969" s="10">
        <v>0.71380944300000004</v>
      </c>
      <c r="M1969" s="10">
        <v>-0.20797747799999999</v>
      </c>
      <c r="N1969" s="10">
        <v>-0.28826944999999998</v>
      </c>
      <c r="O1969" s="9">
        <v>0.19837160325</v>
      </c>
      <c r="P1969" s="10">
        <v>0.51966687806007805</v>
      </c>
      <c r="Q1969" s="10">
        <v>0.27005366415270798</v>
      </c>
    </row>
    <row r="1970" spans="1:17" x14ac:dyDescent="0.2">
      <c r="A1970" s="10">
        <v>1830</v>
      </c>
      <c r="B1970" s="10" t="s">
        <v>2818</v>
      </c>
      <c r="C1970" s="9" t="s">
        <v>1822</v>
      </c>
      <c r="D1970" s="10">
        <v>0.810239076</v>
      </c>
      <c r="E1970" s="10">
        <v>9.0830572999999998E-2</v>
      </c>
      <c r="F1970" s="10">
        <v>1.0145680530000001</v>
      </c>
      <c r="G1970" s="10">
        <v>0.487828231</v>
      </c>
      <c r="H1970" s="9">
        <v>0.60086648325000003</v>
      </c>
      <c r="I1970" s="10">
        <v>0.40327829416122002</v>
      </c>
      <c r="J1970" s="10">
        <v>0.16263338254158399</v>
      </c>
      <c r="K1970" s="10">
        <v>0.299234893</v>
      </c>
      <c r="L1970" s="10">
        <v>3.4795738E-2</v>
      </c>
      <c r="M1970" s="10">
        <v>-0.60992837600000005</v>
      </c>
      <c r="N1970" s="10">
        <v>0.36472213199999998</v>
      </c>
      <c r="O1970" s="9">
        <v>2.2206096500000001E-2</v>
      </c>
      <c r="P1970" s="10">
        <v>0.44490249083772099</v>
      </c>
      <c r="Q1970" s="10">
        <v>0.197938226353609</v>
      </c>
    </row>
    <row r="1971" spans="1:17" x14ac:dyDescent="0.2">
      <c r="A1971" s="10">
        <v>1830</v>
      </c>
      <c r="B1971" s="10" t="s">
        <v>2830</v>
      </c>
      <c r="C1971" s="9" t="s">
        <v>1823</v>
      </c>
      <c r="D1971" s="10">
        <v>-1.8452377849999999</v>
      </c>
      <c r="E1971" s="10">
        <v>-1.576587468</v>
      </c>
      <c r="F1971" s="10">
        <v>0.35665813800000001</v>
      </c>
      <c r="G1971" s="10">
        <v>-0.333908239</v>
      </c>
      <c r="H1971" s="9">
        <v>-0.84976883874999998</v>
      </c>
      <c r="I1971" s="10">
        <v>1.0393590895960001</v>
      </c>
      <c r="J1971" s="10">
        <v>1.0802673171258299</v>
      </c>
      <c r="K1971" s="10">
        <v>-0.10022732600000001</v>
      </c>
      <c r="L1971" s="10" t="s">
        <v>76</v>
      </c>
      <c r="M1971" s="10" t="s">
        <v>76</v>
      </c>
      <c r="N1971" s="10">
        <v>-5.9400170960000001</v>
      </c>
      <c r="O1971" s="9">
        <v>-1.51006110575</v>
      </c>
      <c r="P1971" s="10">
        <v>4.1293549470708202</v>
      </c>
      <c r="Q1971" s="10">
        <v>17.051572278898298</v>
      </c>
    </row>
    <row r="1972" spans="1:17" x14ac:dyDescent="0.2">
      <c r="A1972" s="10">
        <v>1830</v>
      </c>
      <c r="B1972" s="10" t="s">
        <v>2835</v>
      </c>
      <c r="C1972" s="9" t="s">
        <v>1824</v>
      </c>
      <c r="D1972" s="10">
        <v>-0.12983019100000001</v>
      </c>
      <c r="E1972" s="10">
        <v>0.48011996800000001</v>
      </c>
      <c r="F1972" s="10">
        <v>0.25242308699999999</v>
      </c>
      <c r="G1972" s="10">
        <v>-0.18164102600000001</v>
      </c>
      <c r="H1972" s="9">
        <v>0.10526795949999999</v>
      </c>
      <c r="I1972" s="10">
        <v>0.31609943907742299</v>
      </c>
      <c r="J1972" s="10">
        <v>9.9918855385061706E-2</v>
      </c>
      <c r="K1972" s="10">
        <v>-0.24632385800000001</v>
      </c>
      <c r="L1972" s="10">
        <v>0.79637939800000002</v>
      </c>
      <c r="M1972" s="10">
        <v>-0.43965963899999999</v>
      </c>
      <c r="N1972" s="10">
        <v>-0.124951242</v>
      </c>
      <c r="O1972" s="9">
        <v>-3.63883575E-3</v>
      </c>
      <c r="P1972" s="10">
        <v>0.54886429261821801</v>
      </c>
      <c r="Q1972" s="10">
        <v>0.30125201171129701</v>
      </c>
    </row>
    <row r="1973" spans="1:17" x14ac:dyDescent="0.2">
      <c r="A1973" s="10">
        <v>1831</v>
      </c>
      <c r="B1973" s="10" t="s">
        <v>96</v>
      </c>
      <c r="C1973" s="9" t="s">
        <v>1826</v>
      </c>
      <c r="D1973" s="10">
        <v>-0.20206278999999999</v>
      </c>
      <c r="E1973" s="10">
        <v>-0.106977639</v>
      </c>
      <c r="F1973" s="10">
        <v>-0.30478558100000003</v>
      </c>
      <c r="G1973" s="10">
        <v>0.30271170200000003</v>
      </c>
      <c r="H1973" s="9">
        <v>-7.7778577249999994E-2</v>
      </c>
      <c r="I1973" s="10">
        <v>0.26621055770527602</v>
      </c>
      <c r="J1973" s="10">
        <v>7.0868061033754301E-2</v>
      </c>
      <c r="K1973" s="10">
        <v>-0.44422657399999999</v>
      </c>
      <c r="L1973" s="10">
        <v>-0.21638600499999999</v>
      </c>
      <c r="M1973" s="10">
        <v>2.8246070000000002E-2</v>
      </c>
      <c r="N1973" s="10">
        <v>-0.33003010700000002</v>
      </c>
      <c r="O1973" s="9">
        <v>-0.24059915425</v>
      </c>
      <c r="P1973" s="10">
        <v>0.201929073837367</v>
      </c>
      <c r="Q1973" s="10">
        <v>4.0775350860816899E-2</v>
      </c>
    </row>
    <row r="1974" spans="1:17" x14ac:dyDescent="0.2">
      <c r="A1974" s="10">
        <v>1831</v>
      </c>
      <c r="B1974" s="10" t="s">
        <v>2823</v>
      </c>
      <c r="C1974" s="9" t="s">
        <v>1827</v>
      </c>
      <c r="D1974" s="10">
        <v>6.7780059999999996E-3</v>
      </c>
      <c r="E1974" s="10">
        <v>0.11225238</v>
      </c>
      <c r="F1974" s="10">
        <v>0.18572588600000001</v>
      </c>
      <c r="G1974" s="10">
        <v>0.548186112</v>
      </c>
      <c r="H1974" s="9">
        <v>0.213235596</v>
      </c>
      <c r="I1974" s="10">
        <v>0.23506806014093101</v>
      </c>
      <c r="J1974" s="10">
        <v>5.5256992898420301E-2</v>
      </c>
      <c r="K1974" s="10">
        <v>0.10791934</v>
      </c>
      <c r="L1974" s="10">
        <v>-0.348010229</v>
      </c>
      <c r="M1974" s="10">
        <v>0.32419397</v>
      </c>
      <c r="N1974" s="10">
        <v>-0.40371257799999999</v>
      </c>
      <c r="O1974" s="9">
        <v>-7.9902374250000005E-2</v>
      </c>
      <c r="P1974" s="10">
        <v>0.35369747978146798</v>
      </c>
      <c r="Q1974" s="10">
        <v>0.12510190720376199</v>
      </c>
    </row>
    <row r="1975" spans="1:17" x14ac:dyDescent="0.2">
      <c r="A1975" s="10">
        <v>1831</v>
      </c>
      <c r="B1975" s="10" t="s">
        <v>2819</v>
      </c>
      <c r="C1975" s="9" t="s">
        <v>2184</v>
      </c>
      <c r="D1975" s="10">
        <v>-0.35503811699999999</v>
      </c>
      <c r="E1975" s="10">
        <v>0.17400480600000001</v>
      </c>
      <c r="F1975" s="10">
        <v>-0.82567126999999996</v>
      </c>
      <c r="G1975" s="10">
        <v>1.2574703110000001</v>
      </c>
      <c r="H1975" s="9">
        <v>6.2691432749999998E-2</v>
      </c>
      <c r="I1975" s="10">
        <v>0.89509282634972998</v>
      </c>
      <c r="J1975" s="10">
        <v>0.80119116778274801</v>
      </c>
      <c r="K1975" s="10">
        <v>-0.510609914</v>
      </c>
      <c r="L1975" s="10">
        <v>-0.57588946500000004</v>
      </c>
      <c r="M1975" s="10">
        <v>-1.0513319649999999</v>
      </c>
      <c r="N1975" s="10">
        <v>-0.18964957399999999</v>
      </c>
      <c r="O1975" s="9">
        <v>-0.5818702295</v>
      </c>
      <c r="P1975" s="10">
        <v>0.35559582197052703</v>
      </c>
      <c r="Q1975" s="10">
        <v>0.12644838860289501</v>
      </c>
    </row>
    <row r="1976" spans="1:17" x14ac:dyDescent="0.2">
      <c r="A1976" s="10">
        <v>1831</v>
      </c>
      <c r="B1976" s="10" t="s">
        <v>2821</v>
      </c>
      <c r="C1976" s="9" t="s">
        <v>2183</v>
      </c>
      <c r="D1976" s="10">
        <v>-2.2365370090000001</v>
      </c>
      <c r="E1976" s="10">
        <v>-3.3406157999999998E-2</v>
      </c>
      <c r="F1976" s="10">
        <v>-0.78324818399999996</v>
      </c>
      <c r="G1976" s="10">
        <v>-6.1094217720000001</v>
      </c>
      <c r="H1976" s="9">
        <v>-2.290653281</v>
      </c>
      <c r="I1976" s="10">
        <v>2.7051405422209802</v>
      </c>
      <c r="J1976" s="10">
        <v>7.3177853531676504</v>
      </c>
      <c r="K1976" s="10">
        <v>-2.1493379419999998</v>
      </c>
      <c r="L1976" s="10">
        <v>-9.0916921999999997E-2</v>
      </c>
      <c r="M1976" s="10">
        <v>-0.73762836700000001</v>
      </c>
      <c r="N1976" s="10">
        <v>-0.54652515599999996</v>
      </c>
      <c r="O1976" s="9">
        <v>-0.88110209699999997</v>
      </c>
      <c r="P1976" s="10">
        <v>0.88794542061654402</v>
      </c>
      <c r="Q1976" s="10">
        <v>0.78844706999389103</v>
      </c>
    </row>
    <row r="1977" spans="1:17" x14ac:dyDescent="0.2">
      <c r="A1977" s="10">
        <v>1831</v>
      </c>
      <c r="B1977" s="10" t="s">
        <v>2824</v>
      </c>
      <c r="C1977" s="9" t="s">
        <v>1828</v>
      </c>
      <c r="D1977" s="10">
        <v>-0.32307839700000002</v>
      </c>
      <c r="E1977" s="10">
        <v>-0.41499241599999998</v>
      </c>
      <c r="F1977" s="10">
        <v>-0.10548837699999999</v>
      </c>
      <c r="G1977" s="10">
        <v>-0.71216447500000002</v>
      </c>
      <c r="H1977" s="9">
        <v>-0.38893091624999998</v>
      </c>
      <c r="I1977" s="10">
        <v>0.25155209044348897</v>
      </c>
      <c r="J1977" s="10">
        <v>6.3278454206489407E-2</v>
      </c>
      <c r="K1977" s="10">
        <v>-0.47081150100000002</v>
      </c>
      <c r="L1977" s="10">
        <v>0.15864198299999999</v>
      </c>
      <c r="M1977" s="10">
        <v>-0.25838098900000001</v>
      </c>
      <c r="N1977" s="10">
        <v>0.39006608599999998</v>
      </c>
      <c r="O1977" s="9">
        <v>-4.5121105250000001E-2</v>
      </c>
      <c r="P1977" s="10">
        <v>0.39055489525037601</v>
      </c>
      <c r="Q1977" s="10">
        <v>0.152533126204032</v>
      </c>
    </row>
    <row r="1978" spans="1:17" x14ac:dyDescent="0.2">
      <c r="A1978" s="10">
        <v>1831</v>
      </c>
      <c r="B1978" s="10" t="s">
        <v>2833</v>
      </c>
      <c r="C1978" s="9" t="s">
        <v>1830</v>
      </c>
      <c r="D1978" s="10">
        <v>-0.79383200600000003</v>
      </c>
      <c r="E1978" s="10">
        <v>-0.150720663</v>
      </c>
      <c r="F1978" s="10">
        <v>-0.27050078100000002</v>
      </c>
      <c r="G1978" s="10">
        <v>-0.23122501600000001</v>
      </c>
      <c r="H1978" s="9">
        <v>-0.36156961650000002</v>
      </c>
      <c r="I1978" s="10">
        <v>0.29245586689682801</v>
      </c>
      <c r="J1978" s="10">
        <v>8.5530434082375095E-2</v>
      </c>
      <c r="K1978" s="10">
        <v>-0.17073680399999999</v>
      </c>
      <c r="L1978" s="10">
        <v>4.5172659999999998E-3</v>
      </c>
      <c r="M1978" s="10">
        <v>-1.0115844000000001E-2</v>
      </c>
      <c r="N1978" s="10">
        <v>-0.165528442</v>
      </c>
      <c r="O1978" s="9">
        <v>-8.5465955999999996E-2</v>
      </c>
      <c r="P1978" s="10">
        <v>9.5665630894020803E-2</v>
      </c>
      <c r="Q1978" s="10">
        <v>9.1519129343509992E-3</v>
      </c>
    </row>
    <row r="1979" spans="1:17" x14ac:dyDescent="0.2">
      <c r="A1979" s="10">
        <v>1831</v>
      </c>
      <c r="B1979" s="10" t="s">
        <v>2825</v>
      </c>
      <c r="C1979" s="9" t="s">
        <v>1831</v>
      </c>
      <c r="D1979" s="10">
        <v>-0.31980175300000002</v>
      </c>
      <c r="E1979" s="10">
        <v>0.28971495899999999</v>
      </c>
      <c r="F1979" s="10">
        <v>-0.17327417000000001</v>
      </c>
      <c r="G1979" s="10">
        <v>-0.162667689</v>
      </c>
      <c r="H1979" s="9">
        <v>-9.1507163249999995E-2</v>
      </c>
      <c r="I1979" s="10">
        <v>0.26406968147301901</v>
      </c>
      <c r="J1979" s="10">
        <v>6.9732796673261904E-2</v>
      </c>
      <c r="K1979" s="10">
        <v>-8.9148595999999997E-2</v>
      </c>
      <c r="L1979" s="10">
        <v>-0.324548848</v>
      </c>
      <c r="M1979" s="10">
        <v>-0.26347928700000001</v>
      </c>
      <c r="N1979" s="10">
        <v>3.4433041999999997E-2</v>
      </c>
      <c r="O1979" s="9">
        <v>-0.16068592225</v>
      </c>
      <c r="P1979" s="10">
        <v>0.163917187962873</v>
      </c>
      <c r="Q1979" s="10">
        <v>2.6868844509656001E-2</v>
      </c>
    </row>
    <row r="1980" spans="1:17" x14ac:dyDescent="0.2">
      <c r="A1980" s="10">
        <v>1831</v>
      </c>
      <c r="B1980" s="10" t="s">
        <v>74</v>
      </c>
      <c r="C1980" s="9" t="s">
        <v>1832</v>
      </c>
      <c r="D1980" s="10">
        <v>0.50070175299999997</v>
      </c>
      <c r="E1980" s="10">
        <v>1.3644990960000001</v>
      </c>
      <c r="F1980" s="10">
        <v>-0.95130130000000002</v>
      </c>
      <c r="G1980" s="10">
        <v>-1.5736706999999999E-2</v>
      </c>
      <c r="H1980" s="9">
        <v>0.22454071075000001</v>
      </c>
      <c r="I1980" s="10">
        <v>0.96886664254058597</v>
      </c>
      <c r="J1980" s="10">
        <v>0.93870257102786803</v>
      </c>
      <c r="K1980" s="10">
        <v>-3.7068399999999998E-4</v>
      </c>
      <c r="L1980" s="10">
        <v>3.4286083000000002E-2</v>
      </c>
      <c r="M1980" s="10">
        <v>-0.76324169500000005</v>
      </c>
      <c r="N1980" s="10">
        <v>0.48225432400000001</v>
      </c>
      <c r="O1980" s="9">
        <v>-6.1767993E-2</v>
      </c>
      <c r="P1980" s="10">
        <v>0.51672741074970596</v>
      </c>
      <c r="Q1980" s="10">
        <v>0.267007217020096</v>
      </c>
    </row>
    <row r="1981" spans="1:17" x14ac:dyDescent="0.2">
      <c r="A1981" s="10">
        <v>1831</v>
      </c>
      <c r="B1981" s="10" t="s">
        <v>2818</v>
      </c>
      <c r="C1981" s="9" t="s">
        <v>67</v>
      </c>
      <c r="D1981" s="10">
        <v>-0.64429767000000004</v>
      </c>
      <c r="E1981" s="10">
        <v>-0.83525018299999998</v>
      </c>
      <c r="F1981" s="10">
        <v>-0.501136374</v>
      </c>
      <c r="G1981" s="10">
        <v>-1.4308945609999999</v>
      </c>
      <c r="H1981" s="9">
        <v>-0.85289469725</v>
      </c>
      <c r="I1981" s="10">
        <v>0.40891800691227598</v>
      </c>
      <c r="J1981" s="10">
        <v>0.16721393637710799</v>
      </c>
      <c r="K1981" s="10">
        <v>-4.2663167000000002E-2</v>
      </c>
      <c r="L1981" s="10">
        <v>-0.42556876700000001</v>
      </c>
      <c r="M1981" s="10">
        <v>-0.29547531700000002</v>
      </c>
      <c r="N1981" s="10">
        <v>-0.16318345300000001</v>
      </c>
      <c r="O1981" s="9">
        <v>-0.23172267599999999</v>
      </c>
      <c r="P1981" s="10">
        <v>0.165410428191231</v>
      </c>
      <c r="Q1981" s="10">
        <v>2.7360609754406601E-2</v>
      </c>
    </row>
    <row r="1982" spans="1:17" x14ac:dyDescent="0.2">
      <c r="A1982" s="10">
        <v>1831</v>
      </c>
      <c r="B1982" s="10" t="s">
        <v>2830</v>
      </c>
      <c r="C1982" s="9" t="s">
        <v>1833</v>
      </c>
      <c r="D1982" s="10">
        <v>0.681473145</v>
      </c>
      <c r="E1982" s="10">
        <v>-0.110852909</v>
      </c>
      <c r="F1982" s="10">
        <v>0.28536646599999999</v>
      </c>
      <c r="G1982" s="10">
        <v>0.56569533100000002</v>
      </c>
      <c r="H1982" s="9">
        <v>0.35542050824999999</v>
      </c>
      <c r="I1982" s="10">
        <v>0.35253571520425497</v>
      </c>
      <c r="J1982" s="10">
        <v>0.124281430494576</v>
      </c>
      <c r="K1982" s="10">
        <v>0.120808707</v>
      </c>
      <c r="L1982" s="10">
        <v>-0.13658615299999999</v>
      </c>
      <c r="M1982" s="10">
        <v>-5.3157226000000002E-2</v>
      </c>
      <c r="N1982" s="10">
        <v>-0.35408764599999998</v>
      </c>
      <c r="O1982" s="9">
        <v>-0.1057555795</v>
      </c>
      <c r="P1982" s="10">
        <v>0.197245449649807</v>
      </c>
      <c r="Q1982" s="10">
        <v>3.8905767407554699E-2</v>
      </c>
    </row>
    <row r="1983" spans="1:17" x14ac:dyDescent="0.2">
      <c r="A1983" s="10">
        <v>1832</v>
      </c>
      <c r="B1983" s="10" t="s">
        <v>2831</v>
      </c>
      <c r="C1983" s="9" t="s">
        <v>1834</v>
      </c>
      <c r="D1983" s="10">
        <v>-1.641614073</v>
      </c>
      <c r="E1983" s="10">
        <v>-1.6283628889999999</v>
      </c>
      <c r="F1983" s="10">
        <v>-0.92123745400000001</v>
      </c>
      <c r="G1983" s="10">
        <v>-2.0162401230000002</v>
      </c>
      <c r="H1983" s="9">
        <v>-1.5518636347500001</v>
      </c>
      <c r="I1983" s="10">
        <v>0.45725345989345501</v>
      </c>
      <c r="J1983" s="10">
        <v>0.209080726584535</v>
      </c>
      <c r="K1983" s="10">
        <v>0.129123988</v>
      </c>
      <c r="L1983" s="10">
        <v>-0.11459048500000001</v>
      </c>
      <c r="M1983" s="10">
        <v>-0.18708359299999999</v>
      </c>
      <c r="N1983" s="10">
        <v>0.21094475500000001</v>
      </c>
      <c r="O1983" s="9">
        <v>9.5986662500000004E-3</v>
      </c>
      <c r="P1983" s="10">
        <v>0.19055480960102</v>
      </c>
      <c r="Q1983" s="10">
        <v>3.6311135462081097E-2</v>
      </c>
    </row>
    <row r="1984" spans="1:17" x14ac:dyDescent="0.2">
      <c r="A1984" s="10">
        <v>1832</v>
      </c>
      <c r="B1984" s="10" t="s">
        <v>2822</v>
      </c>
      <c r="C1984" s="9" t="s">
        <v>1835</v>
      </c>
      <c r="D1984" s="10">
        <v>-0.69211693699999999</v>
      </c>
      <c r="E1984" s="10">
        <v>-0.293475398</v>
      </c>
      <c r="F1984" s="10">
        <v>-0.30015707200000002</v>
      </c>
      <c r="G1984" s="10">
        <v>-9.0901541000000002E-2</v>
      </c>
      <c r="H1984" s="9">
        <v>-0.344162737</v>
      </c>
      <c r="I1984" s="10">
        <v>0.25147502432911201</v>
      </c>
      <c r="J1984" s="10">
        <v>6.3239687861327804E-2</v>
      </c>
      <c r="K1984" s="10">
        <v>-1.1184246170000001</v>
      </c>
      <c r="L1984" s="10">
        <v>0.35787598500000001</v>
      </c>
      <c r="M1984" s="10">
        <v>-0.29922880000000002</v>
      </c>
      <c r="N1984" s="10">
        <v>-0.76699802699999997</v>
      </c>
      <c r="O1984" s="9">
        <v>-0.45669386475000001</v>
      </c>
      <c r="P1984" s="10">
        <v>0.63835610446455404</v>
      </c>
      <c r="Q1984" s="10">
        <v>0.40749851610716098</v>
      </c>
    </row>
    <row r="1985" spans="1:17" x14ac:dyDescent="0.2">
      <c r="A1985" s="10">
        <v>1832</v>
      </c>
      <c r="B1985" s="10" t="s">
        <v>2823</v>
      </c>
      <c r="C1985" s="9" t="s">
        <v>2182</v>
      </c>
      <c r="D1985" s="10">
        <v>-0.78295347000000004</v>
      </c>
      <c r="E1985" s="10">
        <v>1.7441932E-2</v>
      </c>
      <c r="F1985" s="10">
        <v>-1.1865280949999999</v>
      </c>
      <c r="G1985" s="10">
        <v>-0.16879196299999999</v>
      </c>
      <c r="H1985" s="9">
        <v>-0.53020789899999998</v>
      </c>
      <c r="I1985" s="10">
        <v>0.55533123434777698</v>
      </c>
      <c r="J1985" s="10">
        <v>0.30839277984222602</v>
      </c>
      <c r="K1985" s="10">
        <v>-0.13961015099999999</v>
      </c>
      <c r="L1985" s="10">
        <v>-0.12793628400000001</v>
      </c>
      <c r="M1985" s="10">
        <v>-0.19765634800000001</v>
      </c>
      <c r="N1985" s="10">
        <v>-2.1903667000000002E-2</v>
      </c>
      <c r="O1985" s="9">
        <v>-0.12177661275</v>
      </c>
      <c r="P1985" s="10">
        <v>7.3230950084452698E-2</v>
      </c>
      <c r="Q1985" s="10">
        <v>5.3627720502716003E-3</v>
      </c>
    </row>
    <row r="1986" spans="1:17" x14ac:dyDescent="0.2">
      <c r="A1986" s="10">
        <v>1832</v>
      </c>
      <c r="B1986" s="10" t="s">
        <v>2819</v>
      </c>
      <c r="C1986" s="9" t="s">
        <v>2181</v>
      </c>
      <c r="D1986" s="10">
        <v>-1.668956466</v>
      </c>
      <c r="E1986" s="10">
        <v>-4.4522746059999996</v>
      </c>
      <c r="F1986" s="10">
        <v>-1.5011151970000001</v>
      </c>
      <c r="G1986" s="10">
        <v>-0.68627395700000005</v>
      </c>
      <c r="H1986" s="9">
        <v>-2.0771550565000001</v>
      </c>
      <c r="I1986" s="10">
        <v>1.6405477861964599</v>
      </c>
      <c r="J1986" s="10">
        <v>2.6913970387941202</v>
      </c>
      <c r="K1986" s="10">
        <v>-1.214984834</v>
      </c>
      <c r="L1986" s="10">
        <v>0.74652746800000003</v>
      </c>
      <c r="M1986" s="10">
        <v>-0.50210535199999995</v>
      </c>
      <c r="N1986" s="10">
        <v>-9.6116100999999995E-2</v>
      </c>
      <c r="O1986" s="9">
        <v>-0.26666970475000001</v>
      </c>
      <c r="P1986" s="10">
        <v>0.81861439253191204</v>
      </c>
      <c r="Q1986" s="10">
        <v>0.67012952366039202</v>
      </c>
    </row>
    <row r="1987" spans="1:17" x14ac:dyDescent="0.2">
      <c r="A1987" s="10">
        <v>1832</v>
      </c>
      <c r="B1987" s="10" t="s">
        <v>2821</v>
      </c>
      <c r="C1987" s="9" t="s">
        <v>1836</v>
      </c>
      <c r="D1987" s="10">
        <v>-6.1480905760000004</v>
      </c>
      <c r="E1987" s="10">
        <v>-0.76637793300000001</v>
      </c>
      <c r="F1987" s="10">
        <v>-1.0094168539999999</v>
      </c>
      <c r="G1987" s="10">
        <v>-0.84804071599999997</v>
      </c>
      <c r="H1987" s="9">
        <v>-2.19298151975</v>
      </c>
      <c r="I1987" s="10">
        <v>2.6386724265661998</v>
      </c>
      <c r="J1987" s="10">
        <v>6.96259217472078</v>
      </c>
      <c r="K1987" s="10">
        <v>-1.7896773029999999</v>
      </c>
      <c r="L1987" s="10">
        <v>-0.85775507200000001</v>
      </c>
      <c r="M1987" s="10">
        <v>-3.8901231360000001</v>
      </c>
      <c r="N1987" s="10">
        <v>-3.4794226999999997E-2</v>
      </c>
      <c r="O1987" s="9">
        <v>-1.6430874344999999</v>
      </c>
      <c r="P1987" s="10">
        <v>1.6607239379502401</v>
      </c>
      <c r="Q1987" s="10">
        <v>2.7580039980809699</v>
      </c>
    </row>
    <row r="1988" spans="1:17" x14ac:dyDescent="0.2">
      <c r="A1988" s="10">
        <v>1832</v>
      </c>
      <c r="B1988" s="10" t="s">
        <v>2820</v>
      </c>
      <c r="C1988" s="9" t="s">
        <v>1837</v>
      </c>
      <c r="D1988" s="10">
        <v>-0.67362318399999999</v>
      </c>
      <c r="E1988" s="10">
        <v>-0.89629437499999998</v>
      </c>
      <c r="F1988" s="10">
        <v>-0.73881294600000003</v>
      </c>
      <c r="G1988" s="10">
        <v>-0.38733112400000003</v>
      </c>
      <c r="H1988" s="9">
        <v>-0.67401540724999998</v>
      </c>
      <c r="I1988" s="10">
        <v>0.212755487695544</v>
      </c>
      <c r="J1988" s="10">
        <v>4.5264897544569097E-2</v>
      </c>
      <c r="K1988" s="10">
        <v>0.26213365100000002</v>
      </c>
      <c r="L1988" s="10">
        <v>8.8687876999999998E-2</v>
      </c>
      <c r="M1988" s="10">
        <v>-0.11299587899999999</v>
      </c>
      <c r="N1988" s="10">
        <v>0.183387297</v>
      </c>
      <c r="O1988" s="9">
        <v>0.10530323625</v>
      </c>
      <c r="P1988" s="10">
        <v>0.16188830863263501</v>
      </c>
      <c r="Q1988" s="10">
        <v>2.6207824471935301E-2</v>
      </c>
    </row>
    <row r="1989" spans="1:17" x14ac:dyDescent="0.2">
      <c r="A1989" s="10">
        <v>1832</v>
      </c>
      <c r="B1989" s="10" t="s">
        <v>2824</v>
      </c>
      <c r="C1989" s="9" t="s">
        <v>1838</v>
      </c>
      <c r="D1989" s="10">
        <v>0.619965777</v>
      </c>
      <c r="E1989" s="10">
        <v>0.37274589499999999</v>
      </c>
      <c r="F1989" s="10">
        <v>0.111912255</v>
      </c>
      <c r="G1989" s="10">
        <v>0.21104273400000001</v>
      </c>
      <c r="H1989" s="9">
        <v>0.328916665</v>
      </c>
      <c r="I1989" s="10">
        <v>0.22182257517155601</v>
      </c>
      <c r="J1989" s="10">
        <v>4.9205254855740697E-2</v>
      </c>
      <c r="K1989" s="10">
        <v>-0.1818215</v>
      </c>
      <c r="L1989" s="10">
        <v>0.101871692</v>
      </c>
      <c r="M1989" s="10">
        <v>0.116461458</v>
      </c>
      <c r="N1989" s="10">
        <v>-0.11342637899999999</v>
      </c>
      <c r="O1989" s="9">
        <v>-1.92286825E-2</v>
      </c>
      <c r="P1989" s="10">
        <v>0.15098205772148801</v>
      </c>
      <c r="Q1989" s="10">
        <v>2.2795581753814801E-2</v>
      </c>
    </row>
    <row r="1990" spans="1:17" x14ac:dyDescent="0.2">
      <c r="A1990" s="10">
        <v>1832</v>
      </c>
      <c r="B1990" s="10" t="s">
        <v>2817</v>
      </c>
      <c r="C1990" s="9" t="s">
        <v>1839</v>
      </c>
      <c r="D1990" s="10">
        <v>0.34771987900000001</v>
      </c>
      <c r="E1990" s="10">
        <v>6.8397527999999999E-2</v>
      </c>
      <c r="F1990" s="10">
        <v>0.19741720099999999</v>
      </c>
      <c r="G1990" s="10">
        <v>-0.67391125299999999</v>
      </c>
      <c r="H1990" s="9">
        <v>-1.5094161E-2</v>
      </c>
      <c r="I1990" s="10">
        <v>0.45380095836670697</v>
      </c>
      <c r="J1990" s="10">
        <v>0.205935309814541</v>
      </c>
      <c r="K1990" s="10">
        <v>-3.1394999999999999E-2</v>
      </c>
      <c r="L1990" s="10">
        <v>-0.110000995</v>
      </c>
      <c r="M1990" s="10">
        <v>-0.40735269000000002</v>
      </c>
      <c r="N1990" s="10">
        <v>-2.8095004999999999E-2</v>
      </c>
      <c r="O1990" s="9">
        <v>-0.14421092250000001</v>
      </c>
      <c r="P1990" s="10">
        <v>0.179466104143161</v>
      </c>
      <c r="Q1990" s="10">
        <v>3.2208082536323998E-2</v>
      </c>
    </row>
    <row r="1991" spans="1:17" x14ac:dyDescent="0.2">
      <c r="A1991" s="10">
        <v>1832</v>
      </c>
      <c r="B1991" s="10" t="s">
        <v>2814</v>
      </c>
      <c r="C1991" s="9" t="s">
        <v>1840</v>
      </c>
      <c r="D1991" s="10">
        <v>0.26297057699999998</v>
      </c>
      <c r="E1991" s="10">
        <v>-5.9726847E-2</v>
      </c>
      <c r="F1991" s="10">
        <v>0.37752543300000002</v>
      </c>
      <c r="G1991" s="10">
        <v>3.2279519E-2</v>
      </c>
      <c r="H1991" s="9">
        <v>0.15326217049999999</v>
      </c>
      <c r="I1991" s="10">
        <v>0.20193321412742599</v>
      </c>
      <c r="J1991" s="10">
        <v>4.07770229678329E-2</v>
      </c>
      <c r="K1991" s="10">
        <v>-0.226616024</v>
      </c>
      <c r="L1991" s="10">
        <v>-6.2141345000000001E-2</v>
      </c>
      <c r="M1991" s="10">
        <v>-0.167915279</v>
      </c>
      <c r="N1991" s="10">
        <v>-0.35122337399999998</v>
      </c>
      <c r="O1991" s="9">
        <v>-0.20197400574999999</v>
      </c>
      <c r="P1991" s="10">
        <v>0.12054843130005601</v>
      </c>
      <c r="Q1991" s="10">
        <v>1.45319242889043E-2</v>
      </c>
    </row>
    <row r="1992" spans="1:17" x14ac:dyDescent="0.2">
      <c r="A1992" s="10">
        <v>1832</v>
      </c>
      <c r="B1992" s="10" t="s">
        <v>2833</v>
      </c>
      <c r="C1992" s="9" t="s">
        <v>1841</v>
      </c>
      <c r="D1992" s="10">
        <v>-8.0626461999999996E-2</v>
      </c>
      <c r="E1992" s="10">
        <v>-0.16952272299999999</v>
      </c>
      <c r="F1992" s="10">
        <v>4.3810659000000002E-2</v>
      </c>
      <c r="G1992" s="10">
        <v>0.27268904100000002</v>
      </c>
      <c r="H1992" s="9">
        <v>1.658762875E-2</v>
      </c>
      <c r="I1992" s="10">
        <v>0.19184774275563299</v>
      </c>
      <c r="J1992" s="10">
        <v>3.6805556400431601E-2</v>
      </c>
      <c r="K1992" s="10">
        <v>-8.593481E-3</v>
      </c>
      <c r="L1992" s="10">
        <v>-0.59809508499999997</v>
      </c>
      <c r="M1992" s="10">
        <v>-0.27450767399999998</v>
      </c>
      <c r="N1992" s="10">
        <v>-0.99415859600000001</v>
      </c>
      <c r="O1992" s="9">
        <v>-0.46883870924999999</v>
      </c>
      <c r="P1992" s="10">
        <v>0.425150332421873</v>
      </c>
      <c r="Q1992" s="10">
        <v>0.18075280515842901</v>
      </c>
    </row>
    <row r="1993" spans="1:17" x14ac:dyDescent="0.2">
      <c r="A1993" s="10">
        <v>1832</v>
      </c>
      <c r="B1993" s="10" t="s">
        <v>2825</v>
      </c>
      <c r="C1993" s="9" t="s">
        <v>1842</v>
      </c>
      <c r="D1993" s="10">
        <v>-0.960754</v>
      </c>
      <c r="E1993" s="10">
        <v>-1.007537661</v>
      </c>
      <c r="F1993" s="10">
        <v>-0.64800637400000005</v>
      </c>
      <c r="G1993" s="10">
        <v>1.8836631E-2</v>
      </c>
      <c r="H1993" s="9">
        <v>-0.64936535075000001</v>
      </c>
      <c r="I1993" s="10">
        <v>0.47319693924904599</v>
      </c>
      <c r="J1993" s="10">
        <v>0.22391534331466501</v>
      </c>
      <c r="K1993" s="10">
        <v>0.13805540599999999</v>
      </c>
      <c r="L1993" s="10">
        <v>-0.80675800200000003</v>
      </c>
      <c r="M1993" s="10">
        <v>5.8004406000000001E-2</v>
      </c>
      <c r="N1993" s="10">
        <v>-0.20807028999999999</v>
      </c>
      <c r="O1993" s="9">
        <v>-0.20469211975000001</v>
      </c>
      <c r="P1993" s="10">
        <v>0.427777227714214</v>
      </c>
      <c r="Q1993" s="10">
        <v>0.18299335655085799</v>
      </c>
    </row>
    <row r="1994" spans="1:17" x14ac:dyDescent="0.2">
      <c r="A1994" s="10">
        <v>1832</v>
      </c>
      <c r="B1994" s="10" t="s">
        <v>74</v>
      </c>
      <c r="C1994" s="9" t="s">
        <v>2180</v>
      </c>
      <c r="D1994" s="10">
        <v>0.107013398</v>
      </c>
      <c r="E1994" s="10">
        <v>0.86660680300000004</v>
      </c>
      <c r="F1994" s="10">
        <v>-3.5447142000000001E-2</v>
      </c>
      <c r="G1994" s="10">
        <v>0.236445023</v>
      </c>
      <c r="H1994" s="9">
        <v>0.29365452050000002</v>
      </c>
      <c r="I1994" s="10">
        <v>0.39778137106308598</v>
      </c>
      <c r="J1994" s="10">
        <v>0.15823001916482801</v>
      </c>
      <c r="K1994" s="10">
        <v>-0.67549975200000001</v>
      </c>
      <c r="L1994" s="10">
        <v>-0.159817815</v>
      </c>
      <c r="M1994" s="10">
        <v>1.063891098</v>
      </c>
      <c r="N1994" s="10">
        <v>-0.138941594</v>
      </c>
      <c r="O1994" s="9">
        <v>2.2407984249999999E-2</v>
      </c>
      <c r="P1994" s="10">
        <v>0.73733805292139598</v>
      </c>
      <c r="Q1994" s="10">
        <v>0.54366740428591598</v>
      </c>
    </row>
    <row r="1995" spans="1:17" x14ac:dyDescent="0.2">
      <c r="A1995" s="10">
        <v>1832</v>
      </c>
      <c r="B1995" s="10" t="s">
        <v>2818</v>
      </c>
      <c r="C1995" s="9" t="s">
        <v>1843</v>
      </c>
      <c r="D1995" s="10">
        <v>-0.29485200499999997</v>
      </c>
      <c r="E1995" s="10">
        <v>-0.189343554</v>
      </c>
      <c r="F1995" s="10">
        <v>-0.62668177300000005</v>
      </c>
      <c r="G1995" s="10">
        <v>0.40810920099999998</v>
      </c>
      <c r="H1995" s="9">
        <v>-0.175692033</v>
      </c>
      <c r="I1995" s="10">
        <v>0.43150940096280799</v>
      </c>
      <c r="J1995" s="10">
        <v>0.18620036311928101</v>
      </c>
      <c r="K1995" s="10">
        <v>2.819899E-2</v>
      </c>
      <c r="L1995" s="10">
        <v>-0.63774076899999999</v>
      </c>
      <c r="M1995" s="10">
        <v>0.12572446700000001</v>
      </c>
      <c r="N1995" s="10">
        <v>0.174876227</v>
      </c>
      <c r="O1995" s="9">
        <v>-7.7235271250000001E-2</v>
      </c>
      <c r="P1995" s="10">
        <v>0.37860958754970597</v>
      </c>
      <c r="Q1995" s="10">
        <v>0.143345219784558</v>
      </c>
    </row>
    <row r="1996" spans="1:17" x14ac:dyDescent="0.2">
      <c r="A1996" s="10">
        <v>1832</v>
      </c>
      <c r="B1996" s="10" t="s">
        <v>2835</v>
      </c>
      <c r="C1996" s="9" t="s">
        <v>2179</v>
      </c>
      <c r="D1996" s="10">
        <v>-0.31007025300000002</v>
      </c>
      <c r="E1996" s="10">
        <v>0.269524716</v>
      </c>
      <c r="F1996" s="10">
        <v>-0.31714686399999997</v>
      </c>
      <c r="G1996" s="10">
        <v>0.61419640600000003</v>
      </c>
      <c r="H1996" s="9">
        <v>6.4126001249999995E-2</v>
      </c>
      <c r="I1996" s="10">
        <v>0.45831499963578698</v>
      </c>
      <c r="J1996" s="10">
        <v>0.210052638891152</v>
      </c>
      <c r="K1996" s="10">
        <v>-9.9721512999999998E-2</v>
      </c>
      <c r="L1996" s="10">
        <v>-0.26945047900000002</v>
      </c>
      <c r="M1996" s="10">
        <v>0.46107398999999999</v>
      </c>
      <c r="N1996" s="10">
        <v>1.290058267</v>
      </c>
      <c r="O1996" s="9">
        <v>0.34549006599999998</v>
      </c>
      <c r="P1996" s="10">
        <v>0.70283567396373703</v>
      </c>
      <c r="Q1996" s="10">
        <v>0.49397798459606101</v>
      </c>
    </row>
    <row r="1997" spans="1:17" x14ac:dyDescent="0.2">
      <c r="A1997" s="10">
        <v>1833</v>
      </c>
      <c r="B1997" s="10" t="s">
        <v>2831</v>
      </c>
      <c r="C1997" s="9" t="s">
        <v>1844</v>
      </c>
      <c r="D1997" s="10">
        <v>-1.027495056</v>
      </c>
      <c r="E1997" s="10">
        <v>-1.9983059649999999</v>
      </c>
      <c r="F1997" s="10">
        <v>-0.51919094899999996</v>
      </c>
      <c r="G1997" s="10">
        <v>-1.534224531</v>
      </c>
      <c r="H1997" s="9">
        <v>-1.2698041252500001</v>
      </c>
      <c r="I1997" s="10">
        <v>0.63842694880908701</v>
      </c>
      <c r="J1997" s="10">
        <v>0.40758896896568098</v>
      </c>
      <c r="K1997" s="10">
        <v>1.3202105E-2</v>
      </c>
      <c r="L1997" s="10">
        <v>-8.2217923999999998E-2</v>
      </c>
      <c r="M1997" s="10">
        <v>-0.37375679299999998</v>
      </c>
      <c r="N1997" s="10">
        <v>-0.336291377</v>
      </c>
      <c r="O1997" s="9">
        <v>-0.19476599750000001</v>
      </c>
      <c r="P1997" s="10">
        <v>0.18972342890143501</v>
      </c>
      <c r="Q1997" s="10">
        <v>3.5994979474117901E-2</v>
      </c>
    </row>
    <row r="1998" spans="1:17" x14ac:dyDescent="0.2">
      <c r="A1998" s="10">
        <v>1833</v>
      </c>
      <c r="B1998" s="10" t="s">
        <v>2822</v>
      </c>
      <c r="C1998" s="9" t="s">
        <v>1845</v>
      </c>
      <c r="D1998" s="10">
        <v>0.55975306000000002</v>
      </c>
      <c r="E1998" s="10">
        <v>1.0299994109999999</v>
      </c>
      <c r="F1998" s="10">
        <v>-0.17421750899999999</v>
      </c>
      <c r="G1998" s="10">
        <v>-7.2539150999999996E-2</v>
      </c>
      <c r="H1998" s="9">
        <v>0.33574895275</v>
      </c>
      <c r="I1998" s="10">
        <v>0.56536905546105798</v>
      </c>
      <c r="J1998" s="10">
        <v>0.31964216887292901</v>
      </c>
      <c r="K1998" s="10">
        <v>-0.70161941699999997</v>
      </c>
      <c r="L1998" s="10">
        <v>-0.19169103100000001</v>
      </c>
      <c r="M1998" s="10">
        <v>-0.399630661</v>
      </c>
      <c r="N1998" s="10">
        <v>8.8225052999999998E-2</v>
      </c>
      <c r="O1998" s="9">
        <v>-0.30117901375</v>
      </c>
      <c r="P1998" s="10">
        <v>0.33350081907413798</v>
      </c>
      <c r="Q1998" s="10">
        <v>0.111222796323121</v>
      </c>
    </row>
    <row r="1999" spans="1:17" x14ac:dyDescent="0.2">
      <c r="A1999" s="10">
        <v>1833</v>
      </c>
      <c r="B1999" s="10" t="s">
        <v>96</v>
      </c>
      <c r="C1999" s="9" t="s">
        <v>2178</v>
      </c>
      <c r="D1999" s="10">
        <v>1.191957776</v>
      </c>
      <c r="E1999" s="10">
        <v>-0.58955085600000001</v>
      </c>
      <c r="F1999" s="10">
        <v>0.88319600099999995</v>
      </c>
      <c r="G1999" s="10">
        <v>-0.73971662000000005</v>
      </c>
      <c r="H1999" s="9">
        <v>0.18647157524999999</v>
      </c>
      <c r="I1999" s="10">
        <v>0.99271728304335605</v>
      </c>
      <c r="J1999" s="10">
        <v>0.98548760405298297</v>
      </c>
      <c r="K1999" s="10">
        <v>-0.58919964999999996</v>
      </c>
      <c r="L1999" s="10">
        <v>1.671364141</v>
      </c>
      <c r="M1999" s="10">
        <v>-0.59653484700000003</v>
      </c>
      <c r="N1999" s="10">
        <v>0.47143791200000001</v>
      </c>
      <c r="O1999" s="9">
        <v>0.23926688900000001</v>
      </c>
      <c r="P1999" s="10">
        <v>1.0785371684601399</v>
      </c>
      <c r="Q1999" s="10">
        <v>1.1632424237500201</v>
      </c>
    </row>
    <row r="2000" spans="1:17" x14ac:dyDescent="0.2">
      <c r="A2000" s="10">
        <v>1833</v>
      </c>
      <c r="B2000" s="10" t="s">
        <v>2823</v>
      </c>
      <c r="C2000" s="9" t="s">
        <v>1846</v>
      </c>
      <c r="D2000" s="10">
        <v>-0.81112368300000004</v>
      </c>
      <c r="E2000" s="10">
        <v>-1.5473335319999999</v>
      </c>
      <c r="F2000" s="10">
        <v>-1.2736362779999999</v>
      </c>
      <c r="G2000" s="10">
        <v>-1.27960026</v>
      </c>
      <c r="H2000" s="9">
        <v>-1.2279234382499999</v>
      </c>
      <c r="I2000" s="10">
        <v>0.30578042317433901</v>
      </c>
      <c r="J2000" s="10">
        <v>9.3501667196678004E-2</v>
      </c>
      <c r="K2000" s="10">
        <v>0.30032651799999999</v>
      </c>
      <c r="L2000" s="10">
        <v>0.143980883</v>
      </c>
      <c r="M2000" s="10">
        <v>0.49472988000000001</v>
      </c>
      <c r="N2000" s="10">
        <v>-0.53372876499999999</v>
      </c>
      <c r="O2000" s="9">
        <v>0.101327129</v>
      </c>
      <c r="P2000" s="10">
        <v>0.44702043672565001</v>
      </c>
      <c r="Q2000" s="10">
        <v>0.19982727085039001</v>
      </c>
    </row>
    <row r="2001" spans="1:17" x14ac:dyDescent="0.2">
      <c r="A2001" s="10">
        <v>1833</v>
      </c>
      <c r="B2001" s="10" t="s">
        <v>2819</v>
      </c>
      <c r="C2001" s="9" t="s">
        <v>1847</v>
      </c>
      <c r="D2001" s="10">
        <v>-1.735342218</v>
      </c>
      <c r="E2001" s="10">
        <v>-1.811295935</v>
      </c>
      <c r="F2001" s="10">
        <v>-1.21918152</v>
      </c>
      <c r="G2001" s="10">
        <v>0.45817327699999999</v>
      </c>
      <c r="H2001" s="9">
        <v>-1.07691159925</v>
      </c>
      <c r="I2001" s="10">
        <v>1.0566578664109001</v>
      </c>
      <c r="J2001" s="10">
        <v>1.1165258466480501</v>
      </c>
      <c r="K2001" s="10">
        <v>0.11355789500000001</v>
      </c>
      <c r="L2001" s="10">
        <v>0.47592462499999999</v>
      </c>
      <c r="M2001" s="10">
        <v>-0.26949760699999997</v>
      </c>
      <c r="N2001" s="10">
        <v>-0.81364662300000001</v>
      </c>
      <c r="O2001" s="9">
        <v>-0.12341542749999999</v>
      </c>
      <c r="P2001" s="10">
        <v>0.55170159824438303</v>
      </c>
      <c r="Q2001" s="10">
        <v>0.30437465350540699</v>
      </c>
    </row>
    <row r="2002" spans="1:17" x14ac:dyDescent="0.2">
      <c r="A2002" s="10">
        <v>1833</v>
      </c>
      <c r="B2002" s="10" t="s">
        <v>2826</v>
      </c>
      <c r="C2002" s="9" t="s">
        <v>2177</v>
      </c>
      <c r="D2002" s="10">
        <v>-1.6124114350000001</v>
      </c>
      <c r="E2002" s="10">
        <v>-1.0497213990000001</v>
      </c>
      <c r="F2002" s="10">
        <v>-0.41172228599999999</v>
      </c>
      <c r="G2002" s="10">
        <v>-0.85836116299999998</v>
      </c>
      <c r="H2002" s="9">
        <v>-0.98305407074999995</v>
      </c>
      <c r="I2002" s="10">
        <v>0.49749490922034201</v>
      </c>
      <c r="J2002" s="10">
        <v>0.247501184700156</v>
      </c>
      <c r="K2002" s="10">
        <v>-1.9411752000000001E-2</v>
      </c>
      <c r="L2002" s="10">
        <v>0.72578012400000003</v>
      </c>
      <c r="M2002" s="10">
        <v>-0.34109798200000002</v>
      </c>
      <c r="N2002" s="10">
        <v>-0.71742712799999997</v>
      </c>
      <c r="O2002" s="9">
        <v>-8.8039184500000006E-2</v>
      </c>
      <c r="P2002" s="10">
        <v>0.61296534154177196</v>
      </c>
      <c r="Q2002" s="10">
        <v>0.37572650993142098</v>
      </c>
    </row>
    <row r="2003" spans="1:17" x14ac:dyDescent="0.2">
      <c r="A2003" s="10">
        <v>1833</v>
      </c>
      <c r="B2003" s="10" t="s">
        <v>2821</v>
      </c>
      <c r="C2003" s="9" t="s">
        <v>1848</v>
      </c>
      <c r="D2003" s="10">
        <v>-1.1095273960000001</v>
      </c>
      <c r="E2003" s="10">
        <v>-0.96277740300000003</v>
      </c>
      <c r="F2003" s="10">
        <v>-0.60546373499999995</v>
      </c>
      <c r="G2003" s="10">
        <v>-1.325095076</v>
      </c>
      <c r="H2003" s="9">
        <v>-1.0007159025000001</v>
      </c>
      <c r="I2003" s="10">
        <v>0.30261383256333102</v>
      </c>
      <c r="J2003" s="10">
        <v>9.1575131658667694E-2</v>
      </c>
      <c r="K2003" s="10">
        <v>-0.13032005099999999</v>
      </c>
      <c r="L2003" s="10">
        <v>-0.34752071800000001</v>
      </c>
      <c r="M2003" s="10">
        <v>-0.19381695500000001</v>
      </c>
      <c r="N2003" s="10">
        <v>-0.23687728</v>
      </c>
      <c r="O2003" s="9">
        <v>-0.22713375075</v>
      </c>
      <c r="P2003" s="10">
        <v>9.1416372684234401E-2</v>
      </c>
      <c r="Q2003" s="10">
        <v>8.3569531947428003E-3</v>
      </c>
    </row>
    <row r="2004" spans="1:17" x14ac:dyDescent="0.2">
      <c r="A2004" s="10">
        <v>1833</v>
      </c>
      <c r="B2004" s="10" t="s">
        <v>79</v>
      </c>
      <c r="C2004" s="9" t="s">
        <v>1849</v>
      </c>
      <c r="D2004" s="10">
        <v>-0.68625767699999995</v>
      </c>
      <c r="E2004" s="10">
        <v>0.45180126100000001</v>
      </c>
      <c r="F2004" s="10">
        <v>-0.35216242199999997</v>
      </c>
      <c r="G2004" s="10">
        <v>0.54452811499999998</v>
      </c>
      <c r="H2004" s="9">
        <v>-1.0522680749999999E-2</v>
      </c>
      <c r="I2004" s="10">
        <v>0.60419652181949302</v>
      </c>
      <c r="J2004" s="10">
        <v>0.36505343697877302</v>
      </c>
      <c r="K2004" s="10">
        <v>0.242472049</v>
      </c>
      <c r="L2004" s="10">
        <v>5.3380206999999999E-2</v>
      </c>
      <c r="M2004" s="10">
        <v>-0.10614295</v>
      </c>
      <c r="N2004" s="10">
        <v>-0.12394432399999999</v>
      </c>
      <c r="O2004" s="9">
        <v>1.64412455E-2</v>
      </c>
      <c r="P2004" s="10">
        <v>0.17047913275801499</v>
      </c>
      <c r="Q2004" s="10">
        <v>2.9063134705925201E-2</v>
      </c>
    </row>
    <row r="2005" spans="1:17" x14ac:dyDescent="0.2">
      <c r="A2005" s="10">
        <v>1833</v>
      </c>
      <c r="B2005" s="10" t="s">
        <v>2824</v>
      </c>
      <c r="C2005" s="9" t="s">
        <v>1850</v>
      </c>
      <c r="D2005" s="10">
        <v>0.205195831</v>
      </c>
      <c r="E2005" s="10">
        <v>-6.2165050999999999E-2</v>
      </c>
      <c r="F2005" s="10">
        <v>6.2687840000000003E-3</v>
      </c>
      <c r="G2005" s="10">
        <v>0.32077549599999999</v>
      </c>
      <c r="H2005" s="9">
        <v>0.11751876525</v>
      </c>
      <c r="I2005" s="10">
        <v>0.176695027853075</v>
      </c>
      <c r="J2005" s="10">
        <v>3.1221132867998901E-2</v>
      </c>
      <c r="K2005" s="10">
        <v>-0.79878349599999998</v>
      </c>
      <c r="L2005" s="10">
        <v>0.30381968599999998</v>
      </c>
      <c r="M2005" s="10">
        <v>-0.818975334</v>
      </c>
      <c r="N2005" s="10">
        <v>0.74487941300000005</v>
      </c>
      <c r="O2005" s="9">
        <v>-0.14226493274999999</v>
      </c>
      <c r="P2005" s="10">
        <v>0.79056312594953604</v>
      </c>
      <c r="Q2005" s="10">
        <v>0.62499005611110203</v>
      </c>
    </row>
    <row r="2006" spans="1:17" x14ac:dyDescent="0.2">
      <c r="A2006" s="10">
        <v>1833</v>
      </c>
      <c r="B2006" s="10" t="s">
        <v>2814</v>
      </c>
      <c r="C2006" s="9" t="s">
        <v>1851</v>
      </c>
      <c r="D2006" s="10">
        <v>-2.4330605109999999</v>
      </c>
      <c r="E2006" s="10">
        <v>-0.96200380500000005</v>
      </c>
      <c r="F2006" s="10">
        <v>-0.90997401099999997</v>
      </c>
      <c r="G2006" s="10">
        <v>-1.6826595900000001</v>
      </c>
      <c r="H2006" s="9">
        <v>-1.496924479</v>
      </c>
      <c r="I2006" s="10">
        <v>0.71682149828831598</v>
      </c>
      <c r="J2006" s="10">
        <v>0.51383306040830601</v>
      </c>
      <c r="K2006" s="10">
        <v>0.143542587</v>
      </c>
      <c r="L2006" s="10">
        <v>-0.14676271599999999</v>
      </c>
      <c r="M2006" s="10">
        <v>-0.65490921199999996</v>
      </c>
      <c r="N2006" s="10">
        <v>-0.75755393199999999</v>
      </c>
      <c r="O2006" s="9">
        <v>-0.35392081824999999</v>
      </c>
      <c r="P2006" s="10">
        <v>0.42579260310565598</v>
      </c>
      <c r="Q2006" s="10">
        <v>0.18129934085949001</v>
      </c>
    </row>
    <row r="2007" spans="1:17" x14ac:dyDescent="0.2">
      <c r="A2007" s="10">
        <v>1833</v>
      </c>
      <c r="B2007" s="10" t="s">
        <v>2833</v>
      </c>
      <c r="C2007" s="9" t="s">
        <v>1852</v>
      </c>
      <c r="D2007" s="10">
        <v>-1.575488475</v>
      </c>
      <c r="E2007" s="10">
        <v>-0.90715311600000004</v>
      </c>
      <c r="F2007" s="10">
        <v>0.85809521200000005</v>
      </c>
      <c r="G2007" s="10">
        <v>-1.0865847559999999</v>
      </c>
      <c r="H2007" s="9">
        <v>-0.67778278375000001</v>
      </c>
      <c r="I2007" s="10">
        <v>1.0621560663360801</v>
      </c>
      <c r="J2007" s="10">
        <v>1.12817550925454</v>
      </c>
      <c r="K2007" s="10">
        <v>-0.55427237200000001</v>
      </c>
      <c r="L2007" s="10">
        <v>-0.57279004600000005</v>
      </c>
      <c r="M2007" s="10">
        <v>-1.2944721079999999</v>
      </c>
      <c r="N2007" s="10">
        <v>0.42056785200000002</v>
      </c>
      <c r="O2007" s="9">
        <v>-0.50024166825000005</v>
      </c>
      <c r="P2007" s="10">
        <v>0.70400633237454802</v>
      </c>
      <c r="Q2007" s="10">
        <v>0.49562491602346298</v>
      </c>
    </row>
    <row r="2008" spans="1:17" x14ac:dyDescent="0.2">
      <c r="A2008" s="10">
        <v>1833</v>
      </c>
      <c r="B2008" s="10" t="s">
        <v>2825</v>
      </c>
      <c r="C2008" s="9" t="s">
        <v>1853</v>
      </c>
      <c r="D2008" s="10">
        <v>-1.8498369720000001</v>
      </c>
      <c r="E2008" s="10">
        <v>-0.79225706600000001</v>
      </c>
      <c r="F2008" s="10">
        <v>-1.3838220830000001</v>
      </c>
      <c r="G2008" s="10">
        <v>-0.34318596800000001</v>
      </c>
      <c r="H2008" s="9">
        <v>-1.09227552225</v>
      </c>
      <c r="I2008" s="10">
        <v>0.66081893173283401</v>
      </c>
      <c r="J2008" s="10">
        <v>0.43668166053652402</v>
      </c>
      <c r="K2008" s="10">
        <v>-0.38869694500000002</v>
      </c>
      <c r="L2008" s="10">
        <v>-0.36080292800000002</v>
      </c>
      <c r="M2008" s="10">
        <v>-0.96420918200000005</v>
      </c>
      <c r="N2008" s="10">
        <v>-0.25737577</v>
      </c>
      <c r="O2008" s="9">
        <v>-0.49277120600000002</v>
      </c>
      <c r="P2008" s="10">
        <v>0.31932838620328702</v>
      </c>
      <c r="Q2008" s="10">
        <v>0.101970618235196</v>
      </c>
    </row>
    <row r="2009" spans="1:17" x14ac:dyDescent="0.2">
      <c r="A2009" s="10">
        <v>1833</v>
      </c>
      <c r="B2009" s="10" t="s">
        <v>74</v>
      </c>
      <c r="C2009" s="9" t="s">
        <v>1854</v>
      </c>
      <c r="D2009" s="10">
        <v>-1.6255051999999999E-2</v>
      </c>
      <c r="E2009" s="10">
        <v>-0.17180047300000001</v>
      </c>
      <c r="F2009" s="10">
        <v>-0.44873479799999999</v>
      </c>
      <c r="G2009" s="10">
        <v>-0.21611431</v>
      </c>
      <c r="H2009" s="9">
        <v>-0.21322615850000001</v>
      </c>
      <c r="I2009" s="10">
        <v>0.17887273400680401</v>
      </c>
      <c r="J2009" s="10">
        <v>3.1995454971069003E-2</v>
      </c>
      <c r="K2009" s="10">
        <v>-3.1389533999999997E-2</v>
      </c>
      <c r="L2009" s="10">
        <v>0.26265360100000001</v>
      </c>
      <c r="M2009" s="10">
        <v>-9.3567233999999999E-2</v>
      </c>
      <c r="N2009" s="10">
        <v>3.1386195999999998E-2</v>
      </c>
      <c r="O2009" s="9">
        <v>4.2270757499999999E-2</v>
      </c>
      <c r="P2009" s="10">
        <v>0.155525849798687</v>
      </c>
      <c r="Q2009" s="10">
        <v>2.41882899556039E-2</v>
      </c>
    </row>
    <row r="2010" spans="1:17" x14ac:dyDescent="0.2">
      <c r="A2010" s="10">
        <v>1833</v>
      </c>
      <c r="B2010" s="10" t="s">
        <v>2818</v>
      </c>
      <c r="C2010" s="9" t="s">
        <v>1855</v>
      </c>
      <c r="D2010" s="10">
        <v>0.125029109</v>
      </c>
      <c r="E2010" s="10">
        <v>-6.8635095870000002</v>
      </c>
      <c r="F2010" s="10">
        <v>-0.53399626700000002</v>
      </c>
      <c r="G2010" s="10">
        <v>-1.3443265719999999</v>
      </c>
      <c r="H2010" s="9">
        <v>-2.1542008290000001</v>
      </c>
      <c r="I2010" s="10">
        <v>3.1965313087432699</v>
      </c>
      <c r="J2010" s="10">
        <v>10.2178124077759</v>
      </c>
      <c r="K2010" s="10">
        <v>0.488502088</v>
      </c>
      <c r="L2010" s="10">
        <v>5.1850396529999996</v>
      </c>
      <c r="M2010" s="10">
        <v>-6.731762732</v>
      </c>
      <c r="N2010" s="10">
        <v>-1.1288667050000001</v>
      </c>
      <c r="O2010" s="9">
        <v>-0.54677192424999999</v>
      </c>
      <c r="P2010" s="10">
        <v>4.9165842432616298</v>
      </c>
      <c r="Q2010" s="10">
        <v>24.172800621088498</v>
      </c>
    </row>
    <row r="2011" spans="1:17" x14ac:dyDescent="0.2">
      <c r="A2011" s="10">
        <v>1833</v>
      </c>
      <c r="B2011" s="10" t="s">
        <v>2835</v>
      </c>
      <c r="C2011" s="9" t="s">
        <v>1856</v>
      </c>
      <c r="D2011" s="10">
        <v>-1.4172585959999999</v>
      </c>
      <c r="E2011" s="10">
        <v>-4.4867152079999997</v>
      </c>
      <c r="F2011" s="10">
        <v>-1.26347002</v>
      </c>
      <c r="G2011" s="10">
        <v>-0.45129349499999999</v>
      </c>
      <c r="H2011" s="9">
        <v>-1.9046843295</v>
      </c>
      <c r="I2011" s="10">
        <v>1.7727537911134801</v>
      </c>
      <c r="J2011" s="10">
        <v>3.14265600390722</v>
      </c>
      <c r="K2011" s="10">
        <v>-0.63620010299999996</v>
      </c>
      <c r="L2011" s="10">
        <v>0.93580299300000003</v>
      </c>
      <c r="M2011" s="10">
        <v>0.122090978</v>
      </c>
      <c r="N2011" s="10">
        <v>0.49141180699999998</v>
      </c>
      <c r="O2011" s="9">
        <v>0.22827641874999999</v>
      </c>
      <c r="P2011" s="10">
        <v>0.66543947641231005</v>
      </c>
      <c r="Q2011" s="10">
        <v>0.44280969676788901</v>
      </c>
    </row>
    <row r="2012" spans="1:17" x14ac:dyDescent="0.2">
      <c r="A2012" s="10">
        <v>1834</v>
      </c>
      <c r="B2012" s="10" t="s">
        <v>2831</v>
      </c>
      <c r="C2012" s="9" t="s">
        <v>1857</v>
      </c>
      <c r="D2012" s="10">
        <v>-1.4313511560000001</v>
      </c>
      <c r="E2012" s="10">
        <v>-1.0886777139999999</v>
      </c>
      <c r="F2012" s="10">
        <v>-0.76791127100000001</v>
      </c>
      <c r="G2012" s="10">
        <v>-1.3390252520000001</v>
      </c>
      <c r="H2012" s="9">
        <v>-1.15674134825</v>
      </c>
      <c r="I2012" s="10">
        <v>0.29690596455240897</v>
      </c>
      <c r="J2012" s="10">
        <v>8.8153151786796599E-2</v>
      </c>
      <c r="K2012" s="10">
        <v>-6.5693769999999999E-2</v>
      </c>
      <c r="L2012" s="10">
        <v>-0.34362024899999999</v>
      </c>
      <c r="M2012" s="10">
        <v>-0.34081330700000001</v>
      </c>
      <c r="N2012" s="10">
        <v>-4.5167512E-2</v>
      </c>
      <c r="O2012" s="9">
        <v>-0.1988237095</v>
      </c>
      <c r="P2012" s="10">
        <v>0.165791929307812</v>
      </c>
      <c r="Q2012" s="10">
        <v>2.7486963823606499E-2</v>
      </c>
    </row>
    <row r="2013" spans="1:17" x14ac:dyDescent="0.2">
      <c r="A2013" s="10">
        <v>1834</v>
      </c>
      <c r="B2013" s="10" t="s">
        <v>2822</v>
      </c>
      <c r="C2013" s="9" t="s">
        <v>1858</v>
      </c>
      <c r="D2013" s="10">
        <v>0.71167635200000001</v>
      </c>
      <c r="E2013" s="10">
        <v>8.2470959999999996E-2</v>
      </c>
      <c r="F2013" s="10">
        <v>2.8503548E-2</v>
      </c>
      <c r="G2013" s="10">
        <v>-0.81531138199999997</v>
      </c>
      <c r="H2013" s="9">
        <v>1.8348695E-3</v>
      </c>
      <c r="I2013" s="10">
        <v>0.62684828683458405</v>
      </c>
      <c r="J2013" s="10">
        <v>0.39293877470745298</v>
      </c>
      <c r="K2013" s="10">
        <v>-0.48253874699999999</v>
      </c>
      <c r="L2013" s="10">
        <v>-0.80987503000000005</v>
      </c>
      <c r="M2013" s="10">
        <v>5.5031333000000002E-2</v>
      </c>
      <c r="N2013" s="10">
        <v>-0.82955693600000002</v>
      </c>
      <c r="O2013" s="9">
        <v>-0.51673484474999998</v>
      </c>
      <c r="P2013" s="10">
        <v>0.413067695865379</v>
      </c>
      <c r="Q2013" s="10">
        <v>0.17062492136753299</v>
      </c>
    </row>
    <row r="2014" spans="1:17" x14ac:dyDescent="0.2">
      <c r="A2014" s="10">
        <v>1834</v>
      </c>
      <c r="B2014" s="10" t="s">
        <v>96</v>
      </c>
      <c r="C2014" s="9" t="s">
        <v>1859</v>
      </c>
      <c r="D2014" s="10">
        <v>0.503056485</v>
      </c>
      <c r="E2014" s="10">
        <v>0.32855376400000003</v>
      </c>
      <c r="F2014" s="10">
        <v>-0.152200801</v>
      </c>
      <c r="G2014" s="10">
        <v>1.122893881</v>
      </c>
      <c r="H2014" s="9">
        <v>0.4505758325</v>
      </c>
      <c r="I2014" s="10">
        <v>0.526939222403079</v>
      </c>
      <c r="J2014" s="10">
        <v>0.27766494410676201</v>
      </c>
      <c r="K2014" s="10">
        <v>1.237520628</v>
      </c>
      <c r="L2014" s="10">
        <v>1.231678549</v>
      </c>
      <c r="M2014" s="10">
        <v>0.88414422299999995</v>
      </c>
      <c r="N2014" s="10">
        <v>1.4586318519999999</v>
      </c>
      <c r="O2014" s="9">
        <v>1.202993813</v>
      </c>
      <c r="P2014" s="10">
        <v>0.23736805672511099</v>
      </c>
      <c r="Q2014" s="10">
        <v>5.6343594353455803E-2</v>
      </c>
    </row>
    <row r="2015" spans="1:17" x14ac:dyDescent="0.2">
      <c r="A2015" s="10">
        <v>1834</v>
      </c>
      <c r="B2015" s="10" t="s">
        <v>2823</v>
      </c>
      <c r="C2015" s="9" t="s">
        <v>1860</v>
      </c>
      <c r="D2015" s="10">
        <v>5.0257810999999999E-2</v>
      </c>
      <c r="E2015" s="10">
        <v>-0.358991216</v>
      </c>
      <c r="F2015" s="10">
        <v>-0.22807813800000001</v>
      </c>
      <c r="G2015" s="10">
        <v>-0.20502711900000001</v>
      </c>
      <c r="H2015" s="9">
        <v>-0.18545966575</v>
      </c>
      <c r="I2015" s="10">
        <v>0.17114822735586999</v>
      </c>
      <c r="J2015" s="10">
        <v>2.9291715727056598E-2</v>
      </c>
      <c r="K2015" s="10">
        <v>-0.10022887</v>
      </c>
      <c r="L2015" s="10">
        <v>-0.22021597500000001</v>
      </c>
      <c r="M2015" s="10">
        <v>-0.120578133</v>
      </c>
      <c r="N2015" s="10">
        <v>-0.37756935000000003</v>
      </c>
      <c r="O2015" s="9">
        <v>-0.20464808200000001</v>
      </c>
      <c r="P2015" s="10">
        <v>0.12664287370232699</v>
      </c>
      <c r="Q2015" s="10">
        <v>1.60384174595836E-2</v>
      </c>
    </row>
    <row r="2016" spans="1:17" x14ac:dyDescent="0.2">
      <c r="A2016" s="10">
        <v>1834</v>
      </c>
      <c r="B2016" s="10" t="s">
        <v>2819</v>
      </c>
      <c r="C2016" s="9" t="s">
        <v>1861</v>
      </c>
      <c r="D2016" s="10">
        <v>-0.74419056800000005</v>
      </c>
      <c r="E2016" s="10">
        <v>0.18209805400000001</v>
      </c>
      <c r="F2016" s="10">
        <v>0.141738423</v>
      </c>
      <c r="G2016" s="10">
        <v>-0.67045281499999998</v>
      </c>
      <c r="H2016" s="9">
        <v>-0.27270172625</v>
      </c>
      <c r="I2016" s="10">
        <v>0.50302787660406301</v>
      </c>
      <c r="J2016" s="10">
        <v>0.25303704464079202</v>
      </c>
      <c r="K2016" s="10">
        <v>-0.52669161200000003</v>
      </c>
      <c r="L2016" s="10">
        <v>-9.1047196999999996E-2</v>
      </c>
      <c r="M2016" s="10">
        <v>0.54050121699999998</v>
      </c>
      <c r="N2016" s="10">
        <v>1.1949148999999999E-2</v>
      </c>
      <c r="O2016" s="9">
        <v>-1.632211075E-2</v>
      </c>
      <c r="P2016" s="10">
        <v>0.43852493231121897</v>
      </c>
      <c r="Q2016" s="10">
        <v>0.192304116258559</v>
      </c>
    </row>
    <row r="2017" spans="1:17" x14ac:dyDescent="0.2">
      <c r="A2017" s="10">
        <v>1834</v>
      </c>
      <c r="B2017" s="10" t="s">
        <v>2826</v>
      </c>
      <c r="C2017" s="9" t="s">
        <v>1862</v>
      </c>
      <c r="D2017" s="10">
        <v>-0.57460098000000004</v>
      </c>
      <c r="E2017" s="10">
        <v>0.51662024699999998</v>
      </c>
      <c r="F2017" s="10">
        <v>-0.24163965400000001</v>
      </c>
      <c r="G2017" s="10">
        <v>5.9299570000000003E-2</v>
      </c>
      <c r="H2017" s="9">
        <v>-6.0080204249999998E-2</v>
      </c>
      <c r="I2017" s="10">
        <v>0.46351210104441998</v>
      </c>
      <c r="J2017" s="10">
        <v>0.214843467814613</v>
      </c>
      <c r="K2017" s="10">
        <v>0.33991038699999998</v>
      </c>
      <c r="L2017" s="10">
        <v>-0.96067796000000005</v>
      </c>
      <c r="M2017" s="10">
        <v>0.64798330299999995</v>
      </c>
      <c r="N2017" s="10">
        <v>-1.109482554</v>
      </c>
      <c r="O2017" s="9">
        <v>-0.27056670599999999</v>
      </c>
      <c r="P2017" s="10">
        <v>0.89376539483890705</v>
      </c>
      <c r="Q2017" s="10">
        <v>0.79881658101154696</v>
      </c>
    </row>
    <row r="2018" spans="1:17" x14ac:dyDescent="0.2">
      <c r="A2018" s="10">
        <v>1834</v>
      </c>
      <c r="B2018" s="10" t="s">
        <v>2821</v>
      </c>
      <c r="C2018" s="9" t="s">
        <v>1863</v>
      </c>
      <c r="D2018" s="10">
        <v>0.24743646499999999</v>
      </c>
      <c r="E2018" s="10">
        <v>0.226834224</v>
      </c>
      <c r="F2018" s="10">
        <v>-0.35900731400000002</v>
      </c>
      <c r="G2018" s="10">
        <v>-0.21073863100000001</v>
      </c>
      <c r="H2018" s="9">
        <v>-2.3868813999999999E-2</v>
      </c>
      <c r="I2018" s="10">
        <v>0.30751515429517701</v>
      </c>
      <c r="J2018" s="10">
        <v>9.4565570121186895E-2</v>
      </c>
      <c r="K2018" s="10">
        <v>-0.29120962</v>
      </c>
      <c r="L2018" s="10">
        <v>-6.6796838999999997E-2</v>
      </c>
      <c r="M2018" s="10">
        <v>0.262839192</v>
      </c>
      <c r="N2018" s="10">
        <v>0.12711975</v>
      </c>
      <c r="O2018" s="9">
        <v>7.9881207499999992E-3</v>
      </c>
      <c r="P2018" s="10">
        <v>0.24100725568589901</v>
      </c>
      <c r="Q2018" s="10">
        <v>5.8084497293248397E-2</v>
      </c>
    </row>
    <row r="2019" spans="1:17" x14ac:dyDescent="0.2">
      <c r="A2019" s="10">
        <v>1834</v>
      </c>
      <c r="B2019" s="10" t="s">
        <v>79</v>
      </c>
      <c r="C2019" s="9" t="s">
        <v>1864</v>
      </c>
      <c r="D2019" s="10">
        <v>-0.54502123899999999</v>
      </c>
      <c r="E2019" s="10">
        <v>-0.47989038000000001</v>
      </c>
      <c r="F2019" s="10">
        <v>-2.5331712999999999E-2</v>
      </c>
      <c r="G2019" s="10">
        <v>0.430097548</v>
      </c>
      <c r="H2019" s="9">
        <v>-0.15503644575</v>
      </c>
      <c r="I2019" s="10">
        <v>0.45343993571494501</v>
      </c>
      <c r="J2019" s="10">
        <v>0.205607775301174</v>
      </c>
      <c r="K2019" s="10">
        <v>-0.11192956599999999</v>
      </c>
      <c r="L2019" s="10">
        <v>-0.35759633600000001</v>
      </c>
      <c r="M2019" s="10">
        <v>0.311861732</v>
      </c>
      <c r="N2019" s="10">
        <v>1.9309911500000001</v>
      </c>
      <c r="O2019" s="9">
        <v>0.44333174474999998</v>
      </c>
      <c r="P2019" s="10">
        <v>1.0295979448359001</v>
      </c>
      <c r="Q2019" s="10">
        <v>1.0600719280103099</v>
      </c>
    </row>
    <row r="2020" spans="1:17" x14ac:dyDescent="0.2">
      <c r="A2020" s="10">
        <v>1834</v>
      </c>
      <c r="B2020" s="10" t="s">
        <v>2820</v>
      </c>
      <c r="C2020" s="9" t="s">
        <v>1865</v>
      </c>
      <c r="D2020" s="10">
        <v>0.53879969999999999</v>
      </c>
      <c r="E2020" s="10">
        <v>0.80331366800000004</v>
      </c>
      <c r="F2020" s="10">
        <v>-0.26018327000000002</v>
      </c>
      <c r="G2020" s="10">
        <v>-0.10236072</v>
      </c>
      <c r="H2020" s="9">
        <v>0.24489234474999999</v>
      </c>
      <c r="I2020" s="10">
        <v>0.50790483863406499</v>
      </c>
      <c r="J2020" s="10">
        <v>0.257967325107896</v>
      </c>
      <c r="K2020" s="10">
        <v>0.19791450699999999</v>
      </c>
      <c r="L2020" s="10">
        <v>0.25424090799999999</v>
      </c>
      <c r="M2020" s="10">
        <v>0.57813374200000001</v>
      </c>
      <c r="N2020" s="10">
        <v>-0.39338025399999998</v>
      </c>
      <c r="O2020" s="9">
        <v>0.15922722575000001</v>
      </c>
      <c r="P2020" s="10">
        <v>0.40471471498557998</v>
      </c>
      <c r="Q2020" s="10">
        <v>0.16379400052585899</v>
      </c>
    </row>
    <row r="2021" spans="1:17" x14ac:dyDescent="0.2">
      <c r="A2021" s="10">
        <v>1834</v>
      </c>
      <c r="B2021" s="10" t="s">
        <v>2824</v>
      </c>
      <c r="C2021" s="9" t="s">
        <v>1866</v>
      </c>
      <c r="D2021" s="10">
        <v>-0.206927212</v>
      </c>
      <c r="E2021" s="10">
        <v>-0.23192834800000001</v>
      </c>
      <c r="F2021" s="10">
        <v>-6.5222520000000006E-2</v>
      </c>
      <c r="G2021" s="10">
        <v>-9.9663020000000005E-2</v>
      </c>
      <c r="H2021" s="9">
        <v>-0.15093527500000001</v>
      </c>
      <c r="I2021" s="10">
        <v>8.0974266252660604E-2</v>
      </c>
      <c r="J2021" s="10">
        <v>6.5568317951567E-3</v>
      </c>
      <c r="K2021" s="10">
        <v>-0.214005053</v>
      </c>
      <c r="L2021" s="10">
        <v>-6.3516346000000001E-2</v>
      </c>
      <c r="M2021" s="10">
        <v>-0.39705077</v>
      </c>
      <c r="N2021" s="10">
        <v>-0.21290778799999999</v>
      </c>
      <c r="O2021" s="9">
        <v>-0.22186998925000001</v>
      </c>
      <c r="P2021" s="10">
        <v>0.136511733986728</v>
      </c>
      <c r="Q2021" s="10">
        <v>1.8635453516063299E-2</v>
      </c>
    </row>
    <row r="2022" spans="1:17" x14ac:dyDescent="0.2">
      <c r="A2022" s="10">
        <v>1834</v>
      </c>
      <c r="B2022" s="10" t="s">
        <v>2817</v>
      </c>
      <c r="C2022" s="9" t="s">
        <v>2176</v>
      </c>
      <c r="D2022" s="10">
        <v>-0.16696786899999999</v>
      </c>
      <c r="E2022" s="10">
        <v>-0.63117091800000003</v>
      </c>
      <c r="F2022" s="10">
        <v>6.4391432999999998E-2</v>
      </c>
      <c r="G2022" s="10">
        <v>-0.35101123200000001</v>
      </c>
      <c r="H2022" s="9">
        <v>-0.27118964649999999</v>
      </c>
      <c r="I2022" s="10">
        <v>0.29407189663194899</v>
      </c>
      <c r="J2022" s="10">
        <v>8.6478280388711706E-2</v>
      </c>
      <c r="K2022" s="10">
        <v>7.7034624999999995E-2</v>
      </c>
      <c r="L2022" s="10">
        <v>-0.25857549099999999</v>
      </c>
      <c r="M2022" s="10">
        <v>-1.1058970379999999</v>
      </c>
      <c r="N2022" s="10">
        <v>-0.36764326000000003</v>
      </c>
      <c r="O2022" s="9">
        <v>-0.41377029074999999</v>
      </c>
      <c r="P2022" s="10">
        <v>0.498712351433998</v>
      </c>
      <c r="Q2022" s="10">
        <v>0.24871400947282701</v>
      </c>
    </row>
    <row r="2023" spans="1:17" x14ac:dyDescent="0.2">
      <c r="A2023" s="10">
        <v>1834</v>
      </c>
      <c r="B2023" s="10" t="s">
        <v>82</v>
      </c>
      <c r="C2023" s="9" t="s">
        <v>1867</v>
      </c>
      <c r="D2023" s="10">
        <v>-0.679179639</v>
      </c>
      <c r="E2023" s="10">
        <v>-0.59571687299999998</v>
      </c>
      <c r="F2023" s="10">
        <v>-1.3322450020000001</v>
      </c>
      <c r="G2023" s="10">
        <v>-0.51361917999999995</v>
      </c>
      <c r="H2023" s="9">
        <v>-0.78019017349999997</v>
      </c>
      <c r="I2023" s="10">
        <v>0.37419164204236299</v>
      </c>
      <c r="J2023" s="10">
        <v>0.14001938497436001</v>
      </c>
      <c r="K2023" s="10">
        <v>-0.31003646200000001</v>
      </c>
      <c r="L2023" s="10">
        <v>-0.49494374499999999</v>
      </c>
      <c r="M2023" s="10">
        <v>-0.77850330199999995</v>
      </c>
      <c r="N2023" s="10">
        <v>-0.18890382</v>
      </c>
      <c r="O2023" s="9">
        <v>-0.44309683249999998</v>
      </c>
      <c r="P2023" s="10">
        <v>0.25658315865729198</v>
      </c>
      <c r="Q2023" s="10">
        <v>6.5834917306553095E-2</v>
      </c>
    </row>
    <row r="2024" spans="1:17" x14ac:dyDescent="0.2">
      <c r="A2024" s="10">
        <v>1834</v>
      </c>
      <c r="B2024" s="10" t="s">
        <v>2814</v>
      </c>
      <c r="C2024" s="9" t="s">
        <v>1868</v>
      </c>
      <c r="D2024" s="10">
        <v>-0.37535660599999998</v>
      </c>
      <c r="E2024" s="10">
        <v>-7.5723639999999995E-2</v>
      </c>
      <c r="F2024" s="10">
        <v>4.8161121000000001E-2</v>
      </c>
      <c r="G2024" s="10">
        <v>-0.12739983999999999</v>
      </c>
      <c r="H2024" s="9">
        <v>-0.13257974124999999</v>
      </c>
      <c r="I2024" s="10">
        <v>0.17782698798834701</v>
      </c>
      <c r="J2024" s="10">
        <v>3.1622437657007701E-2</v>
      </c>
      <c r="K2024" s="10">
        <v>-2.3417147999999999E-2</v>
      </c>
      <c r="L2024" s="10">
        <v>7.9004323000000001E-2</v>
      </c>
      <c r="M2024" s="10">
        <v>-0.27507898600000003</v>
      </c>
      <c r="N2024" s="10">
        <v>-3.7040747999999998E-2</v>
      </c>
      <c r="O2024" s="9">
        <v>-6.4133139749999998E-2</v>
      </c>
      <c r="P2024" s="10">
        <v>0.149864686709442</v>
      </c>
      <c r="Q2024" s="10">
        <v>2.2459424322519201E-2</v>
      </c>
    </row>
    <row r="2025" spans="1:17" x14ac:dyDescent="0.2">
      <c r="A2025" s="10">
        <v>1834</v>
      </c>
      <c r="B2025" s="10" t="s">
        <v>2833</v>
      </c>
      <c r="C2025" s="9" t="s">
        <v>1869</v>
      </c>
      <c r="D2025" s="10">
        <v>0.13739520599999999</v>
      </c>
      <c r="E2025" s="10">
        <v>0.80589984400000003</v>
      </c>
      <c r="F2025" s="10">
        <v>0.117341692</v>
      </c>
      <c r="G2025" s="10">
        <v>1.2833319240000001</v>
      </c>
      <c r="H2025" s="9">
        <v>0.58599216624999995</v>
      </c>
      <c r="I2025" s="10">
        <v>0.56436236120437</v>
      </c>
      <c r="J2025" s="10">
        <v>0.318504874744172</v>
      </c>
      <c r="K2025" s="10">
        <v>9.9155841999999994E-2</v>
      </c>
      <c r="L2025" s="10">
        <v>-0.55448920999999995</v>
      </c>
      <c r="M2025" s="10">
        <v>5.2175763999999999E-2</v>
      </c>
      <c r="N2025" s="10">
        <v>-6.6669427000000003E-2</v>
      </c>
      <c r="O2025" s="9">
        <v>-0.11745675775</v>
      </c>
      <c r="P2025" s="10">
        <v>0.29959579886355497</v>
      </c>
      <c r="Q2025" s="10">
        <v>8.9757642696692105E-2</v>
      </c>
    </row>
    <row r="2026" spans="1:17" x14ac:dyDescent="0.2">
      <c r="A2026" s="10">
        <v>1834</v>
      </c>
      <c r="B2026" s="10" t="s">
        <v>2825</v>
      </c>
      <c r="C2026" s="9" t="s">
        <v>2175</v>
      </c>
      <c r="D2026" s="10">
        <v>-0.38761823499999998</v>
      </c>
      <c r="E2026" s="10">
        <v>-2.3590799999999999E-3</v>
      </c>
      <c r="F2026" s="10">
        <v>3.4860430999999997E-2</v>
      </c>
      <c r="G2026" s="10">
        <v>-0.34358114000000001</v>
      </c>
      <c r="H2026" s="9">
        <v>-0.17467450600000001</v>
      </c>
      <c r="I2026" s="10">
        <v>0.22171451507948201</v>
      </c>
      <c r="J2026" s="10">
        <v>4.9157326196930202E-2</v>
      </c>
      <c r="K2026" s="10">
        <v>-8.4392539000000003E-2</v>
      </c>
      <c r="L2026" s="10">
        <v>-0.53358552000000004</v>
      </c>
      <c r="M2026" s="10">
        <v>2.7473082999999999E-2</v>
      </c>
      <c r="N2026" s="10">
        <v>-0.18393995599999999</v>
      </c>
      <c r="O2026" s="9">
        <v>-0.19361123299999999</v>
      </c>
      <c r="P2026" s="10">
        <v>0.242544186572414</v>
      </c>
      <c r="Q2026" s="10">
        <v>5.8827682440074198E-2</v>
      </c>
    </row>
    <row r="2027" spans="1:17" x14ac:dyDescent="0.2">
      <c r="A2027" s="10">
        <v>1834</v>
      </c>
      <c r="B2027" s="10" t="s">
        <v>74</v>
      </c>
      <c r="C2027" s="9" t="s">
        <v>1870</v>
      </c>
      <c r="D2027" s="10">
        <v>0.51469329900000005</v>
      </c>
      <c r="E2027" s="10">
        <v>0.53674127199999999</v>
      </c>
      <c r="F2027" s="10">
        <v>0.43622551599999998</v>
      </c>
      <c r="G2027" s="10">
        <v>-2.5872603000000001E-2</v>
      </c>
      <c r="H2027" s="9">
        <v>0.36544687125000003</v>
      </c>
      <c r="I2027" s="10">
        <v>0.26442189483499001</v>
      </c>
      <c r="J2027" s="10">
        <v>6.9918938468126898E-2</v>
      </c>
      <c r="K2027" s="10">
        <v>-0.123494772</v>
      </c>
      <c r="L2027" s="10">
        <v>-0.180297978</v>
      </c>
      <c r="M2027" s="10">
        <v>5.8566732000000003E-2</v>
      </c>
      <c r="N2027" s="10">
        <v>-0.28308293499999998</v>
      </c>
      <c r="O2027" s="9">
        <v>-0.13207723825000001</v>
      </c>
      <c r="P2027" s="10">
        <v>0.14323261071023</v>
      </c>
      <c r="Q2027" s="10">
        <v>2.0515580770868399E-2</v>
      </c>
    </row>
    <row r="2028" spans="1:17" x14ac:dyDescent="0.2">
      <c r="A2028" s="10">
        <v>1834</v>
      </c>
      <c r="B2028" s="10" t="s">
        <v>2830</v>
      </c>
      <c r="C2028" s="9" t="s">
        <v>1871</v>
      </c>
      <c r="D2028" s="10">
        <v>-0.39442834799999998</v>
      </c>
      <c r="E2028" s="10">
        <v>3.1462299999999999E-3</v>
      </c>
      <c r="F2028" s="10">
        <v>-0.179057728</v>
      </c>
      <c r="G2028" s="10">
        <v>-0.54088657699999998</v>
      </c>
      <c r="H2028" s="9">
        <v>-0.27780660600000001</v>
      </c>
      <c r="I2028" s="10">
        <v>0.23909380224169799</v>
      </c>
      <c r="J2028" s="10">
        <v>5.7165846270392298E-2</v>
      </c>
      <c r="K2028" s="10">
        <v>-0.40551990399999999</v>
      </c>
      <c r="L2028" s="10">
        <v>-0.51529946299999996</v>
      </c>
      <c r="M2028" s="10">
        <v>-0.20692811999999999</v>
      </c>
      <c r="N2028" s="10">
        <v>-0.48857701399999998</v>
      </c>
      <c r="O2028" s="9">
        <v>-0.40408112550000003</v>
      </c>
      <c r="P2028" s="10">
        <v>0.13949964328618999</v>
      </c>
      <c r="Q2028" s="10">
        <v>1.94601504769744E-2</v>
      </c>
    </row>
    <row r="2029" spans="1:17" x14ac:dyDescent="0.2">
      <c r="A2029" s="10">
        <v>1835</v>
      </c>
      <c r="B2029" s="10" t="s">
        <v>2831</v>
      </c>
      <c r="C2029" s="9" t="s">
        <v>1872</v>
      </c>
      <c r="D2029" s="10">
        <v>-0.168168873</v>
      </c>
      <c r="E2029" s="10">
        <v>-1.5736177E-2</v>
      </c>
      <c r="F2029" s="10">
        <v>-1.730370803</v>
      </c>
      <c r="G2029" s="10">
        <v>-0.119682839</v>
      </c>
      <c r="H2029" s="9">
        <v>-0.50848967300000003</v>
      </c>
      <c r="I2029" s="10">
        <v>0.81706558381157302</v>
      </c>
      <c r="J2029" s="10">
        <v>0.66759616824934698</v>
      </c>
      <c r="K2029" s="10">
        <v>-0.20439940500000001</v>
      </c>
      <c r="L2029" s="10">
        <v>-0.32399589699999998</v>
      </c>
      <c r="M2029" s="10">
        <v>-0.141864501</v>
      </c>
      <c r="N2029" s="10">
        <v>0.45369471</v>
      </c>
      <c r="O2029" s="9">
        <v>-5.4141273500000003E-2</v>
      </c>
      <c r="P2029" s="10">
        <v>0.34688700114332399</v>
      </c>
      <c r="Q2029" s="10">
        <v>0.120330591562209</v>
      </c>
    </row>
    <row r="2030" spans="1:17" x14ac:dyDescent="0.2">
      <c r="A2030" s="10">
        <v>1835</v>
      </c>
      <c r="B2030" s="10" t="s">
        <v>96</v>
      </c>
      <c r="C2030" s="9" t="s">
        <v>1873</v>
      </c>
      <c r="D2030" s="10">
        <v>-6.6729329079999999</v>
      </c>
      <c r="E2030" s="10">
        <v>-0.67456992000000005</v>
      </c>
      <c r="F2030" s="10">
        <v>-0.82471802800000005</v>
      </c>
      <c r="G2030" s="10">
        <v>-0.556472458</v>
      </c>
      <c r="H2030" s="9">
        <v>-2.1821733284999998</v>
      </c>
      <c r="I2030" s="10">
        <v>2.99585145667537</v>
      </c>
      <c r="J2030" s="10">
        <v>8.9751259504639407</v>
      </c>
      <c r="K2030" s="10">
        <v>0.55252571800000005</v>
      </c>
      <c r="L2030" s="10">
        <v>-1.015877785</v>
      </c>
      <c r="M2030" s="10">
        <v>-1.9751527000000001E-2</v>
      </c>
      <c r="N2030" s="10">
        <v>-1.735609344</v>
      </c>
      <c r="O2030" s="9">
        <v>-0.55467823449999998</v>
      </c>
      <c r="P2030" s="10">
        <v>1.01969774698105</v>
      </c>
      <c r="Q2030" s="10">
        <v>1.0397834951982301</v>
      </c>
    </row>
    <row r="2031" spans="1:17" x14ac:dyDescent="0.2">
      <c r="A2031" s="10">
        <v>1835</v>
      </c>
      <c r="B2031" s="10" t="s">
        <v>2821</v>
      </c>
      <c r="C2031" s="9" t="s">
        <v>2174</v>
      </c>
      <c r="D2031" s="10">
        <v>-1.3958195499999999</v>
      </c>
      <c r="E2031" s="10" t="s">
        <v>76</v>
      </c>
      <c r="F2031" s="10">
        <v>-1.402797474</v>
      </c>
      <c r="G2031" s="10">
        <v>-0.62624027299999996</v>
      </c>
      <c r="H2031" s="9">
        <v>-0.85621432424999999</v>
      </c>
      <c r="I2031" s="10">
        <v>0.44634479225447499</v>
      </c>
      <c r="J2031" s="10">
        <v>0.199223673572691</v>
      </c>
      <c r="K2031" s="10">
        <v>-1.396337242</v>
      </c>
      <c r="L2031" s="10">
        <v>1.912988669</v>
      </c>
      <c r="M2031" s="10">
        <v>-6.0051759029999996</v>
      </c>
      <c r="N2031" s="10">
        <v>5.6300540049999999</v>
      </c>
      <c r="O2031" s="9">
        <v>3.5382381999999997E-2</v>
      </c>
      <c r="P2031" s="10">
        <v>4.9451633412325897</v>
      </c>
      <c r="Q2031" s="10">
        <v>24.4546404714707</v>
      </c>
    </row>
    <row r="2032" spans="1:17" x14ac:dyDescent="0.2">
      <c r="A2032" s="10">
        <v>1835</v>
      </c>
      <c r="B2032" s="10" t="s">
        <v>79</v>
      </c>
      <c r="C2032" s="9" t="s">
        <v>1875</v>
      </c>
      <c r="D2032" s="10">
        <v>-0.75029799600000002</v>
      </c>
      <c r="E2032" s="10">
        <v>-0.98255794600000002</v>
      </c>
      <c r="F2032" s="10">
        <v>-0.47404554799999998</v>
      </c>
      <c r="G2032" s="10">
        <v>-0.61553226800000005</v>
      </c>
      <c r="H2032" s="9">
        <v>-0.70560843949999996</v>
      </c>
      <c r="I2032" s="10">
        <v>0.21635871063483</v>
      </c>
      <c r="J2032" s="10">
        <v>4.6811091667566099E-2</v>
      </c>
      <c r="K2032" s="10">
        <v>-0.62280387100000001</v>
      </c>
      <c r="L2032" s="10">
        <v>-6.0943127999999999E-2</v>
      </c>
      <c r="M2032" s="10">
        <v>0.27724399199999999</v>
      </c>
      <c r="N2032" s="10">
        <v>-0.50858470499999997</v>
      </c>
      <c r="O2032" s="9">
        <v>-0.2287719275</v>
      </c>
      <c r="P2032" s="10">
        <v>0.415441524035851</v>
      </c>
      <c r="Q2032" s="10">
        <v>0.172591659893231</v>
      </c>
    </row>
    <row r="2033" spans="1:17" x14ac:dyDescent="0.2">
      <c r="A2033" s="10">
        <v>1835</v>
      </c>
      <c r="B2033" s="10" t="s">
        <v>2820</v>
      </c>
      <c r="C2033" s="9" t="s">
        <v>1876</v>
      </c>
      <c r="D2033" s="10">
        <v>-0.180886042</v>
      </c>
      <c r="E2033" s="10">
        <v>0.51533489200000004</v>
      </c>
      <c r="F2033" s="10">
        <v>-1.2437912149999999</v>
      </c>
      <c r="G2033" s="10">
        <v>-0.214648017</v>
      </c>
      <c r="H2033" s="9">
        <v>-0.28099759549999997</v>
      </c>
      <c r="I2033" s="10">
        <v>0.72469340048261299</v>
      </c>
      <c r="J2033" s="10">
        <v>0.52518052470305299</v>
      </c>
      <c r="K2033" s="10">
        <v>-0.57890299899999997</v>
      </c>
      <c r="L2033" s="10">
        <v>-1.5780143999999999E-2</v>
      </c>
      <c r="M2033" s="10">
        <v>-0.575226766</v>
      </c>
      <c r="N2033" s="10">
        <v>-0.18992483700000001</v>
      </c>
      <c r="O2033" s="9">
        <v>-0.3399586865</v>
      </c>
      <c r="P2033" s="10">
        <v>0.28287060476533998</v>
      </c>
      <c r="Q2033" s="10">
        <v>8.0015779040309598E-2</v>
      </c>
    </row>
    <row r="2034" spans="1:17" x14ac:dyDescent="0.2">
      <c r="A2034" s="10">
        <v>1835</v>
      </c>
      <c r="B2034" s="10" t="s">
        <v>2824</v>
      </c>
      <c r="C2034" s="9" t="s">
        <v>1877</v>
      </c>
      <c r="D2034" s="10">
        <v>-0.15678339499999999</v>
      </c>
      <c r="E2034" s="10">
        <v>0.129952231</v>
      </c>
      <c r="F2034" s="10">
        <v>-2.1688615489999998</v>
      </c>
      <c r="G2034" s="10">
        <v>-0.79441745100000005</v>
      </c>
      <c r="H2034" s="9">
        <v>-0.74752754075000005</v>
      </c>
      <c r="I2034" s="10">
        <v>1.0232853010865799</v>
      </c>
      <c r="J2034" s="10">
        <v>1.0471128074198599</v>
      </c>
      <c r="K2034" s="10">
        <v>-0.256898666</v>
      </c>
      <c r="L2034" s="10">
        <v>-0.28176593999999999</v>
      </c>
      <c r="M2034" s="10">
        <v>-0.60193781499999999</v>
      </c>
      <c r="N2034" s="10">
        <v>-0.40962535900000002</v>
      </c>
      <c r="O2034" s="9">
        <v>-0.38755694475000002</v>
      </c>
      <c r="P2034" s="10">
        <v>0.15780736667277201</v>
      </c>
      <c r="Q2034" s="10">
        <v>2.49031649761947E-2</v>
      </c>
    </row>
    <row r="2035" spans="1:17" x14ac:dyDescent="0.2">
      <c r="A2035" s="10">
        <v>1835</v>
      </c>
      <c r="B2035" s="10" t="s">
        <v>2817</v>
      </c>
      <c r="C2035" s="9" t="s">
        <v>1878</v>
      </c>
      <c r="D2035" s="10">
        <v>-0.82828610999999996</v>
      </c>
      <c r="E2035" s="10">
        <v>-0.68455634799999998</v>
      </c>
      <c r="F2035" s="10">
        <v>-8.9515428999999994E-2</v>
      </c>
      <c r="G2035" s="10">
        <v>-1.058486577</v>
      </c>
      <c r="H2035" s="9">
        <v>-0.66521111600000005</v>
      </c>
      <c r="I2035" s="10">
        <v>0.41354516235609901</v>
      </c>
      <c r="J2035" s="10">
        <v>0.17101960130813201</v>
      </c>
      <c r="K2035" s="10">
        <v>-1.0411103589999999</v>
      </c>
      <c r="L2035" s="10">
        <v>0.46890213800000002</v>
      </c>
      <c r="M2035" s="10">
        <v>-0.44949639299999999</v>
      </c>
      <c r="N2035" s="10">
        <v>-1.0237339839999999</v>
      </c>
      <c r="O2035" s="9">
        <v>-0.51135964950000001</v>
      </c>
      <c r="P2035" s="10">
        <v>0.70896720831727</v>
      </c>
      <c r="Q2035" s="10">
        <v>0.50263450246918295</v>
      </c>
    </row>
    <row r="2036" spans="1:17" x14ac:dyDescent="0.2">
      <c r="A2036" s="10">
        <v>1835</v>
      </c>
      <c r="B2036" s="10" t="s">
        <v>2814</v>
      </c>
      <c r="C2036" s="9" t="s">
        <v>1879</v>
      </c>
      <c r="D2036" s="10">
        <v>-0.64347089400000002</v>
      </c>
      <c r="E2036" s="10">
        <v>0.31544467199999998</v>
      </c>
      <c r="F2036" s="10">
        <v>-0.72603450899999999</v>
      </c>
      <c r="G2036" s="10">
        <v>-0.32111164199999997</v>
      </c>
      <c r="H2036" s="9">
        <v>-0.34379309349999998</v>
      </c>
      <c r="I2036" s="10">
        <v>0.47294261933118997</v>
      </c>
      <c r="J2036" s="10">
        <v>0.22367472117984699</v>
      </c>
      <c r="K2036" s="10">
        <v>-0.15560601600000001</v>
      </c>
      <c r="L2036" s="10">
        <v>-0.30339902899999999</v>
      </c>
      <c r="M2036" s="10">
        <v>-0.44289591</v>
      </c>
      <c r="N2036" s="10">
        <v>-0.31690469700000001</v>
      </c>
      <c r="O2036" s="9">
        <v>-0.30470141275000001</v>
      </c>
      <c r="P2036" s="10">
        <v>0.117583690411182</v>
      </c>
      <c r="Q2036" s="10">
        <v>1.38259242507129E-2</v>
      </c>
    </row>
    <row r="2037" spans="1:17" x14ac:dyDescent="0.2">
      <c r="A2037" s="10">
        <v>1835</v>
      </c>
      <c r="B2037" s="10" t="s">
        <v>2818</v>
      </c>
      <c r="C2037" s="9" t="s">
        <v>1880</v>
      </c>
      <c r="D2037" s="10">
        <v>-0.295947034</v>
      </c>
      <c r="E2037" s="10">
        <v>-0.55487354499999997</v>
      </c>
      <c r="F2037" s="10">
        <v>-0.44700543300000001</v>
      </c>
      <c r="G2037" s="10">
        <v>-1.4232486049999999</v>
      </c>
      <c r="H2037" s="9">
        <v>-0.68026865400000003</v>
      </c>
      <c r="I2037" s="10">
        <v>0.50657608142634103</v>
      </c>
      <c r="J2037" s="10">
        <v>0.256619326273267</v>
      </c>
      <c r="K2037" s="10">
        <v>-0.19138733099999999</v>
      </c>
      <c r="L2037" s="10">
        <v>0.52784869999999995</v>
      </c>
      <c r="M2037" s="10">
        <v>-0.341048301</v>
      </c>
      <c r="N2037" s="10">
        <v>5.6858013999999998E-2</v>
      </c>
      <c r="O2037" s="9">
        <v>1.3067770750000001E-2</v>
      </c>
      <c r="P2037" s="10">
        <v>0.38040201166075199</v>
      </c>
      <c r="Q2037" s="10">
        <v>0.14470569047554699</v>
      </c>
    </row>
    <row r="2038" spans="1:17" x14ac:dyDescent="0.2">
      <c r="A2038" s="10">
        <v>1835</v>
      </c>
      <c r="B2038" s="10" t="s">
        <v>2835</v>
      </c>
      <c r="C2038" s="9" t="s">
        <v>1881</v>
      </c>
      <c r="D2038" s="10">
        <v>-0.78134356699999996</v>
      </c>
      <c r="E2038" s="10">
        <v>-0.69100877599999999</v>
      </c>
      <c r="F2038" s="10">
        <v>-0.35027176799999998</v>
      </c>
      <c r="G2038" s="10">
        <v>-0.276469674</v>
      </c>
      <c r="H2038" s="9">
        <v>-0.52477344625</v>
      </c>
      <c r="I2038" s="10">
        <v>0.24870867210748601</v>
      </c>
      <c r="J2038" s="10">
        <v>6.1856003581468998E-2</v>
      </c>
      <c r="K2038" s="10">
        <v>0.15391969699999999</v>
      </c>
      <c r="L2038" s="10">
        <v>-0.132831594</v>
      </c>
      <c r="M2038" s="10">
        <v>-0.43991375900000002</v>
      </c>
      <c r="N2038" s="10">
        <v>-7.1921320000000004E-3</v>
      </c>
      <c r="O2038" s="9">
        <v>-0.10650444725</v>
      </c>
      <c r="P2038" s="10">
        <v>0.25135536509509399</v>
      </c>
      <c r="Q2038" s="10">
        <v>6.3179519562088296E-2</v>
      </c>
    </row>
    <row r="2039" spans="1:17" x14ac:dyDescent="0.2">
      <c r="A2039" s="10">
        <v>1836</v>
      </c>
      <c r="B2039" s="10" t="s">
        <v>2831</v>
      </c>
      <c r="C2039" s="9" t="s">
        <v>1882</v>
      </c>
      <c r="D2039" s="10">
        <v>-0.424500708</v>
      </c>
      <c r="E2039" s="10">
        <v>-0.44102845400000001</v>
      </c>
      <c r="F2039" s="10">
        <v>-0.70981509799999998</v>
      </c>
      <c r="G2039" s="10">
        <v>0.62668618899999995</v>
      </c>
      <c r="H2039" s="9">
        <v>-0.23716451775</v>
      </c>
      <c r="I2039" s="10">
        <v>0.59056243453278301</v>
      </c>
      <c r="J2039" s="10">
        <v>0.34876398908128797</v>
      </c>
      <c r="K2039" s="10">
        <v>0.124949793</v>
      </c>
      <c r="L2039" s="10">
        <v>0.65216608499999995</v>
      </c>
      <c r="M2039" s="10">
        <v>0.57345658499999996</v>
      </c>
      <c r="N2039" s="10">
        <v>0.34601067800000002</v>
      </c>
      <c r="O2039" s="9">
        <v>0.42414578525000002</v>
      </c>
      <c r="P2039" s="10">
        <v>0.23798480958770901</v>
      </c>
      <c r="Q2039" s="10">
        <v>5.6636769594498398E-2</v>
      </c>
    </row>
    <row r="2040" spans="1:17" x14ac:dyDescent="0.2">
      <c r="A2040" s="10">
        <v>1836</v>
      </c>
      <c r="B2040" s="10" t="s">
        <v>2822</v>
      </c>
      <c r="C2040" s="9" t="s">
        <v>1883</v>
      </c>
      <c r="D2040" s="10">
        <v>0.114981582</v>
      </c>
      <c r="E2040" s="10">
        <v>0.11710369599999999</v>
      </c>
      <c r="F2040" s="10">
        <v>0.28363366400000001</v>
      </c>
      <c r="G2040" s="10">
        <v>0.110365116</v>
      </c>
      <c r="H2040" s="9">
        <v>0.15652101474999999</v>
      </c>
      <c r="I2040" s="10">
        <v>8.4788446696085207E-2</v>
      </c>
      <c r="J2040" s="10">
        <v>7.1890806931348E-3</v>
      </c>
      <c r="K2040" s="10">
        <v>0.24361123600000001</v>
      </c>
      <c r="L2040" s="10">
        <v>0.14405853299999999</v>
      </c>
      <c r="M2040" s="10">
        <v>-0.22541649899999999</v>
      </c>
      <c r="N2040" s="10">
        <v>-5.6645194000000003E-2</v>
      </c>
      <c r="O2040" s="9">
        <v>2.6402018999999999E-2</v>
      </c>
      <c r="P2040" s="10">
        <v>0.20923057841463499</v>
      </c>
      <c r="Q2040" s="10">
        <v>4.3777434943722902E-2</v>
      </c>
    </row>
    <row r="2041" spans="1:17" x14ac:dyDescent="0.2">
      <c r="A2041" s="10">
        <v>1836</v>
      </c>
      <c r="B2041" s="10" t="s">
        <v>96</v>
      </c>
      <c r="C2041" s="9" t="s">
        <v>2173</v>
      </c>
      <c r="D2041" s="10">
        <v>2.7877189E-2</v>
      </c>
      <c r="E2041" s="10">
        <v>-0.25171174400000002</v>
      </c>
      <c r="F2041" s="10">
        <v>0.25661725000000002</v>
      </c>
      <c r="G2041" s="10">
        <v>0.17880015899999999</v>
      </c>
      <c r="H2041" s="9">
        <v>5.2895713249999997E-2</v>
      </c>
      <c r="I2041" s="10">
        <v>0.22417703091036001</v>
      </c>
      <c r="J2041" s="10">
        <v>5.0255341187784901E-2</v>
      </c>
      <c r="K2041" s="10">
        <v>6.3049173E-2</v>
      </c>
      <c r="L2041" s="10">
        <v>1.2473075739999999</v>
      </c>
      <c r="M2041" s="10">
        <v>-0.241271548</v>
      </c>
      <c r="N2041" s="10">
        <v>-0.42451283499999998</v>
      </c>
      <c r="O2041" s="9">
        <v>0.16114309125000001</v>
      </c>
      <c r="P2041" s="10">
        <v>0.75151094607678304</v>
      </c>
      <c r="Q2041" s="10">
        <v>0.56476870207322105</v>
      </c>
    </row>
    <row r="2042" spans="1:17" x14ac:dyDescent="0.2">
      <c r="A2042" s="10">
        <v>1836</v>
      </c>
      <c r="B2042" s="10" t="s">
        <v>2823</v>
      </c>
      <c r="C2042" s="9" t="s">
        <v>1884</v>
      </c>
      <c r="D2042" s="10">
        <v>0.163874877</v>
      </c>
      <c r="E2042" s="10">
        <v>0.37311577000000001</v>
      </c>
      <c r="F2042" s="10">
        <v>0.23479365599999999</v>
      </c>
      <c r="G2042" s="10">
        <v>-1.813872707</v>
      </c>
      <c r="H2042" s="9">
        <v>-0.26052210100000001</v>
      </c>
      <c r="I2042" s="10">
        <v>1.0392057144431599</v>
      </c>
      <c r="J2042" s="10">
        <v>1.0799485169313301</v>
      </c>
      <c r="K2042" s="10">
        <v>0.22297878700000001</v>
      </c>
      <c r="L2042" s="10">
        <v>4.6941205E-2</v>
      </c>
      <c r="M2042" s="10">
        <v>-1.8186418040000001</v>
      </c>
      <c r="N2042" s="10">
        <v>-9.9242703000000002E-2</v>
      </c>
      <c r="O2042" s="9">
        <v>-0.41199112874999999</v>
      </c>
      <c r="P2042" s="10">
        <v>0.94697472350272105</v>
      </c>
      <c r="Q2042" s="10">
        <v>0.89676112695305599</v>
      </c>
    </row>
    <row r="2043" spans="1:17" x14ac:dyDescent="0.2">
      <c r="A2043" s="10">
        <v>1836</v>
      </c>
      <c r="B2043" s="10" t="s">
        <v>2824</v>
      </c>
      <c r="C2043" s="9" t="s">
        <v>1886</v>
      </c>
      <c r="D2043" s="10">
        <v>-0.44978533900000001</v>
      </c>
      <c r="E2043" s="10">
        <v>-0.182320128</v>
      </c>
      <c r="F2043" s="10">
        <v>-0.172480679</v>
      </c>
      <c r="G2043" s="10">
        <v>-2.5401759999999999E-2</v>
      </c>
      <c r="H2043" s="9">
        <v>-0.20749697650000001</v>
      </c>
      <c r="I2043" s="10">
        <v>0.176750608925036</v>
      </c>
      <c r="J2043" s="10">
        <v>3.12407777553712E-2</v>
      </c>
      <c r="K2043" s="10">
        <v>-0.81183737099999997</v>
      </c>
      <c r="L2043" s="10">
        <v>-2.7438575510000001</v>
      </c>
      <c r="M2043" s="10">
        <v>-1.274800358</v>
      </c>
      <c r="N2043" s="10">
        <v>-0.81803719600000002</v>
      </c>
      <c r="O2043" s="9">
        <v>-1.4121331187499999</v>
      </c>
      <c r="P2043" s="10">
        <v>0.91390283962459695</v>
      </c>
      <c r="Q2043" s="10">
        <v>0.83521840027390204</v>
      </c>
    </row>
    <row r="2044" spans="1:17" x14ac:dyDescent="0.2">
      <c r="A2044" s="10">
        <v>1836</v>
      </c>
      <c r="B2044" s="10" t="s">
        <v>2830</v>
      </c>
      <c r="C2044" s="9" t="s">
        <v>1890</v>
      </c>
      <c r="D2044" s="10">
        <v>-0.194080213</v>
      </c>
      <c r="E2044" s="10">
        <v>-0.35486376200000003</v>
      </c>
      <c r="F2044" s="10">
        <v>-0.49572023900000001</v>
      </c>
      <c r="G2044" s="10">
        <v>-0.29363478300000001</v>
      </c>
      <c r="H2044" s="9">
        <v>-0.334574749</v>
      </c>
      <c r="I2044" s="10">
        <v>0.126219793030241</v>
      </c>
      <c r="J2044" s="10">
        <v>1.5931436152596901E-2</v>
      </c>
      <c r="K2044" s="10">
        <v>2.2178777279999999</v>
      </c>
      <c r="L2044" s="10">
        <v>-0.27144128699999998</v>
      </c>
      <c r="M2044" s="10">
        <v>-0.72289857400000002</v>
      </c>
      <c r="N2044" s="10">
        <v>0.44487783800000003</v>
      </c>
      <c r="O2044" s="9">
        <v>0.41710392624999998</v>
      </c>
      <c r="P2044" s="10">
        <v>1.29322051310011</v>
      </c>
      <c r="Q2044" s="10">
        <v>1.67241929550292</v>
      </c>
    </row>
    <row r="2045" spans="1:17" x14ac:dyDescent="0.2">
      <c r="A2045" s="10">
        <v>1836</v>
      </c>
      <c r="B2045" s="10" t="s">
        <v>2832</v>
      </c>
      <c r="C2045" s="9" t="s">
        <v>1891</v>
      </c>
      <c r="D2045" s="10">
        <v>0.34630404999999997</v>
      </c>
      <c r="E2045" s="10">
        <v>0.15072529300000001</v>
      </c>
      <c r="F2045" s="10">
        <v>0.381261193</v>
      </c>
      <c r="G2045" s="10">
        <v>-0.28628652700000001</v>
      </c>
      <c r="H2045" s="9">
        <v>0.14800100199999999</v>
      </c>
      <c r="I2045" s="10">
        <v>0.30678303688319303</v>
      </c>
      <c r="J2045" s="10">
        <v>9.4115831719275095E-2</v>
      </c>
      <c r="K2045" s="10">
        <v>0.46949895899999999</v>
      </c>
      <c r="L2045" s="10">
        <v>0.396322063</v>
      </c>
      <c r="M2045" s="10">
        <v>0.176667764</v>
      </c>
      <c r="N2045" s="10">
        <v>0.60518407399999996</v>
      </c>
      <c r="O2045" s="9">
        <v>0.41191821499999998</v>
      </c>
      <c r="P2045" s="10">
        <v>0.17912123360777299</v>
      </c>
      <c r="Q2045" s="10">
        <v>3.2084416329170598E-2</v>
      </c>
    </row>
    <row r="2046" spans="1:17" x14ac:dyDescent="0.2">
      <c r="A2046" s="10">
        <v>1837</v>
      </c>
      <c r="B2046" s="10" t="s">
        <v>2822</v>
      </c>
      <c r="C2046" s="9" t="s">
        <v>1892</v>
      </c>
      <c r="D2046" s="10">
        <v>-1.3608881989999999</v>
      </c>
      <c r="E2046" s="10">
        <v>-0.980152837</v>
      </c>
      <c r="F2046" s="10">
        <v>-0.98623165599999996</v>
      </c>
      <c r="G2046" s="10">
        <v>-1.1784096580000001</v>
      </c>
      <c r="H2046" s="9">
        <v>-1.1264205875</v>
      </c>
      <c r="I2046" s="10">
        <v>0.181406647843466</v>
      </c>
      <c r="J2046" s="10">
        <v>3.2908371881803601E-2</v>
      </c>
      <c r="K2046" s="10">
        <v>-0.120762842</v>
      </c>
      <c r="L2046" s="10">
        <v>-0.11969682500000001</v>
      </c>
      <c r="M2046" s="10">
        <v>-0.14416796900000001</v>
      </c>
      <c r="N2046" s="10">
        <v>-0.38436961600000003</v>
      </c>
      <c r="O2046" s="9">
        <v>-0.19224931275000001</v>
      </c>
      <c r="P2046" s="10">
        <v>0.12857709168261899</v>
      </c>
      <c r="Q2046" s="10">
        <v>1.6532068505560701E-2</v>
      </c>
    </row>
    <row r="2047" spans="1:17" x14ac:dyDescent="0.2">
      <c r="A2047" s="10">
        <v>1837</v>
      </c>
      <c r="B2047" s="10" t="s">
        <v>96</v>
      </c>
      <c r="C2047" s="9" t="s">
        <v>43</v>
      </c>
      <c r="D2047" s="10">
        <v>-2.004277047</v>
      </c>
      <c r="E2047" s="10">
        <v>-0.90934294299999996</v>
      </c>
      <c r="F2047" s="10">
        <v>-0.90661168400000003</v>
      </c>
      <c r="G2047" s="10">
        <v>-1.3856106909999999</v>
      </c>
      <c r="H2047" s="9">
        <v>-1.3014605912499999</v>
      </c>
      <c r="I2047" s="10">
        <v>0.51983783349122603</v>
      </c>
      <c r="J2047" s="10">
        <v>0.27023137312885198</v>
      </c>
      <c r="K2047" s="10">
        <v>-5.6679889999999997E-2</v>
      </c>
      <c r="L2047" s="10">
        <v>-2.9613380000000002E-2</v>
      </c>
      <c r="M2047" s="10">
        <v>-0.31609213000000003</v>
      </c>
      <c r="N2047" s="10">
        <v>-0.34406980999999998</v>
      </c>
      <c r="O2047" s="9">
        <v>-0.18661380250000001</v>
      </c>
      <c r="P2047" s="10">
        <v>0.166422139825979</v>
      </c>
      <c r="Q2047" s="10">
        <v>2.7696328624257801E-2</v>
      </c>
    </row>
    <row r="2048" spans="1:17" x14ac:dyDescent="0.2">
      <c r="A2048" s="10">
        <v>1837</v>
      </c>
      <c r="B2048" s="10" t="s">
        <v>2821</v>
      </c>
      <c r="C2048" s="9" t="s">
        <v>68</v>
      </c>
      <c r="D2048" s="10">
        <v>-3.845387133</v>
      </c>
      <c r="E2048" s="10">
        <v>-1.462384157</v>
      </c>
      <c r="F2048" s="10">
        <v>-1.5938069459999999</v>
      </c>
      <c r="G2048" s="10">
        <v>-0.902645268</v>
      </c>
      <c r="H2048" s="9">
        <v>-1.9510558760000001</v>
      </c>
      <c r="I2048" s="10">
        <v>1.29795769848259</v>
      </c>
      <c r="J2048" s="10">
        <v>1.6846941870502301</v>
      </c>
      <c r="K2048" s="10">
        <v>0.34803648999999998</v>
      </c>
      <c r="L2048" s="10">
        <v>0.14103468299999999</v>
      </c>
      <c r="M2048" s="10">
        <v>0.26120722000000002</v>
      </c>
      <c r="N2048" s="10">
        <v>-0.96918037700000004</v>
      </c>
      <c r="O2048" s="9">
        <v>-5.4725495999999998E-2</v>
      </c>
      <c r="P2048" s="10">
        <v>0.61551617240400602</v>
      </c>
      <c r="Q2048" s="10">
        <v>0.37886015849087901</v>
      </c>
    </row>
    <row r="2049" spans="1:17" x14ac:dyDescent="0.2">
      <c r="A2049" s="10">
        <v>1837</v>
      </c>
      <c r="B2049" s="10" t="s">
        <v>2820</v>
      </c>
      <c r="C2049" s="9" t="s">
        <v>1893</v>
      </c>
      <c r="D2049" s="10">
        <v>-0.96267411899999999</v>
      </c>
      <c r="E2049" s="10">
        <v>-1.1119469369999999</v>
      </c>
      <c r="F2049" s="10">
        <v>-1.121979609</v>
      </c>
      <c r="G2049" s="10">
        <v>-1.1621703800000001</v>
      </c>
      <c r="H2049" s="9">
        <v>-1.08969276125</v>
      </c>
      <c r="I2049" s="10">
        <v>8.7415539378776705E-2</v>
      </c>
      <c r="J2049" s="10">
        <v>7.6414765248824E-3</v>
      </c>
      <c r="K2049" s="10">
        <v>-0.243971996</v>
      </c>
      <c r="L2049" s="10">
        <v>9.7730839999999999E-2</v>
      </c>
      <c r="M2049" s="10">
        <v>0.12914625699999999</v>
      </c>
      <c r="N2049" s="10">
        <v>-0.40388351500000003</v>
      </c>
      <c r="O2049" s="9">
        <v>-0.10524460375</v>
      </c>
      <c r="P2049" s="10">
        <v>0.26113125374142498</v>
      </c>
      <c r="Q2049" s="10">
        <v>6.8189531680568599E-2</v>
      </c>
    </row>
    <row r="2050" spans="1:17" x14ac:dyDescent="0.2">
      <c r="A2050" s="10">
        <v>1837</v>
      </c>
      <c r="B2050" s="10" t="s">
        <v>2825</v>
      </c>
      <c r="C2050" s="9" t="s">
        <v>1897</v>
      </c>
      <c r="D2050" s="10">
        <v>-0.780905081</v>
      </c>
      <c r="E2050" s="10">
        <v>-1.126257764</v>
      </c>
      <c r="F2050" s="10">
        <v>-1.6173754199999999</v>
      </c>
      <c r="G2050" s="10">
        <v>-0.40014290699999999</v>
      </c>
      <c r="H2050" s="9">
        <v>-0.98117029300000003</v>
      </c>
      <c r="I2050" s="10">
        <v>0.51752820093261898</v>
      </c>
      <c r="J2050" s="10">
        <v>0.26783543876055299</v>
      </c>
      <c r="K2050" s="10">
        <v>-0.75636546199999999</v>
      </c>
      <c r="L2050" s="10">
        <v>0.126696632</v>
      </c>
      <c r="M2050" s="10">
        <v>5.5664736999999999E-2</v>
      </c>
      <c r="N2050" s="10">
        <v>-0.158886428</v>
      </c>
      <c r="O2050" s="9">
        <v>-0.18322263024999999</v>
      </c>
      <c r="P2050" s="10">
        <v>0.40091648326951301</v>
      </c>
      <c r="Q2050" s="10">
        <v>0.16073402655719399</v>
      </c>
    </row>
    <row r="2051" spans="1:17" x14ac:dyDescent="0.2">
      <c r="A2051" s="10">
        <v>1837</v>
      </c>
      <c r="B2051" s="10" t="s">
        <v>2818</v>
      </c>
      <c r="C2051" s="9" t="s">
        <v>1898</v>
      </c>
      <c r="D2051" s="10">
        <v>-1.003184614</v>
      </c>
      <c r="E2051" s="10">
        <v>-0.43496947899999999</v>
      </c>
      <c r="F2051" s="10">
        <v>-1.5114819589999999</v>
      </c>
      <c r="G2051" s="10">
        <v>-0.168937644</v>
      </c>
      <c r="H2051" s="9">
        <v>-0.77964342399999997</v>
      </c>
      <c r="I2051" s="10">
        <v>0.59925508842919095</v>
      </c>
      <c r="J2051" s="10">
        <v>0.35910666100827698</v>
      </c>
      <c r="K2051" s="10">
        <v>0.33668794699999999</v>
      </c>
      <c r="L2051" s="10">
        <v>-2.0441440630000001</v>
      </c>
      <c r="M2051" s="10">
        <v>6.0972851000000002E-2</v>
      </c>
      <c r="N2051" s="10">
        <v>1.1392840200000001</v>
      </c>
      <c r="O2051" s="9">
        <v>-0.12679981125000001</v>
      </c>
      <c r="P2051" s="10">
        <v>1.3576028778951399</v>
      </c>
      <c r="Q2051" s="10">
        <v>1.8430855740691601</v>
      </c>
    </row>
    <row r="2052" spans="1:17" x14ac:dyDescent="0.2">
      <c r="A2052" s="10">
        <v>1837</v>
      </c>
      <c r="B2052" s="10" t="s">
        <v>2830</v>
      </c>
      <c r="C2052" s="9" t="s">
        <v>1899</v>
      </c>
      <c r="D2052" s="10">
        <v>-1.1465464750000001</v>
      </c>
      <c r="E2052" s="10">
        <v>0.340273084</v>
      </c>
      <c r="F2052" s="10">
        <v>-0.26054892800000001</v>
      </c>
      <c r="G2052" s="10">
        <v>-0.603552431</v>
      </c>
      <c r="H2052" s="9">
        <v>-0.41759368749999998</v>
      </c>
      <c r="I2052" s="10">
        <v>0.62315806462415402</v>
      </c>
      <c r="J2052" s="10">
        <v>0.38832597350612102</v>
      </c>
      <c r="K2052" s="10">
        <v>-1.0420396380000001</v>
      </c>
      <c r="L2052" s="10">
        <v>1.1230591480000001</v>
      </c>
      <c r="M2052" s="10">
        <v>2.0069931999999999E-2</v>
      </c>
      <c r="N2052" s="10">
        <v>-0.73920905400000003</v>
      </c>
      <c r="O2052" s="9">
        <v>-0.159529903</v>
      </c>
      <c r="P2052" s="10">
        <v>0.96473521841504195</v>
      </c>
      <c r="Q2052" s="10">
        <v>0.93071404165031901</v>
      </c>
    </row>
    <row r="2053" spans="1:17" x14ac:dyDescent="0.2">
      <c r="A2053" s="10">
        <v>1837</v>
      </c>
      <c r="B2053" s="10" t="s">
        <v>2832</v>
      </c>
      <c r="C2053" s="9" t="s">
        <v>1900</v>
      </c>
      <c r="D2053" s="10">
        <v>-0.29294280499999997</v>
      </c>
      <c r="E2053" s="10">
        <v>-0.82701894399999998</v>
      </c>
      <c r="F2053" s="10">
        <v>-0.69886906599999998</v>
      </c>
      <c r="G2053" s="10">
        <v>-0.13057249200000001</v>
      </c>
      <c r="H2053" s="9">
        <v>-0.48735082675000002</v>
      </c>
      <c r="I2053" s="10">
        <v>0.32924137775564699</v>
      </c>
      <c r="J2053" s="10">
        <v>0.108399884826437</v>
      </c>
      <c r="K2053" s="10">
        <v>7.5225043000000005E-2</v>
      </c>
      <c r="L2053" s="10">
        <v>0.31563944500000002</v>
      </c>
      <c r="M2053" s="10">
        <v>-0.42402063000000001</v>
      </c>
      <c r="N2053" s="10">
        <v>2.6318804000000001E-2</v>
      </c>
      <c r="O2053" s="9">
        <v>-1.7093342499999999E-3</v>
      </c>
      <c r="P2053" s="10">
        <v>0.30863222619925001</v>
      </c>
      <c r="Q2053" s="10">
        <v>9.5253851048705193E-2</v>
      </c>
    </row>
    <row r="2054" spans="1:17" x14ac:dyDescent="0.2">
      <c r="A2054" s="10">
        <v>1838</v>
      </c>
      <c r="B2054" s="10" t="s">
        <v>2831</v>
      </c>
      <c r="C2054" s="9" t="s">
        <v>1901</v>
      </c>
      <c r="D2054" s="10">
        <v>-1.0749672320000001</v>
      </c>
      <c r="E2054" s="10">
        <v>-2.0225130560000002</v>
      </c>
      <c r="F2054" s="10">
        <v>-1.3552233090000001</v>
      </c>
      <c r="G2054" s="10">
        <v>-0.86075581800000001</v>
      </c>
      <c r="H2054" s="9">
        <v>-1.3283648537499999</v>
      </c>
      <c r="I2054" s="10">
        <v>0.50511769860397304</v>
      </c>
      <c r="J2054" s="10">
        <v>0.255143889442974</v>
      </c>
      <c r="K2054" s="10">
        <v>0.13512270400000001</v>
      </c>
      <c r="L2054" s="10">
        <v>-0.17795337999999999</v>
      </c>
      <c r="M2054" s="10">
        <v>-0.97943802400000002</v>
      </c>
      <c r="N2054" s="10">
        <v>-0.26073704399999997</v>
      </c>
      <c r="O2054" s="9">
        <v>-0.320751436</v>
      </c>
      <c r="P2054" s="10">
        <v>0.47105635359134701</v>
      </c>
      <c r="Q2054" s="10">
        <v>0.22189408825877599</v>
      </c>
    </row>
    <row r="2055" spans="1:17" x14ac:dyDescent="0.2">
      <c r="A2055" s="10">
        <v>1838</v>
      </c>
      <c r="B2055" s="10" t="s">
        <v>2822</v>
      </c>
      <c r="C2055" s="9" t="s">
        <v>1902</v>
      </c>
      <c r="D2055" s="10">
        <v>0.26913558999999998</v>
      </c>
      <c r="E2055" s="10">
        <v>-0.55534525499999998</v>
      </c>
      <c r="F2055" s="10">
        <v>5.2412261000000002E-2</v>
      </c>
      <c r="G2055" s="10">
        <v>0.54832591600000002</v>
      </c>
      <c r="H2055" s="9">
        <v>7.8632127999999996E-2</v>
      </c>
      <c r="I2055" s="10">
        <v>0.46887049637072797</v>
      </c>
      <c r="J2055" s="10">
        <v>0.21983954236693301</v>
      </c>
      <c r="K2055" s="10">
        <v>0.56288804800000003</v>
      </c>
      <c r="L2055" s="10">
        <v>-0.40944550499999999</v>
      </c>
      <c r="M2055" s="10">
        <v>3.8978440000000003E-2</v>
      </c>
      <c r="N2055" s="10">
        <v>-0.37042129499999998</v>
      </c>
      <c r="O2055" s="9">
        <v>-4.4500078249999998E-2</v>
      </c>
      <c r="P2055" s="10">
        <v>0.45287923443681999</v>
      </c>
      <c r="Q2055" s="10">
        <v>0.20509960098408</v>
      </c>
    </row>
    <row r="2056" spans="1:17" x14ac:dyDescent="0.2">
      <c r="A2056" s="10">
        <v>1838</v>
      </c>
      <c r="B2056" s="10" t="s">
        <v>96</v>
      </c>
      <c r="C2056" s="9" t="s">
        <v>1903</v>
      </c>
      <c r="D2056" s="10">
        <v>-3.0968203E-2</v>
      </c>
      <c r="E2056" s="10">
        <v>-7.6901679000000001E-2</v>
      </c>
      <c r="F2056" s="10">
        <v>8.8408170999999994E-2</v>
      </c>
      <c r="G2056" s="10">
        <v>-0.13106833200000001</v>
      </c>
      <c r="H2056" s="9">
        <v>-3.7632510750000001E-2</v>
      </c>
      <c r="I2056" s="10">
        <v>9.3457631615437103E-2</v>
      </c>
      <c r="J2056" s="10">
        <v>8.7343289071667007E-3</v>
      </c>
      <c r="K2056" s="10">
        <v>0.138204192</v>
      </c>
      <c r="L2056" s="10">
        <v>-3.0768269999999999E-3</v>
      </c>
      <c r="M2056" s="10">
        <v>-0.15388211600000001</v>
      </c>
      <c r="N2056" s="10">
        <v>-0.217755368</v>
      </c>
      <c r="O2056" s="9">
        <v>-5.9127529749999998E-2</v>
      </c>
      <c r="P2056" s="10">
        <v>0.15939752441706301</v>
      </c>
      <c r="Q2056" s="10">
        <v>2.5407570790288301E-2</v>
      </c>
    </row>
    <row r="2057" spans="1:17" x14ac:dyDescent="0.2">
      <c r="A2057" s="10">
        <v>1838</v>
      </c>
      <c r="B2057" s="10" t="s">
        <v>2823</v>
      </c>
      <c r="C2057" s="9" t="s">
        <v>2172</v>
      </c>
      <c r="D2057" s="10">
        <v>-1.6289891190000001</v>
      </c>
      <c r="E2057" s="10">
        <v>-0.722035714</v>
      </c>
      <c r="F2057" s="10">
        <v>-0.83224586700000003</v>
      </c>
      <c r="G2057" s="10">
        <v>-1.421520305</v>
      </c>
      <c r="H2057" s="9">
        <v>-1.15119775125</v>
      </c>
      <c r="I2057" s="10">
        <v>0.44244368110360699</v>
      </c>
      <c r="J2057" s="10">
        <v>0.19575641094851101</v>
      </c>
      <c r="K2057" s="10">
        <v>0.59612548099999996</v>
      </c>
      <c r="L2057" s="10">
        <v>-6.3525518000000003E-2</v>
      </c>
      <c r="M2057" s="10">
        <v>-1.3781119340000001</v>
      </c>
      <c r="N2057" s="10" t="s">
        <v>76</v>
      </c>
      <c r="O2057" s="9">
        <v>-0.21137799299999999</v>
      </c>
      <c r="P2057" s="10">
        <v>1.0050613792533001</v>
      </c>
      <c r="Q2057" s="10">
        <v>1.0101483760665499</v>
      </c>
    </row>
    <row r="2058" spans="1:17" x14ac:dyDescent="0.2">
      <c r="A2058" s="10">
        <v>1838</v>
      </c>
      <c r="B2058" s="10" t="s">
        <v>2819</v>
      </c>
      <c r="C2058" s="9" t="s">
        <v>1904</v>
      </c>
      <c r="D2058" s="10">
        <v>-1.5164889429999999</v>
      </c>
      <c r="E2058" s="10">
        <v>-1.5698906509999999</v>
      </c>
      <c r="F2058" s="10">
        <v>-1.806905494</v>
      </c>
      <c r="G2058" s="10">
        <v>-2.2492662050000001</v>
      </c>
      <c r="H2058" s="9">
        <v>-1.7856378232500001</v>
      </c>
      <c r="I2058" s="10">
        <v>0.33386202352516497</v>
      </c>
      <c r="J2058" s="10">
        <v>0.111463850752318</v>
      </c>
      <c r="K2058" s="10">
        <v>-2.9169173150000001</v>
      </c>
      <c r="L2058" s="10">
        <v>-0.220731239</v>
      </c>
      <c r="M2058" s="10">
        <v>-1.644952567</v>
      </c>
      <c r="N2058" s="10">
        <v>-0.46145431799999997</v>
      </c>
      <c r="O2058" s="9">
        <v>-1.3110138597500001</v>
      </c>
      <c r="P2058" s="10">
        <v>1.23840065889727</v>
      </c>
      <c r="Q2058" s="10">
        <v>1.5336361919572099</v>
      </c>
    </row>
    <row r="2059" spans="1:17" x14ac:dyDescent="0.2">
      <c r="A2059" s="10">
        <v>1838</v>
      </c>
      <c r="B2059" s="10" t="s">
        <v>2821</v>
      </c>
      <c r="C2059" s="9" t="s">
        <v>1905</v>
      </c>
      <c r="D2059" s="10">
        <v>-1.3473044620000001</v>
      </c>
      <c r="E2059" s="10">
        <v>-1.1086634040000001</v>
      </c>
      <c r="F2059" s="10">
        <v>-1.01304375</v>
      </c>
      <c r="G2059" s="10">
        <v>0.53701430100000003</v>
      </c>
      <c r="H2059" s="9">
        <v>-0.73299932874999996</v>
      </c>
      <c r="I2059" s="10">
        <v>0.85826448755511897</v>
      </c>
      <c r="J2059" s="10">
        <v>0.73661793059825198</v>
      </c>
      <c r="K2059" s="10">
        <v>-1.1258149E-2</v>
      </c>
      <c r="L2059" s="10">
        <v>-0.51729895699999995</v>
      </c>
      <c r="M2059" s="10">
        <v>0.92318215999999997</v>
      </c>
      <c r="N2059" s="10">
        <v>-1.9971971690000001</v>
      </c>
      <c r="O2059" s="9">
        <v>-0.4006430285</v>
      </c>
      <c r="P2059" s="10">
        <v>1.2202086492744</v>
      </c>
      <c r="Q2059" s="10">
        <v>1.4889091477640599</v>
      </c>
    </row>
    <row r="2060" spans="1:17" x14ac:dyDescent="0.2">
      <c r="A2060" s="10">
        <v>1838</v>
      </c>
      <c r="B2060" s="10" t="s">
        <v>2834</v>
      </c>
      <c r="C2060" s="9" t="s">
        <v>1906</v>
      </c>
      <c r="D2060" s="10">
        <v>-1.477797362</v>
      </c>
      <c r="E2060" s="10">
        <v>-1.1074590040000001</v>
      </c>
      <c r="F2060" s="10">
        <v>-1.5405447830000001</v>
      </c>
      <c r="G2060" s="10">
        <v>-2.3289228830000002</v>
      </c>
      <c r="H2060" s="9">
        <v>-1.6136810079999999</v>
      </c>
      <c r="I2060" s="10">
        <v>0.51369411447695701</v>
      </c>
      <c r="J2060" s="10">
        <v>0.26388164324826502</v>
      </c>
      <c r="K2060" s="10">
        <v>-1.029367889</v>
      </c>
      <c r="L2060" s="10">
        <v>-0.110266094</v>
      </c>
      <c r="M2060" s="10">
        <v>0.28047917500000002</v>
      </c>
      <c r="N2060" s="10">
        <v>-6.6995077E-2</v>
      </c>
      <c r="O2060" s="9">
        <v>-0.23153747099999999</v>
      </c>
      <c r="P2060" s="10">
        <v>0.55990337498830101</v>
      </c>
      <c r="Q2060" s="10">
        <v>0.31349178932329003</v>
      </c>
    </row>
    <row r="2061" spans="1:17" x14ac:dyDescent="0.2">
      <c r="A2061" s="10">
        <v>1838</v>
      </c>
      <c r="B2061" s="10" t="s">
        <v>2824</v>
      </c>
      <c r="C2061" s="9" t="s">
        <v>1907</v>
      </c>
      <c r="D2061" s="10">
        <v>-0.55347464700000004</v>
      </c>
      <c r="E2061" s="10">
        <v>-1.3691731300000001</v>
      </c>
      <c r="F2061" s="10">
        <v>0.282726217</v>
      </c>
      <c r="G2061" s="10">
        <v>-0.70091711000000001</v>
      </c>
      <c r="H2061" s="9">
        <v>-0.58520966750000003</v>
      </c>
      <c r="I2061" s="10">
        <v>0.67879961056603699</v>
      </c>
      <c r="J2061" s="10">
        <v>0.46076891130460401</v>
      </c>
      <c r="K2061" s="10">
        <v>-6.5370435000000005E-2</v>
      </c>
      <c r="L2061" s="10">
        <v>-7.6941420000000002E-3</v>
      </c>
      <c r="M2061" s="10">
        <v>-1.094165568</v>
      </c>
      <c r="N2061" s="10">
        <v>0.41020632899999998</v>
      </c>
      <c r="O2061" s="9">
        <v>-0.189255954</v>
      </c>
      <c r="P2061" s="10">
        <v>0.63940825551020797</v>
      </c>
      <c r="Q2061" s="10">
        <v>0.40884291721460703</v>
      </c>
    </row>
    <row r="2062" spans="1:17" x14ac:dyDescent="0.2">
      <c r="A2062" s="10">
        <v>1838</v>
      </c>
      <c r="B2062" s="10" t="s">
        <v>2817</v>
      </c>
      <c r="C2062" s="9" t="s">
        <v>1908</v>
      </c>
      <c r="D2062" s="10">
        <v>0.36046983199999999</v>
      </c>
      <c r="E2062" s="10">
        <v>-0.62759522099999998</v>
      </c>
      <c r="F2062" s="10">
        <v>-0.23051358699999999</v>
      </c>
      <c r="G2062" s="10">
        <v>0.47910728899999999</v>
      </c>
      <c r="H2062" s="9">
        <v>-4.6329220000000003E-3</v>
      </c>
      <c r="I2062" s="10">
        <v>0.51846205695721403</v>
      </c>
      <c r="J2062" s="10">
        <v>0.268802904504305</v>
      </c>
      <c r="K2062" s="10">
        <v>-0.39592085700000001</v>
      </c>
      <c r="L2062" s="10">
        <v>0.24699008</v>
      </c>
      <c r="M2062" s="10">
        <v>0.41915588999999998</v>
      </c>
      <c r="N2062" s="10">
        <v>0.94411948899999998</v>
      </c>
      <c r="O2062" s="9">
        <v>0.30358615049999998</v>
      </c>
      <c r="P2062" s="10">
        <v>0.55261574689703297</v>
      </c>
      <c r="Q2062" s="10">
        <v>0.30538416371856603</v>
      </c>
    </row>
    <row r="2063" spans="1:17" x14ac:dyDescent="0.2">
      <c r="A2063" s="10">
        <v>1838</v>
      </c>
      <c r="B2063" s="10" t="s">
        <v>2814</v>
      </c>
      <c r="C2063" s="9" t="s">
        <v>1909</v>
      </c>
      <c r="D2063" s="10">
        <v>-0.407517303</v>
      </c>
      <c r="E2063" s="10">
        <v>-5.0454701999999997E-2</v>
      </c>
      <c r="F2063" s="10">
        <v>-0.51380294000000004</v>
      </c>
      <c r="G2063" s="10">
        <v>-0.46606718400000002</v>
      </c>
      <c r="H2063" s="9">
        <v>-0.35946053225000002</v>
      </c>
      <c r="I2063" s="10">
        <v>0.21053947640195</v>
      </c>
      <c r="J2063" s="10">
        <v>4.43268711236076E-2</v>
      </c>
      <c r="K2063" s="10">
        <v>-0.13777731200000001</v>
      </c>
      <c r="L2063" s="10">
        <v>-0.51691837799999996</v>
      </c>
      <c r="M2063" s="10">
        <v>-6.7116902000000006E-2</v>
      </c>
      <c r="N2063" s="10">
        <v>-0.70128413000000001</v>
      </c>
      <c r="O2063" s="9">
        <v>-0.35577418049999998</v>
      </c>
      <c r="P2063" s="10">
        <v>0.30341953172587299</v>
      </c>
      <c r="Q2063" s="10">
        <v>9.2063412232748096E-2</v>
      </c>
    </row>
    <row r="2064" spans="1:17" x14ac:dyDescent="0.2">
      <c r="A2064" s="10">
        <v>1838</v>
      </c>
      <c r="B2064" s="10" t="s">
        <v>2833</v>
      </c>
      <c r="C2064" s="9" t="s">
        <v>1910</v>
      </c>
      <c r="D2064" s="10">
        <v>-0.37780087699999998</v>
      </c>
      <c r="E2064" s="10">
        <v>-0.838843004</v>
      </c>
      <c r="F2064" s="10">
        <v>-0.62892787999999999</v>
      </c>
      <c r="G2064" s="10">
        <v>0.44951909699999998</v>
      </c>
      <c r="H2064" s="9">
        <v>-0.34901316599999999</v>
      </c>
      <c r="I2064" s="10">
        <v>0.56473239227836303</v>
      </c>
      <c r="J2064" s="10">
        <v>0.318922674888442</v>
      </c>
      <c r="K2064" s="10">
        <v>-0.46207382299999999</v>
      </c>
      <c r="L2064" s="10">
        <v>-0.68797239300000002</v>
      </c>
      <c r="M2064" s="10">
        <v>-0.159833594</v>
      </c>
      <c r="N2064" s="10">
        <v>-0.10524512699999999</v>
      </c>
      <c r="O2064" s="9">
        <v>-0.353781234</v>
      </c>
      <c r="P2064" s="10">
        <v>0.27251721604966</v>
      </c>
      <c r="Q2064" s="10">
        <v>7.4265633043457097E-2</v>
      </c>
    </row>
    <row r="2065" spans="1:17" x14ac:dyDescent="0.2">
      <c r="A2065" s="10">
        <v>1838</v>
      </c>
      <c r="B2065" s="10" t="s">
        <v>2825</v>
      </c>
      <c r="C2065" s="9" t="s">
        <v>1911</v>
      </c>
      <c r="D2065" s="10">
        <v>-0.583646153</v>
      </c>
      <c r="E2065" s="10">
        <v>-0.46438746800000003</v>
      </c>
      <c r="F2065" s="10">
        <v>-1.1520873519999999</v>
      </c>
      <c r="G2065" s="10">
        <v>-0.41892456900000002</v>
      </c>
      <c r="H2065" s="9">
        <v>-0.65476138549999996</v>
      </c>
      <c r="I2065" s="10">
        <v>0.33874854279137401</v>
      </c>
      <c r="J2065" s="10">
        <v>0.114750575243279</v>
      </c>
      <c r="K2065" s="10">
        <v>-0.35492514400000003</v>
      </c>
      <c r="L2065" s="10">
        <v>-0.26023260599999998</v>
      </c>
      <c r="M2065" s="10">
        <v>-0.27276857700000001</v>
      </c>
      <c r="N2065" s="10">
        <v>5.7231315999999997E-2</v>
      </c>
      <c r="O2065" s="9">
        <v>-0.20767375275</v>
      </c>
      <c r="P2065" s="10">
        <v>0.18152817676015301</v>
      </c>
      <c r="Q2065" s="10">
        <v>3.2952478957865398E-2</v>
      </c>
    </row>
    <row r="2066" spans="1:17" x14ac:dyDescent="0.2">
      <c r="A2066" s="10">
        <v>1838</v>
      </c>
      <c r="B2066" s="10" t="s">
        <v>74</v>
      </c>
      <c r="C2066" s="9" t="s">
        <v>1912</v>
      </c>
      <c r="D2066" s="10">
        <v>-2.5885701110000001</v>
      </c>
      <c r="E2066" s="10">
        <v>-1.0189697259999999</v>
      </c>
      <c r="F2066" s="10">
        <v>7.9418664999999999E-2</v>
      </c>
      <c r="G2066" s="10">
        <v>-1.227723393</v>
      </c>
      <c r="H2066" s="9">
        <v>-1.1889611412500001</v>
      </c>
      <c r="I2066" s="10">
        <v>1.095154813185</v>
      </c>
      <c r="J2066" s="10">
        <v>1.1993640648422901</v>
      </c>
      <c r="K2066" s="10">
        <v>0.71731383299999996</v>
      </c>
      <c r="L2066" s="10">
        <v>-0.467143209</v>
      </c>
      <c r="M2066" s="10">
        <v>3.9648746999999998E-2</v>
      </c>
      <c r="N2066" s="10">
        <v>-0.4216181</v>
      </c>
      <c r="O2066" s="9">
        <v>-3.2949682250000001E-2</v>
      </c>
      <c r="P2066" s="10">
        <v>0.55007667098103796</v>
      </c>
      <c r="Q2066" s="10">
        <v>0.30258434395758099</v>
      </c>
    </row>
    <row r="2067" spans="1:17" x14ac:dyDescent="0.2">
      <c r="A2067" s="10">
        <v>1838</v>
      </c>
      <c r="B2067" s="10" t="s">
        <v>2818</v>
      </c>
      <c r="C2067" s="9" t="s">
        <v>2171</v>
      </c>
      <c r="D2067" s="10">
        <v>-2.432211535</v>
      </c>
      <c r="E2067" s="10">
        <v>-1.1621801970000001</v>
      </c>
      <c r="F2067" s="10">
        <v>-1.8039457320000001</v>
      </c>
      <c r="G2067" s="10">
        <v>0.300576962</v>
      </c>
      <c r="H2067" s="9">
        <v>-1.2744401255</v>
      </c>
      <c r="I2067" s="10">
        <v>1.1710525097014699</v>
      </c>
      <c r="J2067" s="10">
        <v>1.3713639804781099</v>
      </c>
      <c r="K2067" s="10">
        <v>-0.72149988099999995</v>
      </c>
      <c r="L2067" s="10">
        <v>-5.3171629999999998E-2</v>
      </c>
      <c r="M2067" s="10">
        <v>-0.29993941000000002</v>
      </c>
      <c r="N2067" s="10">
        <v>1.150961744</v>
      </c>
      <c r="O2067" s="9">
        <v>1.9087705999999999E-2</v>
      </c>
      <c r="P2067" s="10">
        <v>0.80345265869648297</v>
      </c>
      <c r="Q2067" s="10">
        <v>0.64553617476644798</v>
      </c>
    </row>
    <row r="2068" spans="1:17" x14ac:dyDescent="0.2">
      <c r="A2068" s="10">
        <v>1838</v>
      </c>
      <c r="B2068" s="10" t="s">
        <v>2835</v>
      </c>
      <c r="C2068" s="9" t="s">
        <v>2170</v>
      </c>
      <c r="D2068" s="10">
        <v>-6.2233900169999998</v>
      </c>
      <c r="E2068" s="10">
        <v>-0.49637110499999998</v>
      </c>
      <c r="F2068" s="10">
        <v>0.221836373</v>
      </c>
      <c r="G2068" s="10">
        <v>-1.7342742659999999</v>
      </c>
      <c r="H2068" s="9">
        <v>-2.0580497537500002</v>
      </c>
      <c r="I2068" s="10">
        <v>2.8920356745164799</v>
      </c>
      <c r="J2068" s="10">
        <v>8.3638703426760195</v>
      </c>
      <c r="K2068" s="10">
        <v>-0.94319961900000004</v>
      </c>
      <c r="L2068" s="10">
        <v>-0.27817747700000001</v>
      </c>
      <c r="M2068" s="10">
        <v>0.126994044</v>
      </c>
      <c r="N2068" s="10">
        <v>-0.86878114299999998</v>
      </c>
      <c r="O2068" s="9">
        <v>-0.49079104875000001</v>
      </c>
      <c r="P2068" s="10">
        <v>0.50807249400821697</v>
      </c>
      <c r="Q2068" s="10">
        <v>0.25813765916773002</v>
      </c>
    </row>
    <row r="2069" spans="1:17" x14ac:dyDescent="0.2">
      <c r="A2069" s="10">
        <v>1839</v>
      </c>
      <c r="B2069" s="10" t="s">
        <v>2821</v>
      </c>
      <c r="C2069" s="9" t="s">
        <v>1914</v>
      </c>
      <c r="D2069" s="10">
        <v>-1.516878194</v>
      </c>
      <c r="E2069" s="10">
        <v>-1.178276543</v>
      </c>
      <c r="F2069" s="10">
        <v>-2.0498076099999998</v>
      </c>
      <c r="G2069" s="10">
        <v>-1.6992426000000001E-2</v>
      </c>
      <c r="H2069" s="9">
        <v>-1.1904886932500001</v>
      </c>
      <c r="I2069" s="10">
        <v>0.86065899804503199</v>
      </c>
      <c r="J2069" s="10">
        <v>0.74073391091587903</v>
      </c>
      <c r="K2069" s="10">
        <v>-0.151459432</v>
      </c>
      <c r="L2069" s="10">
        <v>-0.15811306899999999</v>
      </c>
      <c r="M2069" s="10">
        <v>0.124059583</v>
      </c>
      <c r="N2069" s="10">
        <v>-0.54252551400000004</v>
      </c>
      <c r="O2069" s="9">
        <v>-0.18200960825000001</v>
      </c>
      <c r="P2069" s="10">
        <v>0.27395524329605597</v>
      </c>
      <c r="Q2069" s="10">
        <v>7.5051475329401596E-2</v>
      </c>
    </row>
    <row r="2070" spans="1:17" x14ac:dyDescent="0.2">
      <c r="A2070" s="10">
        <v>1839</v>
      </c>
      <c r="B2070" s="10" t="s">
        <v>2833</v>
      </c>
      <c r="C2070" s="9" t="s">
        <v>1918</v>
      </c>
      <c r="D2070" s="10">
        <v>-0.36272291299999998</v>
      </c>
      <c r="E2070" s="10">
        <v>0.27906881</v>
      </c>
      <c r="F2070" s="10">
        <v>-0.16612564299999999</v>
      </c>
      <c r="G2070" s="10">
        <v>-1.0498861289999999</v>
      </c>
      <c r="H2070" s="9">
        <v>-0.32491646899999999</v>
      </c>
      <c r="I2070" s="10">
        <v>0.55287825025012205</v>
      </c>
      <c r="J2070" s="10">
        <v>0.30567435959963601</v>
      </c>
      <c r="K2070" s="10">
        <v>3.8324815170000002</v>
      </c>
      <c r="L2070" s="10">
        <v>-1.816608751</v>
      </c>
      <c r="M2070" s="10">
        <v>-0.92181273100000005</v>
      </c>
      <c r="N2070" s="10">
        <v>0.57075179099999995</v>
      </c>
      <c r="O2070" s="9">
        <v>0.4162029565</v>
      </c>
      <c r="P2070" s="10">
        <v>2.4813019866139099</v>
      </c>
      <c r="Q2070" s="10">
        <v>6.1568595487741398</v>
      </c>
    </row>
    <row r="2071" spans="1:17" x14ac:dyDescent="0.2">
      <c r="A2071" s="10">
        <v>1839</v>
      </c>
      <c r="B2071" s="10" t="s">
        <v>2825</v>
      </c>
      <c r="C2071" s="9" t="s">
        <v>1919</v>
      </c>
      <c r="D2071" s="10">
        <v>-2.0385022290000001</v>
      </c>
      <c r="E2071" s="10">
        <v>-0.73773866200000005</v>
      </c>
      <c r="F2071" s="10">
        <v>-1.6176822360000001</v>
      </c>
      <c r="G2071" s="10">
        <v>-0.10641728</v>
      </c>
      <c r="H2071" s="9">
        <v>-1.1250851017500001</v>
      </c>
      <c r="I2071" s="10">
        <v>0.86885061632803995</v>
      </c>
      <c r="J2071" s="10">
        <v>0.75490139349361496</v>
      </c>
      <c r="K2071" s="10">
        <v>-0.50661004200000004</v>
      </c>
      <c r="L2071" s="10">
        <v>0.44531573000000002</v>
      </c>
      <c r="M2071" s="10">
        <v>-0.17578679699999999</v>
      </c>
      <c r="N2071" s="10">
        <v>0.92475013299999997</v>
      </c>
      <c r="O2071" s="9">
        <v>0.17191725625000001</v>
      </c>
      <c r="P2071" s="10">
        <v>0.63843597143890896</v>
      </c>
      <c r="Q2071" s="10">
        <v>0.40760048962714401</v>
      </c>
    </row>
    <row r="2072" spans="1:17" x14ac:dyDescent="0.2">
      <c r="A2072" s="10">
        <v>1839</v>
      </c>
      <c r="B2072" s="10" t="s">
        <v>74</v>
      </c>
      <c r="C2072" s="9" t="s">
        <v>1920</v>
      </c>
      <c r="D2072" s="10">
        <v>-0.345305692</v>
      </c>
      <c r="E2072" s="10">
        <v>-0.92255045400000002</v>
      </c>
      <c r="F2072" s="10">
        <v>-2.5965879940000001</v>
      </c>
      <c r="G2072" s="10">
        <v>-0.496735755</v>
      </c>
      <c r="H2072" s="9">
        <v>-1.0902949737500001</v>
      </c>
      <c r="I2072" s="10">
        <v>1.03350188886225</v>
      </c>
      <c r="J2072" s="10">
        <v>1.0681261542818301</v>
      </c>
      <c r="K2072" s="10">
        <v>-0.34379535900000002</v>
      </c>
      <c r="L2072" s="10">
        <v>0.29717727900000002</v>
      </c>
      <c r="M2072" s="10">
        <v>-7.8888765E-2</v>
      </c>
      <c r="N2072" s="10">
        <v>0.22634913800000001</v>
      </c>
      <c r="O2072" s="9">
        <v>2.52105735E-2</v>
      </c>
      <c r="P2072" s="10">
        <v>0.29519748278396901</v>
      </c>
      <c r="Q2072" s="10">
        <v>8.7141553841992098E-2</v>
      </c>
    </row>
    <row r="2073" spans="1:17" x14ac:dyDescent="0.2">
      <c r="A2073" s="10">
        <v>1839</v>
      </c>
      <c r="B2073" s="10" t="s">
        <v>2818</v>
      </c>
      <c r="C2073" s="9" t="s">
        <v>1921</v>
      </c>
      <c r="D2073" s="10">
        <v>-0.32512971600000001</v>
      </c>
      <c r="E2073" s="10">
        <v>1.7998991479999999</v>
      </c>
      <c r="F2073" s="10">
        <v>-2.0702395020000002</v>
      </c>
      <c r="G2073" s="10">
        <v>-0.412657934</v>
      </c>
      <c r="H2073" s="9">
        <v>-0.25203200074999998</v>
      </c>
      <c r="I2073" s="10">
        <v>1.58613197467082</v>
      </c>
      <c r="J2073" s="10">
        <v>2.5158146410731499</v>
      </c>
      <c r="K2073" s="10">
        <v>0.48842756700000001</v>
      </c>
      <c r="L2073" s="10">
        <v>0.77891010299999996</v>
      </c>
      <c r="M2073" s="10">
        <v>-0.24936929299999999</v>
      </c>
      <c r="N2073" s="10">
        <v>0.27305517499999998</v>
      </c>
      <c r="O2073" s="9">
        <v>0.32275588825000001</v>
      </c>
      <c r="P2073" s="10">
        <v>0.43409720750539099</v>
      </c>
      <c r="Q2073" s="10">
        <v>0.18844038556397799</v>
      </c>
    </row>
    <row r="2074" spans="1:17" x14ac:dyDescent="0.2">
      <c r="A2074" s="10">
        <v>1840</v>
      </c>
      <c r="B2074" s="10" t="s">
        <v>2831</v>
      </c>
      <c r="C2074" s="9" t="s">
        <v>1923</v>
      </c>
      <c r="D2074" s="10">
        <v>-0.121871406</v>
      </c>
      <c r="E2074" s="10">
        <v>-0.61532771399999997</v>
      </c>
      <c r="F2074" s="10">
        <v>-1.299956621</v>
      </c>
      <c r="G2074" s="10">
        <v>-0.24529969700000001</v>
      </c>
      <c r="H2074" s="9">
        <v>-0.57061385949999999</v>
      </c>
      <c r="I2074" s="10">
        <v>0.52950898211864394</v>
      </c>
      <c r="J2074" s="10">
        <v>0.28037976214432297</v>
      </c>
      <c r="K2074" s="10">
        <v>-1.4658311939999999</v>
      </c>
      <c r="L2074" s="10">
        <v>-0.39851220199999998</v>
      </c>
      <c r="M2074" s="10">
        <v>-0.51377518</v>
      </c>
      <c r="N2074" s="10">
        <v>-0.38765160399999998</v>
      </c>
      <c r="O2074" s="9">
        <v>-0.69144254500000002</v>
      </c>
      <c r="P2074" s="10">
        <v>0.51940369462485503</v>
      </c>
      <c r="Q2074" s="10">
        <v>0.26978019798995001</v>
      </c>
    </row>
    <row r="2075" spans="1:17" x14ac:dyDescent="0.2">
      <c r="A2075" s="10">
        <v>1840</v>
      </c>
      <c r="B2075" s="10" t="s">
        <v>2820</v>
      </c>
      <c r="C2075" s="9" t="s">
        <v>1926</v>
      </c>
      <c r="D2075" s="10">
        <v>2.2694964000000001E-2</v>
      </c>
      <c r="E2075" s="10">
        <v>0.30583797000000001</v>
      </c>
      <c r="F2075" s="10">
        <v>-0.111896203</v>
      </c>
      <c r="G2075" s="10">
        <v>1.7225165000000001E-2</v>
      </c>
      <c r="H2075" s="9">
        <v>5.8465474000000003E-2</v>
      </c>
      <c r="I2075" s="10">
        <v>0.17625412074577401</v>
      </c>
      <c r="J2075" s="10">
        <v>3.10655150798659E-2</v>
      </c>
      <c r="K2075" s="10">
        <v>-0.650818271</v>
      </c>
      <c r="L2075" s="10">
        <v>-0.88750194400000004</v>
      </c>
      <c r="M2075" s="10">
        <v>2.9967000000000001E-2</v>
      </c>
      <c r="N2075" s="10">
        <v>1.8047506000000001E-2</v>
      </c>
      <c r="O2075" s="9">
        <v>-0.37257642725000001</v>
      </c>
      <c r="P2075" s="10">
        <v>0.46804382966538799</v>
      </c>
      <c r="Q2075" s="10">
        <v>0.21906502648784301</v>
      </c>
    </row>
    <row r="2076" spans="1:17" x14ac:dyDescent="0.2">
      <c r="A2076" s="10">
        <v>1840</v>
      </c>
      <c r="B2076" s="10" t="s">
        <v>2825</v>
      </c>
      <c r="C2076" s="9" t="s">
        <v>1927</v>
      </c>
      <c r="D2076" s="10">
        <v>-0.89801271800000004</v>
      </c>
      <c r="E2076" s="10">
        <v>0.60838016500000003</v>
      </c>
      <c r="F2076" s="10">
        <v>0.670866399</v>
      </c>
      <c r="G2076" s="10">
        <v>-1.0490448990000001</v>
      </c>
      <c r="H2076" s="9">
        <v>-0.16695276325</v>
      </c>
      <c r="I2076" s="10">
        <v>0.933741093960754</v>
      </c>
      <c r="J2076" s="10">
        <v>0.87187243055102603</v>
      </c>
      <c r="K2076" s="10">
        <v>-0.34582235300000003</v>
      </c>
      <c r="L2076" s="10">
        <v>0.93306827199999998</v>
      </c>
      <c r="M2076" s="10">
        <v>-0.47694033200000002</v>
      </c>
      <c r="N2076" s="10">
        <v>0.42518322400000003</v>
      </c>
      <c r="O2076" s="9">
        <v>0.13387220275</v>
      </c>
      <c r="P2076" s="10">
        <v>0.66502513426944398</v>
      </c>
      <c r="Q2076" s="10">
        <v>0.44225842921009201</v>
      </c>
    </row>
    <row r="2077" spans="1:17" x14ac:dyDescent="0.2">
      <c r="A2077" s="10">
        <v>1840</v>
      </c>
      <c r="B2077" s="10" t="s">
        <v>2818</v>
      </c>
      <c r="C2077" s="9" t="s">
        <v>1928</v>
      </c>
      <c r="D2077" s="10">
        <v>0.143050439</v>
      </c>
      <c r="E2077" s="10">
        <v>0.29877642399999998</v>
      </c>
      <c r="F2077" s="10">
        <v>3.6104904E-2</v>
      </c>
      <c r="G2077" s="10">
        <v>-0.539072259</v>
      </c>
      <c r="H2077" s="9">
        <v>-1.5285122999999999E-2</v>
      </c>
      <c r="I2077" s="10">
        <v>0.36546714590691198</v>
      </c>
      <c r="J2077" s="10">
        <v>0.133566234737344</v>
      </c>
      <c r="K2077" s="10">
        <v>-0.96802779900000002</v>
      </c>
      <c r="L2077" s="10">
        <v>0.25602060599999998</v>
      </c>
      <c r="M2077" s="10">
        <v>-4.9598327999999997E-2</v>
      </c>
      <c r="N2077" s="10">
        <v>-0.31271953899999999</v>
      </c>
      <c r="O2077" s="9">
        <v>-0.26858126500000001</v>
      </c>
      <c r="P2077" s="10">
        <v>0.521003611922911</v>
      </c>
      <c r="Q2077" s="10">
        <v>0.27144476363671899</v>
      </c>
    </row>
    <row r="2078" spans="1:17" x14ac:dyDescent="0.2">
      <c r="A2078" s="10">
        <v>1840</v>
      </c>
      <c r="B2078" s="10" t="s">
        <v>2830</v>
      </c>
      <c r="C2078" s="9" t="s">
        <v>1929</v>
      </c>
      <c r="D2078" s="10">
        <v>-0.72488524700000001</v>
      </c>
      <c r="E2078" s="10">
        <v>-0.85625066599999999</v>
      </c>
      <c r="F2078" s="10">
        <v>-0.79957190099999997</v>
      </c>
      <c r="G2078" s="10">
        <v>-0.87881304800000004</v>
      </c>
      <c r="H2078" s="9">
        <v>-0.8148802155</v>
      </c>
      <c r="I2078" s="10">
        <v>6.8635170999016906E-2</v>
      </c>
      <c r="J2078" s="10">
        <v>4.7107866980642997E-3</v>
      </c>
      <c r="K2078" s="10">
        <v>-0.95872746600000003</v>
      </c>
      <c r="L2078" s="10">
        <v>-0.41832460199999999</v>
      </c>
      <c r="M2078" s="10">
        <v>-0.94541059900000002</v>
      </c>
      <c r="N2078" s="10">
        <v>-0.159371806</v>
      </c>
      <c r="O2078" s="9">
        <v>-0.62045861825000004</v>
      </c>
      <c r="P2078" s="10">
        <v>0.39727354644194601</v>
      </c>
      <c r="Q2078" s="10">
        <v>0.157826270702561</v>
      </c>
    </row>
    <row r="2079" spans="1:17" x14ac:dyDescent="0.2">
      <c r="A2079" s="10">
        <v>1841</v>
      </c>
      <c r="B2079" s="10" t="s">
        <v>96</v>
      </c>
      <c r="C2079" s="9" t="s">
        <v>1930</v>
      </c>
      <c r="D2079" s="10">
        <v>-8.8203759000000007E-2</v>
      </c>
      <c r="E2079" s="10">
        <v>-0.13523343800000001</v>
      </c>
      <c r="F2079" s="10">
        <v>-0.100676376</v>
      </c>
      <c r="G2079" s="10">
        <v>0.50475683199999999</v>
      </c>
      <c r="H2079" s="9">
        <v>4.51608145E-2</v>
      </c>
      <c r="I2079" s="10">
        <v>0.30704244073344999</v>
      </c>
      <c r="J2079" s="10">
        <v>9.4275060411554701E-2</v>
      </c>
      <c r="K2079" s="10">
        <v>-0.14772107200000001</v>
      </c>
      <c r="L2079" s="10">
        <v>0.96202507599999998</v>
      </c>
      <c r="M2079" s="10">
        <v>-0.38947325599999999</v>
      </c>
      <c r="N2079" s="10">
        <v>0.47801091200000001</v>
      </c>
      <c r="O2079" s="9">
        <v>0.225710415</v>
      </c>
      <c r="P2079" s="10">
        <v>0.612023105592716</v>
      </c>
      <c r="Q2079" s="10">
        <v>0.37457228177935298</v>
      </c>
    </row>
    <row r="2080" spans="1:17" x14ac:dyDescent="0.2">
      <c r="A2080" s="10">
        <v>1841</v>
      </c>
      <c r="B2080" s="10" t="s">
        <v>2824</v>
      </c>
      <c r="C2080" s="9" t="s">
        <v>1933</v>
      </c>
      <c r="D2080" s="10">
        <v>-1.025747011</v>
      </c>
      <c r="E2080" s="10">
        <v>-0.60468915400000001</v>
      </c>
      <c r="F2080" s="10">
        <v>-1.3614343229999999</v>
      </c>
      <c r="G2080" s="10">
        <v>-0.54268723500000005</v>
      </c>
      <c r="H2080" s="9">
        <v>-0.88363943074999995</v>
      </c>
      <c r="I2080" s="10">
        <v>0.384076459449741</v>
      </c>
      <c r="J2080" s="10">
        <v>0.14751472670344901</v>
      </c>
      <c r="K2080" s="10">
        <v>0.294817948</v>
      </c>
      <c r="L2080" s="10">
        <v>0.94814468399999996</v>
      </c>
      <c r="M2080" s="10">
        <v>-0.46491829499999998</v>
      </c>
      <c r="N2080" s="10">
        <v>0.47288208999999998</v>
      </c>
      <c r="O2080" s="9">
        <v>0.31273160675</v>
      </c>
      <c r="P2080" s="10">
        <v>0.58721325623295095</v>
      </c>
      <c r="Q2080" s="10">
        <v>0.34481940829570601</v>
      </c>
    </row>
    <row r="2081" spans="1:17" x14ac:dyDescent="0.2">
      <c r="A2081" s="10">
        <v>1841</v>
      </c>
      <c r="B2081" s="10" t="s">
        <v>2814</v>
      </c>
      <c r="C2081" s="9" t="s">
        <v>1935</v>
      </c>
      <c r="D2081" s="10">
        <v>-1.5188898319999999</v>
      </c>
      <c r="E2081" s="10">
        <v>-0.52931650799999996</v>
      </c>
      <c r="F2081" s="10">
        <v>-1.038858697</v>
      </c>
      <c r="G2081" s="10">
        <v>-0.17704101799999999</v>
      </c>
      <c r="H2081" s="9">
        <v>-0.81602651375000002</v>
      </c>
      <c r="I2081" s="10">
        <v>0.58713318114643498</v>
      </c>
      <c r="J2081" s="10">
        <v>0.344725372403133</v>
      </c>
      <c r="K2081" s="10">
        <v>0.49280165199999998</v>
      </c>
      <c r="L2081" s="10">
        <v>-0.235233941</v>
      </c>
      <c r="M2081" s="10">
        <v>-3.8725330000000001E-3</v>
      </c>
      <c r="N2081" s="10">
        <v>-0.55120892700000002</v>
      </c>
      <c r="O2081" s="9">
        <v>-7.4378437249999999E-2</v>
      </c>
      <c r="P2081" s="10">
        <v>0.43966128827300599</v>
      </c>
      <c r="Q2081" s="10">
        <v>0.193302048405879</v>
      </c>
    </row>
    <row r="2082" spans="1:17" x14ac:dyDescent="0.2">
      <c r="A2082" s="10">
        <v>1841</v>
      </c>
      <c r="B2082" s="10" t="s">
        <v>2825</v>
      </c>
      <c r="C2082" s="9" t="s">
        <v>1936</v>
      </c>
      <c r="D2082" s="10">
        <v>-1.941132485</v>
      </c>
      <c r="E2082" s="10">
        <v>0.35201265199999998</v>
      </c>
      <c r="F2082" s="10">
        <v>-0.98145558899999996</v>
      </c>
      <c r="G2082" s="10">
        <v>-0.98737781899999999</v>
      </c>
      <c r="H2082" s="9">
        <v>-0.88948831024999997</v>
      </c>
      <c r="I2082" s="10">
        <v>0.94257103107003404</v>
      </c>
      <c r="J2082" s="10">
        <v>0.88844014861242604</v>
      </c>
      <c r="K2082" s="10">
        <v>0.28876667</v>
      </c>
      <c r="L2082" s="10">
        <v>-0.16401201300000001</v>
      </c>
      <c r="M2082" s="10">
        <v>-7.9655326999999998E-2</v>
      </c>
      <c r="N2082" s="10">
        <v>-0.304619643</v>
      </c>
      <c r="O2082" s="9">
        <v>-6.4880078250000001E-2</v>
      </c>
      <c r="P2082" s="10">
        <v>0.25336832866877201</v>
      </c>
      <c r="Q2082" s="10">
        <v>6.4195509972406903E-2</v>
      </c>
    </row>
    <row r="2083" spans="1:17" x14ac:dyDescent="0.2">
      <c r="A2083" s="10">
        <v>1841</v>
      </c>
      <c r="B2083" s="10" t="s">
        <v>2818</v>
      </c>
      <c r="C2083" s="9" t="s">
        <v>1937</v>
      </c>
      <c r="D2083" s="10">
        <v>-0.36978872600000001</v>
      </c>
      <c r="E2083" s="10">
        <v>-0.35268127799999999</v>
      </c>
      <c r="F2083" s="10">
        <v>-0.61743110800000001</v>
      </c>
      <c r="G2083" s="10">
        <v>6.3727369999999998E-3</v>
      </c>
      <c r="H2083" s="9">
        <v>-0.33338209375</v>
      </c>
      <c r="I2083" s="10">
        <v>0.25678466263834099</v>
      </c>
      <c r="J2083" s="10">
        <v>6.5938362966286607E-2</v>
      </c>
      <c r="K2083" s="10">
        <v>-1.3614719630000001</v>
      </c>
      <c r="L2083" s="10">
        <v>0.419674836</v>
      </c>
      <c r="M2083" s="10">
        <v>-0.2126113</v>
      </c>
      <c r="N2083" s="10">
        <v>-1.156122463</v>
      </c>
      <c r="O2083" s="9">
        <v>-0.57763272224999995</v>
      </c>
      <c r="P2083" s="10">
        <v>0.83204914517042905</v>
      </c>
      <c r="Q2083" s="10">
        <v>0.69230577997884302</v>
      </c>
    </row>
    <row r="2084" spans="1:17" x14ac:dyDescent="0.2">
      <c r="A2084" s="10">
        <v>1842</v>
      </c>
      <c r="B2084" s="10" t="s">
        <v>2819</v>
      </c>
      <c r="C2084" s="9" t="s">
        <v>1938</v>
      </c>
      <c r="D2084" s="10">
        <v>-0.25425073300000001</v>
      </c>
      <c r="E2084" s="10">
        <v>-0.95515174599999997</v>
      </c>
      <c r="F2084" s="10">
        <v>-1.0165897740000001</v>
      </c>
      <c r="G2084" s="10">
        <v>-0.61903782900000004</v>
      </c>
      <c r="H2084" s="9">
        <v>-0.71125752075000004</v>
      </c>
      <c r="I2084" s="10">
        <v>0.351222556973522</v>
      </c>
      <c r="J2084" s="10">
        <v>0.123357284527019</v>
      </c>
      <c r="K2084" s="10">
        <v>4.5530651999999998E-2</v>
      </c>
      <c r="L2084" s="10">
        <v>0.41322942299999998</v>
      </c>
      <c r="M2084" s="10">
        <v>-1.00521076</v>
      </c>
      <c r="N2084" s="10">
        <v>0.95803286499999996</v>
      </c>
      <c r="O2084" s="9">
        <v>0.10289554525</v>
      </c>
      <c r="P2084" s="10">
        <v>0.82840353814248302</v>
      </c>
      <c r="Q2084" s="10">
        <v>0.686252422006985</v>
      </c>
    </row>
    <row r="2085" spans="1:17" x14ac:dyDescent="0.2">
      <c r="A2085" s="10">
        <v>1842</v>
      </c>
      <c r="B2085" s="10" t="s">
        <v>2826</v>
      </c>
      <c r="C2085" s="9" t="s">
        <v>1939</v>
      </c>
      <c r="D2085" s="10">
        <v>-2.0286487370000001</v>
      </c>
      <c r="E2085" s="10">
        <v>-0.93406579199999995</v>
      </c>
      <c r="F2085" s="10">
        <v>-1.8805507880000001</v>
      </c>
      <c r="G2085" s="10">
        <v>-1.394733314</v>
      </c>
      <c r="H2085" s="9">
        <v>-1.55949965775</v>
      </c>
      <c r="I2085" s="10">
        <v>0.49715529272574299</v>
      </c>
      <c r="J2085" s="10">
        <v>0.24716338508521901</v>
      </c>
      <c r="K2085" s="10">
        <v>-0.118968317</v>
      </c>
      <c r="L2085" s="10">
        <v>-0.14084211099999999</v>
      </c>
      <c r="M2085" s="10">
        <v>-0.88370138899999995</v>
      </c>
      <c r="N2085" s="10">
        <v>-0.54277688000000002</v>
      </c>
      <c r="O2085" s="9">
        <v>-0.42157217424999999</v>
      </c>
      <c r="P2085" s="10">
        <v>0.36452364105149698</v>
      </c>
      <c r="Q2085" s="10">
        <v>0.13287748488544099</v>
      </c>
    </row>
    <row r="2086" spans="1:17" x14ac:dyDescent="0.2">
      <c r="A2086" s="10">
        <v>1842</v>
      </c>
      <c r="B2086" s="10" t="s">
        <v>2821</v>
      </c>
      <c r="C2086" s="9" t="s">
        <v>1940</v>
      </c>
      <c r="D2086" s="10">
        <v>-1.0954566859999999</v>
      </c>
      <c r="E2086" s="10">
        <v>-1.459672802</v>
      </c>
      <c r="F2086" s="10">
        <v>-1.22270254</v>
      </c>
      <c r="G2086" s="10">
        <v>-1.0552478059999999</v>
      </c>
      <c r="H2086" s="9">
        <v>-1.2082699587500001</v>
      </c>
      <c r="I2086" s="10">
        <v>0.182166867401413</v>
      </c>
      <c r="J2086" s="10">
        <v>3.3184767578843997E-2</v>
      </c>
      <c r="K2086" s="10">
        <v>-1.0023308319999999</v>
      </c>
      <c r="L2086" s="10">
        <v>0.24970900100000001</v>
      </c>
      <c r="M2086" s="10">
        <v>-0.79495887200000004</v>
      </c>
      <c r="N2086" s="10">
        <v>0.201897136</v>
      </c>
      <c r="O2086" s="9">
        <v>-0.33642089149999999</v>
      </c>
      <c r="P2086" s="10">
        <v>0.65498795867590398</v>
      </c>
      <c r="Q2086" s="10">
        <v>0.42900922601042801</v>
      </c>
    </row>
    <row r="2087" spans="1:17" x14ac:dyDescent="0.2">
      <c r="A2087" s="10">
        <v>1842</v>
      </c>
      <c r="B2087" s="10" t="s">
        <v>2824</v>
      </c>
      <c r="C2087" s="9" t="s">
        <v>1941</v>
      </c>
      <c r="D2087" s="10">
        <v>-8.3996195999999995E-2</v>
      </c>
      <c r="E2087" s="10">
        <v>-0.45628824200000001</v>
      </c>
      <c r="F2087" s="10">
        <v>-0.19819504499999999</v>
      </c>
      <c r="G2087" s="10">
        <v>-0.52053527099999997</v>
      </c>
      <c r="H2087" s="9">
        <v>-0.31475368850000002</v>
      </c>
      <c r="I2087" s="10">
        <v>0.207535561009108</v>
      </c>
      <c r="J2087" s="10">
        <v>4.3071009083365398E-2</v>
      </c>
      <c r="K2087" s="10">
        <v>5.6449747000000002E-2</v>
      </c>
      <c r="L2087" s="10">
        <v>0.177659654</v>
      </c>
      <c r="M2087" s="10">
        <v>-2.443652E-2</v>
      </c>
      <c r="N2087" s="10">
        <v>-0.248323671</v>
      </c>
      <c r="O2087" s="9">
        <v>-9.6626974999999993E-3</v>
      </c>
      <c r="P2087" s="10">
        <v>0.17947873113778101</v>
      </c>
      <c r="Q2087" s="10">
        <v>3.2212614930828103E-2</v>
      </c>
    </row>
    <row r="2088" spans="1:17" x14ac:dyDescent="0.2">
      <c r="A2088" s="10">
        <v>1842</v>
      </c>
      <c r="B2088" s="10" t="s">
        <v>2835</v>
      </c>
      <c r="C2088" s="9" t="s">
        <v>1942</v>
      </c>
      <c r="D2088" s="10">
        <v>-0.98498614699999998</v>
      </c>
      <c r="E2088" s="10">
        <v>0.118001257</v>
      </c>
      <c r="F2088" s="10">
        <v>-2.0248237599999999</v>
      </c>
      <c r="G2088" s="10">
        <v>-0.69281520299999999</v>
      </c>
      <c r="H2088" s="9">
        <v>-0.89615596325000002</v>
      </c>
      <c r="I2088" s="10">
        <v>0.88537075644986396</v>
      </c>
      <c r="J2088" s="10">
        <v>0.78388137637660404</v>
      </c>
      <c r="K2088" s="10">
        <v>-0.36376473599999998</v>
      </c>
      <c r="L2088" s="10">
        <v>-7.8525788999999999E-2</v>
      </c>
      <c r="M2088" s="10">
        <v>0.171585456</v>
      </c>
      <c r="N2088" s="10">
        <v>-0.60598754899999996</v>
      </c>
      <c r="O2088" s="9">
        <v>-0.21917315449999999</v>
      </c>
      <c r="P2088" s="10">
        <v>0.338135118128366</v>
      </c>
      <c r="Q2088" s="10">
        <v>0.11433535811168399</v>
      </c>
    </row>
    <row r="2089" spans="1:17" x14ac:dyDescent="0.2">
      <c r="A2089" s="10">
        <v>1843</v>
      </c>
      <c r="B2089" s="10" t="s">
        <v>2819</v>
      </c>
      <c r="C2089" s="9" t="s">
        <v>1943</v>
      </c>
      <c r="D2089" s="10">
        <v>-1.188204359</v>
      </c>
      <c r="E2089" s="10">
        <v>-0.219442207</v>
      </c>
      <c r="F2089" s="10">
        <v>-1.3265077839999999</v>
      </c>
      <c r="G2089" s="10">
        <v>4.5999452000000003E-2</v>
      </c>
      <c r="H2089" s="9">
        <v>-0.67203872450000002</v>
      </c>
      <c r="I2089" s="10">
        <v>0.68682339861281505</v>
      </c>
      <c r="J2089" s="10">
        <v>0.47172638088205798</v>
      </c>
      <c r="K2089" s="10">
        <v>-0.72369819000000002</v>
      </c>
      <c r="L2089" s="10">
        <v>0.35217671499999997</v>
      </c>
      <c r="M2089" s="10">
        <v>8.2855807000000004E-2</v>
      </c>
      <c r="N2089" s="10">
        <v>-0.66220117899999997</v>
      </c>
      <c r="O2089" s="9">
        <v>-0.237716712</v>
      </c>
      <c r="P2089" s="10">
        <v>0.53762008111030302</v>
      </c>
      <c r="Q2089" s="10">
        <v>0.289035351613049</v>
      </c>
    </row>
    <row r="2090" spans="1:17" x14ac:dyDescent="0.2">
      <c r="A2090" s="10">
        <v>1843</v>
      </c>
      <c r="B2090" s="10" t="s">
        <v>2821</v>
      </c>
      <c r="C2090" s="9" t="s">
        <v>1944</v>
      </c>
      <c r="D2090" s="10">
        <v>0.51917893800000003</v>
      </c>
      <c r="E2090" s="10">
        <v>-0.70419406799999995</v>
      </c>
      <c r="F2090" s="10">
        <v>-0.189608268</v>
      </c>
      <c r="G2090" s="10">
        <v>0.31943566499999998</v>
      </c>
      <c r="H2090" s="9">
        <v>-1.3796933250000001E-2</v>
      </c>
      <c r="I2090" s="10">
        <v>0.54853291392243997</v>
      </c>
      <c r="J2090" s="10">
        <v>0.300888357656242</v>
      </c>
      <c r="K2090" s="10">
        <v>0.43834983199999999</v>
      </c>
      <c r="L2090" s="10">
        <v>0.416245637</v>
      </c>
      <c r="M2090" s="10">
        <v>-0.23578328700000001</v>
      </c>
      <c r="N2090" s="10">
        <v>-0.29935326099999998</v>
      </c>
      <c r="O2090" s="9">
        <v>7.9864730250000002E-2</v>
      </c>
      <c r="P2090" s="10">
        <v>0.40212089321670402</v>
      </c>
      <c r="Q2090" s="10">
        <v>0.16170121276140001</v>
      </c>
    </row>
    <row r="2091" spans="1:17" x14ac:dyDescent="0.2">
      <c r="A2091" s="10">
        <v>1843</v>
      </c>
      <c r="B2091" s="10" t="s">
        <v>2820</v>
      </c>
      <c r="C2091" s="9" t="s">
        <v>1945</v>
      </c>
      <c r="D2091" s="10">
        <v>-0.62588479600000002</v>
      </c>
      <c r="E2091" s="10">
        <v>-0.28650452599999998</v>
      </c>
      <c r="F2091" s="10">
        <v>-1.567891715</v>
      </c>
      <c r="G2091" s="10">
        <v>-0.448589619</v>
      </c>
      <c r="H2091" s="9">
        <v>-0.73221766399999999</v>
      </c>
      <c r="I2091" s="10">
        <v>0.574097223946195</v>
      </c>
      <c r="J2091" s="10">
        <v>0.329587622542728</v>
      </c>
      <c r="K2091" s="10">
        <v>-0.54142313799999997</v>
      </c>
      <c r="L2091" s="10">
        <v>-1.094736312</v>
      </c>
      <c r="M2091" s="10">
        <v>-0.26230573699999998</v>
      </c>
      <c r="N2091" s="10">
        <v>0.38226423500000001</v>
      </c>
      <c r="O2091" s="9">
        <v>-0.3790502375</v>
      </c>
      <c r="P2091" s="10">
        <v>0.61422051427939905</v>
      </c>
      <c r="Q2091" s="10">
        <v>0.37726684016165002</v>
      </c>
    </row>
    <row r="2092" spans="1:17" x14ac:dyDescent="0.2">
      <c r="A2092" s="10">
        <v>1843</v>
      </c>
      <c r="B2092" s="10" t="s">
        <v>2825</v>
      </c>
      <c r="C2092" s="9" t="s">
        <v>1947</v>
      </c>
      <c r="D2092" s="10">
        <v>-0.15698250499999999</v>
      </c>
      <c r="E2092" s="10">
        <v>0.63781511300000004</v>
      </c>
      <c r="F2092" s="10">
        <v>-1.3948638840000001</v>
      </c>
      <c r="G2092" s="10">
        <v>-0.82967411099999999</v>
      </c>
      <c r="H2092" s="9">
        <v>-0.43592634675000003</v>
      </c>
      <c r="I2092" s="10">
        <v>0.87660878606808301</v>
      </c>
      <c r="J2092" s="10">
        <v>0.76844296381175903</v>
      </c>
      <c r="K2092" s="10">
        <v>5.5921060000000002E-2</v>
      </c>
      <c r="L2092" s="10">
        <v>1.13833374</v>
      </c>
      <c r="M2092" s="10">
        <v>-0.64559715299999998</v>
      </c>
      <c r="N2092" s="10">
        <v>-1.2200693E-2</v>
      </c>
      <c r="O2092" s="9">
        <v>0.13411423875</v>
      </c>
      <c r="P2092" s="10">
        <v>0.74025421164434102</v>
      </c>
      <c r="Q2092" s="10">
        <v>0.54797629785718505</v>
      </c>
    </row>
    <row r="2093" spans="1:17" x14ac:dyDescent="0.2">
      <c r="A2093" s="10">
        <v>1843</v>
      </c>
      <c r="B2093" s="10" t="s">
        <v>74</v>
      </c>
      <c r="C2093" s="9" t="s">
        <v>1948</v>
      </c>
      <c r="D2093" s="10">
        <v>9.4999130000000005E-3</v>
      </c>
      <c r="E2093" s="10">
        <v>0.62969804699999998</v>
      </c>
      <c r="F2093" s="10">
        <v>0.88144319599999998</v>
      </c>
      <c r="G2093" s="10">
        <v>-0.20233093099999999</v>
      </c>
      <c r="H2093" s="9">
        <v>0.32957755599999999</v>
      </c>
      <c r="I2093" s="10">
        <v>0.50990336660382796</v>
      </c>
      <c r="J2093" s="10">
        <v>0.260001443273918</v>
      </c>
      <c r="K2093" s="10">
        <v>-0.36822459200000002</v>
      </c>
      <c r="L2093" s="10">
        <v>0.48102004799999998</v>
      </c>
      <c r="M2093" s="10">
        <v>0.21774966500000001</v>
      </c>
      <c r="N2093" s="10">
        <v>-0.12686573900000001</v>
      </c>
      <c r="O2093" s="9">
        <v>5.0919845249999998E-2</v>
      </c>
      <c r="P2093" s="10">
        <v>0.374213907815722</v>
      </c>
      <c r="Q2093" s="10">
        <v>0.140036048802713</v>
      </c>
    </row>
    <row r="2094" spans="1:17" x14ac:dyDescent="0.2">
      <c r="A2094" s="10">
        <v>1843</v>
      </c>
      <c r="B2094" s="10" t="s">
        <v>2818</v>
      </c>
      <c r="C2094" s="9" t="s">
        <v>1949</v>
      </c>
      <c r="D2094" s="10">
        <v>1.8217186999999999E-2</v>
      </c>
      <c r="E2094" s="10">
        <v>-0.121414996</v>
      </c>
      <c r="F2094" s="10">
        <v>-1.138131365</v>
      </c>
      <c r="G2094" s="10">
        <v>0.72530298500000001</v>
      </c>
      <c r="H2094" s="9">
        <v>-0.12900654724999999</v>
      </c>
      <c r="I2094" s="10">
        <v>0.76809507533661503</v>
      </c>
      <c r="J2094" s="10">
        <v>0.58997004475635995</v>
      </c>
      <c r="K2094" s="10">
        <v>0.88830572900000004</v>
      </c>
      <c r="L2094" s="10">
        <v>6.5588110000000005E-2</v>
      </c>
      <c r="M2094" s="10">
        <v>0.360521971</v>
      </c>
      <c r="N2094" s="10">
        <v>0.43981183899999998</v>
      </c>
      <c r="O2094" s="9">
        <v>0.43855691224999999</v>
      </c>
      <c r="P2094" s="10">
        <v>0.34032864142221098</v>
      </c>
      <c r="Q2094" s="10">
        <v>0.115823584172287</v>
      </c>
    </row>
    <row r="2095" spans="1:17" x14ac:dyDescent="0.2">
      <c r="A2095" s="10">
        <v>1844</v>
      </c>
      <c r="B2095" s="10" t="s">
        <v>2831</v>
      </c>
      <c r="C2095" s="9" t="s">
        <v>1951</v>
      </c>
      <c r="D2095" s="10">
        <v>-1.983018306</v>
      </c>
      <c r="E2095" s="10">
        <v>-0.30603877600000001</v>
      </c>
      <c r="F2095" s="10">
        <v>-2.3132534900000001</v>
      </c>
      <c r="G2095" s="10">
        <v>0.16962509200000001</v>
      </c>
      <c r="H2095" s="9">
        <v>-1.10817136975</v>
      </c>
      <c r="I2095" s="10">
        <v>1.2238954985385999</v>
      </c>
      <c r="J2095" s="10">
        <v>1.49792019134305</v>
      </c>
      <c r="K2095" s="10">
        <v>-1.7433516360000001</v>
      </c>
      <c r="L2095" s="10">
        <v>0.31716067999999997</v>
      </c>
      <c r="M2095" s="10">
        <v>-9.2974790000000009E-3</v>
      </c>
      <c r="N2095" s="10">
        <v>-0.34822835200000002</v>
      </c>
      <c r="O2095" s="9">
        <v>-0.44592919650000001</v>
      </c>
      <c r="P2095" s="10">
        <v>0.90660609930258196</v>
      </c>
      <c r="Q2095" s="10">
        <v>0.821934619292643</v>
      </c>
    </row>
    <row r="2096" spans="1:17" x14ac:dyDescent="0.2">
      <c r="A2096" s="10">
        <v>1844</v>
      </c>
      <c r="B2096" s="10" t="s">
        <v>96</v>
      </c>
      <c r="C2096" s="9" t="s">
        <v>1952</v>
      </c>
      <c r="D2096" s="10">
        <v>0.52267939699999999</v>
      </c>
      <c r="E2096" s="10">
        <v>0.14525186900000001</v>
      </c>
      <c r="F2096" s="10">
        <v>0.30789482600000001</v>
      </c>
      <c r="G2096" s="10">
        <v>-0.15452460800000001</v>
      </c>
      <c r="H2096" s="9">
        <v>0.20532537075000001</v>
      </c>
      <c r="I2096" s="10">
        <v>0.28538564782077402</v>
      </c>
      <c r="J2096" s="10">
        <v>8.1444967982083297E-2</v>
      </c>
      <c r="K2096" s="10">
        <v>0.19376675500000001</v>
      </c>
      <c r="L2096" s="10">
        <v>-0.15492156800000001</v>
      </c>
      <c r="M2096" s="10">
        <v>-0.14594605899999999</v>
      </c>
      <c r="N2096" s="10">
        <v>-1.2996514000000001E-2</v>
      </c>
      <c r="O2096" s="9">
        <v>-3.002434625E-2</v>
      </c>
      <c r="P2096" s="10">
        <v>0.16269558850563401</v>
      </c>
      <c r="Q2096" s="10">
        <v>2.6469854519194601E-2</v>
      </c>
    </row>
    <row r="2097" spans="1:17" x14ac:dyDescent="0.2">
      <c r="A2097" s="10">
        <v>1844</v>
      </c>
      <c r="B2097" s="10" t="s">
        <v>2823</v>
      </c>
      <c r="C2097" s="9" t="s">
        <v>1953</v>
      </c>
      <c r="D2097" s="10">
        <v>-0.22494798099999999</v>
      </c>
      <c r="E2097" s="10">
        <v>0.22613691999999999</v>
      </c>
      <c r="F2097" s="10">
        <v>0.188043345</v>
      </c>
      <c r="G2097" s="10">
        <v>-1.4974838239999999</v>
      </c>
      <c r="H2097" s="9">
        <v>-0.32706288500000003</v>
      </c>
      <c r="I2097" s="10">
        <v>0.80657239404478698</v>
      </c>
      <c r="J2097" s="10">
        <v>0.65055902683514</v>
      </c>
      <c r="K2097" s="10">
        <v>0.19538615100000001</v>
      </c>
      <c r="L2097" s="10">
        <v>0.49935687000000001</v>
      </c>
      <c r="M2097" s="10">
        <v>-0.81226363400000001</v>
      </c>
      <c r="N2097" s="10">
        <v>0.75189992800000005</v>
      </c>
      <c r="O2097" s="9">
        <v>0.15859482875</v>
      </c>
      <c r="P2097" s="10">
        <v>0.68606352126682701</v>
      </c>
      <c r="Q2097" s="10">
        <v>0.470683155213038</v>
      </c>
    </row>
    <row r="2098" spans="1:17" x14ac:dyDescent="0.2">
      <c r="A2098" s="10">
        <v>1844</v>
      </c>
      <c r="B2098" s="10" t="s">
        <v>2826</v>
      </c>
      <c r="C2098" s="9" t="s">
        <v>2169</v>
      </c>
      <c r="D2098" s="10">
        <v>-0.22851549900000001</v>
      </c>
      <c r="E2098" s="10">
        <v>0.14347053100000001</v>
      </c>
      <c r="F2098" s="10">
        <v>-7.4814288000000007E-2</v>
      </c>
      <c r="G2098" s="10">
        <v>0.17484508100000001</v>
      </c>
      <c r="H2098" s="9">
        <v>3.746456E-3</v>
      </c>
      <c r="I2098" s="10">
        <v>0.190538677481985</v>
      </c>
      <c r="J2098" s="10">
        <v>3.6304987616583899E-2</v>
      </c>
      <c r="K2098" s="10">
        <v>0.63275075800000002</v>
      </c>
      <c r="L2098" s="10">
        <v>4.0733785060000001</v>
      </c>
      <c r="M2098" s="10">
        <v>-0.129303005</v>
      </c>
      <c r="N2098" s="10">
        <v>-0.83349357599999996</v>
      </c>
      <c r="O2098" s="9">
        <v>0.93583317075000005</v>
      </c>
      <c r="P2098" s="10">
        <v>2.1757053943739399</v>
      </c>
      <c r="Q2098" s="10">
        <v>4.73369396310789</v>
      </c>
    </row>
    <row r="2099" spans="1:17" x14ac:dyDescent="0.2">
      <c r="A2099" s="10">
        <v>1844</v>
      </c>
      <c r="B2099" s="10" t="s">
        <v>2821</v>
      </c>
      <c r="C2099" s="9" t="s">
        <v>1954</v>
      </c>
      <c r="D2099" s="10">
        <v>0.29274073299999998</v>
      </c>
      <c r="E2099" s="10">
        <v>3.2732621000000003E-2</v>
      </c>
      <c r="F2099" s="10">
        <v>0.180345001</v>
      </c>
      <c r="G2099" s="10">
        <v>-0.54785313300000005</v>
      </c>
      <c r="H2099" s="9">
        <v>-1.05086945E-2</v>
      </c>
      <c r="I2099" s="10">
        <v>0.37371745357428099</v>
      </c>
      <c r="J2099" s="10">
        <v>0.13966473510604499</v>
      </c>
      <c r="K2099" s="10">
        <v>-0.216532483</v>
      </c>
      <c r="L2099" s="10">
        <v>0.41929244799999998</v>
      </c>
      <c r="M2099" s="10">
        <v>-0.35695626600000002</v>
      </c>
      <c r="N2099" s="10">
        <v>5.1632890000000001E-2</v>
      </c>
      <c r="O2099" s="9">
        <v>-2.5640852749999998E-2</v>
      </c>
      <c r="P2099" s="10">
        <v>0.34163644955390998</v>
      </c>
      <c r="Q2099" s="10">
        <v>0.11671546366380101</v>
      </c>
    </row>
    <row r="2100" spans="1:17" x14ac:dyDescent="0.2">
      <c r="A2100" s="10">
        <v>1844</v>
      </c>
      <c r="B2100" s="10" t="s">
        <v>82</v>
      </c>
      <c r="C2100" s="9" t="s">
        <v>1955</v>
      </c>
      <c r="D2100" s="10">
        <v>0.213555042</v>
      </c>
      <c r="E2100" s="10">
        <v>-0.53149524699999995</v>
      </c>
      <c r="F2100" s="10">
        <v>0.36649281900000003</v>
      </c>
      <c r="G2100" s="10">
        <v>6.1043124999999997E-2</v>
      </c>
      <c r="H2100" s="9">
        <v>2.73989345E-2</v>
      </c>
      <c r="I2100" s="10">
        <v>0.39290940284574699</v>
      </c>
      <c r="J2100" s="10">
        <v>0.15437779884460201</v>
      </c>
      <c r="K2100" s="10">
        <v>0.29468277500000001</v>
      </c>
      <c r="L2100" s="10">
        <v>-3.6162092E-2</v>
      </c>
      <c r="M2100" s="10">
        <v>0.33840304999999998</v>
      </c>
      <c r="N2100" s="10">
        <v>0.145510257</v>
      </c>
      <c r="O2100" s="9">
        <v>0.1856084975</v>
      </c>
      <c r="P2100" s="10">
        <v>0.16934524552345201</v>
      </c>
      <c r="Q2100" s="10">
        <v>2.8677812181398501E-2</v>
      </c>
    </row>
    <row r="2101" spans="1:17" x14ac:dyDescent="0.2">
      <c r="A2101" s="10">
        <v>1844</v>
      </c>
      <c r="B2101" s="10" t="s">
        <v>2830</v>
      </c>
      <c r="C2101" s="9" t="s">
        <v>1956</v>
      </c>
      <c r="D2101" s="10">
        <v>0.45240372099999998</v>
      </c>
      <c r="E2101" s="10">
        <v>0.57000284300000004</v>
      </c>
      <c r="F2101" s="10">
        <v>0.359320953</v>
      </c>
      <c r="G2101" s="10">
        <v>-0.72975623700000003</v>
      </c>
      <c r="H2101" s="9">
        <v>0.16299282000000001</v>
      </c>
      <c r="I2101" s="10">
        <v>0.60137659942882904</v>
      </c>
      <c r="J2101" s="10">
        <v>0.36165381434058202</v>
      </c>
      <c r="K2101" s="10">
        <v>-1.0730176010000001</v>
      </c>
      <c r="L2101" s="10">
        <v>0.53371023500000003</v>
      </c>
      <c r="M2101" s="10">
        <v>-0.50503417399999995</v>
      </c>
      <c r="N2101" s="10">
        <v>0.23326003300000001</v>
      </c>
      <c r="O2101" s="9">
        <v>-0.20277037675000001</v>
      </c>
      <c r="P2101" s="10">
        <v>0.72599812767279803</v>
      </c>
      <c r="Q2101" s="10">
        <v>0.52707328138440801</v>
      </c>
    </row>
    <row r="2102" spans="1:17" x14ac:dyDescent="0.2">
      <c r="A2102" s="10">
        <v>1844</v>
      </c>
      <c r="B2102" s="10" t="s">
        <v>2835</v>
      </c>
      <c r="C2102" s="9" t="s">
        <v>1957</v>
      </c>
      <c r="D2102" s="10">
        <v>-5.649916E-2</v>
      </c>
      <c r="E2102" s="10">
        <v>0.25529599200000003</v>
      </c>
      <c r="F2102" s="10">
        <v>0.38016794999999998</v>
      </c>
      <c r="G2102" s="10">
        <v>0.18120941199999999</v>
      </c>
      <c r="H2102" s="9">
        <v>0.19004354849999999</v>
      </c>
      <c r="I2102" s="10">
        <v>0.183726715994771</v>
      </c>
      <c r="J2102" s="10">
        <v>3.37555061702235E-2</v>
      </c>
      <c r="K2102" s="10">
        <v>-3.7820311000000002E-2</v>
      </c>
      <c r="L2102" s="10">
        <v>0.32707467699999998</v>
      </c>
      <c r="M2102" s="10">
        <v>6.317006E-2</v>
      </c>
      <c r="N2102" s="10">
        <v>0.307985432</v>
      </c>
      <c r="O2102" s="9">
        <v>0.16510246449999999</v>
      </c>
      <c r="P2102" s="10">
        <v>0.18094051317815801</v>
      </c>
      <c r="Q2102" s="10">
        <v>3.2739469309175401E-2</v>
      </c>
    </row>
    <row r="2103" spans="1:17" x14ac:dyDescent="0.2">
      <c r="A2103" s="10">
        <v>1845</v>
      </c>
      <c r="B2103" s="10" t="s">
        <v>2831</v>
      </c>
      <c r="C2103" s="9" t="s">
        <v>1958</v>
      </c>
      <c r="D2103" s="10">
        <v>-1.8005380090000001</v>
      </c>
      <c r="E2103" s="10">
        <v>-0.15638702400000001</v>
      </c>
      <c r="F2103" s="10">
        <v>-3.9006161179999999</v>
      </c>
      <c r="G2103" s="10">
        <v>-0.90154358300000004</v>
      </c>
      <c r="H2103" s="9">
        <v>-1.68977118375</v>
      </c>
      <c r="I2103" s="10">
        <v>1.6199459193474199</v>
      </c>
      <c r="J2103" s="10">
        <v>2.6242247816103799</v>
      </c>
      <c r="K2103" s="10">
        <v>0.32656928400000002</v>
      </c>
      <c r="L2103" s="10">
        <v>-1.013968574</v>
      </c>
      <c r="M2103" s="10">
        <v>-0.92037598600000003</v>
      </c>
      <c r="N2103" s="10">
        <v>-1.195569409</v>
      </c>
      <c r="O2103" s="9">
        <v>-0.70083617149999999</v>
      </c>
      <c r="P2103" s="10">
        <v>0.69439963947871497</v>
      </c>
      <c r="Q2103" s="10">
        <v>0.48219085930817002</v>
      </c>
    </row>
    <row r="2104" spans="1:17" x14ac:dyDescent="0.2">
      <c r="A2104" s="10">
        <v>1845</v>
      </c>
      <c r="B2104" s="10" t="s">
        <v>2822</v>
      </c>
      <c r="C2104" s="9" t="s">
        <v>1959</v>
      </c>
      <c r="D2104" s="10">
        <v>0.186625707</v>
      </c>
      <c r="E2104" s="10">
        <v>-0.27964861699999999</v>
      </c>
      <c r="F2104" s="10">
        <v>-0.82043462099999998</v>
      </c>
      <c r="G2104" s="10">
        <v>0.50431278499999999</v>
      </c>
      <c r="H2104" s="9">
        <v>-0.1022861865</v>
      </c>
      <c r="I2104" s="10">
        <v>0.57695378213460602</v>
      </c>
      <c r="J2104" s="10">
        <v>0.33287566671942698</v>
      </c>
      <c r="K2104" s="10">
        <v>-0.20449514099999999</v>
      </c>
      <c r="L2104" s="10">
        <v>-0.28401663799999999</v>
      </c>
      <c r="M2104" s="10">
        <v>-1.4726427E-2</v>
      </c>
      <c r="N2104" s="10">
        <v>-0.56742638099999998</v>
      </c>
      <c r="O2104" s="9">
        <v>-0.26766614700000002</v>
      </c>
      <c r="P2104" s="10">
        <v>0.22955944356992899</v>
      </c>
      <c r="Q2104" s="10">
        <v>5.2697538132135402E-2</v>
      </c>
    </row>
    <row r="2105" spans="1:17" x14ac:dyDescent="0.2">
      <c r="A2105" s="10">
        <v>1845</v>
      </c>
      <c r="B2105" s="10" t="s">
        <v>2821</v>
      </c>
      <c r="C2105" s="9" t="s">
        <v>1962</v>
      </c>
      <c r="D2105" s="10">
        <v>0.31711930500000002</v>
      </c>
      <c r="E2105" s="10">
        <v>-5.9622706999999997E-2</v>
      </c>
      <c r="F2105" s="10">
        <v>0.26921705000000001</v>
      </c>
      <c r="G2105" s="10">
        <v>0.34210195100000002</v>
      </c>
      <c r="H2105" s="9">
        <v>0.21720389975000001</v>
      </c>
      <c r="I2105" s="10">
        <v>0.18701243222128899</v>
      </c>
      <c r="J2105" s="10">
        <v>3.4973649805322499E-2</v>
      </c>
      <c r="K2105" s="10">
        <v>-0.32328186399999997</v>
      </c>
      <c r="L2105" s="10">
        <v>0.128849138</v>
      </c>
      <c r="M2105" s="10">
        <v>-9.9307692000000003E-2</v>
      </c>
      <c r="N2105" s="10">
        <v>-0.49264998500000001</v>
      </c>
      <c r="O2105" s="9">
        <v>-0.19659760074999999</v>
      </c>
      <c r="P2105" s="10">
        <v>0.27023250660798098</v>
      </c>
      <c r="Q2105" s="10">
        <v>7.3025607627632994E-2</v>
      </c>
    </row>
    <row r="2106" spans="1:17" x14ac:dyDescent="0.2">
      <c r="A2106" s="10">
        <v>1845</v>
      </c>
      <c r="B2106" s="10" t="s">
        <v>2820</v>
      </c>
      <c r="C2106" s="9" t="s">
        <v>1963</v>
      </c>
      <c r="D2106" s="10">
        <v>-0.65326564399999998</v>
      </c>
      <c r="E2106" s="10">
        <v>-0.247226577</v>
      </c>
      <c r="F2106" s="10">
        <v>-0.48202855999999999</v>
      </c>
      <c r="G2106" s="10">
        <v>0.35541845799999999</v>
      </c>
      <c r="H2106" s="9">
        <v>-0.25677558099999997</v>
      </c>
      <c r="I2106" s="10">
        <v>0.44076297465139602</v>
      </c>
      <c r="J2106" s="10">
        <v>0.19427199982354701</v>
      </c>
      <c r="K2106" s="10">
        <v>-4.8393000999999998E-2</v>
      </c>
      <c r="L2106" s="10">
        <v>-0.25303795299999998</v>
      </c>
      <c r="M2106" s="10">
        <v>-0.197368977</v>
      </c>
      <c r="N2106" s="10">
        <v>0.38556486600000001</v>
      </c>
      <c r="O2106" s="9">
        <v>-2.8308766249999999E-2</v>
      </c>
      <c r="P2106" s="10">
        <v>0.28912472636877201</v>
      </c>
      <c r="Q2106" s="10">
        <v>8.3593107397817307E-2</v>
      </c>
    </row>
    <row r="2107" spans="1:17" x14ac:dyDescent="0.2">
      <c r="A2107" s="10">
        <v>1845</v>
      </c>
      <c r="B2107" s="10" t="s">
        <v>2824</v>
      </c>
      <c r="C2107" s="9" t="s">
        <v>1964</v>
      </c>
      <c r="D2107" s="10">
        <v>4.4971084000000001E-2</v>
      </c>
      <c r="E2107" s="10">
        <v>0.43592942499999998</v>
      </c>
      <c r="F2107" s="10">
        <v>-0.15018478199999999</v>
      </c>
      <c r="G2107" s="10">
        <v>0.98697745699999995</v>
      </c>
      <c r="H2107" s="9">
        <v>0.32942329599999998</v>
      </c>
      <c r="I2107" s="10">
        <v>0.50155026320317597</v>
      </c>
      <c r="J2107" s="10">
        <v>0.25155266651917502</v>
      </c>
      <c r="K2107" s="10">
        <v>-0.63307423699999998</v>
      </c>
      <c r="L2107" s="10">
        <v>0.19348937699999999</v>
      </c>
      <c r="M2107" s="10">
        <v>0.35366548799999997</v>
      </c>
      <c r="N2107" s="10">
        <v>0.26232604199999998</v>
      </c>
      <c r="O2107" s="9">
        <v>4.4101667499999997E-2</v>
      </c>
      <c r="P2107" s="10">
        <v>0.45619276991695801</v>
      </c>
      <c r="Q2107" s="10">
        <v>0.208111843324507</v>
      </c>
    </row>
    <row r="2108" spans="1:17" x14ac:dyDescent="0.2">
      <c r="A2108" s="10">
        <v>1845</v>
      </c>
      <c r="B2108" s="10" t="s">
        <v>2817</v>
      </c>
      <c r="C2108" s="9" t="s">
        <v>1965</v>
      </c>
      <c r="D2108" s="10">
        <v>9.1682192999999995E-2</v>
      </c>
      <c r="E2108" s="10">
        <v>4.8637673999999999E-2</v>
      </c>
      <c r="F2108" s="10">
        <v>-0.450673512</v>
      </c>
      <c r="G2108" s="10">
        <v>0.19517378299999999</v>
      </c>
      <c r="H2108" s="9">
        <v>-2.8794965499999998E-2</v>
      </c>
      <c r="I2108" s="10">
        <v>0.28789701149414498</v>
      </c>
      <c r="J2108" s="10">
        <v>8.288468922726E-2</v>
      </c>
      <c r="K2108" s="10">
        <v>-1.284331914</v>
      </c>
      <c r="L2108" s="10">
        <v>0.24917460899999999</v>
      </c>
      <c r="M2108" s="10">
        <v>-0.24197057999999999</v>
      </c>
      <c r="N2108" s="10">
        <v>-0.180802356</v>
      </c>
      <c r="O2108" s="9">
        <v>-0.36448256000000001</v>
      </c>
      <c r="P2108" s="10">
        <v>0.65101089537843904</v>
      </c>
      <c r="Q2108" s="10">
        <v>0.42381518590143802</v>
      </c>
    </row>
    <row r="2109" spans="1:17" x14ac:dyDescent="0.2">
      <c r="A2109" s="10">
        <v>1845</v>
      </c>
      <c r="B2109" s="10" t="s">
        <v>2833</v>
      </c>
      <c r="C2109" s="9" t="s">
        <v>1966</v>
      </c>
      <c r="D2109" s="10">
        <v>-0.14809645799999999</v>
      </c>
      <c r="E2109" s="10">
        <v>0.27953630600000001</v>
      </c>
      <c r="F2109" s="10">
        <v>0.23891668299999999</v>
      </c>
      <c r="G2109" s="10">
        <v>0.201639654</v>
      </c>
      <c r="H2109" s="9">
        <v>0.14299904625000001</v>
      </c>
      <c r="I2109" s="10">
        <v>0.19665361240142901</v>
      </c>
      <c r="J2109" s="10">
        <v>3.8672643270531597E-2</v>
      </c>
      <c r="K2109" s="10">
        <v>0.23684102900000001</v>
      </c>
      <c r="L2109" s="10">
        <v>-0.55325191399999996</v>
      </c>
      <c r="M2109" s="10">
        <v>2.2944215E-2</v>
      </c>
      <c r="N2109" s="10">
        <v>0.39979805299999999</v>
      </c>
      <c r="O2109" s="9">
        <v>2.658284575E-2</v>
      </c>
      <c r="P2109" s="10">
        <v>0.41622096807438103</v>
      </c>
      <c r="Q2109" s="10">
        <v>0.17323989426477501</v>
      </c>
    </row>
    <row r="2110" spans="1:17" x14ac:dyDescent="0.2">
      <c r="A2110" s="10">
        <v>1845</v>
      </c>
      <c r="B2110" s="10" t="s">
        <v>2825</v>
      </c>
      <c r="C2110" s="9" t="s">
        <v>1967</v>
      </c>
      <c r="D2110" s="10">
        <v>-0.33536951500000001</v>
      </c>
      <c r="E2110" s="10">
        <v>0.53355583699999998</v>
      </c>
      <c r="F2110" s="10">
        <v>-0.205863923</v>
      </c>
      <c r="G2110" s="10">
        <v>0.243432547</v>
      </c>
      <c r="H2110" s="9">
        <v>5.8938736499999998E-2</v>
      </c>
      <c r="I2110" s="10">
        <v>0.40203598673049801</v>
      </c>
      <c r="J2110" s="10">
        <v>0.16163293462636499</v>
      </c>
      <c r="K2110" s="10">
        <v>-0.22664731900000001</v>
      </c>
      <c r="L2110" s="10">
        <v>7.405043E-2</v>
      </c>
      <c r="M2110" s="10">
        <v>0.18454057099999999</v>
      </c>
      <c r="N2110" s="10">
        <v>0.26769122899999998</v>
      </c>
      <c r="O2110" s="9">
        <v>7.4908727999999994E-2</v>
      </c>
      <c r="P2110" s="10">
        <v>0.21611803861864801</v>
      </c>
      <c r="Q2110" s="10">
        <v>4.6707006616371498E-2</v>
      </c>
    </row>
    <row r="2111" spans="1:17" x14ac:dyDescent="0.2">
      <c r="A2111" s="10">
        <v>1845</v>
      </c>
      <c r="B2111" s="10" t="s">
        <v>2818</v>
      </c>
      <c r="C2111" s="9" t="s">
        <v>1969</v>
      </c>
      <c r="D2111" s="10">
        <v>-2.0199279999999998E-3</v>
      </c>
      <c r="E2111" s="10">
        <v>0.31045063499999997</v>
      </c>
      <c r="F2111" s="10">
        <v>5.9057683E-2</v>
      </c>
      <c r="G2111" s="10">
        <v>-0.24042013500000001</v>
      </c>
      <c r="H2111" s="9">
        <v>3.1767063499999998E-2</v>
      </c>
      <c r="I2111" s="10">
        <v>0.226301231959077</v>
      </c>
      <c r="J2111" s="10">
        <v>5.1212247586196198E-2</v>
      </c>
      <c r="K2111" s="10">
        <v>-0.2434636</v>
      </c>
      <c r="L2111" s="10">
        <v>0.14814743499999999</v>
      </c>
      <c r="M2111" s="10">
        <v>5.0852371E-2</v>
      </c>
      <c r="N2111" s="10">
        <v>9.4028052000000001E-2</v>
      </c>
      <c r="O2111" s="9">
        <v>1.239106475E-2</v>
      </c>
      <c r="P2111" s="10">
        <v>0.175152572826762</v>
      </c>
      <c r="Q2111" s="10">
        <v>3.0678423767834299E-2</v>
      </c>
    </row>
    <row r="2112" spans="1:17" x14ac:dyDescent="0.2">
      <c r="A2112" s="10">
        <v>1845</v>
      </c>
      <c r="B2112" s="10" t="s">
        <v>2830</v>
      </c>
      <c r="C2112" s="9" t="s">
        <v>1970</v>
      </c>
      <c r="D2112" s="10">
        <v>0.35988946999999999</v>
      </c>
      <c r="E2112" s="10">
        <v>5.8458844000000003E-2</v>
      </c>
      <c r="F2112" s="10">
        <v>0.249928235</v>
      </c>
      <c r="G2112" s="10">
        <v>-0.13074498500000001</v>
      </c>
      <c r="H2112" s="9">
        <v>0.13438289075000001</v>
      </c>
      <c r="I2112" s="10">
        <v>0.21622611254386001</v>
      </c>
      <c r="J2112" s="10">
        <v>4.67537317458303E-2</v>
      </c>
      <c r="K2112" s="10">
        <v>-0.208238375</v>
      </c>
      <c r="L2112" s="10">
        <v>-0.26186163899999998</v>
      </c>
      <c r="M2112" s="10">
        <v>0.20031352399999999</v>
      </c>
      <c r="N2112" s="10">
        <v>-2.2008773999999998E-2</v>
      </c>
      <c r="O2112" s="9">
        <v>-7.2948816E-2</v>
      </c>
      <c r="P2112" s="10">
        <v>0.209171790489285</v>
      </c>
      <c r="Q2112" s="10">
        <v>4.3752837936493698E-2</v>
      </c>
    </row>
    <row r="2113" spans="1:17" x14ac:dyDescent="0.2">
      <c r="A2113" s="10">
        <v>1846</v>
      </c>
      <c r="B2113" s="10" t="s">
        <v>2823</v>
      </c>
      <c r="C2113" s="9" t="s">
        <v>1973</v>
      </c>
      <c r="D2113" s="10">
        <v>-0.39969669000000002</v>
      </c>
      <c r="E2113" s="10">
        <v>-0.68970453600000003</v>
      </c>
      <c r="F2113" s="10">
        <v>-4.8467768680000001</v>
      </c>
      <c r="G2113" s="10">
        <v>0.75368606900000001</v>
      </c>
      <c r="H2113" s="9">
        <v>-1.29562300625</v>
      </c>
      <c r="I2113" s="10">
        <v>2.4481409676502999</v>
      </c>
      <c r="J2113" s="10">
        <v>5.9933941974877802</v>
      </c>
      <c r="K2113" s="10">
        <v>0.95380275599999997</v>
      </c>
      <c r="L2113" s="10">
        <v>-2.7948473890000001</v>
      </c>
      <c r="M2113" s="10">
        <v>-0.90664204800000003</v>
      </c>
      <c r="N2113" s="10">
        <v>-0.20709470499999999</v>
      </c>
      <c r="O2113" s="9">
        <v>-0.73869534625</v>
      </c>
      <c r="P2113" s="10">
        <v>1.5708932050939399</v>
      </c>
      <c r="Q2113" s="10">
        <v>2.4677054618103198</v>
      </c>
    </row>
    <row r="2114" spans="1:17" x14ac:dyDescent="0.2">
      <c r="A2114" s="10">
        <v>1846</v>
      </c>
      <c r="B2114" s="10" t="s">
        <v>2826</v>
      </c>
      <c r="C2114" s="9" t="s">
        <v>1974</v>
      </c>
      <c r="D2114" s="10">
        <v>8.2430433999999997E-2</v>
      </c>
      <c r="E2114" s="10">
        <v>0.26301654699999999</v>
      </c>
      <c r="F2114" s="10">
        <v>0.28097977499999999</v>
      </c>
      <c r="G2114" s="10">
        <v>-0.91871752100000004</v>
      </c>
      <c r="H2114" s="9">
        <v>-7.3072690999999995E-2</v>
      </c>
      <c r="I2114" s="10">
        <v>0.57084893651782498</v>
      </c>
      <c r="J2114" s="10">
        <v>0.32586850832353198</v>
      </c>
      <c r="K2114" s="10">
        <v>-0.81281192499999999</v>
      </c>
      <c r="L2114" s="10">
        <v>0.27624526300000002</v>
      </c>
      <c r="M2114" s="10">
        <v>-0.61421475999999997</v>
      </c>
      <c r="N2114" s="10">
        <v>0.99074638000000004</v>
      </c>
      <c r="O2114" s="9">
        <v>-4.0008760749999997E-2</v>
      </c>
      <c r="P2114" s="10">
        <v>0.83454778732159696</v>
      </c>
      <c r="Q2114" s="10">
        <v>0.696470009323373</v>
      </c>
    </row>
    <row r="2115" spans="1:17" x14ac:dyDescent="0.2">
      <c r="A2115" s="10">
        <v>1846</v>
      </c>
      <c r="B2115" s="10" t="s">
        <v>2824</v>
      </c>
      <c r="C2115" s="9" t="s">
        <v>1976</v>
      </c>
      <c r="D2115" s="10">
        <v>0.17551372700000001</v>
      </c>
      <c r="E2115" s="10">
        <v>-5.8104777000000003E-2</v>
      </c>
      <c r="F2115" s="10">
        <v>9.8458651999999994E-2</v>
      </c>
      <c r="G2115" s="10">
        <v>-0.51488916600000001</v>
      </c>
      <c r="H2115" s="9">
        <v>-7.4755391249999997E-2</v>
      </c>
      <c r="I2115" s="10">
        <v>0.30910231259742599</v>
      </c>
      <c r="J2115" s="10">
        <v>9.5544239653077095E-2</v>
      </c>
      <c r="K2115" s="10">
        <v>-2.7174613E-2</v>
      </c>
      <c r="L2115" s="10">
        <v>3.6285165000000001E-2</v>
      </c>
      <c r="M2115" s="10">
        <v>-0.297153638</v>
      </c>
      <c r="N2115" s="10">
        <v>0.43508198300000001</v>
      </c>
      <c r="O2115" s="9">
        <v>3.675972425E-2</v>
      </c>
      <c r="P2115" s="10">
        <v>0.302350006885441</v>
      </c>
      <c r="Q2115" s="10">
        <v>9.1415526663626706E-2</v>
      </c>
    </row>
    <row r="2116" spans="1:17" x14ac:dyDescent="0.2">
      <c r="A2116" s="10">
        <v>1846</v>
      </c>
      <c r="B2116" s="10" t="s">
        <v>2817</v>
      </c>
      <c r="C2116" s="9" t="s">
        <v>1977</v>
      </c>
      <c r="D2116" s="10">
        <v>0.19429796099999999</v>
      </c>
      <c r="E2116" s="10">
        <v>0.81915604200000003</v>
      </c>
      <c r="F2116" s="10">
        <v>0.44908045299999999</v>
      </c>
      <c r="G2116" s="10">
        <v>-3.8868127000000002E-2</v>
      </c>
      <c r="H2116" s="9">
        <v>0.35591658225</v>
      </c>
      <c r="I2116" s="10">
        <v>0.367534963994335</v>
      </c>
      <c r="J2116" s="10">
        <v>0.135081949758317</v>
      </c>
      <c r="K2116" s="10">
        <v>-0.57442317799999998</v>
      </c>
      <c r="L2116" s="10">
        <v>-0.293948667</v>
      </c>
      <c r="M2116" s="10">
        <v>0.316877662</v>
      </c>
      <c r="N2116" s="10">
        <v>2.1123438120000002</v>
      </c>
      <c r="O2116" s="9">
        <v>0.39021240725</v>
      </c>
      <c r="P2116" s="10">
        <v>1.2068847981389399</v>
      </c>
      <c r="Q2116" s="10">
        <v>1.45657091597887</v>
      </c>
    </row>
    <row r="2117" spans="1:17" x14ac:dyDescent="0.2">
      <c r="A2117" s="10">
        <v>1846</v>
      </c>
      <c r="B2117" s="10" t="s">
        <v>2814</v>
      </c>
      <c r="C2117" s="9" t="s">
        <v>1978</v>
      </c>
      <c r="D2117" s="10">
        <v>-0.89382351400000004</v>
      </c>
      <c r="E2117" s="10">
        <v>-1.293402406</v>
      </c>
      <c r="F2117" s="10">
        <v>-1.051473243</v>
      </c>
      <c r="G2117" s="10">
        <v>-0.69907615199999995</v>
      </c>
      <c r="H2117" s="9">
        <v>-0.98444382875000003</v>
      </c>
      <c r="I2117" s="10">
        <v>0.25139285140335199</v>
      </c>
      <c r="J2117" s="10">
        <v>6.3198365736707895E-2</v>
      </c>
      <c r="K2117" s="10">
        <v>1.8415363000000001E-2</v>
      </c>
      <c r="L2117" s="10">
        <v>0.35815370400000002</v>
      </c>
      <c r="M2117" s="10">
        <v>-0.33401601199999997</v>
      </c>
      <c r="N2117" s="10">
        <v>0.309259958</v>
      </c>
      <c r="O2117" s="9">
        <v>8.7953252999999995E-2</v>
      </c>
      <c r="P2117" s="10">
        <v>0.31878860296903699</v>
      </c>
      <c r="Q2117" s="10">
        <v>0.10162617338295001</v>
      </c>
    </row>
    <row r="2118" spans="1:17" x14ac:dyDescent="0.2">
      <c r="A2118" s="10">
        <v>1846</v>
      </c>
      <c r="B2118" s="10" t="s">
        <v>2825</v>
      </c>
      <c r="C2118" s="9" t="s">
        <v>1979</v>
      </c>
      <c r="D2118" s="10">
        <v>0.20880204899999999</v>
      </c>
      <c r="E2118" s="10">
        <v>-0.211863577</v>
      </c>
      <c r="F2118" s="10">
        <v>0.24043598399999999</v>
      </c>
      <c r="G2118" s="10">
        <v>-0.112283378</v>
      </c>
      <c r="H2118" s="9">
        <v>3.1272769249999999E-2</v>
      </c>
      <c r="I2118" s="10">
        <v>0.22729536280221499</v>
      </c>
      <c r="J2118" s="10">
        <v>5.1663181951390601E-2</v>
      </c>
      <c r="K2118" s="10">
        <v>-3.0844800000000001E-3</v>
      </c>
      <c r="L2118" s="10">
        <v>0.537782227</v>
      </c>
      <c r="M2118" s="10">
        <v>-0.28439567599999999</v>
      </c>
      <c r="N2118" s="10">
        <v>0.44708563400000001</v>
      </c>
      <c r="O2118" s="9">
        <v>0.17434692625000001</v>
      </c>
      <c r="P2118" s="10">
        <v>0.38660845808101302</v>
      </c>
      <c r="Q2118" s="10">
        <v>0.14946609985977899</v>
      </c>
    </row>
    <row r="2119" spans="1:17" x14ac:dyDescent="0.2">
      <c r="A2119" s="10">
        <v>1846</v>
      </c>
      <c r="B2119" s="10" t="s">
        <v>2830</v>
      </c>
      <c r="C2119" s="9" t="s">
        <v>1981</v>
      </c>
      <c r="D2119" s="10">
        <v>-0.13108615100000001</v>
      </c>
      <c r="E2119" s="10">
        <v>0.86401352799999998</v>
      </c>
      <c r="F2119" s="10">
        <v>0.23480831099999999</v>
      </c>
      <c r="G2119" s="10">
        <v>0.50661555000000003</v>
      </c>
      <c r="H2119" s="9">
        <v>0.36858780949999997</v>
      </c>
      <c r="I2119" s="10">
        <v>0.42113708010553302</v>
      </c>
      <c r="J2119" s="10">
        <v>0.17735644023981401</v>
      </c>
      <c r="K2119" s="10">
        <v>-1.6961212E-2</v>
      </c>
      <c r="L2119" s="10">
        <v>-1.425663854</v>
      </c>
      <c r="M2119" s="10">
        <v>-0.11170107</v>
      </c>
      <c r="N2119" s="10">
        <v>0.68711766699999999</v>
      </c>
      <c r="O2119" s="9">
        <v>-0.21680211725000001</v>
      </c>
      <c r="P2119" s="10">
        <v>0.88117351535343202</v>
      </c>
      <c r="Q2119" s="10">
        <v>0.77646676416032601</v>
      </c>
    </row>
    <row r="2120" spans="1:17" x14ac:dyDescent="0.2">
      <c r="A2120" s="10">
        <v>1846</v>
      </c>
      <c r="B2120" s="10" t="s">
        <v>2835</v>
      </c>
      <c r="C2120" s="9" t="s">
        <v>1982</v>
      </c>
      <c r="D2120" s="10">
        <v>-0.23459382500000001</v>
      </c>
      <c r="E2120" s="10">
        <v>-1.117791263</v>
      </c>
      <c r="F2120" s="10">
        <v>0.19590596299999999</v>
      </c>
      <c r="G2120" s="10">
        <v>3.9074304999999997E-2</v>
      </c>
      <c r="H2120" s="9">
        <v>-0.27935120499999999</v>
      </c>
      <c r="I2120" s="10">
        <v>0.58658592296941603</v>
      </c>
      <c r="J2120" s="10">
        <v>0.344083045025882</v>
      </c>
      <c r="K2120" s="10">
        <v>-0.72297916100000004</v>
      </c>
      <c r="L2120" s="10">
        <v>-0.70537525700000003</v>
      </c>
      <c r="M2120" s="10">
        <v>-0.28768300099999999</v>
      </c>
      <c r="N2120" s="10">
        <v>0.24023443799999999</v>
      </c>
      <c r="O2120" s="9">
        <v>-0.36895074524999999</v>
      </c>
      <c r="P2120" s="10">
        <v>0.45322128701533099</v>
      </c>
      <c r="Q2120" s="10">
        <v>0.20540953500383299</v>
      </c>
    </row>
    <row r="2121" spans="1:17" x14ac:dyDescent="0.2">
      <c r="A2121" s="10">
        <v>1847</v>
      </c>
      <c r="B2121" s="10" t="s">
        <v>2822</v>
      </c>
      <c r="C2121" s="9" t="s">
        <v>1983</v>
      </c>
      <c r="D2121" s="10">
        <v>1.158708469</v>
      </c>
      <c r="E2121" s="10">
        <v>2.074513998</v>
      </c>
      <c r="F2121" s="10">
        <v>0.19725551599999999</v>
      </c>
      <c r="G2121" s="10">
        <v>-0.80380183800000005</v>
      </c>
      <c r="H2121" s="9">
        <v>0.65666903624999995</v>
      </c>
      <c r="I2121" s="10">
        <v>1.23913462877887</v>
      </c>
      <c r="J2121" s="10">
        <v>1.5354546282389501</v>
      </c>
      <c r="K2121" s="10">
        <v>-0.48622266400000003</v>
      </c>
      <c r="L2121" s="10">
        <v>2.1259606120000001</v>
      </c>
      <c r="M2121" s="10">
        <v>-0.483881438</v>
      </c>
      <c r="N2121" s="10">
        <v>-8.4205803999999995E-2</v>
      </c>
      <c r="O2121" s="9">
        <v>0.26791267675000002</v>
      </c>
      <c r="P2121" s="10">
        <v>1.2530288713504401</v>
      </c>
      <c r="Q2121" s="10">
        <v>1.5700813524377699</v>
      </c>
    </row>
    <row r="2122" spans="1:17" x14ac:dyDescent="0.2">
      <c r="A2122" s="10">
        <v>1847</v>
      </c>
      <c r="B2122" s="10" t="s">
        <v>2821</v>
      </c>
      <c r="C2122" s="9" t="s">
        <v>1984</v>
      </c>
      <c r="D2122" s="10">
        <v>2.0803069E-2</v>
      </c>
      <c r="E2122" s="10">
        <v>7.7191172000000002E-2</v>
      </c>
      <c r="F2122" s="10">
        <v>-0.55672811799999999</v>
      </c>
      <c r="G2122" s="10">
        <v>-0.50266311600000002</v>
      </c>
      <c r="H2122" s="9">
        <v>-0.24034924825000001</v>
      </c>
      <c r="I2122" s="10">
        <v>0.33562707764017002</v>
      </c>
      <c r="J2122" s="10">
        <v>0.11264553524528099</v>
      </c>
      <c r="K2122" s="10">
        <v>-0.10937507</v>
      </c>
      <c r="L2122" s="10">
        <v>0.66168974599999997</v>
      </c>
      <c r="M2122" s="10">
        <v>-0.22981457199999999</v>
      </c>
      <c r="N2122" s="10">
        <v>0.11842288400000001</v>
      </c>
      <c r="O2122" s="9">
        <v>0.11023074725</v>
      </c>
      <c r="P2122" s="10">
        <v>0.394981717940108</v>
      </c>
      <c r="Q2122" s="10">
        <v>0.156010557506919</v>
      </c>
    </row>
    <row r="2123" spans="1:17" x14ac:dyDescent="0.2">
      <c r="A2123" s="10">
        <v>1847</v>
      </c>
      <c r="B2123" s="10" t="s">
        <v>2820</v>
      </c>
      <c r="C2123" s="9" t="s">
        <v>1985</v>
      </c>
      <c r="D2123" s="10">
        <v>0.279676172</v>
      </c>
      <c r="E2123" s="10">
        <v>1.2402519320000001</v>
      </c>
      <c r="F2123" s="10">
        <v>-0.39155902599999998</v>
      </c>
      <c r="G2123" s="10">
        <v>1.8351487999999999E-2</v>
      </c>
      <c r="H2123" s="9">
        <v>0.28668014149999999</v>
      </c>
      <c r="I2123" s="10">
        <v>0.69314665351721605</v>
      </c>
      <c r="J2123" s="10">
        <v>0.48045228328211598</v>
      </c>
      <c r="K2123" s="10">
        <v>-0.55216696899999995</v>
      </c>
      <c r="L2123" s="10">
        <v>-0.268815533</v>
      </c>
      <c r="M2123" s="10">
        <v>-0.22887207100000001</v>
      </c>
      <c r="N2123" s="10">
        <v>0.273076125</v>
      </c>
      <c r="O2123" s="9">
        <v>-0.19419461199999999</v>
      </c>
      <c r="P2123" s="10">
        <v>0.34315057824335299</v>
      </c>
      <c r="Q2123" s="10">
        <v>0.117752319348747</v>
      </c>
    </row>
    <row r="2124" spans="1:17" x14ac:dyDescent="0.2">
      <c r="A2124" s="10">
        <v>1847</v>
      </c>
      <c r="B2124" s="10" t="s">
        <v>2817</v>
      </c>
      <c r="C2124" s="9" t="s">
        <v>1987</v>
      </c>
      <c r="D2124" s="10">
        <v>-0.50323465999999994</v>
      </c>
      <c r="E2124" s="10">
        <v>-0.33510533599999998</v>
      </c>
      <c r="F2124" s="10">
        <v>-1.2473550360000001</v>
      </c>
      <c r="G2124" s="10">
        <v>-0.67444732699999999</v>
      </c>
      <c r="H2124" s="9">
        <v>-0.69003559000000003</v>
      </c>
      <c r="I2124" s="10">
        <v>0.396534164768717</v>
      </c>
      <c r="J2124" s="10">
        <v>0.15723934382882401</v>
      </c>
      <c r="K2124" s="10">
        <v>-0.49265482100000002</v>
      </c>
      <c r="L2124" s="10">
        <v>2.2832657999999999E-2</v>
      </c>
      <c r="M2124" s="10">
        <v>-0.438858884</v>
      </c>
      <c r="N2124" s="10">
        <v>-9.4210264000000002E-2</v>
      </c>
      <c r="O2124" s="9">
        <v>-0.25072282774999999</v>
      </c>
      <c r="P2124" s="10">
        <v>0.25380770372779998</v>
      </c>
      <c r="Q2124" s="10">
        <v>6.4418350471579094E-2</v>
      </c>
    </row>
    <row r="2125" spans="1:17" x14ac:dyDescent="0.2">
      <c r="A2125" s="10">
        <v>1847</v>
      </c>
      <c r="B2125" s="10" t="s">
        <v>2814</v>
      </c>
      <c r="C2125" s="9" t="s">
        <v>1988</v>
      </c>
      <c r="D2125" s="10">
        <v>0.27676814399999999</v>
      </c>
      <c r="E2125" s="10">
        <v>-4.1178260000000001E-2</v>
      </c>
      <c r="F2125" s="10">
        <v>-7.9137736E-2</v>
      </c>
      <c r="G2125" s="10">
        <v>-0.23967158</v>
      </c>
      <c r="H2125" s="9">
        <v>-2.0804857749999999E-2</v>
      </c>
      <c r="I2125" s="10">
        <v>0.21623300217060101</v>
      </c>
      <c r="J2125" s="10">
        <v>4.6756711227711197E-2</v>
      </c>
      <c r="K2125" s="10">
        <v>-0.37091425900000002</v>
      </c>
      <c r="L2125" s="10">
        <v>0.28059493499999999</v>
      </c>
      <c r="M2125" s="10">
        <v>-0.20734522999999999</v>
      </c>
      <c r="N2125" s="10">
        <v>-8.0619726000000003E-2</v>
      </c>
      <c r="O2125" s="9">
        <v>-9.4571069999999993E-2</v>
      </c>
      <c r="P2125" s="10">
        <v>0.27690415945922597</v>
      </c>
      <c r="Q2125" s="10">
        <v>7.6675913525820497E-2</v>
      </c>
    </row>
    <row r="2126" spans="1:17" x14ac:dyDescent="0.2">
      <c r="A2126" s="10">
        <v>1847</v>
      </c>
      <c r="B2126" s="10" t="s">
        <v>2833</v>
      </c>
      <c r="C2126" s="9" t="s">
        <v>1989</v>
      </c>
      <c r="D2126" s="10">
        <v>0.63831859400000002</v>
      </c>
      <c r="E2126" s="10">
        <v>0.67291189200000001</v>
      </c>
      <c r="F2126" s="10">
        <v>0.35435150300000001</v>
      </c>
      <c r="G2126" s="10">
        <v>-0.11031184600000001</v>
      </c>
      <c r="H2126" s="9">
        <v>0.38881753575</v>
      </c>
      <c r="I2126" s="10">
        <v>0.36206741014192001</v>
      </c>
      <c r="J2126" s="10">
        <v>0.13109280948687699</v>
      </c>
      <c r="K2126" s="10">
        <v>-0.20088988199999999</v>
      </c>
      <c r="L2126" s="10">
        <v>-2.5050327000000001E-2</v>
      </c>
      <c r="M2126" s="10">
        <v>-1.3819593999999999E-2</v>
      </c>
      <c r="N2126" s="10">
        <v>0.51154103200000001</v>
      </c>
      <c r="O2126" s="9">
        <v>6.7945307499999996E-2</v>
      </c>
      <c r="P2126" s="10">
        <v>0.30788699932580399</v>
      </c>
      <c r="Q2126" s="10">
        <v>9.4794404353847603E-2</v>
      </c>
    </row>
    <row r="2127" spans="1:17" x14ac:dyDescent="0.2">
      <c r="A2127" s="10">
        <v>1847</v>
      </c>
      <c r="B2127" s="10" t="s">
        <v>74</v>
      </c>
      <c r="C2127" s="9" t="s">
        <v>1991</v>
      </c>
      <c r="D2127" s="10">
        <v>-0.19812195399999999</v>
      </c>
      <c r="E2127" s="10">
        <v>-0.48569348899999998</v>
      </c>
      <c r="F2127" s="10">
        <v>0.56394544599999996</v>
      </c>
      <c r="G2127" s="10">
        <v>7.6005755999999994E-2</v>
      </c>
      <c r="H2127" s="9">
        <v>-1.096606025E-2</v>
      </c>
      <c r="I2127" s="10">
        <v>0.44664706313203401</v>
      </c>
      <c r="J2127" s="10">
        <v>0.199493599004471</v>
      </c>
      <c r="K2127" s="10">
        <v>-0.923460002</v>
      </c>
      <c r="L2127" s="10">
        <v>0.19140675900000001</v>
      </c>
      <c r="M2127" s="10">
        <v>-0.208351383</v>
      </c>
      <c r="N2127" s="10">
        <v>1.2557732E-2</v>
      </c>
      <c r="O2127" s="9">
        <v>-0.23196172349999999</v>
      </c>
      <c r="P2127" s="10">
        <v>0.48913459410110499</v>
      </c>
      <c r="Q2127" s="10">
        <v>0.239252651146452</v>
      </c>
    </row>
    <row r="2128" spans="1:17" x14ac:dyDescent="0.2">
      <c r="A2128" s="10">
        <v>1847</v>
      </c>
      <c r="B2128" s="10" t="s">
        <v>2830</v>
      </c>
      <c r="C2128" s="9" t="s">
        <v>1992</v>
      </c>
      <c r="D2128" s="10">
        <v>-0.60574546200000001</v>
      </c>
      <c r="E2128" s="10">
        <v>-8.6806301000000002E-2</v>
      </c>
      <c r="F2128" s="10">
        <v>-0.45013557300000001</v>
      </c>
      <c r="G2128" s="10">
        <v>1.9256043E-2</v>
      </c>
      <c r="H2128" s="9">
        <v>-0.28085782349999999</v>
      </c>
      <c r="I2128" s="10">
        <v>0.295483366918252</v>
      </c>
      <c r="J2128" s="10">
        <v>8.73104201253464E-2</v>
      </c>
      <c r="K2128" s="10">
        <v>-0.18134956199999999</v>
      </c>
      <c r="L2128" s="10">
        <v>-5.7355387000000001E-2</v>
      </c>
      <c r="M2128" s="10">
        <v>-0.23853755400000001</v>
      </c>
      <c r="N2128" s="10">
        <v>2.9563229E-2</v>
      </c>
      <c r="O2128" s="9">
        <v>-0.1119198185</v>
      </c>
      <c r="P2128" s="10">
        <v>0.120895643897852</v>
      </c>
      <c r="Q2128" s="10">
        <v>1.46157567134764E-2</v>
      </c>
    </row>
    <row r="2129" spans="1:17" x14ac:dyDescent="0.2">
      <c r="A2129" s="10">
        <v>1848</v>
      </c>
      <c r="B2129" s="10" t="s">
        <v>2831</v>
      </c>
      <c r="C2129" s="9" t="s">
        <v>1993</v>
      </c>
      <c r="D2129" s="10">
        <v>-1.1183451820000001</v>
      </c>
      <c r="E2129" s="10">
        <v>-9.7951559999999993E-3</v>
      </c>
      <c r="F2129" s="10">
        <v>-1.7219287729999999</v>
      </c>
      <c r="G2129" s="10">
        <v>-0.76398955499999999</v>
      </c>
      <c r="H2129" s="9">
        <v>-0.90351466624999999</v>
      </c>
      <c r="I2129" s="10">
        <v>0.71511202392716899</v>
      </c>
      <c r="J2129" s="10">
        <v>0.51138520676521104</v>
      </c>
      <c r="K2129" s="10">
        <v>-1.9575014000000002E-2</v>
      </c>
      <c r="L2129" s="10">
        <v>-8.1272547000000001E-2</v>
      </c>
      <c r="M2129" s="10">
        <v>-0.36095932200000003</v>
      </c>
      <c r="N2129" s="10">
        <v>-0.301705055</v>
      </c>
      <c r="O2129" s="9">
        <v>-0.19087798475000001</v>
      </c>
      <c r="P2129" s="10">
        <v>0.165899930232144</v>
      </c>
      <c r="Q2129" s="10">
        <v>2.7522786851030299E-2</v>
      </c>
    </row>
    <row r="2130" spans="1:17" x14ac:dyDescent="0.2">
      <c r="A2130" s="10">
        <v>1848</v>
      </c>
      <c r="B2130" s="10" t="s">
        <v>2819</v>
      </c>
      <c r="C2130" s="9" t="s">
        <v>1995</v>
      </c>
      <c r="D2130" s="10">
        <v>0.67245415500000005</v>
      </c>
      <c r="E2130" s="10">
        <v>0.84527253199999997</v>
      </c>
      <c r="F2130" s="10">
        <v>-8.0386920000000001E-3</v>
      </c>
      <c r="G2130" s="10">
        <v>-4.7732680999999999E-2</v>
      </c>
      <c r="H2130" s="9">
        <v>0.36548882849999997</v>
      </c>
      <c r="I2130" s="10">
        <v>0.459961932592167</v>
      </c>
      <c r="J2130" s="10">
        <v>0.211564979433921</v>
      </c>
      <c r="K2130" s="10">
        <v>0.238259744</v>
      </c>
      <c r="L2130" s="10">
        <v>-6.3913422999999997E-2</v>
      </c>
      <c r="M2130" s="10">
        <v>-0.72141163200000002</v>
      </c>
      <c r="N2130" s="10">
        <v>-6.5446349000000001E-2</v>
      </c>
      <c r="O2130" s="9">
        <v>-0.15312791525</v>
      </c>
      <c r="P2130" s="10">
        <v>0.40487774501441198</v>
      </c>
      <c r="Q2130" s="10">
        <v>0.163925988407955</v>
      </c>
    </row>
    <row r="2131" spans="1:17" x14ac:dyDescent="0.2">
      <c r="A2131" s="10">
        <v>1848</v>
      </c>
      <c r="B2131" s="10" t="s">
        <v>2824</v>
      </c>
      <c r="C2131" s="9" t="s">
        <v>1997</v>
      </c>
      <c r="D2131" s="10">
        <v>-0.47840658899999999</v>
      </c>
      <c r="E2131" s="10">
        <v>-0.83177037399999998</v>
      </c>
      <c r="F2131" s="10">
        <v>0.54875883000000003</v>
      </c>
      <c r="G2131" s="10">
        <v>0.48720632699999999</v>
      </c>
      <c r="H2131" s="9">
        <v>-6.8552951249999994E-2</v>
      </c>
      <c r="I2131" s="10">
        <v>0.692922085422083</v>
      </c>
      <c r="J2131" s="10">
        <v>0.48014101646568902</v>
      </c>
      <c r="K2131" s="10">
        <v>0.24440563700000001</v>
      </c>
      <c r="L2131" s="10">
        <v>4.3556311020000003</v>
      </c>
      <c r="M2131" s="10">
        <v>0.15107351499999999</v>
      </c>
      <c r="N2131" s="10">
        <v>0.59089370600000002</v>
      </c>
      <c r="O2131" s="9">
        <v>1.3355009897500001</v>
      </c>
      <c r="P2131" s="10">
        <v>2.0222910616153502</v>
      </c>
      <c r="Q2131" s="10">
        <v>4.0896611378893502</v>
      </c>
    </row>
    <row r="2132" spans="1:17" x14ac:dyDescent="0.2">
      <c r="A2132" s="10">
        <v>1848</v>
      </c>
      <c r="B2132" s="10" t="s">
        <v>2814</v>
      </c>
      <c r="C2132" s="9" t="s">
        <v>1998</v>
      </c>
      <c r="D2132" s="10">
        <v>-0.263619618</v>
      </c>
      <c r="E2132" s="10">
        <v>-4.4097125000000001E-2</v>
      </c>
      <c r="F2132" s="10">
        <v>0.23219968599999999</v>
      </c>
      <c r="G2132" s="10">
        <v>-0.47080889799999998</v>
      </c>
      <c r="H2132" s="9">
        <v>-0.13658148875000001</v>
      </c>
      <c r="I2132" s="10">
        <v>0.30133013997139302</v>
      </c>
      <c r="J2132" s="10">
        <v>9.0799853255179599E-2</v>
      </c>
      <c r="K2132" s="10">
        <v>-1.4164116760000001</v>
      </c>
      <c r="L2132" s="10">
        <v>0.53307695499999996</v>
      </c>
      <c r="M2132" s="10">
        <v>-0.17561225799999999</v>
      </c>
      <c r="N2132" s="10">
        <v>2.6489344000000001E-2</v>
      </c>
      <c r="O2132" s="9">
        <v>-0.25811440875000002</v>
      </c>
      <c r="P2132" s="10">
        <v>0.82773631758532895</v>
      </c>
      <c r="Q2132" s="10">
        <v>0.68514741144972002</v>
      </c>
    </row>
    <row r="2133" spans="1:17" x14ac:dyDescent="0.2">
      <c r="A2133" s="10">
        <v>1848</v>
      </c>
      <c r="B2133" s="10" t="s">
        <v>2825</v>
      </c>
      <c r="C2133" s="9" t="s">
        <v>1999</v>
      </c>
      <c r="D2133" s="10">
        <v>0.34223896399999998</v>
      </c>
      <c r="E2133" s="10">
        <v>0.105558184</v>
      </c>
      <c r="F2133" s="10">
        <v>0.32825067499999999</v>
      </c>
      <c r="G2133" s="10">
        <v>-0.102259131</v>
      </c>
      <c r="H2133" s="9">
        <v>0.16844717325</v>
      </c>
      <c r="I2133" s="10">
        <v>0.21053714940063301</v>
      </c>
      <c r="J2133" s="10">
        <v>4.4325891277744701E-2</v>
      </c>
      <c r="K2133" s="10">
        <v>-3.9308421000000003E-2</v>
      </c>
      <c r="L2133" s="10">
        <v>-0.71137699300000001</v>
      </c>
      <c r="M2133" s="10">
        <v>0.485965657</v>
      </c>
      <c r="N2133" s="10">
        <v>0.43042017300000002</v>
      </c>
      <c r="O2133" s="9">
        <v>4.1425104249999997E-2</v>
      </c>
      <c r="P2133" s="10">
        <v>0.554425338007557</v>
      </c>
      <c r="Q2133" s="10">
        <v>0.30738745542479401</v>
      </c>
    </row>
    <row r="2134" spans="1:17" x14ac:dyDescent="0.2">
      <c r="A2134" s="10">
        <v>1848</v>
      </c>
      <c r="B2134" s="10" t="s">
        <v>2830</v>
      </c>
      <c r="C2134" s="9" t="s">
        <v>2001</v>
      </c>
      <c r="D2134" s="10">
        <v>0.38895661500000001</v>
      </c>
      <c r="E2134" s="10">
        <v>-0.18308961300000001</v>
      </c>
      <c r="F2134" s="10">
        <v>5.7334899999999999E-3</v>
      </c>
      <c r="G2134" s="10">
        <v>0.252578317</v>
      </c>
      <c r="H2134" s="9">
        <v>0.116044702</v>
      </c>
      <c r="I2134" s="10">
        <v>0.25480204223783598</v>
      </c>
      <c r="J2134" s="10">
        <v>6.4924080728572003E-2</v>
      </c>
      <c r="K2134" s="10">
        <v>-0.76181334700000003</v>
      </c>
      <c r="L2134" s="10">
        <v>8.7824025999999999E-2</v>
      </c>
      <c r="M2134" s="10">
        <v>-0.28432613800000001</v>
      </c>
      <c r="N2134" s="10">
        <v>0.264240058</v>
      </c>
      <c r="O2134" s="9">
        <v>-0.17351885025</v>
      </c>
      <c r="P2134" s="10">
        <v>0.45398297715652303</v>
      </c>
      <c r="Q2134" s="10">
        <v>0.2061005435479</v>
      </c>
    </row>
    <row r="2135" spans="1:17" x14ac:dyDescent="0.2">
      <c r="A2135" s="10">
        <v>1849</v>
      </c>
      <c r="B2135" s="10" t="s">
        <v>2831</v>
      </c>
      <c r="C2135" s="9" t="s">
        <v>2002</v>
      </c>
      <c r="D2135" s="10">
        <v>-1.597932189</v>
      </c>
      <c r="E2135" s="10">
        <v>-1.458339088</v>
      </c>
      <c r="F2135" s="10">
        <v>-2.287574073</v>
      </c>
      <c r="G2135" s="10">
        <v>-1.196179095</v>
      </c>
      <c r="H2135" s="9">
        <v>-1.6350061112500001</v>
      </c>
      <c r="I2135" s="10">
        <v>0.46583251915555801</v>
      </c>
      <c r="J2135" s="10">
        <v>0.216999935902814</v>
      </c>
      <c r="K2135" s="10">
        <v>0.14343524299999999</v>
      </c>
      <c r="L2135" s="10">
        <v>-0.15267847300000001</v>
      </c>
      <c r="M2135" s="10">
        <v>-0.109018332</v>
      </c>
      <c r="N2135" s="10">
        <v>-0.72528958099999996</v>
      </c>
      <c r="O2135" s="9">
        <v>-0.21088778599999999</v>
      </c>
      <c r="P2135" s="10">
        <v>0.36693311168710602</v>
      </c>
      <c r="Q2135" s="10">
        <v>0.134639908452382</v>
      </c>
    </row>
    <row r="2136" spans="1:17" x14ac:dyDescent="0.2">
      <c r="A2136" s="10">
        <v>1849</v>
      </c>
      <c r="B2136" s="10" t="s">
        <v>2824</v>
      </c>
      <c r="C2136" s="9" t="s">
        <v>2006</v>
      </c>
      <c r="D2136" s="10">
        <v>0.16209517500000001</v>
      </c>
      <c r="E2136" s="10">
        <v>0.57013730600000001</v>
      </c>
      <c r="F2136" s="10">
        <v>0.224577262</v>
      </c>
      <c r="G2136" s="10">
        <v>-6.2188854000000002E-2</v>
      </c>
      <c r="H2136" s="9">
        <v>0.22365522225000001</v>
      </c>
      <c r="I2136" s="10">
        <v>0.26175507627148997</v>
      </c>
      <c r="J2136" s="10">
        <v>6.8515719953893495E-2</v>
      </c>
      <c r="K2136" s="10">
        <v>-0.107471332</v>
      </c>
      <c r="L2136" s="10">
        <v>-0.20899177499999999</v>
      </c>
      <c r="M2136" s="10">
        <v>0.55464259299999996</v>
      </c>
      <c r="N2136" s="10">
        <v>-0.34499579699999999</v>
      </c>
      <c r="O2136" s="9">
        <v>-2.6704077749999999E-2</v>
      </c>
      <c r="P2136" s="10">
        <v>0.39959384549106902</v>
      </c>
      <c r="Q2136" s="10">
        <v>0.15967524135434</v>
      </c>
    </row>
    <row r="2137" spans="1:17" x14ac:dyDescent="0.2">
      <c r="A2137" s="10">
        <v>1849</v>
      </c>
      <c r="B2137" s="10" t="s">
        <v>2825</v>
      </c>
      <c r="C2137" s="9" t="s">
        <v>2009</v>
      </c>
      <c r="D2137" s="10">
        <v>0.138588131</v>
      </c>
      <c r="E2137" s="10">
        <v>-0.624640262</v>
      </c>
      <c r="F2137" s="10">
        <v>0.51984314499999995</v>
      </c>
      <c r="G2137" s="10">
        <v>5.3801525000000003E-2</v>
      </c>
      <c r="H2137" s="9">
        <v>2.1898134749999999E-2</v>
      </c>
      <c r="I2137" s="10">
        <v>0.47630365427921501</v>
      </c>
      <c r="J2137" s="10">
        <v>0.226865171079733</v>
      </c>
      <c r="K2137" s="10">
        <v>2.3945780000000001E-3</v>
      </c>
      <c r="L2137" s="10">
        <v>1.215303902</v>
      </c>
      <c r="M2137" s="10">
        <v>0.28256610100000001</v>
      </c>
      <c r="N2137" s="10">
        <v>-8.1701814999999997E-2</v>
      </c>
      <c r="O2137" s="9">
        <v>0.35464069149999999</v>
      </c>
      <c r="P2137" s="10">
        <v>0.59453287432472701</v>
      </c>
      <c r="Q2137" s="10">
        <v>0.35346933865282198</v>
      </c>
    </row>
    <row r="2138" spans="1:17" x14ac:dyDescent="0.2">
      <c r="A2138" s="10">
        <v>1849</v>
      </c>
      <c r="B2138" s="10" t="s">
        <v>74</v>
      </c>
      <c r="C2138" s="9" t="s">
        <v>2010</v>
      </c>
      <c r="D2138" s="10">
        <v>0.48471797</v>
      </c>
      <c r="E2138" s="10">
        <v>5.1418261E-2</v>
      </c>
      <c r="F2138" s="10">
        <v>2.5782678999999999E-2</v>
      </c>
      <c r="G2138" s="10">
        <v>-0.393854657</v>
      </c>
      <c r="H2138" s="9">
        <v>4.2016063249999999E-2</v>
      </c>
      <c r="I2138" s="10">
        <v>0.35885010199156803</v>
      </c>
      <c r="J2138" s="10">
        <v>0.128773395699359</v>
      </c>
      <c r="K2138" s="10">
        <v>3.7065417000000003E-2</v>
      </c>
      <c r="L2138" s="10">
        <v>-0.23665615200000001</v>
      </c>
      <c r="M2138" s="10">
        <v>-0.60596030599999995</v>
      </c>
      <c r="N2138" s="10">
        <v>-0.17023259199999999</v>
      </c>
      <c r="O2138" s="9">
        <v>-0.24394590825000001</v>
      </c>
      <c r="P2138" s="10">
        <v>0.26802274942985299</v>
      </c>
      <c r="Q2138" s="10">
        <v>7.1836194211937807E-2</v>
      </c>
    </row>
    <row r="2139" spans="1:17" x14ac:dyDescent="0.2">
      <c r="A2139" s="10">
        <v>1849</v>
      </c>
      <c r="B2139" s="10" t="s">
        <v>2818</v>
      </c>
      <c r="C2139" s="9" t="s">
        <v>2011</v>
      </c>
      <c r="D2139" s="10">
        <v>0.10954847299999999</v>
      </c>
      <c r="E2139" s="10">
        <v>-0.57958246999999996</v>
      </c>
      <c r="F2139" s="10">
        <v>0.38766998800000002</v>
      </c>
      <c r="G2139" s="10">
        <v>-0.304580933</v>
      </c>
      <c r="H2139" s="9">
        <v>-9.6736235249999997E-2</v>
      </c>
      <c r="I2139" s="10">
        <v>0.42955119011054499</v>
      </c>
      <c r="J2139" s="10">
        <v>0.184514224925385</v>
      </c>
      <c r="K2139" s="10">
        <v>-0.22113571600000001</v>
      </c>
      <c r="L2139" s="10">
        <v>0.31615904900000003</v>
      </c>
      <c r="M2139" s="10">
        <v>-0.29183733899999997</v>
      </c>
      <c r="N2139" s="10">
        <v>-2.5284414000000002E-2</v>
      </c>
      <c r="O2139" s="9">
        <v>-5.5524604749999998E-2</v>
      </c>
      <c r="P2139" s="10">
        <v>0.27223394114848898</v>
      </c>
      <c r="Q2139" s="10">
        <v>7.4111318713239102E-2</v>
      </c>
    </row>
    <row r="2140" spans="1:17" x14ac:dyDescent="0.2">
      <c r="A2140" s="10">
        <v>1849</v>
      </c>
      <c r="B2140" s="10" t="s">
        <v>2830</v>
      </c>
      <c r="C2140" s="9" t="s">
        <v>2012</v>
      </c>
      <c r="D2140" s="10">
        <v>-0.12889827500000001</v>
      </c>
      <c r="E2140" s="10">
        <v>-0.20619243000000001</v>
      </c>
      <c r="F2140" s="10">
        <v>0.163742942</v>
      </c>
      <c r="G2140" s="10">
        <v>-0.99703734499999996</v>
      </c>
      <c r="H2140" s="9">
        <v>-0.29209627724999998</v>
      </c>
      <c r="I2140" s="10">
        <v>0.49623393734464299</v>
      </c>
      <c r="J2140" s="10">
        <v>0.24624812057256701</v>
      </c>
      <c r="K2140" s="10">
        <v>-0.33838981400000001</v>
      </c>
      <c r="L2140" s="10">
        <v>-0.23315655299999999</v>
      </c>
      <c r="M2140" s="10">
        <v>-0.94319580700000005</v>
      </c>
      <c r="N2140" s="10">
        <v>-0.85165760999999995</v>
      </c>
      <c r="O2140" s="9">
        <v>-0.59159994625000001</v>
      </c>
      <c r="P2140" s="10">
        <v>0.35769944320629299</v>
      </c>
      <c r="Q2140" s="10">
        <v>0.12794889167009199</v>
      </c>
    </row>
    <row r="2141" spans="1:17" x14ac:dyDescent="0.2">
      <c r="A2141" s="10">
        <v>1850</v>
      </c>
      <c r="B2141" s="10" t="s">
        <v>2822</v>
      </c>
      <c r="C2141" s="9" t="s">
        <v>2013</v>
      </c>
      <c r="D2141" s="10">
        <v>-0.73974366999999996</v>
      </c>
      <c r="E2141" s="10">
        <v>0.64551039499999996</v>
      </c>
      <c r="F2141" s="10">
        <v>0.74614532899999997</v>
      </c>
      <c r="G2141" s="10">
        <v>-0.28567045299999999</v>
      </c>
      <c r="H2141" s="9">
        <v>9.15604005E-2</v>
      </c>
      <c r="I2141" s="10">
        <v>0.72312092107477799</v>
      </c>
      <c r="J2141" s="10">
        <v>0.52290386649603504</v>
      </c>
      <c r="K2141" s="10">
        <v>-0.79459125900000005</v>
      </c>
      <c r="L2141" s="10">
        <v>7.6974820999999999E-2</v>
      </c>
      <c r="M2141" s="10">
        <v>0.21859247800000001</v>
      </c>
      <c r="N2141" s="10">
        <v>-0.48258214500000002</v>
      </c>
      <c r="O2141" s="9">
        <v>-0.24540152600000001</v>
      </c>
      <c r="P2141" s="10">
        <v>0.47507225896518401</v>
      </c>
      <c r="Q2141" s="10">
        <v>0.225693651238283</v>
      </c>
    </row>
    <row r="2142" spans="1:17" x14ac:dyDescent="0.2">
      <c r="A2142" s="10">
        <v>1850</v>
      </c>
      <c r="B2142" s="10" t="s">
        <v>2825</v>
      </c>
      <c r="C2142" s="9" t="s">
        <v>2018</v>
      </c>
      <c r="D2142" s="10">
        <v>0.29748527499999999</v>
      </c>
      <c r="E2142" s="10">
        <v>0.75968422899999999</v>
      </c>
      <c r="F2142" s="10">
        <v>-0.149641939</v>
      </c>
      <c r="G2142" s="10">
        <v>0.69150040800000001</v>
      </c>
      <c r="H2142" s="9">
        <v>0.399756993</v>
      </c>
      <c r="I2142" s="10">
        <v>0.41911037774309201</v>
      </c>
      <c r="J2142" s="10">
        <v>0.17565350873195701</v>
      </c>
      <c r="K2142" s="10">
        <v>-0.11549163699999999</v>
      </c>
      <c r="L2142" s="10">
        <v>-0.39463439099999997</v>
      </c>
      <c r="M2142" s="10">
        <v>0.65945500400000001</v>
      </c>
      <c r="N2142" s="10">
        <v>0.90717176700000002</v>
      </c>
      <c r="O2142" s="9">
        <v>0.26412518574999999</v>
      </c>
      <c r="P2142" s="10">
        <v>0.61856492058353196</v>
      </c>
      <c r="Q2142" s="10">
        <v>0.38262256097651098</v>
      </c>
    </row>
    <row r="2143" spans="1:17" x14ac:dyDescent="0.2">
      <c r="A2143" s="10">
        <v>1850</v>
      </c>
      <c r="B2143" s="10" t="s">
        <v>74</v>
      </c>
      <c r="C2143" s="9" t="s">
        <v>2019</v>
      </c>
      <c r="D2143" s="10">
        <v>-0.105854793</v>
      </c>
      <c r="E2143" s="10">
        <v>-0.37057322999999998</v>
      </c>
      <c r="F2143" s="10">
        <v>1.0543749999999999E-2</v>
      </c>
      <c r="G2143" s="10">
        <v>-0.13582246100000001</v>
      </c>
      <c r="H2143" s="9">
        <v>-0.15042668325</v>
      </c>
      <c r="I2143" s="10">
        <v>0.159766411921308</v>
      </c>
      <c r="J2143" s="10">
        <v>2.5525306378209298E-2</v>
      </c>
      <c r="K2143" s="10">
        <v>-0.71756605500000004</v>
      </c>
      <c r="L2143" s="10">
        <v>-1.3715858700000001</v>
      </c>
      <c r="M2143" s="10">
        <v>-5.1246167000000002E-2</v>
      </c>
      <c r="N2143" s="10">
        <v>-8.0983867000000001E-2</v>
      </c>
      <c r="O2143" s="9">
        <v>-0.55534548974999998</v>
      </c>
      <c r="P2143" s="10">
        <v>0.62495305063012896</v>
      </c>
      <c r="Q2143" s="10">
        <v>0.39056631549190501</v>
      </c>
    </row>
    <row r="2144" spans="1:17" x14ac:dyDescent="0.2">
      <c r="A2144" s="10">
        <v>1850</v>
      </c>
      <c r="B2144" s="10" t="s">
        <v>2830</v>
      </c>
      <c r="C2144" s="9" t="s">
        <v>2020</v>
      </c>
      <c r="D2144" s="10">
        <v>0.84163794599999997</v>
      </c>
      <c r="E2144" s="10">
        <v>5.1127743000000003E-2</v>
      </c>
      <c r="F2144" s="10">
        <v>-0.20669574399999999</v>
      </c>
      <c r="G2144" s="10">
        <v>-0.44942197900000003</v>
      </c>
      <c r="H2144" s="9">
        <v>5.9161991749999997E-2</v>
      </c>
      <c r="I2144" s="10">
        <v>0.56025921354743702</v>
      </c>
      <c r="J2144" s="10">
        <v>0.313890386364792</v>
      </c>
      <c r="K2144" s="10">
        <v>-0.231346938</v>
      </c>
      <c r="L2144" s="10">
        <v>-0.60437800399999997</v>
      </c>
      <c r="M2144" s="10">
        <v>-8.9080667000000002E-2</v>
      </c>
      <c r="N2144" s="10">
        <v>-0.52359179300000003</v>
      </c>
      <c r="O2144" s="9">
        <v>-0.36209935049999997</v>
      </c>
      <c r="P2144" s="10">
        <v>0.24249683835810601</v>
      </c>
      <c r="Q2144" s="10">
        <v>5.8804716613677303E-2</v>
      </c>
    </row>
    <row r="2145" spans="1:17" x14ac:dyDescent="0.2">
      <c r="A2145" s="10">
        <v>1850</v>
      </c>
      <c r="B2145" s="10" t="s">
        <v>2835</v>
      </c>
      <c r="C2145" s="9" t="s">
        <v>2021</v>
      </c>
      <c r="D2145" s="10">
        <v>0.43072321600000002</v>
      </c>
      <c r="E2145" s="10">
        <v>3.2815434999999997E-2</v>
      </c>
      <c r="F2145" s="10">
        <v>0.35806182600000003</v>
      </c>
      <c r="G2145" s="10">
        <v>-0.38839210499999999</v>
      </c>
      <c r="H2145" s="9">
        <v>0.10830209275</v>
      </c>
      <c r="I2145" s="10">
        <v>0.37360347368463798</v>
      </c>
      <c r="J2145" s="10">
        <v>0.13957955554922799</v>
      </c>
      <c r="K2145" s="10">
        <v>-0.89391806100000004</v>
      </c>
      <c r="L2145" s="10">
        <v>-0.255399553</v>
      </c>
      <c r="M2145" s="10">
        <v>-0.146410494</v>
      </c>
      <c r="N2145" s="10">
        <v>-0.71761369200000003</v>
      </c>
      <c r="O2145" s="9">
        <v>-0.50333545000000002</v>
      </c>
      <c r="P2145" s="10">
        <v>0.359322313179956</v>
      </c>
      <c r="Q2145" s="10">
        <v>0.12911252474899401</v>
      </c>
    </row>
    <row r="2146" spans="1:17" x14ac:dyDescent="0.2">
      <c r="A2146" s="10">
        <v>1851</v>
      </c>
      <c r="B2146" s="10" t="s">
        <v>2821</v>
      </c>
      <c r="C2146" s="9" t="s">
        <v>2024</v>
      </c>
      <c r="D2146" s="10">
        <v>0.20381506599999999</v>
      </c>
      <c r="E2146" s="10">
        <v>1.2099960999999999E-2</v>
      </c>
      <c r="F2146" s="10">
        <v>0.73297677800000005</v>
      </c>
      <c r="G2146" s="10">
        <v>0.13278045099999999</v>
      </c>
      <c r="H2146" s="9">
        <v>0.27041806400000001</v>
      </c>
      <c r="I2146" s="10">
        <v>0.31836503058061</v>
      </c>
      <c r="J2146" s="10">
        <v>0.10135629269659201</v>
      </c>
      <c r="K2146" s="10">
        <v>7.5535386999999996E-2</v>
      </c>
      <c r="L2146" s="10">
        <v>0.45593407800000002</v>
      </c>
      <c r="M2146" s="10">
        <v>9.8305528000000003E-2</v>
      </c>
      <c r="N2146" s="10">
        <v>0.60607033700000001</v>
      </c>
      <c r="O2146" s="9">
        <v>0.30896133250000002</v>
      </c>
      <c r="P2146" s="10">
        <v>0.26377913013030402</v>
      </c>
      <c r="Q2146" s="10">
        <v>6.9579429492299893E-2</v>
      </c>
    </row>
    <row r="2147" spans="1:17" x14ac:dyDescent="0.2">
      <c r="A2147" s="10">
        <v>1851</v>
      </c>
      <c r="B2147" s="10" t="s">
        <v>2824</v>
      </c>
      <c r="C2147" s="9" t="s">
        <v>2026</v>
      </c>
      <c r="D2147" s="10">
        <v>-6.0088303000000003E-2</v>
      </c>
      <c r="E2147" s="10">
        <v>0.64069278200000002</v>
      </c>
      <c r="F2147" s="10">
        <v>0.83608343799999996</v>
      </c>
      <c r="G2147" s="10">
        <v>-0.94980707200000003</v>
      </c>
      <c r="H2147" s="9">
        <v>0.11672021125</v>
      </c>
      <c r="I2147" s="10">
        <v>0.80844962810028198</v>
      </c>
      <c r="J2147" s="10">
        <v>0.65359080117548396</v>
      </c>
      <c r="K2147" s="10">
        <v>-0.54178099000000002</v>
      </c>
      <c r="L2147" s="10">
        <v>0.105545471</v>
      </c>
      <c r="M2147" s="10">
        <v>-0.74667552199999998</v>
      </c>
      <c r="N2147" s="10">
        <v>0.15657185100000001</v>
      </c>
      <c r="O2147" s="9">
        <v>-0.25658479774999998</v>
      </c>
      <c r="P2147" s="10">
        <v>0.455837154409725</v>
      </c>
      <c r="Q2147" s="10">
        <v>0.207787511340355</v>
      </c>
    </row>
    <row r="2148" spans="1:17" x14ac:dyDescent="0.2">
      <c r="A2148" s="10">
        <v>1851</v>
      </c>
      <c r="B2148" s="10" t="s">
        <v>82</v>
      </c>
      <c r="C2148" s="9" t="s">
        <v>2027</v>
      </c>
      <c r="D2148" s="10">
        <v>-0.37644591300000002</v>
      </c>
      <c r="E2148" s="10">
        <v>-0.729197345</v>
      </c>
      <c r="F2148" s="10">
        <v>-0.489324229</v>
      </c>
      <c r="G2148" s="10">
        <v>-0.463077611</v>
      </c>
      <c r="H2148" s="9">
        <v>-0.5145112745</v>
      </c>
      <c r="I2148" s="10">
        <v>0.151031963410516</v>
      </c>
      <c r="J2148" s="10">
        <v>2.2810653971635599E-2</v>
      </c>
      <c r="K2148" s="10">
        <v>6.5717565000000006E-2</v>
      </c>
      <c r="L2148" s="10">
        <v>-0.435596922</v>
      </c>
      <c r="M2148" s="10">
        <v>-0.67107779999999995</v>
      </c>
      <c r="N2148" s="10">
        <v>-0.20586763899999999</v>
      </c>
      <c r="O2148" s="9">
        <v>-0.31170619900000002</v>
      </c>
      <c r="P2148" s="10">
        <v>0.31524982541129998</v>
      </c>
      <c r="Q2148" s="10">
        <v>9.9382452421855699E-2</v>
      </c>
    </row>
    <row r="2149" spans="1:17" x14ac:dyDescent="0.2">
      <c r="A2149" s="10">
        <v>1851</v>
      </c>
      <c r="B2149" s="10" t="s">
        <v>2814</v>
      </c>
      <c r="C2149" s="9" t="s">
        <v>2028</v>
      </c>
      <c r="D2149" s="10">
        <v>0.45066321100000001</v>
      </c>
      <c r="E2149" s="10">
        <v>-1.4092733E-2</v>
      </c>
      <c r="F2149" s="10">
        <v>-2.3058617999999999E-2</v>
      </c>
      <c r="G2149" s="10">
        <v>-1.4539414000000001E-2</v>
      </c>
      <c r="H2149" s="9">
        <v>9.9743111250000002E-2</v>
      </c>
      <c r="I2149" s="10">
        <v>0.23398310204582901</v>
      </c>
      <c r="J2149" s="10">
        <v>5.4748092042989097E-2</v>
      </c>
      <c r="K2149" s="10">
        <v>-7.1229815000000002E-2</v>
      </c>
      <c r="L2149" s="10">
        <v>-1.1476760000000001E-2</v>
      </c>
      <c r="M2149" s="10">
        <v>0.173216499</v>
      </c>
      <c r="N2149" s="10">
        <v>-0.48161862999999999</v>
      </c>
      <c r="O2149" s="9">
        <v>-9.7777176499999993E-2</v>
      </c>
      <c r="P2149" s="10">
        <v>0.27623924285341001</v>
      </c>
      <c r="Q2149" s="10">
        <v>7.6308119292225696E-2</v>
      </c>
    </row>
    <row r="2150" spans="1:17" x14ac:dyDescent="0.2">
      <c r="A2150" s="10">
        <v>1851</v>
      </c>
      <c r="B2150" s="10" t="s">
        <v>2825</v>
      </c>
      <c r="C2150" s="9" t="s">
        <v>2029</v>
      </c>
      <c r="D2150" s="10">
        <v>9.7110718999999998E-2</v>
      </c>
      <c r="E2150" s="10">
        <v>0.15911914299999999</v>
      </c>
      <c r="F2150" s="10">
        <v>0.64462829399999999</v>
      </c>
      <c r="G2150" s="10">
        <v>2.3351790000000002E-3</v>
      </c>
      <c r="H2150" s="9">
        <v>0.22579833375</v>
      </c>
      <c r="I2150" s="10">
        <v>0.28656641685245099</v>
      </c>
      <c r="J2150" s="10">
        <v>8.2120311267652693E-2</v>
      </c>
      <c r="K2150" s="10">
        <v>-0.42495129100000001</v>
      </c>
      <c r="L2150" s="10">
        <v>8.3200029999999994E-3</v>
      </c>
      <c r="M2150" s="10">
        <v>0.149375331</v>
      </c>
      <c r="N2150" s="10">
        <v>-0.18871394699999999</v>
      </c>
      <c r="O2150" s="9">
        <v>-0.113992476</v>
      </c>
      <c r="P2150" s="10">
        <v>0.24940036563574</v>
      </c>
      <c r="Q2150" s="10">
        <v>6.22005423792409E-2</v>
      </c>
    </row>
    <row r="2151" spans="1:17" x14ac:dyDescent="0.2">
      <c r="A2151" s="10">
        <v>1852</v>
      </c>
      <c r="B2151" s="10" t="s">
        <v>2833</v>
      </c>
      <c r="C2151" s="9" t="s">
        <v>2032</v>
      </c>
      <c r="D2151" s="10">
        <v>3.7134324000000003E-2</v>
      </c>
      <c r="E2151" s="10">
        <v>0.76025315800000004</v>
      </c>
      <c r="F2151" s="10">
        <v>0.14828940700000001</v>
      </c>
      <c r="G2151" s="10">
        <v>0.22291966799999999</v>
      </c>
      <c r="H2151" s="9">
        <v>0.29214913925000002</v>
      </c>
      <c r="I2151" s="10">
        <v>0.32126949778417502</v>
      </c>
      <c r="J2151" s="10">
        <v>0.103214090206496</v>
      </c>
      <c r="K2151" s="10">
        <v>-0.38460433700000002</v>
      </c>
      <c r="L2151" s="10">
        <v>0.85589332900000004</v>
      </c>
      <c r="M2151" s="10">
        <v>-7.5912530000000001E-3</v>
      </c>
      <c r="N2151" s="10">
        <v>1.022734024</v>
      </c>
      <c r="O2151" s="9">
        <v>0.37160794074999998</v>
      </c>
      <c r="P2151" s="10">
        <v>0.676793063183873</v>
      </c>
      <c r="Q2151" s="10">
        <v>0.45804885037380999</v>
      </c>
    </row>
    <row r="2152" spans="1:17" x14ac:dyDescent="0.2">
      <c r="A2152" s="10">
        <v>1852</v>
      </c>
      <c r="B2152" s="10" t="s">
        <v>2825</v>
      </c>
      <c r="C2152" s="9" t="s">
        <v>2033</v>
      </c>
      <c r="D2152" s="10">
        <v>0.88061277599999999</v>
      </c>
      <c r="E2152" s="10">
        <v>-0.195547098</v>
      </c>
      <c r="F2152" s="10">
        <v>8.2083935999999996E-2</v>
      </c>
      <c r="G2152" s="10">
        <v>-1.0832374920000001</v>
      </c>
      <c r="H2152" s="9">
        <v>-7.9021969499999997E-2</v>
      </c>
      <c r="I2152" s="10">
        <v>0.81011951356157197</v>
      </c>
      <c r="J2152" s="10">
        <v>0.65629362625323795</v>
      </c>
      <c r="K2152" s="10">
        <v>0.33989519000000001</v>
      </c>
      <c r="L2152" s="10">
        <v>1.6191932999999999E-2</v>
      </c>
      <c r="M2152" s="10">
        <v>-0.32878648700000002</v>
      </c>
      <c r="N2152" s="10">
        <v>-0.235134383</v>
      </c>
      <c r="O2152" s="9">
        <v>-5.1958436750000003E-2</v>
      </c>
      <c r="P2152" s="10">
        <v>0.299099166600861</v>
      </c>
      <c r="Q2152" s="10">
        <v>8.9460311461329795E-2</v>
      </c>
    </row>
    <row r="2153" spans="1:17" x14ac:dyDescent="0.2">
      <c r="A2153" s="10">
        <v>1853</v>
      </c>
      <c r="B2153" s="10" t="s">
        <v>2831</v>
      </c>
      <c r="C2153" s="9" t="s">
        <v>2034</v>
      </c>
      <c r="D2153" s="10">
        <v>-0.91475828699999995</v>
      </c>
      <c r="E2153" s="10">
        <v>-0.49725024000000001</v>
      </c>
      <c r="F2153" s="10">
        <v>-1.0167465499999999</v>
      </c>
      <c r="G2153" s="10">
        <v>-0.71413870499999998</v>
      </c>
      <c r="H2153" s="9">
        <v>-0.78572344549999995</v>
      </c>
      <c r="I2153" s="10">
        <v>0.22975554436374701</v>
      </c>
      <c r="J2153" s="10">
        <v>5.27876101658818E-2</v>
      </c>
      <c r="K2153" s="10">
        <v>-9.9035525999999999E-2</v>
      </c>
      <c r="L2153" s="10">
        <v>-0.34192798499999999</v>
      </c>
      <c r="M2153" s="10">
        <v>-0.50414532999999995</v>
      </c>
      <c r="N2153" s="10">
        <v>-0.85050566800000005</v>
      </c>
      <c r="O2153" s="9">
        <v>-0.44890362750000001</v>
      </c>
      <c r="P2153" s="10">
        <v>0.31527095286666401</v>
      </c>
      <c r="Q2153" s="10">
        <v>9.9395773721454694E-2</v>
      </c>
    </row>
    <row r="2154" spans="1:17" x14ac:dyDescent="0.2">
      <c r="A2154" s="10">
        <v>1853</v>
      </c>
      <c r="B2154" s="10" t="s">
        <v>2821</v>
      </c>
      <c r="C2154" s="9" t="s">
        <v>2038</v>
      </c>
      <c r="D2154" s="10">
        <v>-0.16776897199999999</v>
      </c>
      <c r="E2154" s="10">
        <v>-0.53068333499999998</v>
      </c>
      <c r="F2154" s="10">
        <v>-2.0630960639999998</v>
      </c>
      <c r="G2154" s="10">
        <v>-0.287955768</v>
      </c>
      <c r="H2154" s="9">
        <v>-0.76237603475000004</v>
      </c>
      <c r="I2154" s="10">
        <v>0.88018676998784096</v>
      </c>
      <c r="J2154" s="10">
        <v>0.774728750061629</v>
      </c>
      <c r="K2154" s="10">
        <v>8.4049844999999998E-2</v>
      </c>
      <c r="L2154" s="10">
        <v>-0.67712084400000006</v>
      </c>
      <c r="M2154" s="10">
        <v>-7.9844570000000004E-2</v>
      </c>
      <c r="N2154" s="10">
        <v>-7.7690575999999997E-2</v>
      </c>
      <c r="O2154" s="9">
        <v>-0.18765153625</v>
      </c>
      <c r="P2154" s="10">
        <v>0.33521913159084099</v>
      </c>
      <c r="Q2154" s="10">
        <v>0.112371866184517</v>
      </c>
    </row>
    <row r="2155" spans="1:17" x14ac:dyDescent="0.2">
      <c r="A2155" s="10">
        <v>1853</v>
      </c>
      <c r="B2155" s="10" t="s">
        <v>2824</v>
      </c>
      <c r="C2155" s="9" t="s">
        <v>2039</v>
      </c>
      <c r="D2155" s="10">
        <v>-1.0963270970000001</v>
      </c>
      <c r="E2155" s="10">
        <v>-1.164685808</v>
      </c>
      <c r="F2155" s="10">
        <v>-1.765690212</v>
      </c>
      <c r="G2155" s="10">
        <v>-0.205766536</v>
      </c>
      <c r="H2155" s="9">
        <v>-1.05811741325</v>
      </c>
      <c r="I2155" s="10">
        <v>0.64290436981239496</v>
      </c>
      <c r="J2155" s="10">
        <v>0.41332602872387297</v>
      </c>
      <c r="K2155" s="10">
        <v>0.14860955300000001</v>
      </c>
      <c r="L2155" s="10">
        <v>0.58268480700000003</v>
      </c>
      <c r="M2155" s="10">
        <v>-0.26390327800000002</v>
      </c>
      <c r="N2155" s="10">
        <v>-0.39420982900000001</v>
      </c>
      <c r="O2155" s="9">
        <v>1.82953135E-2</v>
      </c>
      <c r="P2155" s="10">
        <v>0.44170647834022803</v>
      </c>
      <c r="Q2155" s="10">
        <v>0.195104613007726</v>
      </c>
    </row>
    <row r="2156" spans="1:17" x14ac:dyDescent="0.2">
      <c r="A2156" s="10">
        <v>1853</v>
      </c>
      <c r="B2156" s="10" t="s">
        <v>2814</v>
      </c>
      <c r="C2156" s="9" t="s">
        <v>2040</v>
      </c>
      <c r="D2156" s="10">
        <v>-0.90050976599999999</v>
      </c>
      <c r="E2156" s="10">
        <v>0.30068246999999998</v>
      </c>
      <c r="F2156" s="10">
        <v>-1.0426711369999999</v>
      </c>
      <c r="G2156" s="10">
        <v>-0.145602552</v>
      </c>
      <c r="H2156" s="9">
        <v>-0.44702524625000001</v>
      </c>
      <c r="I2156" s="10">
        <v>0.63518099949777196</v>
      </c>
      <c r="J2156" s="10">
        <v>0.40345490212298901</v>
      </c>
      <c r="K2156" s="10">
        <v>-0.11433987900000001</v>
      </c>
      <c r="L2156" s="10">
        <v>1.2794289999999999E-3</v>
      </c>
      <c r="M2156" s="10">
        <v>-8.2860341000000004E-2</v>
      </c>
      <c r="N2156" s="10">
        <v>-0.26185842500000001</v>
      </c>
      <c r="O2156" s="9">
        <v>-0.11444480375</v>
      </c>
      <c r="P2156" s="10">
        <v>0.109727637162846</v>
      </c>
      <c r="Q2156" s="10">
        <v>1.20401543573413E-2</v>
      </c>
    </row>
    <row r="2157" spans="1:17" x14ac:dyDescent="0.2">
      <c r="A2157" s="10">
        <v>1853</v>
      </c>
      <c r="B2157" s="10" t="s">
        <v>2825</v>
      </c>
      <c r="C2157" s="9" t="s">
        <v>2042</v>
      </c>
      <c r="D2157" s="10">
        <v>-1.506816269</v>
      </c>
      <c r="E2157" s="10">
        <v>-1.067785022</v>
      </c>
      <c r="F2157" s="10">
        <v>-1.0713370719999999</v>
      </c>
      <c r="G2157" s="10">
        <v>0.42781557799999997</v>
      </c>
      <c r="H2157" s="9">
        <v>-0.80453069624999995</v>
      </c>
      <c r="I2157" s="10">
        <v>0.84702830482371105</v>
      </c>
      <c r="J2157" s="10">
        <v>0.717456949172529</v>
      </c>
      <c r="K2157" s="10">
        <v>-2.1611991000000001E-2</v>
      </c>
      <c r="L2157" s="10">
        <v>0.65252113099999998</v>
      </c>
      <c r="M2157" s="10">
        <v>-0.61144238500000003</v>
      </c>
      <c r="N2157" s="10">
        <v>-0.90271811599999996</v>
      </c>
      <c r="O2157" s="9">
        <v>-0.2208128405</v>
      </c>
      <c r="P2157" s="10">
        <v>0.68798726974862201</v>
      </c>
      <c r="Q2157" s="10">
        <v>0.47332648333616401</v>
      </c>
    </row>
    <row r="2158" spans="1:17" x14ac:dyDescent="0.2">
      <c r="A2158" s="10">
        <v>1853</v>
      </c>
      <c r="B2158" s="10" t="s">
        <v>2818</v>
      </c>
      <c r="C2158" s="9" t="s">
        <v>2043</v>
      </c>
      <c r="D2158" s="10">
        <v>-3.657064707</v>
      </c>
      <c r="E2158" s="10">
        <v>-1.0884076890000001</v>
      </c>
      <c r="F2158" s="10">
        <v>-1.1139408580000001</v>
      </c>
      <c r="G2158" s="10">
        <v>-1.3388412329999999</v>
      </c>
      <c r="H2158" s="9">
        <v>-1.79956362175</v>
      </c>
      <c r="I2158" s="10">
        <v>1.2434356619273501</v>
      </c>
      <c r="J2158" s="10">
        <v>1.54613224535271</v>
      </c>
      <c r="K2158" s="10">
        <v>0.421391866</v>
      </c>
      <c r="L2158" s="10">
        <v>1.135505942</v>
      </c>
      <c r="M2158" s="10">
        <v>-0.88535196100000002</v>
      </c>
      <c r="N2158" s="10">
        <v>-1.6308621969999999</v>
      </c>
      <c r="O2158" s="9">
        <v>-0.23982908775</v>
      </c>
      <c r="P2158" s="10">
        <v>1.2490573091541399</v>
      </c>
      <c r="Q2158" s="10">
        <v>1.56014416155138</v>
      </c>
    </row>
    <row r="2159" spans="1:17" x14ac:dyDescent="0.2">
      <c r="A2159" s="10">
        <v>1853</v>
      </c>
      <c r="B2159" s="10" t="s">
        <v>2835</v>
      </c>
      <c r="C2159" s="9" t="s">
        <v>2044</v>
      </c>
      <c r="D2159" s="10">
        <v>-1.6638136859999999</v>
      </c>
      <c r="E2159" s="10">
        <v>-0.38363424299999999</v>
      </c>
      <c r="F2159" s="10">
        <v>-0.88565716999999999</v>
      </c>
      <c r="G2159" s="10">
        <v>-0.27317423600000001</v>
      </c>
      <c r="H2159" s="9">
        <v>-0.80156983375000002</v>
      </c>
      <c r="I2159" s="10">
        <v>0.63361586854015095</v>
      </c>
      <c r="J2159" s="10">
        <v>0.40146906886589001</v>
      </c>
      <c r="K2159" s="10">
        <v>-0.243416734</v>
      </c>
      <c r="L2159" s="10">
        <v>0.41480906200000001</v>
      </c>
      <c r="M2159" s="10">
        <v>-5.1970665999999999E-2</v>
      </c>
      <c r="N2159" s="10">
        <v>-6.0118106999999997E-2</v>
      </c>
      <c r="O2159" s="9">
        <v>1.48258885E-2</v>
      </c>
      <c r="P2159" s="10">
        <v>0.28092357994858302</v>
      </c>
      <c r="Q2159" s="10">
        <v>7.8918057771127995E-2</v>
      </c>
    </row>
    <row r="2160" spans="1:17" x14ac:dyDescent="0.2">
      <c r="A2160" s="10">
        <v>1854</v>
      </c>
      <c r="B2160" s="10" t="s">
        <v>2831</v>
      </c>
      <c r="C2160" s="9" t="s">
        <v>2045</v>
      </c>
      <c r="D2160" s="10">
        <v>-4.0499258759999996</v>
      </c>
      <c r="E2160" s="10">
        <v>-1.536736833</v>
      </c>
      <c r="F2160" s="10">
        <v>-0.949157955</v>
      </c>
      <c r="G2160" s="10">
        <v>-0.95569378599999999</v>
      </c>
      <c r="H2160" s="9">
        <v>-1.8728786127499999</v>
      </c>
      <c r="I2160" s="10">
        <v>1.4772738340709799</v>
      </c>
      <c r="J2160" s="10">
        <v>2.1823379808307699</v>
      </c>
      <c r="K2160" s="10">
        <v>0.48002419200000002</v>
      </c>
      <c r="L2160" s="10">
        <v>0.64862816400000001</v>
      </c>
      <c r="M2160" s="10">
        <v>-0.25148163200000001</v>
      </c>
      <c r="N2160" s="10">
        <v>0.112980733</v>
      </c>
      <c r="O2160" s="9">
        <v>0.24753786424999999</v>
      </c>
      <c r="P2160" s="10">
        <v>0.40085300728656897</v>
      </c>
      <c r="Q2160" s="10">
        <v>0.16068313345068599</v>
      </c>
    </row>
    <row r="2161" spans="1:17" x14ac:dyDescent="0.2">
      <c r="A2161" s="10">
        <v>1854</v>
      </c>
      <c r="B2161" s="10" t="s">
        <v>2822</v>
      </c>
      <c r="C2161" s="9" t="s">
        <v>2046</v>
      </c>
      <c r="D2161" s="10">
        <v>-0.81792971299999995</v>
      </c>
      <c r="E2161" s="10">
        <v>0.72533292599999999</v>
      </c>
      <c r="F2161" s="10">
        <v>1.9641814E-2</v>
      </c>
      <c r="G2161" s="10">
        <v>0.741548926</v>
      </c>
      <c r="H2161" s="9">
        <v>0.16714848825</v>
      </c>
      <c r="I2161" s="10">
        <v>0.73793473310311697</v>
      </c>
      <c r="J2161" s="10">
        <v>0.54454767031996798</v>
      </c>
      <c r="K2161" s="10">
        <v>-0.67867097499999995</v>
      </c>
      <c r="L2161" s="10">
        <v>0.57629267699999998</v>
      </c>
      <c r="M2161" s="10">
        <v>0.46820412700000003</v>
      </c>
      <c r="N2161" s="10">
        <v>-0.54427709199999996</v>
      </c>
      <c r="O2161" s="9">
        <v>-4.46128155E-2</v>
      </c>
      <c r="P2161" s="10">
        <v>0.65833096690811199</v>
      </c>
      <c r="Q2161" s="10">
        <v>0.43339966199016999</v>
      </c>
    </row>
    <row r="2162" spans="1:17" x14ac:dyDescent="0.2">
      <c r="A2162" s="10">
        <v>1854</v>
      </c>
      <c r="B2162" s="10" t="s">
        <v>2819</v>
      </c>
      <c r="C2162" s="9" t="s">
        <v>2047</v>
      </c>
      <c r="D2162" s="10">
        <v>9.3939211999999994E-2</v>
      </c>
      <c r="E2162" s="10">
        <v>1.072199237</v>
      </c>
      <c r="F2162" s="10">
        <v>0.79906997400000002</v>
      </c>
      <c r="G2162" s="10">
        <v>0.28111852199999998</v>
      </c>
      <c r="H2162" s="9">
        <v>0.56158173600000005</v>
      </c>
      <c r="I2162" s="10">
        <v>0.45257781657822099</v>
      </c>
      <c r="J2162" s="10">
        <v>0.20482668005870999</v>
      </c>
      <c r="K2162" s="10">
        <v>-0.291904471</v>
      </c>
      <c r="L2162" s="10">
        <v>-0.25874331</v>
      </c>
      <c r="M2162" s="10">
        <v>9.6768386999999997E-2</v>
      </c>
      <c r="N2162" s="10">
        <v>-0.18944614600000001</v>
      </c>
      <c r="O2162" s="9">
        <v>-0.16083138499999999</v>
      </c>
      <c r="P2162" s="10">
        <v>0.17695888977604199</v>
      </c>
      <c r="Q2162" s="10">
        <v>3.1314448670769303E-2</v>
      </c>
    </row>
    <row r="2163" spans="1:17" x14ac:dyDescent="0.2">
      <c r="A2163" s="10">
        <v>1854</v>
      </c>
      <c r="B2163" s="10" t="s">
        <v>2821</v>
      </c>
      <c r="C2163" s="9" t="s">
        <v>2049</v>
      </c>
      <c r="D2163" s="10">
        <v>-0.17953068999999999</v>
      </c>
      <c r="E2163" s="10">
        <v>0.18294729700000001</v>
      </c>
      <c r="F2163" s="10">
        <v>0.53558531700000001</v>
      </c>
      <c r="G2163" s="10">
        <v>7.0230226000000007E-2</v>
      </c>
      <c r="H2163" s="9">
        <v>0.15230803749999999</v>
      </c>
      <c r="I2163" s="10">
        <v>0.29703756519621</v>
      </c>
      <c r="J2163" s="10">
        <v>8.8231315137692695E-2</v>
      </c>
      <c r="K2163" s="10">
        <v>-0.57037306600000004</v>
      </c>
      <c r="L2163" s="10">
        <v>-0.45793479300000001</v>
      </c>
      <c r="M2163" s="10">
        <v>0.45167044099999998</v>
      </c>
      <c r="N2163" s="10">
        <v>-0.51965435299999996</v>
      </c>
      <c r="O2163" s="9">
        <v>-0.27407294274999999</v>
      </c>
      <c r="P2163" s="10">
        <v>0.48600844681706101</v>
      </c>
      <c r="Q2163" s="10">
        <v>0.236204210377532</v>
      </c>
    </row>
    <row r="2164" spans="1:17" x14ac:dyDescent="0.2">
      <c r="A2164" s="10">
        <v>1854</v>
      </c>
      <c r="B2164" s="10" t="s">
        <v>2818</v>
      </c>
      <c r="C2164" s="9" t="s">
        <v>2055</v>
      </c>
      <c r="D2164" s="10">
        <v>7.8209851999999996E-2</v>
      </c>
      <c r="E2164" s="10">
        <v>-0.49282561499999999</v>
      </c>
      <c r="F2164" s="10">
        <v>0.24726377499999999</v>
      </c>
      <c r="G2164" s="10">
        <v>0.40310238700000001</v>
      </c>
      <c r="H2164" s="9">
        <v>5.893759975E-2</v>
      </c>
      <c r="I2164" s="10">
        <v>0.39103717381905101</v>
      </c>
      <c r="J2164" s="10">
        <v>0.15291007130839099</v>
      </c>
      <c r="K2164" s="10">
        <v>-0.861778194</v>
      </c>
      <c r="L2164" s="10">
        <v>0.37935594</v>
      </c>
      <c r="M2164" s="10">
        <v>0.68036139399999995</v>
      </c>
      <c r="N2164" s="10">
        <v>0.22790421199999999</v>
      </c>
      <c r="O2164" s="9">
        <v>0.106460838</v>
      </c>
      <c r="P2164" s="10">
        <v>0.67232653303026801</v>
      </c>
      <c r="Q2164" s="10">
        <v>0.45202296701650002</v>
      </c>
    </row>
    <row r="2165" spans="1:17" x14ac:dyDescent="0.2">
      <c r="A2165" s="10">
        <v>1854</v>
      </c>
      <c r="B2165" s="10" t="s">
        <v>2830</v>
      </c>
      <c r="C2165" s="9" t="s">
        <v>2056</v>
      </c>
      <c r="D2165" s="10">
        <v>0.36592827700000002</v>
      </c>
      <c r="E2165" s="10">
        <v>0.59872380400000003</v>
      </c>
      <c r="F2165" s="10">
        <v>0.27723784099999998</v>
      </c>
      <c r="G2165" s="10">
        <v>0.37877625799999998</v>
      </c>
      <c r="H2165" s="9">
        <v>0.40516654475000002</v>
      </c>
      <c r="I2165" s="10">
        <v>0.136706808831034</v>
      </c>
      <c r="J2165" s="10">
        <v>1.8688751580764901E-2</v>
      </c>
      <c r="K2165" s="10">
        <v>-0.442940995</v>
      </c>
      <c r="L2165" s="10">
        <v>5.7961282000000003E-2</v>
      </c>
      <c r="M2165" s="10">
        <v>-0.56393434399999998</v>
      </c>
      <c r="N2165" s="10">
        <v>-0.57332174000000002</v>
      </c>
      <c r="O2165" s="9">
        <v>-0.38055894875000001</v>
      </c>
      <c r="P2165" s="10">
        <v>0.29831501344772798</v>
      </c>
      <c r="Q2165" s="10">
        <v>8.8991847248318295E-2</v>
      </c>
    </row>
    <row r="2166" spans="1:17" x14ac:dyDescent="0.2">
      <c r="A2166" s="10">
        <v>1855</v>
      </c>
      <c r="B2166" s="10" t="s">
        <v>2822</v>
      </c>
      <c r="C2166" s="9" t="s">
        <v>2058</v>
      </c>
      <c r="D2166" s="10">
        <v>-3.6586155000000002E-2</v>
      </c>
      <c r="E2166" s="10">
        <v>0.45148558300000002</v>
      </c>
      <c r="F2166" s="10">
        <v>-0.41333582299999999</v>
      </c>
      <c r="G2166" s="10">
        <v>3.2341580000000002E-2</v>
      </c>
      <c r="H2166" s="9">
        <v>8.4762964999999992E-3</v>
      </c>
      <c r="I2166" s="10">
        <v>0.35439284622861</v>
      </c>
      <c r="J2166" s="10">
        <v>0.12559428945801501</v>
      </c>
      <c r="K2166" s="10">
        <v>0.34435557500000002</v>
      </c>
      <c r="L2166" s="10">
        <v>8.1502994999999995E-2</v>
      </c>
      <c r="M2166" s="10">
        <v>4.3526446000000003E-2</v>
      </c>
      <c r="N2166" s="10">
        <v>0.14019730499999999</v>
      </c>
      <c r="O2166" s="9">
        <v>0.15239558025</v>
      </c>
      <c r="P2166" s="10">
        <v>0.13400955754381499</v>
      </c>
      <c r="Q2166" s="10">
        <v>1.7958561513089201E-2</v>
      </c>
    </row>
    <row r="2167" spans="1:17" x14ac:dyDescent="0.2">
      <c r="A2167" s="10">
        <v>1855</v>
      </c>
      <c r="B2167" s="10" t="s">
        <v>2821</v>
      </c>
      <c r="C2167" s="9" t="s">
        <v>2059</v>
      </c>
      <c r="D2167" s="10">
        <v>-1.005767683</v>
      </c>
      <c r="E2167" s="10">
        <v>-0.56340968999999996</v>
      </c>
      <c r="F2167" s="10">
        <v>-0.75029968000000002</v>
      </c>
      <c r="G2167" s="10">
        <v>0.31765881899999998</v>
      </c>
      <c r="H2167" s="9">
        <v>-0.50045455875</v>
      </c>
      <c r="I2167" s="10">
        <v>0.57475698793952301</v>
      </c>
      <c r="J2167" s="10">
        <v>0.33034559518531398</v>
      </c>
      <c r="K2167" s="10">
        <v>0.29268392100000001</v>
      </c>
      <c r="L2167" s="10">
        <v>0.37560185400000001</v>
      </c>
      <c r="M2167" s="10">
        <v>0.23759529300000001</v>
      </c>
      <c r="N2167" s="10">
        <v>-0.26334375799999998</v>
      </c>
      <c r="O2167" s="9">
        <v>0.16063432750000001</v>
      </c>
      <c r="P2167" s="10">
        <v>0.28828720620703902</v>
      </c>
      <c r="Q2167" s="10">
        <v>8.3109513262660306E-2</v>
      </c>
    </row>
    <row r="2168" spans="1:17" x14ac:dyDescent="0.2">
      <c r="A2168" s="10">
        <v>1855</v>
      </c>
      <c r="B2168" s="10" t="s">
        <v>2820</v>
      </c>
      <c r="C2168" s="9" t="s">
        <v>2060</v>
      </c>
      <c r="D2168" s="10">
        <v>-1.4931556E-2</v>
      </c>
      <c r="E2168" s="10">
        <v>-0.238659121</v>
      </c>
      <c r="F2168" s="10">
        <v>0.17251609200000001</v>
      </c>
      <c r="G2168" s="10">
        <v>7.1370626000000006E-2</v>
      </c>
      <c r="H2168" s="9">
        <v>-2.42598975E-3</v>
      </c>
      <c r="I2168" s="10">
        <v>0.17513152576524599</v>
      </c>
      <c r="J2168" s="10">
        <v>3.06710513168632E-2</v>
      </c>
      <c r="K2168" s="10">
        <v>0.20031609</v>
      </c>
      <c r="L2168" s="10">
        <v>0.30349918799999998</v>
      </c>
      <c r="M2168" s="10">
        <v>-2.1772509999999998E-3</v>
      </c>
      <c r="N2168" s="10">
        <v>-0.32232291899999999</v>
      </c>
      <c r="O2168" s="9">
        <v>4.4828777E-2</v>
      </c>
      <c r="P2168" s="10">
        <v>0.27573938213155902</v>
      </c>
      <c r="Q2168" s="10">
        <v>7.6032206858293996E-2</v>
      </c>
    </row>
    <row r="2169" spans="1:17" x14ac:dyDescent="0.2">
      <c r="A2169" s="10">
        <v>1855</v>
      </c>
      <c r="B2169" s="10" t="s">
        <v>2824</v>
      </c>
      <c r="C2169" s="9" t="s">
        <v>2061</v>
      </c>
      <c r="D2169" s="10">
        <v>-0.66750692300000003</v>
      </c>
      <c r="E2169" s="10">
        <v>0.13623147899999999</v>
      </c>
      <c r="F2169" s="10">
        <v>-0.10959806900000001</v>
      </c>
      <c r="G2169" s="10">
        <v>-0.118638381</v>
      </c>
      <c r="H2169" s="9">
        <v>-0.18987797349999999</v>
      </c>
      <c r="I2169" s="10">
        <v>0.33960601242048</v>
      </c>
      <c r="J2169" s="10">
        <v>0.115332243672139</v>
      </c>
      <c r="K2169" s="10">
        <v>-4.5786755999999998E-2</v>
      </c>
      <c r="L2169" s="10">
        <v>0.721710356</v>
      </c>
      <c r="M2169" s="10">
        <v>0.55141490999999998</v>
      </c>
      <c r="N2169" s="10">
        <v>0.124020176</v>
      </c>
      <c r="O2169" s="9">
        <v>0.33783967124999997</v>
      </c>
      <c r="P2169" s="10">
        <v>0.35863588659024698</v>
      </c>
      <c r="Q2169" s="10">
        <v>0.128619699150372</v>
      </c>
    </row>
    <row r="2170" spans="1:17" x14ac:dyDescent="0.2">
      <c r="A2170" s="10">
        <v>1855</v>
      </c>
      <c r="B2170" s="10" t="s">
        <v>2817</v>
      </c>
      <c r="C2170" s="9" t="s">
        <v>2062</v>
      </c>
      <c r="D2170" s="10">
        <v>0.12999075500000001</v>
      </c>
      <c r="E2170" s="10">
        <v>-0.11466231</v>
      </c>
      <c r="F2170" s="10">
        <v>3.3086412000000003E-2</v>
      </c>
      <c r="G2170" s="10">
        <v>-0.44494823500000003</v>
      </c>
      <c r="H2170" s="9">
        <v>-9.9133344499999998E-2</v>
      </c>
      <c r="I2170" s="10">
        <v>0.25153462600712401</v>
      </c>
      <c r="J2170" s="10">
        <v>6.32696680805441E-2</v>
      </c>
      <c r="K2170" s="10">
        <v>-0.33822986700000002</v>
      </c>
      <c r="L2170" s="10">
        <v>0.34241163800000002</v>
      </c>
      <c r="M2170" s="10">
        <v>-7.3572295999999995E-2</v>
      </c>
      <c r="N2170" s="10">
        <v>-0.35002235799999998</v>
      </c>
      <c r="O2170" s="9">
        <v>-0.104853221</v>
      </c>
      <c r="P2170" s="10">
        <v>0.324343909557267</v>
      </c>
      <c r="Q2170" s="10">
        <v>0.105198971666893</v>
      </c>
    </row>
    <row r="2171" spans="1:17" x14ac:dyDescent="0.2">
      <c r="A2171" s="10">
        <v>1855</v>
      </c>
      <c r="B2171" s="10" t="s">
        <v>2814</v>
      </c>
      <c r="C2171" s="9" t="s">
        <v>2063</v>
      </c>
      <c r="D2171" s="10">
        <v>-0.18469454399999999</v>
      </c>
      <c r="E2171" s="10">
        <v>-0.68054558600000004</v>
      </c>
      <c r="F2171" s="10">
        <v>-0.27784916199999998</v>
      </c>
      <c r="G2171" s="10">
        <v>0.60676973099999998</v>
      </c>
      <c r="H2171" s="9">
        <v>-0.13407989000000001</v>
      </c>
      <c r="I2171" s="10">
        <v>0.538737525644154</v>
      </c>
      <c r="J2171" s="10">
        <v>0.29023812153718498</v>
      </c>
      <c r="K2171" s="10">
        <v>-0.247862738</v>
      </c>
      <c r="L2171" s="10">
        <v>-0.33860019299999999</v>
      </c>
      <c r="M2171" s="10">
        <v>-0.217630726</v>
      </c>
      <c r="N2171" s="10">
        <v>-0.70768910600000001</v>
      </c>
      <c r="O2171" s="9">
        <v>-0.37794569075000001</v>
      </c>
      <c r="P2171" s="10">
        <v>0.225758905776997</v>
      </c>
      <c r="Q2171" s="10">
        <v>5.0967083537627203E-2</v>
      </c>
    </row>
    <row r="2172" spans="1:17" x14ac:dyDescent="0.2">
      <c r="A2172" s="10">
        <v>1855</v>
      </c>
      <c r="B2172" s="10" t="s">
        <v>2818</v>
      </c>
      <c r="C2172" s="9" t="s">
        <v>2065</v>
      </c>
      <c r="D2172" s="10">
        <v>-0.19709094599999999</v>
      </c>
      <c r="E2172" s="10">
        <v>-0.171253399</v>
      </c>
      <c r="F2172" s="10">
        <v>-0.140244814</v>
      </c>
      <c r="G2172" s="10">
        <v>-0.49086984700000003</v>
      </c>
      <c r="H2172" s="9">
        <v>-0.24986475124999999</v>
      </c>
      <c r="I2172" s="10">
        <v>0.162342031981142</v>
      </c>
      <c r="J2172" s="10">
        <v>2.6354935347766301E-2</v>
      </c>
      <c r="K2172" s="10">
        <v>-0.194597825</v>
      </c>
      <c r="L2172" s="10">
        <v>0.17540377099999999</v>
      </c>
      <c r="M2172" s="10">
        <v>-0.47473947900000002</v>
      </c>
      <c r="N2172" s="10">
        <v>-1.2796541E-2</v>
      </c>
      <c r="O2172" s="9">
        <v>-0.12668251824999999</v>
      </c>
      <c r="P2172" s="10">
        <v>0.27687679497356199</v>
      </c>
      <c r="Q2172" s="10">
        <v>7.6660759594831901E-2</v>
      </c>
    </row>
    <row r="2173" spans="1:17" x14ac:dyDescent="0.2">
      <c r="A2173" s="10">
        <v>1855</v>
      </c>
      <c r="B2173" s="10" t="s">
        <v>2830</v>
      </c>
      <c r="C2173" s="9" t="s">
        <v>2066</v>
      </c>
      <c r="D2173" s="10">
        <v>0.47496782500000001</v>
      </c>
      <c r="E2173" s="10">
        <v>0.36610173800000001</v>
      </c>
      <c r="F2173" s="10">
        <v>0.21062886</v>
      </c>
      <c r="G2173" s="10">
        <v>-0.62722702600000002</v>
      </c>
      <c r="H2173" s="9">
        <v>0.1061178495</v>
      </c>
      <c r="I2173" s="10">
        <v>0.50078577736851804</v>
      </c>
      <c r="J2173" s="10">
        <v>0.25078639481458997</v>
      </c>
      <c r="K2173" s="10">
        <v>-0.13467742299999999</v>
      </c>
      <c r="L2173" s="10">
        <v>0.77847517899999996</v>
      </c>
      <c r="M2173" s="10">
        <v>2.6045420000000001E-3</v>
      </c>
      <c r="N2173" s="10">
        <v>-0.318129408</v>
      </c>
      <c r="O2173" s="9">
        <v>8.2068222499999996E-2</v>
      </c>
      <c r="P2173" s="10">
        <v>0.48250524828966801</v>
      </c>
      <c r="Q2173" s="10">
        <v>0.23281131462707499</v>
      </c>
    </row>
    <row r="2174" spans="1:17" x14ac:dyDescent="0.2">
      <c r="A2174" s="10">
        <v>1856</v>
      </c>
      <c r="B2174" s="10" t="s">
        <v>2822</v>
      </c>
      <c r="C2174" s="9" t="s">
        <v>2067</v>
      </c>
      <c r="D2174" s="10">
        <v>0.75776731900000005</v>
      </c>
      <c r="E2174" s="10">
        <v>1.090095593</v>
      </c>
      <c r="F2174" s="10">
        <v>-1.0700734E-2</v>
      </c>
      <c r="G2174" s="10">
        <v>-1.194020726</v>
      </c>
      <c r="H2174" s="9">
        <v>0.16078536299999999</v>
      </c>
      <c r="I2174" s="10">
        <v>1.01405324969122</v>
      </c>
      <c r="J2174" s="10">
        <v>1.0283039932093301</v>
      </c>
      <c r="K2174" s="10">
        <v>-0.35591495299999998</v>
      </c>
      <c r="L2174" s="10">
        <v>0.459973507</v>
      </c>
      <c r="M2174" s="10">
        <v>-0.23810975300000001</v>
      </c>
      <c r="N2174" s="10">
        <v>0.442457724</v>
      </c>
      <c r="O2174" s="9">
        <v>7.7101631249999997E-2</v>
      </c>
      <c r="P2174" s="10">
        <v>0.43471735136990902</v>
      </c>
      <c r="Q2174" s="10">
        <v>0.188979175582069</v>
      </c>
    </row>
    <row r="2175" spans="1:17" x14ac:dyDescent="0.2">
      <c r="A2175" s="10">
        <v>1856</v>
      </c>
      <c r="B2175" s="10" t="s">
        <v>2826</v>
      </c>
      <c r="C2175" s="9" t="s">
        <v>2068</v>
      </c>
      <c r="D2175" s="10">
        <v>0.73221900799999995</v>
      </c>
      <c r="E2175" s="10">
        <v>-0.49454622399999998</v>
      </c>
      <c r="F2175" s="10">
        <v>0.57038303000000001</v>
      </c>
      <c r="G2175" s="10">
        <v>-5.4017577999999997E-2</v>
      </c>
      <c r="H2175" s="9">
        <v>0.18850955899999999</v>
      </c>
      <c r="I2175" s="10">
        <v>0.56769473242128698</v>
      </c>
      <c r="J2175" s="10">
        <v>0.32227730921887698</v>
      </c>
      <c r="K2175" s="10">
        <v>-0.36031521300000002</v>
      </c>
      <c r="L2175" s="10">
        <v>0.73857096200000005</v>
      </c>
      <c r="M2175" s="10">
        <v>-0.24306640800000001</v>
      </c>
      <c r="N2175" s="10">
        <v>8.0133322000000007E-2</v>
      </c>
      <c r="O2175" s="9">
        <v>5.3830665999999999E-2</v>
      </c>
      <c r="P2175" s="10">
        <v>0.49302663360149401</v>
      </c>
      <c r="Q2175" s="10">
        <v>0.24307526144042199</v>
      </c>
    </row>
    <row r="2176" spans="1:17" x14ac:dyDescent="0.2">
      <c r="A2176" s="10">
        <v>1856</v>
      </c>
      <c r="B2176" s="10" t="s">
        <v>2834</v>
      </c>
      <c r="C2176" s="9" t="s">
        <v>2069</v>
      </c>
      <c r="D2176" s="10">
        <v>-0.58168255800000002</v>
      </c>
      <c r="E2176" s="10">
        <v>-0.36446546899999999</v>
      </c>
      <c r="F2176" s="10">
        <v>-0.66070516499999998</v>
      </c>
      <c r="G2176" s="10">
        <v>-0.36776436000000001</v>
      </c>
      <c r="H2176" s="9">
        <v>-0.493654388</v>
      </c>
      <c r="I2176" s="10">
        <v>0.15076803015679599</v>
      </c>
      <c r="J2176" s="10">
        <v>2.2730998917360599E-2</v>
      </c>
      <c r="K2176" s="10">
        <v>-0.236978561</v>
      </c>
      <c r="L2176" s="10">
        <v>0.50247403599999996</v>
      </c>
      <c r="M2176" s="10">
        <v>-0.58302192500000005</v>
      </c>
      <c r="N2176" s="10">
        <v>-0.29711567799999999</v>
      </c>
      <c r="O2176" s="9">
        <v>-0.15366053199999999</v>
      </c>
      <c r="P2176" s="10">
        <v>0.46274004581181899</v>
      </c>
      <c r="Q2176" s="10">
        <v>0.21412834999792399</v>
      </c>
    </row>
    <row r="2177" spans="1:17" x14ac:dyDescent="0.2">
      <c r="A2177" s="10">
        <v>1856</v>
      </c>
      <c r="B2177" s="10" t="s">
        <v>2833</v>
      </c>
      <c r="C2177" s="9" t="s">
        <v>2071</v>
      </c>
      <c r="D2177" s="10">
        <v>0.16636277799999999</v>
      </c>
      <c r="E2177" s="10">
        <v>0.41860850100000002</v>
      </c>
      <c r="F2177" s="10">
        <v>5.1991471999999997E-2</v>
      </c>
      <c r="G2177" s="10">
        <v>6.34031E-3</v>
      </c>
      <c r="H2177" s="9">
        <v>0.16082576525</v>
      </c>
      <c r="I2177" s="10">
        <v>0.184565486690564</v>
      </c>
      <c r="J2177" s="10">
        <v>3.4064418877324899E-2</v>
      </c>
      <c r="K2177" s="10">
        <v>-0.45898146299999998</v>
      </c>
      <c r="L2177" s="10">
        <v>0.25623419200000003</v>
      </c>
      <c r="M2177" s="10">
        <v>-0.122904865</v>
      </c>
      <c r="N2177" s="10">
        <v>-0.17840634699999999</v>
      </c>
      <c r="O2177" s="9">
        <v>-0.12601462075</v>
      </c>
      <c r="P2177" s="10">
        <v>0.29424232442382098</v>
      </c>
      <c r="Q2177" s="10">
        <v>8.6578545482333499E-2</v>
      </c>
    </row>
    <row r="2178" spans="1:17" x14ac:dyDescent="0.2">
      <c r="A2178" s="10">
        <v>1856</v>
      </c>
      <c r="B2178" s="10" t="s">
        <v>2825</v>
      </c>
      <c r="C2178" s="9" t="s">
        <v>2072</v>
      </c>
      <c r="D2178" s="10">
        <v>0.45656089999999999</v>
      </c>
      <c r="E2178" s="10">
        <v>0.246761229</v>
      </c>
      <c r="F2178" s="10">
        <v>-0.29433107600000002</v>
      </c>
      <c r="G2178" s="10">
        <v>-0.82923828499999996</v>
      </c>
      <c r="H2178" s="9">
        <v>-0.10506180800000001</v>
      </c>
      <c r="I2178" s="10">
        <v>0.57719261405373201</v>
      </c>
      <c r="J2178" s="10">
        <v>0.33315131371818102</v>
      </c>
      <c r="K2178" s="10">
        <v>-6.9462641000000006E-2</v>
      </c>
      <c r="L2178" s="10">
        <v>0.37995807799999998</v>
      </c>
      <c r="M2178" s="10">
        <v>-0.28946431299999997</v>
      </c>
      <c r="N2178" s="10">
        <v>-0.19254932899999999</v>
      </c>
      <c r="O2178" s="9">
        <v>-4.2879551250000002E-2</v>
      </c>
      <c r="P2178" s="10">
        <v>0.29591857465044602</v>
      </c>
      <c r="Q2178" s="10">
        <v>8.7567802823151797E-2</v>
      </c>
    </row>
    <row r="2179" spans="1:17" x14ac:dyDescent="0.2">
      <c r="A2179" s="10">
        <v>1856</v>
      </c>
      <c r="B2179" s="10" t="s">
        <v>74</v>
      </c>
      <c r="C2179" s="9" t="s">
        <v>2073</v>
      </c>
      <c r="D2179" s="10">
        <v>0.140799751</v>
      </c>
      <c r="E2179" s="10">
        <v>-0.14157033299999999</v>
      </c>
      <c r="F2179" s="10">
        <v>5.9607489E-2</v>
      </c>
      <c r="G2179" s="10">
        <v>5.3104691000000002E-2</v>
      </c>
      <c r="H2179" s="9">
        <v>2.7985399250000001E-2</v>
      </c>
      <c r="I2179" s="10">
        <v>0.11987098575522</v>
      </c>
      <c r="J2179" s="10">
        <v>1.43690532259283E-2</v>
      </c>
      <c r="K2179" s="10">
        <v>-0.68783432</v>
      </c>
      <c r="L2179" s="10">
        <v>-0.16174656500000001</v>
      </c>
      <c r="M2179" s="10">
        <v>-0.31031972299999999</v>
      </c>
      <c r="N2179" s="10">
        <v>4.0141562999999998E-2</v>
      </c>
      <c r="O2179" s="9">
        <v>-0.27993976100000001</v>
      </c>
      <c r="P2179" s="10">
        <v>0.30752918501458898</v>
      </c>
      <c r="Q2179" s="10">
        <v>9.4574199635737696E-2</v>
      </c>
    </row>
    <row r="2180" spans="1:17" x14ac:dyDescent="0.2">
      <c r="A2180" s="10">
        <v>1856</v>
      </c>
      <c r="B2180" s="10" t="s">
        <v>2818</v>
      </c>
      <c r="C2180" s="9" t="s">
        <v>2074</v>
      </c>
      <c r="D2180" s="10">
        <v>0.15800731400000001</v>
      </c>
      <c r="E2180" s="10">
        <v>-0.16447061900000001</v>
      </c>
      <c r="F2180" s="10">
        <v>-0.213396383</v>
      </c>
      <c r="G2180" s="10">
        <v>1.08352041</v>
      </c>
      <c r="H2180" s="9">
        <v>0.21591518100000001</v>
      </c>
      <c r="I2180" s="10">
        <v>0.60141331607982595</v>
      </c>
      <c r="J2180" s="10">
        <v>0.36169797675813198</v>
      </c>
      <c r="K2180" s="10">
        <v>-0.81825754699999997</v>
      </c>
      <c r="L2180" s="10">
        <v>1.049178476</v>
      </c>
      <c r="M2180" s="10">
        <v>0.42217543200000002</v>
      </c>
      <c r="N2180" s="10">
        <v>-0.65625322600000002</v>
      </c>
      <c r="O2180" s="9">
        <v>-7.8921600000000003E-4</v>
      </c>
      <c r="P2180" s="10">
        <v>0.89054642182852595</v>
      </c>
      <c r="Q2180" s="10">
        <v>0.79307292943159202</v>
      </c>
    </row>
    <row r="2181" spans="1:17" x14ac:dyDescent="0.2">
      <c r="A2181" s="10">
        <v>1857</v>
      </c>
      <c r="B2181" s="10" t="s">
        <v>2831</v>
      </c>
      <c r="C2181" s="9" t="s">
        <v>2075</v>
      </c>
      <c r="D2181" s="10">
        <v>0.21623562900000001</v>
      </c>
      <c r="E2181" s="10">
        <v>0.76850771600000001</v>
      </c>
      <c r="F2181" s="10">
        <v>0.28028149800000002</v>
      </c>
      <c r="G2181" s="10">
        <v>-0.46552663799999999</v>
      </c>
      <c r="H2181" s="9">
        <v>0.19987455100000001</v>
      </c>
      <c r="I2181" s="10">
        <v>0.50755471976254696</v>
      </c>
      <c r="J2181" s="10">
        <v>0.25761179355323799</v>
      </c>
      <c r="K2181" s="10">
        <v>0.961067118</v>
      </c>
      <c r="L2181" s="10">
        <v>-0.53348238000000003</v>
      </c>
      <c r="M2181" s="10">
        <v>0.61572410700000002</v>
      </c>
      <c r="N2181" s="10">
        <v>7.3077172999999995E-2</v>
      </c>
      <c r="O2181" s="9">
        <v>0.27909650450000001</v>
      </c>
      <c r="P2181" s="10">
        <v>0.65348564608807203</v>
      </c>
      <c r="Q2181" s="10">
        <v>0.42704348964314498</v>
      </c>
    </row>
    <row r="2182" spans="1:17" x14ac:dyDescent="0.2">
      <c r="A2182" s="10">
        <v>1857</v>
      </c>
      <c r="B2182" s="10" t="s">
        <v>2822</v>
      </c>
      <c r="C2182" s="9" t="s">
        <v>2076</v>
      </c>
      <c r="D2182" s="10">
        <v>-0.25514233200000003</v>
      </c>
      <c r="E2182" s="10">
        <v>-0.20253747499999999</v>
      </c>
      <c r="F2182" s="10">
        <v>0.48788200599999998</v>
      </c>
      <c r="G2182" s="10">
        <v>6.5828925999999996E-2</v>
      </c>
      <c r="H2182" s="9">
        <v>2.4007781499999999E-2</v>
      </c>
      <c r="I2182" s="10">
        <v>0.33969390309143499</v>
      </c>
      <c r="J2182" s="10">
        <v>0.115391947797493</v>
      </c>
      <c r="K2182" s="10">
        <v>0.31059645200000002</v>
      </c>
      <c r="L2182" s="10">
        <v>0.14492459099999999</v>
      </c>
      <c r="M2182" s="10">
        <v>-0.19307669399999999</v>
      </c>
      <c r="N2182" s="10">
        <v>-1.0881942259999999</v>
      </c>
      <c r="O2182" s="9">
        <v>-0.20643746925000001</v>
      </c>
      <c r="P2182" s="10">
        <v>0.624086762530081</v>
      </c>
      <c r="Q2182" s="10">
        <v>0.389484287165278</v>
      </c>
    </row>
    <row r="2183" spans="1:17" x14ac:dyDescent="0.2">
      <c r="A2183" s="10">
        <v>1857</v>
      </c>
      <c r="B2183" s="10" t="s">
        <v>96</v>
      </c>
      <c r="C2183" s="9" t="s">
        <v>2168</v>
      </c>
      <c r="D2183" s="10">
        <v>-0.48279987400000002</v>
      </c>
      <c r="E2183" s="10">
        <v>-0.30298213899999998</v>
      </c>
      <c r="F2183" s="10">
        <v>-0.29941543500000001</v>
      </c>
      <c r="G2183" s="10">
        <v>-6.6713419999999996E-2</v>
      </c>
      <c r="H2183" s="9">
        <v>-0.28797771700000002</v>
      </c>
      <c r="I2183" s="10">
        <v>0.170557435152735</v>
      </c>
      <c r="J2183" s="10">
        <v>2.9089838685879402E-2</v>
      </c>
      <c r="K2183" s="10">
        <v>0.13357450200000001</v>
      </c>
      <c r="L2183" s="10">
        <v>-0.18228343</v>
      </c>
      <c r="M2183" s="10">
        <v>6.1699763999999997E-2</v>
      </c>
      <c r="N2183" s="10">
        <v>-0.163158783</v>
      </c>
      <c r="O2183" s="9">
        <v>-3.7541986499999999E-2</v>
      </c>
      <c r="P2183" s="10">
        <v>0.15901723460918801</v>
      </c>
      <c r="Q2183" s="10">
        <v>2.5286480902753601E-2</v>
      </c>
    </row>
    <row r="2184" spans="1:17" x14ac:dyDescent="0.2">
      <c r="A2184" s="10">
        <v>1857</v>
      </c>
      <c r="B2184" s="10" t="s">
        <v>2823</v>
      </c>
      <c r="C2184" s="9" t="s">
        <v>2077</v>
      </c>
      <c r="D2184" s="10">
        <v>0.24192351500000001</v>
      </c>
      <c r="E2184" s="10">
        <v>3.7102100999999998E-2</v>
      </c>
      <c r="F2184" s="10">
        <v>0.16043354500000001</v>
      </c>
      <c r="G2184" s="10">
        <v>0.501626931</v>
      </c>
      <c r="H2184" s="9">
        <v>0.23527152300000001</v>
      </c>
      <c r="I2184" s="10">
        <v>0.19652081750233399</v>
      </c>
      <c r="J2184" s="10">
        <v>3.8620431711785697E-2</v>
      </c>
      <c r="K2184" s="10">
        <v>-0.197710418</v>
      </c>
      <c r="L2184" s="10">
        <v>1.1610815E-2</v>
      </c>
      <c r="M2184" s="10">
        <v>0.53898090300000001</v>
      </c>
      <c r="N2184" s="10">
        <v>0.66524808800000002</v>
      </c>
      <c r="O2184" s="9">
        <v>0.25453234675000003</v>
      </c>
      <c r="P2184" s="10">
        <v>0.41357497914313601</v>
      </c>
      <c r="Q2184" s="10">
        <v>0.17104426337324499</v>
      </c>
    </row>
    <row r="2185" spans="1:17" x14ac:dyDescent="0.2">
      <c r="A2185" s="10">
        <v>1857</v>
      </c>
      <c r="B2185" s="10" t="s">
        <v>2826</v>
      </c>
      <c r="C2185" s="9" t="s">
        <v>2167</v>
      </c>
      <c r="D2185" s="10">
        <v>-0.413590401</v>
      </c>
      <c r="E2185" s="10">
        <v>-0.92602946399999997</v>
      </c>
      <c r="F2185" s="10">
        <v>-9.1911058000000004E-2</v>
      </c>
      <c r="G2185" s="10">
        <v>-0.66404976599999999</v>
      </c>
      <c r="H2185" s="9">
        <v>-0.52389517225000004</v>
      </c>
      <c r="I2185" s="10">
        <v>0.35596475306569902</v>
      </c>
      <c r="J2185" s="10">
        <v>0.126710905425124</v>
      </c>
      <c r="K2185" s="10">
        <v>0.22569584100000001</v>
      </c>
      <c r="L2185" s="10">
        <v>-0.46170429699999999</v>
      </c>
      <c r="M2185" s="10">
        <v>0.67909524300000002</v>
      </c>
      <c r="N2185" s="10">
        <v>7.8582499999999998E-4</v>
      </c>
      <c r="O2185" s="9">
        <v>0.110968153</v>
      </c>
      <c r="P2185" s="10">
        <v>0.47470155999258901</v>
      </c>
      <c r="Q2185" s="10">
        <v>0.225341571059398</v>
      </c>
    </row>
    <row r="2186" spans="1:17" x14ac:dyDescent="0.2">
      <c r="A2186" s="10">
        <v>1857</v>
      </c>
      <c r="B2186" s="10" t="s">
        <v>2821</v>
      </c>
      <c r="C2186" s="9" t="s">
        <v>2079</v>
      </c>
      <c r="D2186" s="10">
        <v>0.30059949899999999</v>
      </c>
      <c r="E2186" s="10">
        <v>0.23110688600000001</v>
      </c>
      <c r="F2186" s="10">
        <v>-0.83295741499999998</v>
      </c>
      <c r="G2186" s="10">
        <v>-0.48853369400000002</v>
      </c>
      <c r="H2186" s="9">
        <v>-0.197446181</v>
      </c>
      <c r="I2186" s="10">
        <v>0.55386932856240101</v>
      </c>
      <c r="J2186" s="10">
        <v>0.30677123312216498</v>
      </c>
      <c r="K2186" s="10">
        <v>0.477472534</v>
      </c>
      <c r="L2186" s="10">
        <v>0.54335077099999995</v>
      </c>
      <c r="M2186" s="10">
        <v>0.209176365</v>
      </c>
      <c r="N2186" s="10">
        <v>0.28822650500000002</v>
      </c>
      <c r="O2186" s="9">
        <v>0.37955654374999998</v>
      </c>
      <c r="P2186" s="10">
        <v>0.15682970734315699</v>
      </c>
      <c r="Q2186" s="10">
        <v>2.45955571053403E-2</v>
      </c>
    </row>
    <row r="2187" spans="1:17" x14ac:dyDescent="0.2">
      <c r="A2187" s="10">
        <v>1857</v>
      </c>
      <c r="B2187" s="10" t="s">
        <v>2834</v>
      </c>
      <c r="C2187" s="9" t="s">
        <v>2080</v>
      </c>
      <c r="D2187" s="10">
        <v>-7.3294058999999995E-2</v>
      </c>
      <c r="E2187" s="10">
        <v>-0.185675387</v>
      </c>
      <c r="F2187" s="10">
        <v>-0.59759792199999995</v>
      </c>
      <c r="G2187" s="10">
        <v>4.9428291999999999E-2</v>
      </c>
      <c r="H2187" s="9">
        <v>-0.201784769</v>
      </c>
      <c r="I2187" s="10">
        <v>0.28079970848128</v>
      </c>
      <c r="J2187" s="10">
        <v>7.8848476283172306E-2</v>
      </c>
      <c r="K2187" s="10">
        <v>-0.24249278299999999</v>
      </c>
      <c r="L2187" s="10">
        <v>-0.293603744</v>
      </c>
      <c r="M2187" s="10">
        <v>0.43939557800000001</v>
      </c>
      <c r="N2187" s="10">
        <v>6.6263633000000002E-2</v>
      </c>
      <c r="O2187" s="9">
        <v>-7.6093289999999997E-3</v>
      </c>
      <c r="P2187" s="10">
        <v>0.33775417281947001</v>
      </c>
      <c r="Q2187" s="10">
        <v>0.114077881256964</v>
      </c>
    </row>
    <row r="2188" spans="1:17" x14ac:dyDescent="0.2">
      <c r="A2188" s="10">
        <v>1857</v>
      </c>
      <c r="B2188" s="10" t="s">
        <v>2820</v>
      </c>
      <c r="C2188" s="9" t="s">
        <v>2081</v>
      </c>
      <c r="D2188" s="10">
        <v>5.9508235999999999E-2</v>
      </c>
      <c r="E2188" s="10">
        <v>0.125903237</v>
      </c>
      <c r="F2188" s="10">
        <v>-0.26630870200000001</v>
      </c>
      <c r="G2188" s="10">
        <v>0.29003005500000001</v>
      </c>
      <c r="H2188" s="9">
        <v>5.2283206499999998E-2</v>
      </c>
      <c r="I2188" s="10">
        <v>0.233449836207161</v>
      </c>
      <c r="J2188" s="10">
        <v>5.4498826025150299E-2</v>
      </c>
      <c r="K2188" s="10">
        <v>0.18595758000000001</v>
      </c>
      <c r="L2188" s="10">
        <v>0.643429798</v>
      </c>
      <c r="M2188" s="10">
        <v>-0.111279857</v>
      </c>
      <c r="N2188" s="10">
        <v>-4.4965431E-2</v>
      </c>
      <c r="O2188" s="9">
        <v>0.16828552250000001</v>
      </c>
      <c r="P2188" s="10">
        <v>0.341422101774495</v>
      </c>
      <c r="Q2188" s="10">
        <v>0.11656905158011301</v>
      </c>
    </row>
    <row r="2189" spans="1:17" x14ac:dyDescent="0.2">
      <c r="A2189" s="10">
        <v>1857</v>
      </c>
      <c r="B2189" s="10" t="s">
        <v>2824</v>
      </c>
      <c r="C2189" s="9" t="s">
        <v>2082</v>
      </c>
      <c r="D2189" s="10">
        <v>0.36658132100000002</v>
      </c>
      <c r="E2189" s="10">
        <v>0.47275747200000001</v>
      </c>
      <c r="F2189" s="10">
        <v>8.9619803999999997E-2</v>
      </c>
      <c r="G2189" s="10">
        <v>-0.39970888700000001</v>
      </c>
      <c r="H2189" s="9">
        <v>0.1323124275</v>
      </c>
      <c r="I2189" s="10">
        <v>0.38972386889948202</v>
      </c>
      <c r="J2189" s="10">
        <v>0.15188469398998</v>
      </c>
      <c r="K2189" s="10">
        <v>0.405640365</v>
      </c>
      <c r="L2189" s="10">
        <v>5.2511588999999997E-2</v>
      </c>
      <c r="M2189" s="10">
        <v>-0.39574103500000002</v>
      </c>
      <c r="N2189" s="10">
        <v>9.2162688000000006E-2</v>
      </c>
      <c r="O2189" s="9">
        <v>3.8643401500000001E-2</v>
      </c>
      <c r="P2189" s="10">
        <v>0.32986525054110899</v>
      </c>
      <c r="Q2189" s="10">
        <v>0.108811083514549</v>
      </c>
    </row>
    <row r="2190" spans="1:17" x14ac:dyDescent="0.2">
      <c r="A2190" s="10">
        <v>1857</v>
      </c>
      <c r="B2190" s="10" t="s">
        <v>2817</v>
      </c>
      <c r="C2190" s="9" t="s">
        <v>2083</v>
      </c>
      <c r="D2190" s="10">
        <v>-1.3919421949999999</v>
      </c>
      <c r="E2190" s="10">
        <v>-0.68008439099999995</v>
      </c>
      <c r="F2190" s="10">
        <v>0.81720433299999995</v>
      </c>
      <c r="G2190" s="10">
        <v>-7.1264909000000001E-2</v>
      </c>
      <c r="H2190" s="9">
        <v>-0.33152179050000002</v>
      </c>
      <c r="I2190" s="10">
        <v>0.93689072146946195</v>
      </c>
      <c r="J2190" s="10">
        <v>0.87776422397556897</v>
      </c>
      <c r="K2190" s="10">
        <v>-0.24519297900000001</v>
      </c>
      <c r="L2190" s="10">
        <v>3.0637442000000001E-2</v>
      </c>
      <c r="M2190" s="10">
        <v>6.2390621E-2</v>
      </c>
      <c r="N2190" s="10">
        <v>-8.3639051000000006E-2</v>
      </c>
      <c r="O2190" s="9">
        <v>-5.8950992250000001E-2</v>
      </c>
      <c r="P2190" s="10">
        <v>0.13909882881235799</v>
      </c>
      <c r="Q2190" s="10">
        <v>1.93484841769699E-2</v>
      </c>
    </row>
    <row r="2191" spans="1:17" x14ac:dyDescent="0.2">
      <c r="A2191" s="10">
        <v>1857</v>
      </c>
      <c r="B2191" s="10" t="s">
        <v>2814</v>
      </c>
      <c r="C2191" s="9" t="s">
        <v>2084</v>
      </c>
      <c r="D2191" s="10">
        <v>-1.235220687</v>
      </c>
      <c r="E2191" s="10">
        <v>0.485957005</v>
      </c>
      <c r="F2191" s="10">
        <v>4.9213450999999998E-2</v>
      </c>
      <c r="G2191" s="10">
        <v>-0.74173171800000004</v>
      </c>
      <c r="H2191" s="9">
        <v>-0.36044548724999997</v>
      </c>
      <c r="I2191" s="10">
        <v>0.77348313156188098</v>
      </c>
      <c r="J2191" s="10">
        <v>0.59827615481077401</v>
      </c>
      <c r="K2191" s="10">
        <v>-8.4608182000000004E-2</v>
      </c>
      <c r="L2191" s="10">
        <v>-5.1997265000000001E-2</v>
      </c>
      <c r="M2191" s="10">
        <v>0.32577110199999998</v>
      </c>
      <c r="N2191" s="10">
        <v>-0.42537746700000001</v>
      </c>
      <c r="O2191" s="9">
        <v>-5.9052952749999998E-2</v>
      </c>
      <c r="P2191" s="10">
        <v>0.30712975288758898</v>
      </c>
      <c r="Q2191" s="10">
        <v>9.4328685108791596E-2</v>
      </c>
    </row>
    <row r="2192" spans="1:17" x14ac:dyDescent="0.2">
      <c r="A2192" s="10">
        <v>1857</v>
      </c>
      <c r="B2192" s="10" t="s">
        <v>2825</v>
      </c>
      <c r="C2192" s="9" t="s">
        <v>2085</v>
      </c>
      <c r="D2192" s="10">
        <v>0.17261390700000001</v>
      </c>
      <c r="E2192" s="10">
        <v>-1.5856136999999999E-2</v>
      </c>
      <c r="F2192" s="10">
        <v>0.37915937599999999</v>
      </c>
      <c r="G2192" s="10">
        <v>-9.5748177000000004E-2</v>
      </c>
      <c r="H2192" s="9">
        <v>0.1100422425</v>
      </c>
      <c r="I2192" s="10">
        <v>0.21176979912180499</v>
      </c>
      <c r="J2192" s="10">
        <v>4.4846447820089702E-2</v>
      </c>
      <c r="K2192" s="10">
        <v>0.14302794599999999</v>
      </c>
      <c r="L2192" s="10">
        <v>-0.16871873700000001</v>
      </c>
      <c r="M2192" s="10">
        <v>0.106432316</v>
      </c>
      <c r="N2192" s="10">
        <v>-0.28485441099999997</v>
      </c>
      <c r="O2192" s="9">
        <v>-5.1028221499999998E-2</v>
      </c>
      <c r="P2192" s="10">
        <v>0.208947650022138</v>
      </c>
      <c r="Q2192" s="10">
        <v>4.3659120449774103E-2</v>
      </c>
    </row>
    <row r="2193" spans="1:17" x14ac:dyDescent="0.2">
      <c r="A2193" s="10">
        <v>1857</v>
      </c>
      <c r="B2193" s="10" t="s">
        <v>74</v>
      </c>
      <c r="C2193" s="9" t="s">
        <v>2086</v>
      </c>
      <c r="D2193" s="10">
        <v>0.187113006</v>
      </c>
      <c r="E2193" s="10">
        <v>0.25865933000000002</v>
      </c>
      <c r="F2193" s="10">
        <v>0.176071283</v>
      </c>
      <c r="G2193" s="10">
        <v>-0.199095051</v>
      </c>
      <c r="H2193" s="9">
        <v>0.105687142</v>
      </c>
      <c r="I2193" s="10">
        <v>0.206459660389022</v>
      </c>
      <c r="J2193" s="10">
        <v>4.26255913679503E-2</v>
      </c>
      <c r="K2193" s="10">
        <v>0.26286793899999999</v>
      </c>
      <c r="L2193" s="10">
        <v>6.6305388000000007E-2</v>
      </c>
      <c r="M2193" s="10">
        <v>0.26364369199999999</v>
      </c>
      <c r="N2193" s="10">
        <v>0.24495473500000001</v>
      </c>
      <c r="O2193" s="9">
        <v>0.20944293850000001</v>
      </c>
      <c r="P2193" s="10">
        <v>9.5814749059822402E-2</v>
      </c>
      <c r="Q2193" s="10">
        <v>9.1804661373966999E-3</v>
      </c>
    </row>
    <row r="2194" spans="1:17" x14ac:dyDescent="0.2">
      <c r="A2194" s="10">
        <v>1857</v>
      </c>
      <c r="B2194" s="10" t="s">
        <v>2818</v>
      </c>
      <c r="C2194" s="9" t="s">
        <v>2087</v>
      </c>
      <c r="D2194" s="10">
        <v>0.196473921</v>
      </c>
      <c r="E2194" s="10">
        <v>0.51874920700000005</v>
      </c>
      <c r="F2194" s="10">
        <v>-0.25949631200000001</v>
      </c>
      <c r="G2194" s="10">
        <v>-3.0294890000000001E-2</v>
      </c>
      <c r="H2194" s="9">
        <v>0.1063579815</v>
      </c>
      <c r="I2194" s="10">
        <v>0.33201946568584301</v>
      </c>
      <c r="J2194" s="10">
        <v>0.110236925594313</v>
      </c>
      <c r="K2194" s="10">
        <v>9.8823350000000004E-2</v>
      </c>
      <c r="L2194" s="10">
        <v>-0.271717496</v>
      </c>
      <c r="M2194" s="10">
        <v>-3.1757479999999998E-2</v>
      </c>
      <c r="N2194" s="10">
        <v>-0.161368231</v>
      </c>
      <c r="O2194" s="9">
        <v>-9.1504964250000001E-2</v>
      </c>
      <c r="P2194" s="10">
        <v>0.160366311632854</v>
      </c>
      <c r="Q2194" s="10">
        <v>2.57173539067257E-2</v>
      </c>
    </row>
    <row r="2195" spans="1:17" x14ac:dyDescent="0.2">
      <c r="A2195" s="10">
        <v>1857</v>
      </c>
      <c r="B2195" s="10" t="s">
        <v>2830</v>
      </c>
      <c r="C2195" s="9" t="s">
        <v>2088</v>
      </c>
      <c r="D2195" s="10">
        <v>-7.2491175000000005E-2</v>
      </c>
      <c r="E2195" s="10">
        <v>9.2487716999999997E-2</v>
      </c>
      <c r="F2195" s="10">
        <v>-0.14242761600000001</v>
      </c>
      <c r="G2195" s="10">
        <v>-0.37820873300000002</v>
      </c>
      <c r="H2195" s="9">
        <v>-0.12515995150000001</v>
      </c>
      <c r="I2195" s="10">
        <v>0.195342746369393</v>
      </c>
      <c r="J2195" s="10">
        <v>3.8158788559137298E-2</v>
      </c>
      <c r="K2195" s="10">
        <v>0.40352915700000003</v>
      </c>
      <c r="L2195" s="10">
        <v>0.60133467500000004</v>
      </c>
      <c r="M2195" s="10">
        <v>0.65663201999999998</v>
      </c>
      <c r="N2195" s="10">
        <v>0.22110405799999999</v>
      </c>
      <c r="O2195" s="9">
        <v>0.47064997749999998</v>
      </c>
      <c r="P2195" s="10">
        <v>0.198700931701247</v>
      </c>
      <c r="Q2195" s="10">
        <v>3.9482060258943998E-2</v>
      </c>
    </row>
    <row r="2196" spans="1:17" x14ac:dyDescent="0.2">
      <c r="A2196" s="10">
        <v>1857</v>
      </c>
      <c r="B2196" s="10" t="s">
        <v>2835</v>
      </c>
      <c r="C2196" s="9" t="s">
        <v>2089</v>
      </c>
      <c r="D2196" s="10">
        <v>0.59066596400000004</v>
      </c>
      <c r="E2196" s="10">
        <v>0.93668537900000004</v>
      </c>
      <c r="F2196" s="10">
        <v>0.46848475899999997</v>
      </c>
      <c r="G2196" s="10">
        <v>0.52424766499999997</v>
      </c>
      <c r="H2196" s="9">
        <v>0.63002094175000001</v>
      </c>
      <c r="I2196" s="10">
        <v>0.21045491659690799</v>
      </c>
      <c r="J2196" s="10">
        <v>4.42912719198119E-2</v>
      </c>
      <c r="K2196" s="10">
        <v>0.47434854999999998</v>
      </c>
      <c r="L2196" s="10">
        <v>0.95722405099999996</v>
      </c>
      <c r="M2196" s="10">
        <v>0.26181115700000002</v>
      </c>
      <c r="N2196" s="10">
        <v>1.050929802</v>
      </c>
      <c r="O2196" s="9">
        <v>0.68607838975000002</v>
      </c>
      <c r="P2196" s="10">
        <v>0.37923991195610401</v>
      </c>
      <c r="Q2196" s="10">
        <v>0.14382291082047399</v>
      </c>
    </row>
    <row r="2197" spans="1:17" x14ac:dyDescent="0.2">
      <c r="A2197" s="10">
        <v>1858</v>
      </c>
      <c r="B2197" s="10" t="s">
        <v>2831</v>
      </c>
      <c r="C2197" s="9" t="s">
        <v>72</v>
      </c>
      <c r="D2197" s="10">
        <v>0.26115234300000001</v>
      </c>
      <c r="E2197" s="10">
        <v>-0.52373689599999995</v>
      </c>
      <c r="F2197" s="10">
        <v>0.386628637</v>
      </c>
      <c r="G2197" s="10">
        <v>-0.47950019900000002</v>
      </c>
      <c r="H2197" s="9">
        <v>-8.8864028750000004E-2</v>
      </c>
      <c r="I2197" s="10">
        <v>0.479692875304223</v>
      </c>
      <c r="J2197" s="10">
        <v>0.23010525461763201</v>
      </c>
      <c r="K2197" s="10">
        <v>-0.54324742800000003</v>
      </c>
      <c r="L2197" s="10">
        <v>-0.29140345600000001</v>
      </c>
      <c r="M2197" s="10">
        <v>-0.89105985700000001</v>
      </c>
      <c r="N2197" s="10">
        <v>0.77407316800000003</v>
      </c>
      <c r="O2197" s="9">
        <v>-0.23790939350000001</v>
      </c>
      <c r="P2197" s="10">
        <v>0.71805458538689604</v>
      </c>
      <c r="Q2197" s="10">
        <v>0.51560238759514698</v>
      </c>
    </row>
    <row r="2198" spans="1:17" x14ac:dyDescent="0.2">
      <c r="A2198" s="10">
        <v>1858</v>
      </c>
      <c r="B2198" s="10" t="s">
        <v>2822</v>
      </c>
      <c r="C2198" s="9" t="s">
        <v>2091</v>
      </c>
      <c r="D2198" s="10">
        <v>0.38683997399999998</v>
      </c>
      <c r="E2198" s="10">
        <v>0.38617938200000002</v>
      </c>
      <c r="F2198" s="10">
        <v>0.28204412499999998</v>
      </c>
      <c r="G2198" s="10">
        <v>-0.53794109800000001</v>
      </c>
      <c r="H2198" s="9">
        <v>0.12928059575</v>
      </c>
      <c r="I2198" s="10">
        <v>0.44753223503295703</v>
      </c>
      <c r="J2198" s="10">
        <v>0.20028510139359401</v>
      </c>
      <c r="K2198" s="10">
        <v>0.432685557</v>
      </c>
      <c r="L2198" s="10">
        <v>-6.8673705000000002E-2</v>
      </c>
      <c r="M2198" s="10">
        <v>-6.3969239999999997E-2</v>
      </c>
      <c r="N2198" s="10">
        <v>-0.67937299900000003</v>
      </c>
      <c r="O2198" s="9">
        <v>-9.4832596749999998E-2</v>
      </c>
      <c r="P2198" s="10">
        <v>0.455192164111622</v>
      </c>
      <c r="Q2198" s="10">
        <v>0.207199906268622</v>
      </c>
    </row>
    <row r="2199" spans="1:17" x14ac:dyDescent="0.2">
      <c r="A2199" s="10">
        <v>1858</v>
      </c>
      <c r="B2199" s="10" t="s">
        <v>2819</v>
      </c>
      <c r="C2199" s="9" t="s">
        <v>2092</v>
      </c>
      <c r="D2199" s="10">
        <v>0.30281035299999998</v>
      </c>
      <c r="E2199" s="10">
        <v>-0.42446898199999999</v>
      </c>
      <c r="F2199" s="10">
        <v>0.212531417</v>
      </c>
      <c r="G2199" s="10">
        <v>0.16336636900000001</v>
      </c>
      <c r="H2199" s="9">
        <v>6.3559789000000005E-2</v>
      </c>
      <c r="I2199" s="10">
        <v>0.33043749437089898</v>
      </c>
      <c r="J2199" s="10">
        <v>0.109188937686118</v>
      </c>
      <c r="K2199" s="10">
        <v>0.34436916099999998</v>
      </c>
      <c r="L2199" s="10">
        <v>0.43447150400000001</v>
      </c>
      <c r="M2199" s="10">
        <v>2.1615170999999999E-2</v>
      </c>
      <c r="N2199" s="10">
        <v>-0.17072179300000001</v>
      </c>
      <c r="O2199" s="9">
        <v>0.15743351124999999</v>
      </c>
      <c r="P2199" s="10">
        <v>0.28155965136484401</v>
      </c>
      <c r="Q2199" s="10">
        <v>7.9275837276692795E-2</v>
      </c>
    </row>
    <row r="2200" spans="1:17" x14ac:dyDescent="0.2">
      <c r="A2200" s="10">
        <v>1858</v>
      </c>
      <c r="B2200" s="10" t="s">
        <v>2821</v>
      </c>
      <c r="C2200" s="9" t="s">
        <v>2093</v>
      </c>
      <c r="D2200" s="10">
        <v>0.116158809</v>
      </c>
      <c r="E2200" s="10">
        <v>0.46130325700000002</v>
      </c>
      <c r="F2200" s="10">
        <v>1.0111449E-2</v>
      </c>
      <c r="G2200" s="10">
        <v>0.17558343800000001</v>
      </c>
      <c r="H2200" s="9">
        <v>0.19078923824999999</v>
      </c>
      <c r="I2200" s="10">
        <v>0.192893075044029</v>
      </c>
      <c r="J2200" s="10">
        <v>3.7207738399941598E-2</v>
      </c>
      <c r="K2200" s="10">
        <v>-0.12977374</v>
      </c>
      <c r="L2200" s="10">
        <v>-0.13042204499999999</v>
      </c>
      <c r="M2200" s="10">
        <v>0.26975444100000001</v>
      </c>
      <c r="N2200" s="10">
        <v>-0.27509358099999998</v>
      </c>
      <c r="O2200" s="9">
        <v>-6.6383731000000001E-2</v>
      </c>
      <c r="P2200" s="10">
        <v>0.234284635335956</v>
      </c>
      <c r="Q2200" s="10">
        <v>5.4889290354502199E-2</v>
      </c>
    </row>
    <row r="2201" spans="1:17" x14ac:dyDescent="0.2">
      <c r="A2201" s="10">
        <v>1858</v>
      </c>
      <c r="B2201" s="10" t="s">
        <v>2834</v>
      </c>
      <c r="C2201" s="9" t="s">
        <v>2094</v>
      </c>
      <c r="D2201" s="10">
        <v>3.6543529999999999E-3</v>
      </c>
      <c r="E2201" s="10">
        <v>0.382351571</v>
      </c>
      <c r="F2201" s="10">
        <v>0.106562807</v>
      </c>
      <c r="G2201" s="10">
        <v>-0.13371562000000001</v>
      </c>
      <c r="H2201" s="9">
        <v>8.9713277499999994E-2</v>
      </c>
      <c r="I2201" s="10">
        <v>0.21851597057661901</v>
      </c>
      <c r="J2201" s="10">
        <v>4.7749229397041897E-2</v>
      </c>
      <c r="K2201" s="10">
        <v>0.34675825300000002</v>
      </c>
      <c r="L2201" s="10">
        <v>6.5562429000000005E-2</v>
      </c>
      <c r="M2201" s="10">
        <v>0.11400830100000001</v>
      </c>
      <c r="N2201" s="10">
        <v>-2.6471681E-2</v>
      </c>
      <c r="O2201" s="9">
        <v>0.1249643255</v>
      </c>
      <c r="P2201" s="10">
        <v>0.15892768808610599</v>
      </c>
      <c r="Q2201" s="10">
        <v>2.5258010040394799E-2</v>
      </c>
    </row>
    <row r="2202" spans="1:17" x14ac:dyDescent="0.2">
      <c r="A2202" s="10">
        <v>1858</v>
      </c>
      <c r="B2202" s="10" t="s">
        <v>2820</v>
      </c>
      <c r="C2202" s="9" t="s">
        <v>2095</v>
      </c>
      <c r="D2202" s="10">
        <v>0.89184462099999995</v>
      </c>
      <c r="E2202" s="10">
        <v>0.76319977999999999</v>
      </c>
      <c r="F2202" s="10">
        <v>8.1280528000000005E-2</v>
      </c>
      <c r="G2202" s="10">
        <v>0.98020141599999999</v>
      </c>
      <c r="H2202" s="9">
        <v>0.67913158625000003</v>
      </c>
      <c r="I2202" s="10">
        <v>0.40840471209707302</v>
      </c>
      <c r="J2202" s="10">
        <v>0.16679440886309299</v>
      </c>
      <c r="K2202" s="10">
        <v>-0.17271729899999999</v>
      </c>
      <c r="L2202" s="10">
        <v>-0.102810107</v>
      </c>
      <c r="M2202" s="10">
        <v>0.58577320099999997</v>
      </c>
      <c r="N2202" s="10">
        <v>-0.1948809</v>
      </c>
      <c r="O2202" s="9">
        <v>2.8841223749999999E-2</v>
      </c>
      <c r="P2202" s="10">
        <v>0.37335538339059399</v>
      </c>
      <c r="Q2202" s="10">
        <v>0.139394242306737</v>
      </c>
    </row>
    <row r="2203" spans="1:17" x14ac:dyDescent="0.2">
      <c r="A2203" s="10">
        <v>1858</v>
      </c>
      <c r="B2203" s="10" t="s">
        <v>2824</v>
      </c>
      <c r="C2203" s="9" t="s">
        <v>2096</v>
      </c>
      <c r="D2203" s="10">
        <v>0.50016617799999996</v>
      </c>
      <c r="E2203" s="10">
        <v>9.4818589999999994E-2</v>
      </c>
      <c r="F2203" s="10">
        <v>-0.170675881</v>
      </c>
      <c r="G2203" s="10">
        <v>-0.21440374100000001</v>
      </c>
      <c r="H2203" s="9">
        <v>5.2476286249999997E-2</v>
      </c>
      <c r="I2203" s="10">
        <v>0.32824835544412401</v>
      </c>
      <c r="J2203" s="10">
        <v>0.10774698285177201</v>
      </c>
      <c r="K2203" s="10">
        <v>-5.9506339999999998E-3</v>
      </c>
      <c r="L2203" s="10">
        <v>-6.8356448E-2</v>
      </c>
      <c r="M2203" s="10">
        <v>5.0806825E-2</v>
      </c>
      <c r="N2203" s="10">
        <v>8.4813452999999997E-2</v>
      </c>
      <c r="O2203" s="9">
        <v>1.532829875E-2</v>
      </c>
      <c r="P2203" s="10">
        <v>6.7188397568848299E-2</v>
      </c>
      <c r="Q2203" s="10">
        <v>4.5142807678696002E-3</v>
      </c>
    </row>
    <row r="2204" spans="1:17" x14ac:dyDescent="0.2">
      <c r="A2204" s="10">
        <v>1858</v>
      </c>
      <c r="B2204" s="10" t="s">
        <v>2817</v>
      </c>
      <c r="C2204" s="9" t="s">
        <v>2097</v>
      </c>
      <c r="D2204" s="10">
        <v>0.71065979899999998</v>
      </c>
      <c r="E2204" s="10">
        <v>0.46657058099999998</v>
      </c>
      <c r="F2204" s="10">
        <v>-0.11456443600000001</v>
      </c>
      <c r="G2204" s="10">
        <v>-0.47780419000000002</v>
      </c>
      <c r="H2204" s="9">
        <v>0.14621543849999999</v>
      </c>
      <c r="I2204" s="10">
        <v>0.54118126757552698</v>
      </c>
      <c r="J2204" s="10">
        <v>0.292877164374654</v>
      </c>
      <c r="K2204" s="10">
        <v>0.44306547499999999</v>
      </c>
      <c r="L2204" s="10">
        <v>4.5902389000000002E-2</v>
      </c>
      <c r="M2204" s="10">
        <v>0.44067878700000002</v>
      </c>
      <c r="N2204" s="10">
        <v>0.27906556700000001</v>
      </c>
      <c r="O2204" s="9">
        <v>0.30217805450000002</v>
      </c>
      <c r="P2204" s="10">
        <v>0.187299334367998</v>
      </c>
      <c r="Q2204" s="10">
        <v>3.5081040654695299E-2</v>
      </c>
    </row>
    <row r="2205" spans="1:17" x14ac:dyDescent="0.2">
      <c r="A2205" s="10">
        <v>1858</v>
      </c>
      <c r="B2205" s="10" t="s">
        <v>82</v>
      </c>
      <c r="C2205" s="9" t="s">
        <v>2098</v>
      </c>
      <c r="D2205" s="10">
        <v>-0.324381529</v>
      </c>
      <c r="E2205" s="10">
        <v>-0.37607424900000003</v>
      </c>
      <c r="F2205" s="10">
        <v>-8.0342053999999996E-2</v>
      </c>
      <c r="G2205" s="10">
        <v>-0.23300423100000001</v>
      </c>
      <c r="H2205" s="9">
        <v>-0.25345051574999999</v>
      </c>
      <c r="I2205" s="10">
        <v>0.129682148201372</v>
      </c>
      <c r="J2205" s="10">
        <v>1.6817459562122699E-2</v>
      </c>
      <c r="K2205" s="10">
        <v>2.4198599999999998E-3</v>
      </c>
      <c r="L2205" s="10">
        <v>-0.16829450300000001</v>
      </c>
      <c r="M2205" s="10">
        <v>3.2765897000000002E-2</v>
      </c>
      <c r="N2205" s="10">
        <v>-7.8078842999999995E-2</v>
      </c>
      <c r="O2205" s="9">
        <v>-5.2796897500000002E-2</v>
      </c>
      <c r="P2205" s="10">
        <v>9.00902431934439E-2</v>
      </c>
      <c r="Q2205" s="10">
        <v>8.1162519186538003E-3</v>
      </c>
    </row>
    <row r="2206" spans="1:17" x14ac:dyDescent="0.2">
      <c r="A2206" s="10">
        <v>1858</v>
      </c>
      <c r="B2206" s="10" t="s">
        <v>2814</v>
      </c>
      <c r="C2206" s="9" t="s">
        <v>2099</v>
      </c>
      <c r="D2206" s="10">
        <v>0.42949097800000002</v>
      </c>
      <c r="E2206" s="10">
        <v>0.595552254</v>
      </c>
      <c r="F2206" s="10">
        <v>0.41558405599999998</v>
      </c>
      <c r="G2206" s="10">
        <v>-8.1332520000000005E-3</v>
      </c>
      <c r="H2206" s="9">
        <v>0.35812350900000001</v>
      </c>
      <c r="I2206" s="10">
        <v>0.25749527764180502</v>
      </c>
      <c r="J2206" s="10">
        <v>6.6303818007830403E-2</v>
      </c>
      <c r="K2206" s="10">
        <v>4.6444591E-2</v>
      </c>
      <c r="L2206" s="10">
        <v>-0.20097013999999999</v>
      </c>
      <c r="M2206" s="10">
        <v>-3.7092638999999997E-2</v>
      </c>
      <c r="N2206" s="10">
        <v>0.15371822499999999</v>
      </c>
      <c r="O2206" s="9">
        <v>-9.4749910000000003E-3</v>
      </c>
      <c r="P2206" s="10">
        <v>0.149657555740944</v>
      </c>
      <c r="Q2206" s="10">
        <v>2.2397383990353799E-2</v>
      </c>
    </row>
    <row r="2207" spans="1:17" x14ac:dyDescent="0.2">
      <c r="A2207" s="10">
        <v>1858</v>
      </c>
      <c r="B2207" s="10" t="s">
        <v>2833</v>
      </c>
      <c r="C2207" s="9" t="s">
        <v>2100</v>
      </c>
      <c r="D2207" s="10">
        <v>-0.29442655000000001</v>
      </c>
      <c r="E2207" s="10">
        <v>0.81432800699999996</v>
      </c>
      <c r="F2207" s="10">
        <v>-0.50229078000000005</v>
      </c>
      <c r="G2207" s="10">
        <v>0.20456892500000001</v>
      </c>
      <c r="H2207" s="9">
        <v>5.5544900750000001E-2</v>
      </c>
      <c r="I2207" s="10">
        <v>0.58640731725537498</v>
      </c>
      <c r="J2207" s="10">
        <v>0.34387354173064599</v>
      </c>
      <c r="K2207" s="10">
        <v>0.42756079200000002</v>
      </c>
      <c r="L2207" s="10">
        <v>-1.024790299</v>
      </c>
      <c r="M2207" s="10">
        <v>-0.92212209300000003</v>
      </c>
      <c r="N2207" s="10">
        <v>-0.64422827900000001</v>
      </c>
      <c r="O2207" s="9">
        <v>-0.54089496974999995</v>
      </c>
      <c r="P2207" s="10">
        <v>0.66535031986634996</v>
      </c>
      <c r="Q2207" s="10">
        <v>0.44269104814625498</v>
      </c>
    </row>
    <row r="2208" spans="1:17" x14ac:dyDescent="0.2">
      <c r="A2208" s="10">
        <v>1858</v>
      </c>
      <c r="B2208" s="10" t="s">
        <v>2825</v>
      </c>
      <c r="C2208" s="9" t="s">
        <v>2101</v>
      </c>
      <c r="D2208" s="10">
        <v>-0.28793714399999998</v>
      </c>
      <c r="E2208" s="10">
        <v>0.38180600999999997</v>
      </c>
      <c r="F2208" s="10">
        <v>0.454794268</v>
      </c>
      <c r="G2208" s="10">
        <v>-0.47178038799999999</v>
      </c>
      <c r="H2208" s="9">
        <v>1.922068675E-2</v>
      </c>
      <c r="I2208" s="10">
        <v>0.46783916385725199</v>
      </c>
      <c r="J2208" s="10">
        <v>0.21887348323865199</v>
      </c>
      <c r="K2208" s="10">
        <v>2.5130050000000001E-2</v>
      </c>
      <c r="L2208" s="10">
        <v>6.6529290000000005E-2</v>
      </c>
      <c r="M2208" s="10">
        <v>0.33848313800000002</v>
      </c>
      <c r="N2208" s="10">
        <v>7.0660582E-2</v>
      </c>
      <c r="O2208" s="9">
        <v>0.12520076499999999</v>
      </c>
      <c r="P2208" s="10">
        <v>0.14366685093584999</v>
      </c>
      <c r="Q2208" s="10">
        <v>2.06401640578238E-2</v>
      </c>
    </row>
    <row r="2209" spans="1:17" x14ac:dyDescent="0.2">
      <c r="A2209" s="10">
        <v>1858</v>
      </c>
      <c r="B2209" s="10" t="s">
        <v>74</v>
      </c>
      <c r="C2209" s="9" t="s">
        <v>2102</v>
      </c>
      <c r="D2209" s="10">
        <v>0.15029466499999999</v>
      </c>
      <c r="E2209" s="10">
        <v>9.5903275999999996E-2</v>
      </c>
      <c r="F2209" s="10">
        <v>0.29194687699999999</v>
      </c>
      <c r="G2209" s="10">
        <v>-0.17510571599999999</v>
      </c>
      <c r="H2209" s="9">
        <v>9.0759775249999994E-2</v>
      </c>
      <c r="I2209" s="10">
        <v>0.19556036412122499</v>
      </c>
      <c r="J2209" s="10">
        <v>3.8243856015226098E-2</v>
      </c>
      <c r="K2209" s="10">
        <v>0.12134326400000001</v>
      </c>
      <c r="L2209" s="10">
        <v>2.9653460999999999E-2</v>
      </c>
      <c r="M2209" s="10">
        <v>0.148066265</v>
      </c>
      <c r="N2209" s="10">
        <v>3.4506117000000003E-2</v>
      </c>
      <c r="O2209" s="9">
        <v>8.3392277000000001E-2</v>
      </c>
      <c r="P2209" s="10">
        <v>6.0279126079502698E-2</v>
      </c>
      <c r="Q2209" s="10">
        <v>3.6335730409084999E-3</v>
      </c>
    </row>
    <row r="2210" spans="1:17" x14ac:dyDescent="0.2">
      <c r="A2210" s="10">
        <v>1858</v>
      </c>
      <c r="B2210" s="10" t="s">
        <v>2818</v>
      </c>
      <c r="C2210" s="9" t="s">
        <v>2103</v>
      </c>
      <c r="D2210" s="10">
        <v>-0.139519742</v>
      </c>
      <c r="E2210" s="10">
        <v>0.164175561</v>
      </c>
      <c r="F2210" s="10">
        <v>0.613602376</v>
      </c>
      <c r="G2210" s="10">
        <v>-0.18529237900000001</v>
      </c>
      <c r="H2210" s="9">
        <v>0.11324145400000001</v>
      </c>
      <c r="I2210" s="10">
        <v>0.36786139018639402</v>
      </c>
      <c r="J2210" s="10">
        <v>0.135322002389866</v>
      </c>
      <c r="K2210" s="10">
        <v>-0.43988179199999999</v>
      </c>
      <c r="L2210" s="10">
        <v>-1.006485624</v>
      </c>
      <c r="M2210" s="10">
        <v>-0.30624913599999998</v>
      </c>
      <c r="N2210" s="10">
        <v>-6.691859E-2</v>
      </c>
      <c r="O2210" s="9">
        <v>-0.45488378550000003</v>
      </c>
      <c r="P2210" s="10">
        <v>0.39878937631992101</v>
      </c>
      <c r="Q2210" s="10">
        <v>0.15903296666563099</v>
      </c>
    </row>
    <row r="2211" spans="1:17" x14ac:dyDescent="0.2">
      <c r="A2211" s="10">
        <v>1858</v>
      </c>
      <c r="B2211" s="10" t="s">
        <v>2830</v>
      </c>
      <c r="C2211" s="9" t="s">
        <v>2104</v>
      </c>
      <c r="D2211" s="10">
        <v>0.31897225899999998</v>
      </c>
      <c r="E2211" s="10">
        <v>0.21136506099999999</v>
      </c>
      <c r="F2211" s="10">
        <v>-0.63303419999999999</v>
      </c>
      <c r="G2211" s="10">
        <v>-0.63721493200000001</v>
      </c>
      <c r="H2211" s="9">
        <v>-0.18497795275000001</v>
      </c>
      <c r="I2211" s="10">
        <v>0.52164045298532902</v>
      </c>
      <c r="J2211" s="10">
        <v>0.27210876219073998</v>
      </c>
      <c r="K2211" s="10">
        <v>-0.31756153999999998</v>
      </c>
      <c r="L2211" s="10">
        <v>0.25632792199999999</v>
      </c>
      <c r="M2211" s="10">
        <v>0.60912142300000005</v>
      </c>
      <c r="N2211" s="10">
        <v>-0.70501954300000003</v>
      </c>
      <c r="O2211" s="9">
        <v>-3.9282934499999998E-2</v>
      </c>
      <c r="P2211" s="10">
        <v>0.58550781477328295</v>
      </c>
      <c r="Q2211" s="10">
        <v>0.34281940116058601</v>
      </c>
    </row>
    <row r="2212" spans="1:17" x14ac:dyDescent="0.2">
      <c r="A2212" s="10">
        <v>1858</v>
      </c>
      <c r="B2212" s="10" t="s">
        <v>2835</v>
      </c>
      <c r="C2212" s="9" t="s">
        <v>2105</v>
      </c>
      <c r="D2212" s="10">
        <v>0.27980076700000001</v>
      </c>
      <c r="E2212" s="10">
        <v>3.5132305000000003E-2</v>
      </c>
      <c r="F2212" s="10">
        <v>0.52489864799999997</v>
      </c>
      <c r="G2212" s="10">
        <v>-4.0088288999999999E-2</v>
      </c>
      <c r="H2212" s="9">
        <v>0.19993585799999999</v>
      </c>
      <c r="I2212" s="10">
        <v>0.25609309557181398</v>
      </c>
      <c r="J2212" s="10">
        <v>6.5583673599554596E-2</v>
      </c>
      <c r="K2212" s="10">
        <v>-0.28603051899999998</v>
      </c>
      <c r="L2212" s="10">
        <v>0.43698120299999998</v>
      </c>
      <c r="M2212" s="10">
        <v>0.21345486999999999</v>
      </c>
      <c r="N2212" s="10">
        <v>0.48450889499999999</v>
      </c>
      <c r="O2212" s="9">
        <v>0.21222861225</v>
      </c>
      <c r="P2212" s="10">
        <v>0.352568643437147</v>
      </c>
      <c r="Q2212" s="10">
        <v>0.12430464833511</v>
      </c>
    </row>
    <row r="2213" spans="1:17" x14ac:dyDescent="0.2">
      <c r="A2213" s="10">
        <v>1858</v>
      </c>
      <c r="B2213" s="10" t="s">
        <v>2832</v>
      </c>
      <c r="C2213" s="9" t="s">
        <v>2106</v>
      </c>
      <c r="D2213" s="10">
        <v>-0.56236719000000002</v>
      </c>
      <c r="E2213" s="10">
        <v>0.27583494800000002</v>
      </c>
      <c r="F2213" s="10">
        <v>3.3107048E-2</v>
      </c>
      <c r="G2213" s="10">
        <v>-0.78058185899999999</v>
      </c>
      <c r="H2213" s="9">
        <v>-0.25850176325000002</v>
      </c>
      <c r="I2213" s="10">
        <v>0.49512733841588402</v>
      </c>
      <c r="J2213" s="10">
        <v>0.24515108124679699</v>
      </c>
      <c r="K2213" s="10">
        <v>-0.43603399799999998</v>
      </c>
      <c r="L2213" s="10">
        <v>0.36377548799999998</v>
      </c>
      <c r="M2213" s="10">
        <v>-1.023375792</v>
      </c>
      <c r="N2213" s="10">
        <v>-0.62659983699999999</v>
      </c>
      <c r="O2213" s="9">
        <v>-0.43055853449999998</v>
      </c>
      <c r="P2213" s="10">
        <v>0.58334124177799695</v>
      </c>
      <c r="Q2213" s="10">
        <v>0.34028700435909598</v>
      </c>
    </row>
    <row r="2214" spans="1:17" x14ac:dyDescent="0.2">
      <c r="A2214" s="10">
        <v>1859</v>
      </c>
      <c r="B2214" s="10" t="s">
        <v>2831</v>
      </c>
      <c r="C2214" s="9" t="s">
        <v>2166</v>
      </c>
      <c r="D2214" s="10">
        <v>-1.1772059E-2</v>
      </c>
      <c r="E2214" s="10">
        <v>-7.5415973999999997E-2</v>
      </c>
      <c r="F2214" s="10">
        <v>-0.58584467200000001</v>
      </c>
      <c r="G2214" s="10">
        <v>-0.59146841900000002</v>
      </c>
      <c r="H2214" s="9">
        <v>-0.31612528099999998</v>
      </c>
      <c r="I2214" s="10">
        <v>0.31577114484137497</v>
      </c>
      <c r="J2214" s="10">
        <v>9.9711415914433096E-2</v>
      </c>
      <c r="K2214" s="10">
        <v>0.68592662699999996</v>
      </c>
      <c r="L2214" s="10">
        <v>0.88793802600000005</v>
      </c>
      <c r="M2214" s="10">
        <v>0.103974659</v>
      </c>
      <c r="N2214" s="10">
        <v>0.511291724</v>
      </c>
      <c r="O2214" s="9">
        <v>0.54728275900000001</v>
      </c>
      <c r="P2214" s="10">
        <v>0.33320942323350899</v>
      </c>
      <c r="Q2214" s="10">
        <v>0.111028519731607</v>
      </c>
    </row>
    <row r="2215" spans="1:17" x14ac:dyDescent="0.2">
      <c r="A2215" s="10">
        <v>1859</v>
      </c>
      <c r="B2215" s="10" t="s">
        <v>2822</v>
      </c>
      <c r="C2215" s="9" t="s">
        <v>2107</v>
      </c>
      <c r="D2215" s="10">
        <v>-0.223511605</v>
      </c>
      <c r="E2215" s="10">
        <v>0.62311277799999998</v>
      </c>
      <c r="F2215" s="10">
        <v>-5.3361282000000003E-2</v>
      </c>
      <c r="G2215" s="10">
        <v>-0.198462955</v>
      </c>
      <c r="H2215" s="9">
        <v>3.694423375E-2</v>
      </c>
      <c r="I2215" s="10">
        <v>0.39791223357971001</v>
      </c>
      <c r="J2215" s="10">
        <v>0.15833414563239301</v>
      </c>
      <c r="K2215" s="10">
        <v>0.32600932700000002</v>
      </c>
      <c r="L2215" s="10">
        <v>-1.091410596</v>
      </c>
      <c r="M2215" s="10">
        <v>0.39991136300000002</v>
      </c>
      <c r="N2215" s="10">
        <v>0.31217700799999998</v>
      </c>
      <c r="O2215" s="9">
        <v>-1.3328224499999999E-2</v>
      </c>
      <c r="P2215" s="10">
        <v>0.71975277854254105</v>
      </c>
      <c r="Q2215" s="10">
        <v>0.518044062219709</v>
      </c>
    </row>
    <row r="2216" spans="1:17" x14ac:dyDescent="0.2">
      <c r="A2216" s="10">
        <v>1859</v>
      </c>
      <c r="B2216" s="10" t="s">
        <v>2821</v>
      </c>
      <c r="C2216" s="9" t="s">
        <v>2108</v>
      </c>
      <c r="D2216" s="10">
        <v>-8.9105790000000004E-2</v>
      </c>
      <c r="E2216" s="10">
        <v>-0.22015027100000001</v>
      </c>
      <c r="F2216" s="10">
        <v>-1.7896709529999999</v>
      </c>
      <c r="G2216" s="10">
        <v>-0.34062857099999999</v>
      </c>
      <c r="H2216" s="9">
        <v>-0.60988889624999998</v>
      </c>
      <c r="I2216" s="10">
        <v>0.79319986215122196</v>
      </c>
      <c r="J2216" s="10">
        <v>0.62916602131671795</v>
      </c>
      <c r="K2216" s="10">
        <v>0.15452198</v>
      </c>
      <c r="L2216" s="10">
        <v>0.33919113299999998</v>
      </c>
      <c r="M2216" s="10">
        <v>-0.42031443400000001</v>
      </c>
      <c r="N2216" s="10">
        <v>-0.19804845800000001</v>
      </c>
      <c r="O2216" s="9">
        <v>-3.1162444750000001E-2</v>
      </c>
      <c r="P2216" s="10">
        <v>0.34201885440361002</v>
      </c>
      <c r="Q2216" s="10">
        <v>0.116976896767558</v>
      </c>
    </row>
    <row r="2217" spans="1:17" x14ac:dyDescent="0.2">
      <c r="A2217" s="10">
        <v>1859</v>
      </c>
      <c r="B2217" s="10" t="s">
        <v>2834</v>
      </c>
      <c r="C2217" s="9" t="s">
        <v>2109</v>
      </c>
      <c r="D2217" s="10">
        <v>0.70232311700000005</v>
      </c>
      <c r="E2217" s="10">
        <v>0.117312781</v>
      </c>
      <c r="F2217" s="10">
        <v>0.55773829900000005</v>
      </c>
      <c r="G2217" s="10">
        <v>-0.69058420200000004</v>
      </c>
      <c r="H2217" s="9">
        <v>0.17169749849999999</v>
      </c>
      <c r="I2217" s="10">
        <v>0.62638605645770695</v>
      </c>
      <c r="J2217" s="10">
        <v>0.39235949172463802</v>
      </c>
      <c r="K2217" s="10">
        <v>-1.521565866</v>
      </c>
      <c r="L2217" s="10">
        <v>-1.5133670340000001</v>
      </c>
      <c r="M2217" s="10">
        <v>0.24928023199999999</v>
      </c>
      <c r="N2217" s="10">
        <v>0.39137383799999997</v>
      </c>
      <c r="O2217" s="9">
        <v>-0.59856970725000003</v>
      </c>
      <c r="P2217" s="10">
        <v>1.06264039078209</v>
      </c>
      <c r="Q2217" s="10">
        <v>1.1292046001215199</v>
      </c>
    </row>
    <row r="2218" spans="1:17" x14ac:dyDescent="0.2">
      <c r="A2218" s="10">
        <v>1859</v>
      </c>
      <c r="B2218" s="10" t="s">
        <v>2824</v>
      </c>
      <c r="C2218" s="9" t="s">
        <v>2110</v>
      </c>
      <c r="D2218" s="10">
        <v>0.309047872</v>
      </c>
      <c r="E2218" s="10">
        <v>-0.19414326400000001</v>
      </c>
      <c r="F2218" s="10">
        <v>-0.48483308800000002</v>
      </c>
      <c r="G2218" s="10">
        <v>-0.49126703300000002</v>
      </c>
      <c r="H2218" s="9">
        <v>-0.21529887824999999</v>
      </c>
      <c r="I2218" s="10">
        <v>0.37602933714171199</v>
      </c>
      <c r="J2218" s="10">
        <v>0.14139806239123501</v>
      </c>
      <c r="K2218" s="10">
        <v>-0.50513202800000001</v>
      </c>
      <c r="L2218" s="10">
        <v>-0.67775934599999998</v>
      </c>
      <c r="M2218" s="10">
        <v>-0.26271646100000001</v>
      </c>
      <c r="N2218" s="10">
        <v>2.1967906999999998E-2</v>
      </c>
      <c r="O2218" s="9">
        <v>-0.35590998200000001</v>
      </c>
      <c r="P2218" s="10">
        <v>0.30404548095699102</v>
      </c>
      <c r="Q2218" s="10">
        <v>9.2443654490368093E-2</v>
      </c>
    </row>
    <row r="2219" spans="1:17" x14ac:dyDescent="0.2">
      <c r="A2219" s="10">
        <v>1859</v>
      </c>
      <c r="B2219" s="10" t="s">
        <v>2817</v>
      </c>
      <c r="C2219" s="9" t="s">
        <v>2111</v>
      </c>
      <c r="D2219" s="10">
        <v>0.58561788699999995</v>
      </c>
      <c r="E2219" s="10">
        <v>-0.16379376300000001</v>
      </c>
      <c r="F2219" s="10">
        <v>0.20047911299999999</v>
      </c>
      <c r="G2219" s="10">
        <v>-0.56219122600000004</v>
      </c>
      <c r="H2219" s="9">
        <v>1.50280025E-2</v>
      </c>
      <c r="I2219" s="10">
        <v>0.49163814343684298</v>
      </c>
      <c r="J2219" s="10">
        <v>0.241708064082026</v>
      </c>
      <c r="K2219" s="10">
        <v>0.38205425700000001</v>
      </c>
      <c r="L2219" s="10">
        <v>0.28915195100000002</v>
      </c>
      <c r="M2219" s="10">
        <v>-0.33778171299999998</v>
      </c>
      <c r="N2219" s="10">
        <v>-0.265307401</v>
      </c>
      <c r="O2219" s="9">
        <v>1.7029273250000001E-2</v>
      </c>
      <c r="P2219" s="10">
        <v>0.37098913914819898</v>
      </c>
      <c r="Q2219" s="10">
        <v>0.137632941365922</v>
      </c>
    </row>
    <row r="2220" spans="1:17" x14ac:dyDescent="0.2">
      <c r="A2220" s="10">
        <v>1859</v>
      </c>
      <c r="B2220" s="10" t="s">
        <v>82</v>
      </c>
      <c r="C2220" s="9" t="s">
        <v>2165</v>
      </c>
      <c r="D2220" s="10">
        <v>0.12682294599999999</v>
      </c>
      <c r="E2220" s="10">
        <v>-0.25483441099999998</v>
      </c>
      <c r="F2220" s="10">
        <v>-0.18145324900000001</v>
      </c>
      <c r="G2220" s="10">
        <v>1.7505900000000001E-4</v>
      </c>
      <c r="H2220" s="9">
        <v>-7.7322413749999999E-2</v>
      </c>
      <c r="I2220" s="10">
        <v>0.17323868525595901</v>
      </c>
      <c r="J2220" s="10">
        <v>3.0011642069213501E-2</v>
      </c>
      <c r="K2220" s="10">
        <v>0.36615919299999999</v>
      </c>
      <c r="L2220" s="10">
        <v>9.2108916999999998E-2</v>
      </c>
      <c r="M2220" s="10">
        <v>-0.372104673</v>
      </c>
      <c r="N2220" s="10">
        <v>-0.29112342000000002</v>
      </c>
      <c r="O2220" s="9">
        <v>-5.1239996000000003E-2</v>
      </c>
      <c r="P2220" s="10">
        <v>0.34412652319189102</v>
      </c>
      <c r="Q2220" s="10">
        <v>0.118423063964139</v>
      </c>
    </row>
    <row r="2221" spans="1:17" x14ac:dyDescent="0.2">
      <c r="A2221" s="10">
        <v>1859</v>
      </c>
      <c r="B2221" s="10" t="s">
        <v>2833</v>
      </c>
      <c r="C2221" s="9" t="s">
        <v>2112</v>
      </c>
      <c r="D2221" s="10">
        <v>0.230414227</v>
      </c>
      <c r="E2221" s="10">
        <v>-0.79916084300000001</v>
      </c>
      <c r="F2221" s="10">
        <v>-0.52228980400000002</v>
      </c>
      <c r="G2221" s="10">
        <v>-0.42637935799999999</v>
      </c>
      <c r="H2221" s="9">
        <v>-0.37935394475000001</v>
      </c>
      <c r="I2221" s="10">
        <v>0.43615635745624198</v>
      </c>
      <c r="J2221" s="10">
        <v>0.19023236814949701</v>
      </c>
      <c r="K2221" s="10">
        <v>0.45979288899999998</v>
      </c>
      <c r="L2221" s="10">
        <v>0.31628169499999997</v>
      </c>
      <c r="M2221" s="10">
        <v>0.31382330800000002</v>
      </c>
      <c r="N2221" s="10">
        <v>0.28895578799999999</v>
      </c>
      <c r="O2221" s="9">
        <v>0.34471342025000001</v>
      </c>
      <c r="P2221" s="10">
        <v>7.7706198202840804E-2</v>
      </c>
      <c r="Q2221" s="10">
        <v>6.0382532391391004E-3</v>
      </c>
    </row>
    <row r="2222" spans="1:17" x14ac:dyDescent="0.2">
      <c r="A2222" s="10">
        <v>1859</v>
      </c>
      <c r="B2222" s="10" t="s">
        <v>2825</v>
      </c>
      <c r="C2222" s="9" t="s">
        <v>45</v>
      </c>
      <c r="D2222" s="10">
        <v>-0.267006562</v>
      </c>
      <c r="E2222" s="10">
        <v>9.3565589000000005E-2</v>
      </c>
      <c r="F2222" s="10">
        <v>8.6275159000000004E-2</v>
      </c>
      <c r="G2222" s="10">
        <v>-0.153661823</v>
      </c>
      <c r="H2222" s="9">
        <v>-6.0206909250000003E-2</v>
      </c>
      <c r="I2222" s="10">
        <v>0.179446273127812</v>
      </c>
      <c r="J2222" s="10">
        <v>3.2200964939461403E-2</v>
      </c>
      <c r="K2222" s="10">
        <v>0.20359486199999999</v>
      </c>
      <c r="L2222" s="10">
        <v>-0.486521447</v>
      </c>
      <c r="M2222" s="10">
        <v>0.218759495</v>
      </c>
      <c r="N2222" s="10">
        <v>0.18936610300000001</v>
      </c>
      <c r="O2222" s="9">
        <v>3.1299753499999999E-2</v>
      </c>
      <c r="P2222" s="10">
        <v>0.34542270029042699</v>
      </c>
      <c r="Q2222" s="10">
        <v>0.11931684187593</v>
      </c>
    </row>
    <row r="2223" spans="1:17" x14ac:dyDescent="0.2">
      <c r="A2223" s="10">
        <v>1859</v>
      </c>
      <c r="B2223" s="10" t="s">
        <v>74</v>
      </c>
      <c r="C2223" s="9" t="s">
        <v>2113</v>
      </c>
      <c r="D2223" s="10">
        <v>4.0980810999999999E-2</v>
      </c>
      <c r="E2223" s="10">
        <v>-0.377678913</v>
      </c>
      <c r="F2223" s="10">
        <v>2.9699184E-2</v>
      </c>
      <c r="G2223" s="10">
        <v>0.68337372299999999</v>
      </c>
      <c r="H2223" s="9">
        <v>9.4093701249999995E-2</v>
      </c>
      <c r="I2223" s="10">
        <v>0.43847766060637899</v>
      </c>
      <c r="J2223" s="10">
        <v>0.19226265885084201</v>
      </c>
      <c r="K2223" s="10">
        <v>0.59379617699999998</v>
      </c>
      <c r="L2223" s="10">
        <v>0.54559256</v>
      </c>
      <c r="M2223" s="10">
        <v>0.18764819199999999</v>
      </c>
      <c r="N2223" s="10">
        <v>0.79404308499999998</v>
      </c>
      <c r="O2223" s="9">
        <v>0.53027000375</v>
      </c>
      <c r="P2223" s="10">
        <v>0.25247857974938098</v>
      </c>
      <c r="Q2223" s="10">
        <v>6.3745433232264906E-2</v>
      </c>
    </row>
    <row r="2224" spans="1:17" x14ac:dyDescent="0.2">
      <c r="A2224" s="10">
        <v>1859</v>
      </c>
      <c r="B2224" s="10" t="s">
        <v>2818</v>
      </c>
      <c r="C2224" s="9" t="s">
        <v>2114</v>
      </c>
      <c r="D2224" s="10">
        <v>-1.5649044350000001</v>
      </c>
      <c r="E2224" s="10">
        <v>0.84695357299999996</v>
      </c>
      <c r="F2224" s="10">
        <v>0.42322840099999998</v>
      </c>
      <c r="G2224" s="10">
        <v>0.169733307</v>
      </c>
      <c r="H2224" s="9">
        <v>-3.1247288750000001E-2</v>
      </c>
      <c r="I2224" s="10">
        <v>1.05991860509253</v>
      </c>
      <c r="J2224" s="10">
        <v>1.1234274494212899</v>
      </c>
      <c r="K2224" s="10">
        <v>-1.0125029059999999</v>
      </c>
      <c r="L2224" s="10">
        <v>-0.16696121</v>
      </c>
      <c r="M2224" s="10">
        <v>-0.20394211800000001</v>
      </c>
      <c r="N2224" s="10">
        <v>-0.31128576499999999</v>
      </c>
      <c r="O2224" s="9">
        <v>-0.42367299975</v>
      </c>
      <c r="P2224" s="10">
        <v>0.39729676247544699</v>
      </c>
      <c r="Q2224" s="10">
        <v>0.15784471747347201</v>
      </c>
    </row>
    <row r="2225" spans="1:17" x14ac:dyDescent="0.2">
      <c r="A2225" s="10">
        <v>1859</v>
      </c>
      <c r="B2225" s="10" t="s">
        <v>2830</v>
      </c>
      <c r="C2225" s="9" t="s">
        <v>2115</v>
      </c>
      <c r="D2225" s="10">
        <v>-8.3626233999999994E-2</v>
      </c>
      <c r="E2225" s="10">
        <v>2.9949999000000001E-2</v>
      </c>
      <c r="F2225" s="10">
        <v>-0.46333396599999999</v>
      </c>
      <c r="G2225" s="10">
        <v>0.28422973200000001</v>
      </c>
      <c r="H2225" s="9">
        <v>-5.8195117249999997E-2</v>
      </c>
      <c r="I2225" s="10">
        <v>0.31080999950035798</v>
      </c>
      <c r="J2225" s="10">
        <v>9.6602855789412898E-2</v>
      </c>
      <c r="K2225" s="10">
        <v>0.22710302499999999</v>
      </c>
      <c r="L2225" s="10">
        <v>0.30570957100000001</v>
      </c>
      <c r="M2225" s="10">
        <v>0.40321944799999998</v>
      </c>
      <c r="N2225" s="10">
        <v>-0.13631141699999999</v>
      </c>
      <c r="O2225" s="9">
        <v>0.19993015675</v>
      </c>
      <c r="P2225" s="10">
        <v>0.23545175096879101</v>
      </c>
      <c r="Q2225" s="10">
        <v>5.5437527034269601E-2</v>
      </c>
    </row>
    <row r="2226" spans="1:17" x14ac:dyDescent="0.2">
      <c r="A2226" s="10">
        <v>1859</v>
      </c>
      <c r="B2226" s="10" t="s">
        <v>2835</v>
      </c>
      <c r="C2226" s="9" t="s">
        <v>2116</v>
      </c>
      <c r="D2226" s="10">
        <v>-0.61928705500000003</v>
      </c>
      <c r="E2226" s="10">
        <v>0.59332477800000005</v>
      </c>
      <c r="F2226" s="10">
        <v>0.66231529700000003</v>
      </c>
      <c r="G2226" s="10">
        <v>0.727254022</v>
      </c>
      <c r="H2226" s="9">
        <v>0.34090176075</v>
      </c>
      <c r="I2226" s="10">
        <v>0.64245743635582497</v>
      </c>
      <c r="J2226" s="10">
        <v>0.41275155752889903</v>
      </c>
      <c r="K2226" s="10">
        <v>0.421862772</v>
      </c>
      <c r="L2226" s="10">
        <v>9.0401258999999998E-2</v>
      </c>
      <c r="M2226" s="10">
        <v>0.13305930699999999</v>
      </c>
      <c r="N2226" s="10">
        <v>-0.104742078</v>
      </c>
      <c r="O2226" s="9">
        <v>0.13514531525000001</v>
      </c>
      <c r="P2226" s="10">
        <v>0.217377738392251</v>
      </c>
      <c r="Q2226" s="10">
        <v>4.72530811485301E-2</v>
      </c>
    </row>
    <row r="2227" spans="1:17" x14ac:dyDescent="0.2">
      <c r="A2227" s="10">
        <v>1860</v>
      </c>
      <c r="B2227" s="10" t="s">
        <v>2822</v>
      </c>
      <c r="C2227" s="9" t="s">
        <v>2164</v>
      </c>
      <c r="D2227" s="10">
        <v>-0.69984962500000003</v>
      </c>
      <c r="E2227" s="10">
        <v>5.1975635999999999E-2</v>
      </c>
      <c r="F2227" s="10">
        <v>-2.2769467790000002</v>
      </c>
      <c r="G2227" s="10">
        <v>-5.0670879000000002E-2</v>
      </c>
      <c r="H2227" s="9">
        <v>-0.74387291150000001</v>
      </c>
      <c r="I2227" s="10">
        <v>1.07488875414864</v>
      </c>
      <c r="J2227" s="10">
        <v>1.1553858337952201</v>
      </c>
      <c r="K2227" s="10">
        <v>-0.228834818</v>
      </c>
      <c r="L2227" s="10">
        <v>-0.14567013400000001</v>
      </c>
      <c r="M2227" s="10">
        <v>-3.2741087000000002E-2</v>
      </c>
      <c r="N2227" s="10">
        <v>-0.834966608</v>
      </c>
      <c r="O2227" s="9">
        <v>-0.31055316174999997</v>
      </c>
      <c r="P2227" s="10">
        <v>0.358726131391786</v>
      </c>
      <c r="Q2227" s="10">
        <v>0.128684437343317</v>
      </c>
    </row>
    <row r="2228" spans="1:17" x14ac:dyDescent="0.2">
      <c r="A2228" s="10">
        <v>1860</v>
      </c>
      <c r="B2228" s="10" t="s">
        <v>2819</v>
      </c>
      <c r="C2228" s="9" t="s">
        <v>2163</v>
      </c>
      <c r="D2228" s="10">
        <v>-0.529182665</v>
      </c>
      <c r="E2228" s="10">
        <v>-1.1164221249999999</v>
      </c>
      <c r="F2228" s="10">
        <v>1.732872703</v>
      </c>
      <c r="G2228" s="10">
        <v>-5.9672366999999997E-2</v>
      </c>
      <c r="H2228" s="9">
        <v>6.8988864999999996E-3</v>
      </c>
      <c r="I2228" s="10">
        <v>1.2291800616362301</v>
      </c>
      <c r="J2228" s="10">
        <v>1.51088362392405</v>
      </c>
      <c r="K2228" s="10">
        <v>-2.8652929000000001E-2</v>
      </c>
      <c r="L2228" s="10">
        <v>-1.469429044</v>
      </c>
      <c r="M2228" s="10">
        <v>0.74284240300000004</v>
      </c>
      <c r="N2228" s="10">
        <v>0.70762266399999996</v>
      </c>
      <c r="O2228" s="9">
        <v>-1.190422625E-2</v>
      </c>
      <c r="P2228" s="10">
        <v>1.03473354598467</v>
      </c>
      <c r="Q2228" s="10">
        <v>1.07067351118601</v>
      </c>
    </row>
    <row r="2229" spans="1:17" x14ac:dyDescent="0.2">
      <c r="A2229" s="10">
        <v>1860</v>
      </c>
      <c r="B2229" s="10" t="s">
        <v>2824</v>
      </c>
      <c r="C2229" s="9" t="s">
        <v>2162</v>
      </c>
      <c r="D2229" s="10">
        <v>-5.0643729999999998E-2</v>
      </c>
      <c r="E2229" s="10">
        <v>-0.21262788799999999</v>
      </c>
      <c r="F2229" s="10">
        <v>-1.078377114</v>
      </c>
      <c r="G2229" s="10">
        <v>0.560206553</v>
      </c>
      <c r="H2229" s="9">
        <v>-0.19536054475</v>
      </c>
      <c r="I2229" s="10">
        <v>0.67622506568614504</v>
      </c>
      <c r="J2229" s="10">
        <v>0.45728033946223201</v>
      </c>
      <c r="K2229" s="10">
        <v>0.297628167</v>
      </c>
      <c r="L2229" s="10">
        <v>0.213738927</v>
      </c>
      <c r="M2229" s="10">
        <v>0.165576854</v>
      </c>
      <c r="N2229" s="10">
        <v>-0.34487027199999998</v>
      </c>
      <c r="O2229" s="9">
        <v>8.3018418999999996E-2</v>
      </c>
      <c r="P2229" s="10">
        <v>0.29043061261039199</v>
      </c>
      <c r="Q2229" s="10">
        <v>8.4349940741248006E-2</v>
      </c>
    </row>
    <row r="2230" spans="1:17" x14ac:dyDescent="0.2">
      <c r="A2230" s="10">
        <v>1860</v>
      </c>
      <c r="B2230" s="10" t="s">
        <v>2817</v>
      </c>
      <c r="C2230" s="9" t="s">
        <v>2161</v>
      </c>
      <c r="D2230" s="10">
        <v>-0.44749449699999999</v>
      </c>
      <c r="E2230" s="10">
        <v>0.57498522699999999</v>
      </c>
      <c r="F2230" s="10">
        <v>2.237397316</v>
      </c>
      <c r="G2230" s="10">
        <v>0.33192667199999998</v>
      </c>
      <c r="H2230" s="9">
        <v>0.67420367950000004</v>
      </c>
      <c r="I2230" s="10">
        <v>1.12971663047821</v>
      </c>
      <c r="J2230" s="10">
        <v>1.2762596651790501</v>
      </c>
      <c r="K2230" s="10">
        <v>0.20060697299999999</v>
      </c>
      <c r="L2230" s="10">
        <v>-0.87250980199999995</v>
      </c>
      <c r="M2230" s="10">
        <v>-0.23152394100000001</v>
      </c>
      <c r="N2230" s="10">
        <v>4.2206725E-2</v>
      </c>
      <c r="O2230" s="9">
        <v>-0.21530501125000001</v>
      </c>
      <c r="P2230" s="10">
        <v>0.473101914184899</v>
      </c>
      <c r="Q2230" s="10">
        <v>0.22382542120541599</v>
      </c>
    </row>
    <row r="2231" spans="1:17" x14ac:dyDescent="0.2">
      <c r="A2231" s="10">
        <v>1860</v>
      </c>
      <c r="B2231" s="10" t="s">
        <v>82</v>
      </c>
      <c r="C2231" s="9" t="s">
        <v>2118</v>
      </c>
      <c r="D2231" s="10">
        <v>-0.15580371100000001</v>
      </c>
      <c r="E2231" s="10">
        <v>5.6876422000000003E-2</v>
      </c>
      <c r="F2231" s="10">
        <v>-4.4606898999999998E-2</v>
      </c>
      <c r="G2231" s="10">
        <v>-0.18647691399999999</v>
      </c>
      <c r="H2231" s="9">
        <v>-8.25027755E-2</v>
      </c>
      <c r="I2231" s="10">
        <v>0.11112501484580201</v>
      </c>
      <c r="J2231" s="10">
        <v>1.23487689244798E-2</v>
      </c>
      <c r="K2231" s="10">
        <v>-0.56637707800000003</v>
      </c>
      <c r="L2231" s="10">
        <v>0.57843923699999999</v>
      </c>
      <c r="M2231" s="10">
        <v>-0.94907979099999995</v>
      </c>
      <c r="N2231" s="10">
        <v>-7.5566337999999997E-2</v>
      </c>
      <c r="O2231" s="9">
        <v>-0.25314599250000003</v>
      </c>
      <c r="P2231" s="10">
        <v>0.65967317474464904</v>
      </c>
      <c r="Q2231" s="10">
        <v>0.435168697477684</v>
      </c>
    </row>
    <row r="2232" spans="1:17" x14ac:dyDescent="0.2">
      <c r="A2232" s="10">
        <v>1860</v>
      </c>
      <c r="B2232" s="10" t="s">
        <v>2814</v>
      </c>
      <c r="C2232" s="9" t="s">
        <v>2119</v>
      </c>
      <c r="D2232" s="10">
        <v>6.5485584999999999E-2</v>
      </c>
      <c r="E2232" s="10">
        <v>-4.7767089999999996E-3</v>
      </c>
      <c r="F2232" s="10">
        <v>-0.21377817099999999</v>
      </c>
      <c r="G2232" s="10">
        <v>-8.4430937999999997E-2</v>
      </c>
      <c r="H2232" s="9">
        <v>-5.9375058250000001E-2</v>
      </c>
      <c r="I2232" s="10">
        <v>0.11977656742251901</v>
      </c>
      <c r="J2232" s="10">
        <v>1.43464261035214E-2</v>
      </c>
      <c r="K2232" s="10">
        <v>-0.18820479900000001</v>
      </c>
      <c r="L2232" s="10">
        <v>-0.151001099</v>
      </c>
      <c r="M2232" s="10">
        <v>-4.7527820999999998E-2</v>
      </c>
      <c r="N2232" s="10">
        <v>4.6908283000000002E-2</v>
      </c>
      <c r="O2232" s="9">
        <v>-8.4956358750000002E-2</v>
      </c>
      <c r="P2232" s="10">
        <v>0.106162340012371</v>
      </c>
      <c r="Q2232" s="10">
        <v>1.12704424369022E-2</v>
      </c>
    </row>
    <row r="2233" spans="1:17" x14ac:dyDescent="0.2">
      <c r="A2233" s="10">
        <v>1860</v>
      </c>
      <c r="B2233" s="10" t="s">
        <v>2833</v>
      </c>
      <c r="C2233" s="9" t="s">
        <v>2120</v>
      </c>
      <c r="D2233" s="10">
        <v>3.1009848999999999E-2</v>
      </c>
      <c r="E2233" s="10">
        <v>9.3742323000000002E-2</v>
      </c>
      <c r="F2233" s="10">
        <v>0.27875192300000001</v>
      </c>
      <c r="G2233" s="10">
        <v>-0.26019004800000001</v>
      </c>
      <c r="H2233" s="9">
        <v>3.582851175E-2</v>
      </c>
      <c r="I2233" s="10">
        <v>0.223618723496043</v>
      </c>
      <c r="J2233" s="10">
        <v>5.0005333497999897E-2</v>
      </c>
      <c r="K2233" s="10">
        <v>0.105424486</v>
      </c>
      <c r="L2233" s="10">
        <v>5.1003881000000001E-2</v>
      </c>
      <c r="M2233" s="10">
        <v>0.10523197400000001</v>
      </c>
      <c r="N2233" s="10">
        <v>0.26706410000000003</v>
      </c>
      <c r="O2233" s="9">
        <v>0.13218111025000001</v>
      </c>
      <c r="P2233" s="10">
        <v>9.3497480105940806E-2</v>
      </c>
      <c r="Q2233" s="10">
        <v>8.7417787861608E-3</v>
      </c>
    </row>
    <row r="2234" spans="1:17" x14ac:dyDescent="0.2">
      <c r="A2234" s="10">
        <v>1860</v>
      </c>
      <c r="B2234" s="10" t="s">
        <v>2825</v>
      </c>
      <c r="C2234" s="9" t="s">
        <v>2121</v>
      </c>
      <c r="D2234" s="10">
        <v>0.65248155600000002</v>
      </c>
      <c r="E2234" s="10">
        <v>0.30788547900000002</v>
      </c>
      <c r="F2234" s="10">
        <v>-1.6035812999999999E-2</v>
      </c>
      <c r="G2234" s="10">
        <v>0.197651047</v>
      </c>
      <c r="H2234" s="9">
        <v>0.28549556725000003</v>
      </c>
      <c r="I2234" s="10">
        <v>0.27917608368221097</v>
      </c>
      <c r="J2234" s="10">
        <v>7.7939285700136904E-2</v>
      </c>
      <c r="K2234" s="10">
        <v>0.312617225</v>
      </c>
      <c r="L2234" s="10">
        <v>2.2418594999999999E-2</v>
      </c>
      <c r="M2234" s="10">
        <v>0.16379011299999999</v>
      </c>
      <c r="N2234" s="10">
        <v>0.12710327499999999</v>
      </c>
      <c r="O2234" s="9">
        <v>0.15648230225000001</v>
      </c>
      <c r="P2234" s="10">
        <v>0.120094022948516</v>
      </c>
      <c r="Q2234" s="10">
        <v>1.4422574347958701E-2</v>
      </c>
    </row>
    <row r="2235" spans="1:17" x14ac:dyDescent="0.2">
      <c r="A2235" s="10">
        <v>1860</v>
      </c>
      <c r="B2235" s="10" t="s">
        <v>74</v>
      </c>
      <c r="C2235" s="9" t="s">
        <v>2160</v>
      </c>
      <c r="D2235" s="10">
        <v>0.26040987100000001</v>
      </c>
      <c r="E2235" s="10">
        <v>-3.8242271000000001E-2</v>
      </c>
      <c r="F2235" s="10">
        <v>1.7379038999999999E-2</v>
      </c>
      <c r="G2235" s="10">
        <v>2.5839034E-2</v>
      </c>
      <c r="H2235" s="9">
        <v>6.6346418249999997E-2</v>
      </c>
      <c r="I2235" s="10">
        <v>0.13246140321073999</v>
      </c>
      <c r="J2235" s="10">
        <v>1.7546023340558301E-2</v>
      </c>
      <c r="K2235" s="10">
        <v>-5.3277999999999997E-3</v>
      </c>
      <c r="L2235" s="10">
        <v>-7.3190240000000004E-3</v>
      </c>
      <c r="M2235" s="10">
        <v>0.15630432699999999</v>
      </c>
      <c r="N2235" s="10">
        <v>0.29749563800000001</v>
      </c>
      <c r="O2235" s="9">
        <v>0.11028828525000001</v>
      </c>
      <c r="P2235" s="10">
        <v>0.14647255417490401</v>
      </c>
      <c r="Q2235" s="10">
        <v>2.14542091265203E-2</v>
      </c>
    </row>
    <row r="2236" spans="1:17" x14ac:dyDescent="0.2">
      <c r="A2236" s="10">
        <v>1860</v>
      </c>
      <c r="B2236" s="10" t="s">
        <v>2818</v>
      </c>
      <c r="C2236" s="9" t="s">
        <v>2159</v>
      </c>
      <c r="D2236" s="10">
        <v>-3.2527067999999999E-2</v>
      </c>
      <c r="E2236" s="10">
        <v>0.25048804299999999</v>
      </c>
      <c r="F2236" s="10">
        <v>-7.1734663000000004E-2</v>
      </c>
      <c r="G2236" s="10">
        <v>-7.1874665000000004E-2</v>
      </c>
      <c r="H2236" s="9">
        <v>1.8587911750000002E-2</v>
      </c>
      <c r="I2236" s="10">
        <v>0.155704910359659</v>
      </c>
      <c r="J2236" s="10">
        <v>2.4244019110109701E-2</v>
      </c>
      <c r="K2236" s="10">
        <v>8.7653014000000001E-2</v>
      </c>
      <c r="L2236" s="10">
        <v>-0.67059617699999996</v>
      </c>
      <c r="M2236" s="10">
        <v>-3.8015761000000002E-2</v>
      </c>
      <c r="N2236" s="10">
        <v>-1.6062612E-2</v>
      </c>
      <c r="O2236" s="9">
        <v>-0.159255384</v>
      </c>
      <c r="P2236" s="10">
        <v>0.34527109142769802</v>
      </c>
      <c r="Q2236" s="10">
        <v>0.119212126575673</v>
      </c>
    </row>
    <row r="2237" spans="1:17" x14ac:dyDescent="0.2">
      <c r="A2237" s="10">
        <v>1860</v>
      </c>
      <c r="B2237" s="10" t="s">
        <v>2830</v>
      </c>
      <c r="C2237" s="9" t="s">
        <v>2158</v>
      </c>
      <c r="D2237" s="10">
        <v>-0.26618278400000001</v>
      </c>
      <c r="E2237" s="10">
        <v>-1.6105392E-2</v>
      </c>
      <c r="F2237" s="10">
        <v>0.217253591</v>
      </c>
      <c r="G2237" s="10">
        <v>-0.53977206700000002</v>
      </c>
      <c r="H2237" s="9">
        <v>-0.15120166299999999</v>
      </c>
      <c r="I2237" s="10">
        <v>0.32568793534580998</v>
      </c>
      <c r="J2237" s="10">
        <v>0.106072631229816</v>
      </c>
      <c r="K2237" s="10">
        <v>-5.6170981000000002E-2</v>
      </c>
      <c r="L2237" s="10">
        <v>-0.27708946400000001</v>
      </c>
      <c r="M2237" s="10">
        <v>-8.0532650000000004E-3</v>
      </c>
      <c r="N2237" s="10">
        <v>-7.5364614999999996E-2</v>
      </c>
      <c r="O2237" s="9">
        <v>-0.10416958125</v>
      </c>
      <c r="P2237" s="10">
        <v>0.11870583221612201</v>
      </c>
      <c r="Q2237" s="10">
        <v>1.40910746021222E-2</v>
      </c>
    </row>
    <row r="2238" spans="1:17" x14ac:dyDescent="0.2">
      <c r="A2238" s="10">
        <v>1860</v>
      </c>
      <c r="B2238" s="10" t="s">
        <v>2832</v>
      </c>
      <c r="C2238" s="9" t="s">
        <v>2122</v>
      </c>
      <c r="D2238" s="10">
        <v>-4.7078852999999997E-2</v>
      </c>
      <c r="E2238" s="10">
        <v>0.109506454</v>
      </c>
      <c r="F2238" s="10">
        <v>0.22644489100000001</v>
      </c>
      <c r="G2238" s="10">
        <v>1.413961E-3</v>
      </c>
      <c r="H2238" s="9">
        <v>7.2571612999999993E-2</v>
      </c>
      <c r="I2238" s="10">
        <v>0.121683761741012</v>
      </c>
      <c r="J2238" s="10">
        <v>1.48069378714436E-2</v>
      </c>
      <c r="K2238" s="10">
        <v>-4.8819339000000003E-2</v>
      </c>
      <c r="L2238" s="10">
        <v>0.30281995699999997</v>
      </c>
      <c r="M2238" s="10">
        <v>8.7927810999999995E-2</v>
      </c>
      <c r="N2238" s="10">
        <v>-0.23718605700000001</v>
      </c>
      <c r="O2238" s="9">
        <v>2.6185593E-2</v>
      </c>
      <c r="P2238" s="10">
        <v>0.22754416324257501</v>
      </c>
      <c r="Q2238" s="10">
        <v>5.17763462257637E-2</v>
      </c>
    </row>
    <row r="2239" spans="1:17" x14ac:dyDescent="0.2">
      <c r="A2239" s="10">
        <v>1861</v>
      </c>
      <c r="B2239" s="10" t="s">
        <v>2831</v>
      </c>
      <c r="C2239" s="9" t="s">
        <v>2157</v>
      </c>
      <c r="D2239" s="10">
        <v>0.37886598700000002</v>
      </c>
      <c r="E2239" s="10">
        <v>-0.139438221</v>
      </c>
      <c r="F2239" s="10">
        <v>-2.8493958E-2</v>
      </c>
      <c r="G2239" s="10">
        <v>0.28747826199999998</v>
      </c>
      <c r="H2239" s="9">
        <v>0.1246030175</v>
      </c>
      <c r="I2239" s="10">
        <v>0.24788065842642501</v>
      </c>
      <c r="J2239" s="10">
        <v>6.1444820821918003E-2</v>
      </c>
      <c r="K2239" s="10">
        <v>-8.7690890000000007E-3</v>
      </c>
      <c r="L2239" s="10">
        <v>-0.47077147699999999</v>
      </c>
      <c r="M2239" s="10">
        <v>-0.84553906999999995</v>
      </c>
      <c r="N2239" s="10">
        <v>-0.54911584199999997</v>
      </c>
      <c r="O2239" s="9">
        <v>-0.46854886974999999</v>
      </c>
      <c r="P2239" s="10">
        <v>0.34641739509420899</v>
      </c>
      <c r="Q2239" s="10">
        <v>0.120005011623857</v>
      </c>
    </row>
    <row r="2240" spans="1:17" x14ac:dyDescent="0.2">
      <c r="A2240" s="10">
        <v>1861</v>
      </c>
      <c r="B2240" s="10" t="s">
        <v>2822</v>
      </c>
      <c r="C2240" s="9" t="s">
        <v>2156</v>
      </c>
      <c r="D2240" s="10">
        <v>1.1436175E-2</v>
      </c>
      <c r="E2240" s="10">
        <v>-8.2490366999999995E-2</v>
      </c>
      <c r="F2240" s="10">
        <v>0.63698153599999996</v>
      </c>
      <c r="G2240" s="10">
        <v>-0.25384857799999999</v>
      </c>
      <c r="H2240" s="9">
        <v>7.8019691749999995E-2</v>
      </c>
      <c r="I2240" s="10">
        <v>0.38848926860208299</v>
      </c>
      <c r="J2240" s="10">
        <v>0.15092391181898199</v>
      </c>
      <c r="K2240" s="10">
        <v>-0.428706633</v>
      </c>
      <c r="L2240" s="10">
        <v>2.3333067999999998E-2</v>
      </c>
      <c r="M2240" s="10">
        <v>0.33225225400000002</v>
      </c>
      <c r="N2240" s="10">
        <v>1.2070381E-2</v>
      </c>
      <c r="O2240" s="9">
        <v>-1.5262732750000001E-2</v>
      </c>
      <c r="P2240" s="10">
        <v>0.31301717717115102</v>
      </c>
      <c r="Q2240" s="10">
        <v>9.7979753204196204E-2</v>
      </c>
    </row>
    <row r="2241" spans="1:17" x14ac:dyDescent="0.2">
      <c r="A2241" s="10">
        <v>1861</v>
      </c>
      <c r="B2241" s="10" t="s">
        <v>2819</v>
      </c>
      <c r="C2241" s="9" t="s">
        <v>2155</v>
      </c>
      <c r="D2241" s="10">
        <v>-0.42018396699999999</v>
      </c>
      <c r="E2241" s="10">
        <v>0.76147172799999996</v>
      </c>
      <c r="F2241" s="10">
        <v>0.19168455600000001</v>
      </c>
      <c r="G2241" s="10">
        <v>-6.3422929999999997E-3</v>
      </c>
      <c r="H2241" s="9">
        <v>0.13165750625</v>
      </c>
      <c r="I2241" s="10">
        <v>0.49120333766917601</v>
      </c>
      <c r="J2241" s="10">
        <v>0.24128071893733899</v>
      </c>
      <c r="K2241" s="10">
        <v>-0.39411408399999998</v>
      </c>
      <c r="L2241" s="10">
        <v>0.714676482</v>
      </c>
      <c r="M2241" s="10">
        <v>-0.42609606100000003</v>
      </c>
      <c r="N2241" s="10">
        <v>-0.65094626700000002</v>
      </c>
      <c r="O2241" s="9">
        <v>-0.18911998250000001</v>
      </c>
      <c r="P2241" s="10">
        <v>0.61327313374732795</v>
      </c>
      <c r="Q2241" s="10">
        <v>0.37610393657626801</v>
      </c>
    </row>
    <row r="2242" spans="1:17" x14ac:dyDescent="0.2">
      <c r="A2242" s="10">
        <v>1861</v>
      </c>
      <c r="B2242" s="10" t="s">
        <v>79</v>
      </c>
      <c r="C2242" s="9" t="s">
        <v>2154</v>
      </c>
      <c r="D2242" s="10">
        <v>-0.41601131400000002</v>
      </c>
      <c r="E2242" s="10">
        <v>-0.189242981</v>
      </c>
      <c r="F2242" s="10">
        <v>-1.052988233</v>
      </c>
      <c r="G2242" s="10">
        <v>-0.13617384699999999</v>
      </c>
      <c r="H2242" s="9">
        <v>-0.44860409374999999</v>
      </c>
      <c r="I2242" s="10">
        <v>0.42080213995019</v>
      </c>
      <c r="J2242" s="10">
        <v>0.177074440986659</v>
      </c>
      <c r="K2242" s="10">
        <v>-0.30468603500000002</v>
      </c>
      <c r="L2242" s="10">
        <v>-1.0517998740000001</v>
      </c>
      <c r="M2242" s="10">
        <v>7.0963329999999998E-3</v>
      </c>
      <c r="N2242" s="10">
        <v>-0.61025866699999998</v>
      </c>
      <c r="O2242" s="9">
        <v>-0.48991206074999999</v>
      </c>
      <c r="P2242" s="10">
        <v>0.45148910816978899</v>
      </c>
      <c r="Q2242" s="10">
        <v>0.203842414795951</v>
      </c>
    </row>
    <row r="2243" spans="1:17" x14ac:dyDescent="0.2">
      <c r="A2243" s="10">
        <v>1861</v>
      </c>
      <c r="B2243" s="10" t="s">
        <v>2820</v>
      </c>
      <c r="C2243" s="9" t="s">
        <v>2123</v>
      </c>
      <c r="D2243" s="10">
        <v>0.36688376499999997</v>
      </c>
      <c r="E2243" s="10">
        <v>0.22583966</v>
      </c>
      <c r="F2243" s="10">
        <v>0.10102122400000001</v>
      </c>
      <c r="G2243" s="10">
        <v>0.28060859100000002</v>
      </c>
      <c r="H2243" s="9">
        <v>0.24358831025</v>
      </c>
      <c r="I2243" s="10">
        <v>0.11137423253207999</v>
      </c>
      <c r="J2243" s="10">
        <v>1.24042196721099E-2</v>
      </c>
      <c r="K2243" s="10">
        <v>0.39146499400000001</v>
      </c>
      <c r="L2243" s="10">
        <v>-0.146465023</v>
      </c>
      <c r="M2243" s="10">
        <v>0.30784906899999998</v>
      </c>
      <c r="N2243" s="10">
        <v>5.1068892999999997E-2</v>
      </c>
      <c r="O2243" s="9">
        <v>0.15097948324999999</v>
      </c>
      <c r="P2243" s="10">
        <v>0.245558348908818</v>
      </c>
      <c r="Q2243" s="10">
        <v>6.02989027188248E-2</v>
      </c>
    </row>
    <row r="2244" spans="1:17" x14ac:dyDescent="0.2">
      <c r="A2244" s="10">
        <v>1861</v>
      </c>
      <c r="B2244" s="10" t="s">
        <v>2824</v>
      </c>
      <c r="C2244" s="9" t="s">
        <v>2153</v>
      </c>
      <c r="D2244" s="10">
        <v>-0.249969265</v>
      </c>
      <c r="E2244" s="10">
        <v>8.4075202000000002E-2</v>
      </c>
      <c r="F2244" s="10">
        <v>0.46709593100000002</v>
      </c>
      <c r="G2244" s="10">
        <v>0.277568278</v>
      </c>
      <c r="H2244" s="9">
        <v>0.14469253674999999</v>
      </c>
      <c r="I2244" s="10">
        <v>0.30606769962945901</v>
      </c>
      <c r="J2244" s="10">
        <v>9.3677436756469196E-2</v>
      </c>
      <c r="K2244" s="10">
        <v>0.18178472200000001</v>
      </c>
      <c r="L2244" s="10">
        <v>-0.13768076100000001</v>
      </c>
      <c r="M2244" s="10">
        <v>0.294988417</v>
      </c>
      <c r="N2244" s="10">
        <v>-4.4769168999999998E-2</v>
      </c>
      <c r="O2244" s="9">
        <v>7.35808025E-2</v>
      </c>
      <c r="P2244" s="10">
        <v>0.19947229040667799</v>
      </c>
      <c r="Q2244" s="10">
        <v>3.9789194640086102E-2</v>
      </c>
    </row>
    <row r="2245" spans="1:17" x14ac:dyDescent="0.2">
      <c r="A2245" s="10">
        <v>1861</v>
      </c>
      <c r="B2245" s="10" t="s">
        <v>2817</v>
      </c>
      <c r="C2245" s="9" t="s">
        <v>2124</v>
      </c>
      <c r="D2245" s="10">
        <v>0.187857831</v>
      </c>
      <c r="E2245" s="10">
        <v>1.388670383</v>
      </c>
      <c r="F2245" s="10">
        <v>-0.398328819</v>
      </c>
      <c r="G2245" s="10">
        <v>6.3926250000000004E-2</v>
      </c>
      <c r="H2245" s="9">
        <v>0.31053141125</v>
      </c>
      <c r="I2245" s="10">
        <v>0.761736914619634</v>
      </c>
      <c r="J2245" s="10">
        <v>0.58024312709423997</v>
      </c>
      <c r="K2245" s="10">
        <v>-0.463667359</v>
      </c>
      <c r="L2245" s="10">
        <v>0.78876005100000002</v>
      </c>
      <c r="M2245" s="10">
        <v>0.81402514500000001</v>
      </c>
      <c r="N2245" s="10">
        <v>0.49272929500000001</v>
      </c>
      <c r="O2245" s="9">
        <v>0.40796178300000002</v>
      </c>
      <c r="P2245" s="10">
        <v>0.59911536650433395</v>
      </c>
      <c r="Q2245" s="10">
        <v>0.35893922238162301</v>
      </c>
    </row>
    <row r="2246" spans="1:17" x14ac:dyDescent="0.2">
      <c r="A2246" s="10">
        <v>1861</v>
      </c>
      <c r="B2246" s="10" t="s">
        <v>2833</v>
      </c>
      <c r="C2246" s="9" t="s">
        <v>2152</v>
      </c>
      <c r="D2246" s="10">
        <v>2.0833038000000002E-2</v>
      </c>
      <c r="E2246" s="10">
        <v>0.13634389</v>
      </c>
      <c r="F2246" s="10">
        <v>-0.40727957199999998</v>
      </c>
      <c r="G2246" s="10">
        <v>-6.4741985000000002E-2</v>
      </c>
      <c r="H2246" s="9">
        <v>-7.8711157249999997E-2</v>
      </c>
      <c r="I2246" s="10">
        <v>0.23402995613122399</v>
      </c>
      <c r="J2246" s="10">
        <v>5.47700203667826E-2</v>
      </c>
      <c r="K2246" s="10">
        <v>-0.105926941</v>
      </c>
      <c r="L2246" s="10">
        <v>-0.17087903900000001</v>
      </c>
      <c r="M2246" s="10">
        <v>0.188705495</v>
      </c>
      <c r="N2246" s="10">
        <v>4.6110434999999998E-2</v>
      </c>
      <c r="O2246" s="9">
        <v>-1.04975125E-2</v>
      </c>
      <c r="P2246" s="10">
        <v>0.16095062160335</v>
      </c>
      <c r="Q2246" s="10">
        <v>2.5905102594504799E-2</v>
      </c>
    </row>
    <row r="2247" spans="1:17" x14ac:dyDescent="0.2">
      <c r="A2247" s="10">
        <v>1861</v>
      </c>
      <c r="B2247" s="10" t="s">
        <v>2825</v>
      </c>
      <c r="C2247" s="9" t="s">
        <v>2125</v>
      </c>
      <c r="D2247" s="10">
        <v>0.32434866400000001</v>
      </c>
      <c r="E2247" s="10">
        <v>-6.4181669999999996E-2</v>
      </c>
      <c r="F2247" s="10">
        <v>-0.118341485</v>
      </c>
      <c r="G2247" s="10">
        <v>-2.5216323999999998E-2</v>
      </c>
      <c r="H2247" s="9">
        <v>2.9152296250000001E-2</v>
      </c>
      <c r="I2247" s="10">
        <v>0.20046819129565999</v>
      </c>
      <c r="J2247" s="10">
        <v>4.0187495721353599E-2</v>
      </c>
      <c r="K2247" s="10">
        <v>-0.14440755</v>
      </c>
      <c r="L2247" s="10">
        <v>-0.13433339799999999</v>
      </c>
      <c r="M2247" s="10">
        <v>0.20653779799999999</v>
      </c>
      <c r="N2247" s="10">
        <v>-0.111070666</v>
      </c>
      <c r="O2247" s="9">
        <v>-4.5818454000000002E-2</v>
      </c>
      <c r="P2247" s="10">
        <v>0.16881571239648699</v>
      </c>
      <c r="Q2247" s="10">
        <v>2.8498744751933602E-2</v>
      </c>
    </row>
    <row r="2248" spans="1:17" x14ac:dyDescent="0.2">
      <c r="A2248" s="10">
        <v>1861</v>
      </c>
      <c r="B2248" s="10" t="s">
        <v>2830</v>
      </c>
      <c r="C2248" s="9" t="s">
        <v>2151</v>
      </c>
      <c r="D2248" s="10">
        <v>0.25900727400000001</v>
      </c>
      <c r="E2248" s="10">
        <v>0.413095981</v>
      </c>
      <c r="F2248" s="10">
        <v>-9.2577371000000006E-2</v>
      </c>
      <c r="G2248" s="10">
        <v>-0.52613085599999998</v>
      </c>
      <c r="H2248" s="9">
        <v>1.3348756999999999E-2</v>
      </c>
      <c r="I2248" s="10">
        <v>0.41729467905627798</v>
      </c>
      <c r="J2248" s="10">
        <v>0.17413484916868199</v>
      </c>
      <c r="K2248" s="10">
        <v>-0.13665355300000001</v>
      </c>
      <c r="L2248" s="10">
        <v>7.2877209999999998E-2</v>
      </c>
      <c r="M2248" s="10">
        <v>-6.0184796999999998E-2</v>
      </c>
      <c r="N2248" s="10">
        <v>-0.115926101</v>
      </c>
      <c r="O2248" s="9">
        <v>-5.99718105E-2</v>
      </c>
      <c r="P2248" s="10">
        <v>9.4268905918571205E-2</v>
      </c>
      <c r="Q2248" s="10">
        <v>8.8866266230843999E-3</v>
      </c>
    </row>
    <row r="2249" spans="1:17" x14ac:dyDescent="0.2">
      <c r="A2249" s="10">
        <v>1861</v>
      </c>
      <c r="B2249" s="10" t="s">
        <v>2835</v>
      </c>
      <c r="C2249" s="9" t="s">
        <v>2126</v>
      </c>
      <c r="D2249" s="10">
        <v>-0.140248606</v>
      </c>
      <c r="E2249" s="10">
        <v>-0.14253123000000001</v>
      </c>
      <c r="F2249" s="10">
        <v>5.3679256000000002E-2</v>
      </c>
      <c r="G2249" s="10">
        <v>2.0514609E-2</v>
      </c>
      <c r="H2249" s="9">
        <v>-5.2146492750000002E-2</v>
      </c>
      <c r="I2249" s="10">
        <v>0.1039392577308</v>
      </c>
      <c r="J2249" s="10">
        <v>1.0803369297629701E-2</v>
      </c>
      <c r="K2249" s="10">
        <v>2.42727E-3</v>
      </c>
      <c r="L2249" s="10">
        <v>-0.22890328600000001</v>
      </c>
      <c r="M2249" s="10">
        <v>0.124656133</v>
      </c>
      <c r="N2249" s="10">
        <v>0.18479194600000001</v>
      </c>
      <c r="O2249" s="9">
        <v>2.074301575E-2</v>
      </c>
      <c r="P2249" s="10">
        <v>0.182910478989597</v>
      </c>
      <c r="Q2249" s="10">
        <v>3.3456243324204098E-2</v>
      </c>
    </row>
    <row r="2250" spans="1:17" x14ac:dyDescent="0.2">
      <c r="A2250" s="10">
        <v>1861</v>
      </c>
      <c r="B2250" s="10" t="s">
        <v>2832</v>
      </c>
      <c r="C2250" s="9" t="s">
        <v>2150</v>
      </c>
      <c r="D2250" s="10">
        <v>-0.48309043699999998</v>
      </c>
      <c r="E2250" s="10">
        <v>0.48282009100000001</v>
      </c>
      <c r="F2250" s="10">
        <v>-1.578818957</v>
      </c>
      <c r="G2250" s="10">
        <v>-1.074477809</v>
      </c>
      <c r="H2250" s="9">
        <v>-0.66339177800000004</v>
      </c>
      <c r="I2250" s="10">
        <v>0.88568407970677299</v>
      </c>
      <c r="J2250" s="10">
        <v>0.78443628904603402</v>
      </c>
      <c r="K2250" s="10">
        <v>0.360750234</v>
      </c>
      <c r="L2250" s="10">
        <v>-0.37406326600000001</v>
      </c>
      <c r="M2250" s="10">
        <v>-8.2583922000000004E-2</v>
      </c>
      <c r="N2250" s="10">
        <v>-1.1587565550000001</v>
      </c>
      <c r="O2250" s="9">
        <v>-0.31366337724999999</v>
      </c>
      <c r="P2250" s="10">
        <v>0.639286597001821</v>
      </c>
      <c r="Q2250" s="10">
        <v>0.40868735310616899</v>
      </c>
    </row>
    <row r="2251" spans="1:17" x14ac:dyDescent="0.2">
      <c r="A2251" s="10">
        <v>1862</v>
      </c>
      <c r="B2251" s="10" t="s">
        <v>2831</v>
      </c>
      <c r="C2251" s="9" t="s">
        <v>2127</v>
      </c>
      <c r="D2251" s="10">
        <v>0.74569833900000004</v>
      </c>
      <c r="E2251" s="10">
        <v>1.894808E-3</v>
      </c>
      <c r="F2251" s="10">
        <v>-0.40844497800000001</v>
      </c>
      <c r="G2251" s="10">
        <v>-0.54689192600000003</v>
      </c>
      <c r="H2251" s="9">
        <v>-5.19359395E-2</v>
      </c>
      <c r="I2251" s="10">
        <v>0.58057394439152599</v>
      </c>
      <c r="J2251" s="10">
        <v>0.33706610490633498</v>
      </c>
      <c r="K2251" s="10">
        <v>-3.4420118999999999E-2</v>
      </c>
      <c r="L2251" s="10">
        <v>-0.43962074499999998</v>
      </c>
      <c r="M2251" s="10">
        <v>1.6970959999999999E-3</v>
      </c>
      <c r="N2251" s="10">
        <v>0.14712362600000001</v>
      </c>
      <c r="O2251" s="9">
        <v>-8.1305035250000005E-2</v>
      </c>
      <c r="P2251" s="10">
        <v>0.25143412013084998</v>
      </c>
      <c r="Q2251" s="10">
        <v>6.3219116765974998E-2</v>
      </c>
    </row>
    <row r="2252" spans="1:17" x14ac:dyDescent="0.2">
      <c r="A2252" s="10">
        <v>1862</v>
      </c>
      <c r="B2252" s="10" t="s">
        <v>2822</v>
      </c>
      <c r="C2252" s="9" t="s">
        <v>2149</v>
      </c>
      <c r="D2252" s="10">
        <v>0.64230212399999997</v>
      </c>
      <c r="E2252" s="10">
        <v>0.132438748</v>
      </c>
      <c r="F2252" s="10">
        <v>9.5580234E-2</v>
      </c>
      <c r="G2252" s="10">
        <v>-8.9802110000000004E-2</v>
      </c>
      <c r="H2252" s="9">
        <v>0.19512974899999999</v>
      </c>
      <c r="I2252" s="10">
        <v>0.31357591573091897</v>
      </c>
      <c r="J2252" s="10">
        <v>9.8329854926484495E-2</v>
      </c>
      <c r="K2252" s="10">
        <v>0.383783763</v>
      </c>
      <c r="L2252" s="10">
        <v>0.33498377099999999</v>
      </c>
      <c r="M2252" s="10">
        <v>0.29028040100000002</v>
      </c>
      <c r="N2252" s="10">
        <v>-2.1732349999999999E-3</v>
      </c>
      <c r="O2252" s="9">
        <v>0.25171867525000002</v>
      </c>
      <c r="P2252" s="10">
        <v>0.173515006417201</v>
      </c>
      <c r="Q2252" s="10">
        <v>3.0107457451961299E-2</v>
      </c>
    </row>
    <row r="2253" spans="1:17" x14ac:dyDescent="0.2">
      <c r="A2253" s="10">
        <v>1862</v>
      </c>
      <c r="B2253" s="10" t="s">
        <v>2826</v>
      </c>
      <c r="C2253" s="9" t="s">
        <v>2148</v>
      </c>
      <c r="D2253" s="10">
        <v>-0.322601735</v>
      </c>
      <c r="E2253" s="10">
        <v>-0.81053794899999998</v>
      </c>
      <c r="F2253" s="10">
        <v>-0.44820061999999999</v>
      </c>
      <c r="G2253" s="10">
        <v>-0.69011618600000002</v>
      </c>
      <c r="H2253" s="9">
        <v>-0.56786412249999996</v>
      </c>
      <c r="I2253" s="10">
        <v>0.22234293756187201</v>
      </c>
      <c r="J2253" s="10">
        <v>4.9436381883642598E-2</v>
      </c>
      <c r="K2253" s="10">
        <v>0.95259328499999996</v>
      </c>
      <c r="L2253" s="10">
        <v>0.117439452</v>
      </c>
      <c r="M2253" s="10">
        <v>1.2613771069999999</v>
      </c>
      <c r="N2253" s="10">
        <v>-3.3566617600000002</v>
      </c>
      <c r="O2253" s="9">
        <v>-0.256312979</v>
      </c>
      <c r="P2253" s="10">
        <v>2.12263130695588</v>
      </c>
      <c r="Q2253" s="10">
        <v>4.5055636652692401</v>
      </c>
    </row>
    <row r="2254" spans="1:17" x14ac:dyDescent="0.2">
      <c r="A2254" s="10">
        <v>1862</v>
      </c>
      <c r="B2254" s="10" t="s">
        <v>2821</v>
      </c>
      <c r="C2254" s="9" t="s">
        <v>2147</v>
      </c>
      <c r="D2254" s="10">
        <v>2.6249059000000002E-2</v>
      </c>
      <c r="E2254" s="10">
        <v>0.193350726</v>
      </c>
      <c r="F2254" s="10">
        <v>-0.12094828000000001</v>
      </c>
      <c r="G2254" s="10">
        <v>0.26432704400000001</v>
      </c>
      <c r="H2254" s="9">
        <v>9.0744637249999996E-2</v>
      </c>
      <c r="I2254" s="10">
        <v>0.1728510266186</v>
      </c>
      <c r="J2254" s="10">
        <v>2.9877477403104102E-2</v>
      </c>
      <c r="K2254" s="10">
        <v>-0.35822311800000001</v>
      </c>
      <c r="L2254" s="10">
        <v>-0.445742266</v>
      </c>
      <c r="M2254" s="10">
        <v>0.19930437000000001</v>
      </c>
      <c r="N2254" s="10">
        <v>0.44148245000000003</v>
      </c>
      <c r="O2254" s="9">
        <v>-4.0794641E-2</v>
      </c>
      <c r="P2254" s="10">
        <v>0.430109344465753</v>
      </c>
      <c r="Q2254" s="10">
        <v>0.18499404819675999</v>
      </c>
    </row>
    <row r="2255" spans="1:17" x14ac:dyDescent="0.2">
      <c r="A2255" s="10">
        <v>1862</v>
      </c>
      <c r="B2255" s="10" t="s">
        <v>2820</v>
      </c>
      <c r="C2255" s="9" t="s">
        <v>2128</v>
      </c>
      <c r="D2255" s="10">
        <v>5.6321796E-2</v>
      </c>
      <c r="E2255" s="10">
        <v>-0.328931103</v>
      </c>
      <c r="F2255" s="10">
        <v>-0.37447982699999999</v>
      </c>
      <c r="G2255" s="10">
        <v>-3.4568373999999999E-2</v>
      </c>
      <c r="H2255" s="9">
        <v>-0.17041437675000001</v>
      </c>
      <c r="I2255" s="10">
        <v>0.21341172178305401</v>
      </c>
      <c r="J2255" s="10">
        <v>4.5544562994407803E-2</v>
      </c>
      <c r="K2255" s="10">
        <v>-0.222066546</v>
      </c>
      <c r="L2255" s="10">
        <v>0.21202051399999999</v>
      </c>
      <c r="M2255" s="10">
        <v>-0.179828346</v>
      </c>
      <c r="N2255" s="10">
        <v>-0.33208995800000002</v>
      </c>
      <c r="O2255" s="9">
        <v>-0.13049108374999999</v>
      </c>
      <c r="P2255" s="10">
        <v>0.237189468164694</v>
      </c>
      <c r="Q2255" s="10">
        <v>5.6258843808250497E-2</v>
      </c>
    </row>
    <row r="2256" spans="1:17" x14ac:dyDescent="0.2">
      <c r="A2256" s="10">
        <v>1862</v>
      </c>
      <c r="B2256" s="10" t="s">
        <v>2824</v>
      </c>
      <c r="C2256" s="9" t="s">
        <v>2129</v>
      </c>
      <c r="D2256" s="10">
        <v>3.6853754000000002E-2</v>
      </c>
      <c r="E2256" s="10">
        <v>1.7482125000000001E-2</v>
      </c>
      <c r="F2256" s="10">
        <v>-7.3648969999999996E-3</v>
      </c>
      <c r="G2256" s="10">
        <v>9.4944685000000001E-2</v>
      </c>
      <c r="H2256" s="9">
        <v>3.5478916749999999E-2</v>
      </c>
      <c r="I2256" s="10">
        <v>4.3579600200721699E-2</v>
      </c>
      <c r="J2256" s="10">
        <v>1.8991815536547E-3</v>
      </c>
      <c r="K2256" s="10">
        <v>7.1912920000000002E-3</v>
      </c>
      <c r="L2256" s="10">
        <v>-5.8832592000000003E-2</v>
      </c>
      <c r="M2256" s="10">
        <v>0.48117947100000003</v>
      </c>
      <c r="N2256" s="10">
        <v>0.13644568600000001</v>
      </c>
      <c r="O2256" s="9">
        <v>0.14149596424999999</v>
      </c>
      <c r="P2256" s="10">
        <v>0.24054082502129001</v>
      </c>
      <c r="Q2256" s="10">
        <v>5.7859888501923001E-2</v>
      </c>
    </row>
    <row r="2257" spans="1:17" x14ac:dyDescent="0.2">
      <c r="A2257" s="10">
        <v>1862</v>
      </c>
      <c r="B2257" s="10" t="s">
        <v>2817</v>
      </c>
      <c r="C2257" s="9" t="s">
        <v>2146</v>
      </c>
      <c r="D2257" s="10">
        <v>-0.34905361699999998</v>
      </c>
      <c r="E2257" s="10">
        <v>1.0364797E-2</v>
      </c>
      <c r="F2257" s="10">
        <v>-2.4288384999999999E-2</v>
      </c>
      <c r="G2257" s="10">
        <v>-9.0480403000000001E-2</v>
      </c>
      <c r="H2257" s="9">
        <v>-0.113364402</v>
      </c>
      <c r="I2257" s="10">
        <v>0.16260026134389999</v>
      </c>
      <c r="J2257" s="10">
        <v>2.64388449891047E-2</v>
      </c>
      <c r="K2257" s="10">
        <v>-4.7152890000000003E-2</v>
      </c>
      <c r="L2257" s="10">
        <v>0.285292078</v>
      </c>
      <c r="M2257" s="10">
        <v>0.35777546199999999</v>
      </c>
      <c r="N2257" s="10">
        <v>0.20855778899999999</v>
      </c>
      <c r="O2257" s="9">
        <v>0.20111810975</v>
      </c>
      <c r="P2257" s="10">
        <v>0.17637140838690299</v>
      </c>
      <c r="Q2257" s="10">
        <v>3.1106873696379898E-2</v>
      </c>
    </row>
    <row r="2258" spans="1:17" x14ac:dyDescent="0.2">
      <c r="A2258" s="10">
        <v>1862</v>
      </c>
      <c r="B2258" s="10" t="s">
        <v>2833</v>
      </c>
      <c r="C2258" s="9" t="s">
        <v>2130</v>
      </c>
      <c r="D2258" s="10">
        <v>0.57392396800000001</v>
      </c>
      <c r="E2258" s="10">
        <v>0.50473624299999997</v>
      </c>
      <c r="F2258" s="10">
        <v>0.120969008</v>
      </c>
      <c r="G2258" s="10">
        <v>0.49022221100000002</v>
      </c>
      <c r="H2258" s="9">
        <v>0.42246285750000001</v>
      </c>
      <c r="I2258" s="10">
        <v>0.20428676676720101</v>
      </c>
      <c r="J2258" s="10">
        <v>4.1733083076197101E-2</v>
      </c>
      <c r="K2258" s="10">
        <v>0.34059843299999998</v>
      </c>
      <c r="L2258" s="10">
        <v>0.32982766800000002</v>
      </c>
      <c r="M2258" s="10">
        <v>0.101277561</v>
      </c>
      <c r="N2258" s="10">
        <v>-0.124891684</v>
      </c>
      <c r="O2258" s="9">
        <v>0.16170299475</v>
      </c>
      <c r="P2258" s="10">
        <v>0.22064845834779001</v>
      </c>
      <c r="Q2258" s="10">
        <v>4.86857421712567E-2</v>
      </c>
    </row>
    <row r="2259" spans="1:17" x14ac:dyDescent="0.2">
      <c r="A2259" s="10">
        <v>1862</v>
      </c>
      <c r="B2259" s="10" t="s">
        <v>2818</v>
      </c>
      <c r="C2259" s="9" t="s">
        <v>2145</v>
      </c>
      <c r="D2259" s="10">
        <v>-0.112510504</v>
      </c>
      <c r="E2259" s="10">
        <v>0.12805330600000001</v>
      </c>
      <c r="F2259" s="10">
        <v>-0.21214951000000001</v>
      </c>
      <c r="G2259" s="10">
        <v>0.392901742</v>
      </c>
      <c r="H2259" s="9">
        <v>4.9073758500000002E-2</v>
      </c>
      <c r="I2259" s="10">
        <v>0.27006327718670697</v>
      </c>
      <c r="J2259" s="10">
        <v>7.2934173684824299E-2</v>
      </c>
      <c r="K2259" s="10">
        <v>-0.53734204399999996</v>
      </c>
      <c r="L2259" s="10">
        <v>6.0244509000000002E-2</v>
      </c>
      <c r="M2259" s="10">
        <v>0.28606426299999999</v>
      </c>
      <c r="N2259" s="10">
        <v>0.18651943100000001</v>
      </c>
      <c r="O2259" s="9">
        <v>-1.1284604999999999E-3</v>
      </c>
      <c r="P2259" s="10">
        <v>0.369225784640826</v>
      </c>
      <c r="Q2259" s="10">
        <v>0.13632768004363399</v>
      </c>
    </row>
    <row r="2260" spans="1:17" x14ac:dyDescent="0.2">
      <c r="A2260" s="10">
        <v>1862</v>
      </c>
      <c r="B2260" s="10" t="s">
        <v>2830</v>
      </c>
      <c r="C2260" s="9" t="s">
        <v>2144</v>
      </c>
      <c r="D2260" s="10">
        <v>0.93429214100000002</v>
      </c>
      <c r="E2260" s="10">
        <v>1.0754154339999999</v>
      </c>
      <c r="F2260" s="10">
        <v>-0.28778165100000003</v>
      </c>
      <c r="G2260" s="10">
        <v>-0.43403526399999998</v>
      </c>
      <c r="H2260" s="9">
        <v>0.32197266525000001</v>
      </c>
      <c r="I2260" s="10">
        <v>0.79287650602911197</v>
      </c>
      <c r="J2260" s="10">
        <v>0.62865315381293196</v>
      </c>
      <c r="K2260" s="10">
        <v>0.50933867899999996</v>
      </c>
      <c r="L2260" s="10">
        <v>0.195768898</v>
      </c>
      <c r="M2260" s="10">
        <v>0.52161822700000005</v>
      </c>
      <c r="N2260" s="10">
        <v>0.99514460599999999</v>
      </c>
      <c r="O2260" s="9">
        <v>0.55546760250000005</v>
      </c>
      <c r="P2260" s="10">
        <v>0.32963246362715598</v>
      </c>
      <c r="Q2260" s="10">
        <v>0.10865756107690799</v>
      </c>
    </row>
    <row r="2261" spans="1:17" x14ac:dyDescent="0.2">
      <c r="A2261" s="10">
        <v>1862</v>
      </c>
      <c r="B2261" s="10" t="s">
        <v>2832</v>
      </c>
      <c r="C2261" s="9" t="s">
        <v>2131</v>
      </c>
      <c r="D2261" s="10">
        <v>7.5807902999999996E-2</v>
      </c>
      <c r="E2261" s="10">
        <v>1.1568450240000001</v>
      </c>
      <c r="F2261" s="10">
        <v>-8.0328272000000006E-2</v>
      </c>
      <c r="G2261" s="10">
        <v>-1.5033159119999999</v>
      </c>
      <c r="H2261" s="9">
        <v>-8.774781425E-2</v>
      </c>
      <c r="I2261" s="10">
        <v>1.0923445571557</v>
      </c>
      <c r="J2261" s="10">
        <v>1.1932166315477</v>
      </c>
      <c r="K2261" s="10">
        <v>-0.53213220400000005</v>
      </c>
      <c r="L2261" s="10">
        <v>-3.3357407999999998E-2</v>
      </c>
      <c r="M2261" s="10">
        <v>-0.55595359700000002</v>
      </c>
      <c r="N2261" s="10">
        <v>-0.37644571199999999</v>
      </c>
      <c r="O2261" s="9">
        <v>-0.37447223024999998</v>
      </c>
      <c r="P2261" s="10">
        <v>0.24093939098811001</v>
      </c>
      <c r="Q2261" s="10">
        <v>5.8051790129721802E-2</v>
      </c>
    </row>
    <row r="2262" spans="1:17" x14ac:dyDescent="0.2">
      <c r="A2262" s="10">
        <v>1863</v>
      </c>
      <c r="B2262" s="10" t="s">
        <v>2831</v>
      </c>
      <c r="C2262" s="9" t="s">
        <v>2132</v>
      </c>
      <c r="D2262" s="10">
        <v>0.41826890700000002</v>
      </c>
      <c r="E2262" s="10">
        <v>-0.134155834</v>
      </c>
      <c r="F2262" s="10">
        <v>0.23585265999999999</v>
      </c>
      <c r="G2262" s="10">
        <v>0.53939921599999996</v>
      </c>
      <c r="H2262" s="9">
        <v>0.26484123724999997</v>
      </c>
      <c r="I2262" s="10">
        <v>0.29380329815329198</v>
      </c>
      <c r="J2262" s="10">
        <v>8.6320378005752402E-2</v>
      </c>
      <c r="K2262" s="10">
        <v>0.25134659799999998</v>
      </c>
      <c r="L2262" s="10">
        <v>0.110464533</v>
      </c>
      <c r="M2262" s="10">
        <v>0.22435422099999999</v>
      </c>
      <c r="N2262" s="10">
        <v>-1.5302064000000001E-2</v>
      </c>
      <c r="O2262" s="9">
        <v>0.14271582225000001</v>
      </c>
      <c r="P2262" s="10">
        <v>0.12175832842659499</v>
      </c>
      <c r="Q2262" s="10">
        <v>1.48250905412386E-2</v>
      </c>
    </row>
    <row r="2263" spans="1:17" x14ac:dyDescent="0.2">
      <c r="A2263" s="10">
        <v>1863</v>
      </c>
      <c r="B2263" s="10" t="s">
        <v>2822</v>
      </c>
      <c r="C2263" s="9" t="s">
        <v>2143</v>
      </c>
      <c r="D2263" s="10">
        <v>0.56223941600000005</v>
      </c>
      <c r="E2263" s="10">
        <v>-0.25285036700000002</v>
      </c>
      <c r="F2263" s="10">
        <v>-2.2305990000000002E-3</v>
      </c>
      <c r="G2263" s="10">
        <v>0.11699198700000001</v>
      </c>
      <c r="H2263" s="9">
        <v>0.10603760925</v>
      </c>
      <c r="I2263" s="10">
        <v>0.34096073639464702</v>
      </c>
      <c r="J2263" s="10">
        <v>0.11625422376278</v>
      </c>
      <c r="K2263" s="10">
        <v>0.42750884900000002</v>
      </c>
      <c r="L2263" s="10">
        <v>0.119239545</v>
      </c>
      <c r="M2263" s="10">
        <v>0.42735972900000002</v>
      </c>
      <c r="N2263" s="10">
        <v>0.27175945800000001</v>
      </c>
      <c r="O2263" s="9">
        <v>0.31146689524999999</v>
      </c>
      <c r="P2263" s="10">
        <v>0.14767635638090601</v>
      </c>
      <c r="Q2263" s="10">
        <v>2.1808306233940301E-2</v>
      </c>
    </row>
    <row r="2264" spans="1:17" x14ac:dyDescent="0.2">
      <c r="A2264" s="10">
        <v>1863</v>
      </c>
      <c r="B2264" s="10" t="s">
        <v>2821</v>
      </c>
      <c r="C2264" s="9" t="s">
        <v>2142</v>
      </c>
      <c r="D2264" s="10">
        <v>0.13396745299999999</v>
      </c>
      <c r="E2264" s="10">
        <v>-0.32041950000000002</v>
      </c>
      <c r="F2264" s="10">
        <v>0.114307169</v>
      </c>
      <c r="G2264" s="10">
        <v>0.42522412199999998</v>
      </c>
      <c r="H2264" s="9">
        <v>8.8269811000000004E-2</v>
      </c>
      <c r="I2264" s="10">
        <v>0.307317088755311</v>
      </c>
      <c r="J2264" s="10">
        <v>9.4443793041039906E-2</v>
      </c>
      <c r="K2264" s="10">
        <v>-0.24724692600000001</v>
      </c>
      <c r="L2264" s="10">
        <v>6.6208235000000004E-2</v>
      </c>
      <c r="M2264" s="10">
        <v>0.35327845299999999</v>
      </c>
      <c r="N2264" s="10">
        <v>-3.2045889000000001E-2</v>
      </c>
      <c r="O2264" s="9">
        <v>3.5048467999999999E-2</v>
      </c>
      <c r="P2264" s="10">
        <v>0.24928805068798901</v>
      </c>
      <c r="Q2264" s="10">
        <v>6.2144532215817699E-2</v>
      </c>
    </row>
    <row r="2265" spans="1:17" x14ac:dyDescent="0.2">
      <c r="A2265" s="10">
        <v>1863</v>
      </c>
      <c r="B2265" s="10" t="s">
        <v>79</v>
      </c>
      <c r="C2265" s="9" t="s">
        <v>2141</v>
      </c>
      <c r="D2265" s="10">
        <v>7.8241112000000002E-2</v>
      </c>
      <c r="E2265" s="10">
        <v>2.3073178999999999E-2</v>
      </c>
      <c r="F2265" s="10">
        <v>-8.3833089E-2</v>
      </c>
      <c r="G2265" s="10">
        <v>-4.3872238000000001E-2</v>
      </c>
      <c r="H2265" s="9">
        <v>-6.5977589999999999E-3</v>
      </c>
      <c r="I2265" s="10">
        <v>7.1723268142876301E-2</v>
      </c>
      <c r="J2265" s="10">
        <v>5.1442271930948998E-3</v>
      </c>
      <c r="K2265" s="10">
        <v>0.21735785099999999</v>
      </c>
      <c r="L2265" s="10">
        <v>-0.19891019800000001</v>
      </c>
      <c r="M2265" s="10">
        <v>0.37783918</v>
      </c>
      <c r="N2265" s="10">
        <v>-0.110610861</v>
      </c>
      <c r="O2265" s="9">
        <v>7.1418993E-2</v>
      </c>
      <c r="P2265" s="10">
        <v>0.271664143462373</v>
      </c>
      <c r="Q2265" s="10">
        <v>7.3801406843144901E-2</v>
      </c>
    </row>
    <row r="2266" spans="1:17" x14ac:dyDescent="0.2">
      <c r="A2266" s="10">
        <v>1863</v>
      </c>
      <c r="B2266" s="10" t="s">
        <v>2824</v>
      </c>
      <c r="C2266" s="9" t="s">
        <v>2133</v>
      </c>
      <c r="D2266" s="10">
        <v>-6.5997510999999995E-2</v>
      </c>
      <c r="E2266" s="10">
        <v>-9.6896460000000004E-2</v>
      </c>
      <c r="F2266" s="10">
        <v>-0.23881961199999999</v>
      </c>
      <c r="G2266" s="10">
        <v>-4.9812052000000002E-2</v>
      </c>
      <c r="H2266" s="9">
        <v>-0.112881409</v>
      </c>
      <c r="I2266" s="10">
        <v>8.6200915025053795E-2</v>
      </c>
      <c r="J2266" s="10">
        <v>7.4305977511564996E-3</v>
      </c>
      <c r="K2266" s="10">
        <v>0.14137609900000001</v>
      </c>
      <c r="L2266" s="10">
        <v>-1.0847218E-2</v>
      </c>
      <c r="M2266" s="10">
        <v>0.154276049</v>
      </c>
      <c r="N2266" s="10">
        <v>6.8145123000000002E-2</v>
      </c>
      <c r="O2266" s="9">
        <v>8.8237513249999996E-2</v>
      </c>
      <c r="P2266" s="10">
        <v>7.6171485505529199E-2</v>
      </c>
      <c r="Q2266" s="10">
        <v>5.8020952041189996E-3</v>
      </c>
    </row>
    <row r="2267" spans="1:17" x14ac:dyDescent="0.2">
      <c r="A2267" s="10">
        <v>1863</v>
      </c>
      <c r="B2267" s="10" t="s">
        <v>2817</v>
      </c>
      <c r="C2267" s="9" t="s">
        <v>2140</v>
      </c>
      <c r="D2267" s="10">
        <v>0.49760070299999998</v>
      </c>
      <c r="E2267" s="10">
        <v>-5.3599310000000001E-3</v>
      </c>
      <c r="F2267" s="10">
        <v>-0.378643216</v>
      </c>
      <c r="G2267" s="10">
        <v>-7.3739460000000001E-3</v>
      </c>
      <c r="H2267" s="9">
        <v>2.6555902499999999E-2</v>
      </c>
      <c r="I2267" s="10">
        <v>0.35974036227928502</v>
      </c>
      <c r="J2267" s="10">
        <v>0.12941312825283099</v>
      </c>
      <c r="K2267" s="10">
        <v>0.15407331899999999</v>
      </c>
      <c r="L2267" s="10">
        <v>-0.18365941</v>
      </c>
      <c r="M2267" s="10">
        <v>-2.7983449999999998E-3</v>
      </c>
      <c r="N2267" s="10">
        <v>0.50834018000000003</v>
      </c>
      <c r="O2267" s="9">
        <v>0.118988936</v>
      </c>
      <c r="P2267" s="10">
        <v>0.29396908470378702</v>
      </c>
      <c r="Q2267" s="10">
        <v>8.6417822761582302E-2</v>
      </c>
    </row>
    <row r="2268" spans="1:17" x14ac:dyDescent="0.2">
      <c r="A2268" s="10">
        <v>1863</v>
      </c>
      <c r="B2268" s="10" t="s">
        <v>2814</v>
      </c>
      <c r="C2268" s="9" t="s">
        <v>2139</v>
      </c>
      <c r="D2268" s="10">
        <v>0.34284076400000002</v>
      </c>
      <c r="E2268" s="10">
        <v>0.32527672699999999</v>
      </c>
      <c r="F2268" s="10">
        <v>-0.60770348299999999</v>
      </c>
      <c r="G2268" s="10">
        <v>0.41284983200000003</v>
      </c>
      <c r="H2268" s="9">
        <v>0.11831596025</v>
      </c>
      <c r="I2268" s="10">
        <v>0.48548895629657302</v>
      </c>
      <c r="J2268" s="10">
        <v>0.23569952668593599</v>
      </c>
      <c r="K2268" s="10">
        <v>0.17058826199999999</v>
      </c>
      <c r="L2268" s="10">
        <v>0.14100399199999999</v>
      </c>
      <c r="M2268" s="10">
        <v>0.74601287599999999</v>
      </c>
      <c r="N2268" s="10">
        <v>-0.40867682300000002</v>
      </c>
      <c r="O2268" s="9">
        <v>0.16223207675000001</v>
      </c>
      <c r="P2268" s="10">
        <v>0.47161334827052598</v>
      </c>
      <c r="Q2268" s="10">
        <v>0.22241915026693601</v>
      </c>
    </row>
    <row r="2269" spans="1:17" x14ac:dyDescent="0.2">
      <c r="A2269" s="10">
        <v>1863</v>
      </c>
      <c r="B2269" s="10" t="s">
        <v>2833</v>
      </c>
      <c r="C2269" s="9" t="s">
        <v>2134</v>
      </c>
      <c r="D2269" s="10">
        <v>0.20751642000000001</v>
      </c>
      <c r="E2269" s="10">
        <v>2.3562016000000002E-2</v>
      </c>
      <c r="F2269" s="10">
        <v>-0.167064138</v>
      </c>
      <c r="G2269" s="10">
        <v>-0.222917166</v>
      </c>
      <c r="H2269" s="9">
        <v>-3.9725717250000001E-2</v>
      </c>
      <c r="I2269" s="10">
        <v>0.195710834230929</v>
      </c>
      <c r="J2269" s="10">
        <v>3.8302730635366301E-2</v>
      </c>
      <c r="K2269" s="10">
        <v>5.3818316999999997E-2</v>
      </c>
      <c r="L2269" s="10">
        <v>0.28337853099999999</v>
      </c>
      <c r="M2269" s="10">
        <v>0.22364205600000001</v>
      </c>
      <c r="N2269" s="10">
        <v>0.29235659000000003</v>
      </c>
      <c r="O2269" s="9">
        <v>0.21329887350000001</v>
      </c>
      <c r="P2269" s="10">
        <v>0.110607881363685</v>
      </c>
      <c r="Q2269" s="10">
        <v>1.22341034197632E-2</v>
      </c>
    </row>
    <row r="2270" spans="1:17" x14ac:dyDescent="0.2">
      <c r="A2270" s="10">
        <v>1863</v>
      </c>
      <c r="B2270" s="10" t="s">
        <v>2825</v>
      </c>
      <c r="C2270" s="9" t="s">
        <v>2138</v>
      </c>
      <c r="D2270" s="10">
        <v>9.6732487000000006E-2</v>
      </c>
      <c r="E2270" s="10">
        <v>-0.34957371100000001</v>
      </c>
      <c r="F2270" s="10">
        <v>5.2472987999999998E-2</v>
      </c>
      <c r="G2270" s="10">
        <v>-0.29366266600000002</v>
      </c>
      <c r="H2270" s="9">
        <v>-0.12350772575000001</v>
      </c>
      <c r="I2270" s="10">
        <v>0.23060319187055101</v>
      </c>
      <c r="J2270" s="10">
        <v>5.3177832100886301E-2</v>
      </c>
      <c r="K2270" s="10">
        <v>1.5345839999999999E-2</v>
      </c>
      <c r="L2270" s="10">
        <v>-0.14915715900000001</v>
      </c>
      <c r="M2270" s="10">
        <v>-0.16215106100000001</v>
      </c>
      <c r="N2270" s="10">
        <v>-0.30738979100000002</v>
      </c>
      <c r="O2270" s="9">
        <v>-0.15083804275000001</v>
      </c>
      <c r="P2270" s="10">
        <v>0.131980228971492</v>
      </c>
      <c r="Q2270" s="10">
        <v>1.7418780839367601E-2</v>
      </c>
    </row>
    <row r="2271" spans="1:17" x14ac:dyDescent="0.2">
      <c r="A2271" s="10">
        <v>1863</v>
      </c>
      <c r="B2271" s="10" t="s">
        <v>74</v>
      </c>
      <c r="C2271" s="9" t="s">
        <v>2135</v>
      </c>
      <c r="D2271" s="10">
        <v>0.26630709699999999</v>
      </c>
      <c r="E2271" s="10">
        <v>-1.4908671E-2</v>
      </c>
      <c r="F2271" s="10">
        <v>-1.9175291000000001E-2</v>
      </c>
      <c r="G2271" s="10">
        <v>-9.8793590000000008E-3</v>
      </c>
      <c r="H2271" s="9">
        <v>5.5585943999999998E-2</v>
      </c>
      <c r="I2271" s="10">
        <v>0.14053213537747</v>
      </c>
      <c r="J2271" s="10">
        <v>1.9749281073751498E-2</v>
      </c>
      <c r="K2271" s="10">
        <v>0.33973489200000001</v>
      </c>
      <c r="L2271" s="10">
        <v>-3.0926354E-2</v>
      </c>
      <c r="M2271" s="10">
        <v>3.8621269999999999E-2</v>
      </c>
      <c r="N2271" s="10">
        <v>9.3332604999999999E-2</v>
      </c>
      <c r="O2271" s="9">
        <v>0.11019060325</v>
      </c>
      <c r="P2271" s="10">
        <v>0.161256460013326</v>
      </c>
      <c r="Q2271" s="10">
        <v>2.6003645896029399E-2</v>
      </c>
    </row>
    <row r="2272" spans="1:17" x14ac:dyDescent="0.2">
      <c r="A2272" s="10">
        <v>1863</v>
      </c>
      <c r="B2272" s="10" t="s">
        <v>2818</v>
      </c>
      <c r="C2272" s="9" t="s">
        <v>2137</v>
      </c>
      <c r="D2272" s="10">
        <v>-0.19963762600000001</v>
      </c>
      <c r="E2272" s="10">
        <v>0.122750922</v>
      </c>
      <c r="F2272" s="10">
        <v>1.9299098000000001E-2</v>
      </c>
      <c r="G2272" s="10">
        <v>-0.17273382800000001</v>
      </c>
      <c r="H2272" s="9">
        <v>-5.7580358249999998E-2</v>
      </c>
      <c r="I2272" s="10">
        <v>0.154779854789481</v>
      </c>
      <c r="J2272" s="10">
        <v>2.3956803448652999E-2</v>
      </c>
      <c r="K2272" s="10">
        <v>-0.133042672</v>
      </c>
      <c r="L2272" s="10">
        <v>0.78151509100000005</v>
      </c>
      <c r="M2272" s="10">
        <v>-0.29647781600000001</v>
      </c>
      <c r="N2272" s="10">
        <v>1.7080089E-2</v>
      </c>
      <c r="O2272" s="9">
        <v>9.2268672750000003E-2</v>
      </c>
      <c r="P2272" s="10">
        <v>0.47700558444854402</v>
      </c>
      <c r="Q2272" s="10">
        <v>0.22753432759509701</v>
      </c>
    </row>
  </sheetData>
  <autoFilter ref="A1:Q2272" xr:uid="{0A4EA2F9-9E1D-9D49-9927-D211BB233624}">
    <sortState xmlns:xlrd2="http://schemas.microsoft.com/office/spreadsheetml/2017/richdata2" ref="A2:Q2272">
      <sortCondition ref="A1:A2272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B7470-5BB2-654C-9A35-795CD71DF0A3}">
  <dimension ref="A1:Q1428"/>
  <sheetViews>
    <sheetView topLeftCell="A1084" workbookViewId="0">
      <selection activeCell="E1110" sqref="E1110"/>
    </sheetView>
  </sheetViews>
  <sheetFormatPr baseColWidth="10" defaultRowHeight="16" x14ac:dyDescent="0.2"/>
  <cols>
    <col min="1" max="2" width="10.83203125" style="10"/>
    <col min="3" max="3" width="10.83203125" style="9"/>
    <col min="4" max="4" width="16.83203125" style="9" bestFit="1" customWidth="1"/>
    <col min="5" max="7" width="16.83203125" style="4" bestFit="1" customWidth="1"/>
    <col min="8" max="8" width="23.6640625" style="9" bestFit="1" customWidth="1"/>
    <col min="9" max="9" width="16.33203125" style="9" bestFit="1" customWidth="1"/>
    <col min="10" max="10" width="16.33203125" style="4" bestFit="1" customWidth="1"/>
    <col min="11" max="14" width="17" style="4" bestFit="1" customWidth="1"/>
    <col min="15" max="15" width="23.83203125" style="9" bestFit="1" customWidth="1"/>
    <col min="16" max="17" width="16.5" style="4" bestFit="1" customWidth="1"/>
    <col min="18" max="16384" width="10.83203125" style="4"/>
  </cols>
  <sheetData>
    <row r="1" spans="1:17" x14ac:dyDescent="0.2">
      <c r="A1" s="10" t="s">
        <v>2582</v>
      </c>
      <c r="B1" s="10" t="s">
        <v>2861</v>
      </c>
      <c r="C1" s="9" t="s">
        <v>73</v>
      </c>
      <c r="D1" s="10" t="s">
        <v>2847</v>
      </c>
      <c r="E1" s="10" t="s">
        <v>2848</v>
      </c>
      <c r="F1" s="10" t="s">
        <v>2849</v>
      </c>
      <c r="G1" s="10" t="s">
        <v>2850</v>
      </c>
      <c r="H1" s="9" t="s">
        <v>2851</v>
      </c>
      <c r="I1" s="10" t="s">
        <v>2852</v>
      </c>
      <c r="J1" s="10" t="s">
        <v>2853</v>
      </c>
      <c r="K1" s="10" t="s">
        <v>2854</v>
      </c>
      <c r="L1" s="10" t="s">
        <v>2855</v>
      </c>
      <c r="M1" s="10" t="s">
        <v>2856</v>
      </c>
      <c r="N1" s="10" t="s">
        <v>2857</v>
      </c>
      <c r="O1" s="9" t="s">
        <v>2858</v>
      </c>
      <c r="P1" s="10" t="s">
        <v>2859</v>
      </c>
      <c r="Q1" s="10" t="s">
        <v>2860</v>
      </c>
    </row>
    <row r="2" spans="1:17" x14ac:dyDescent="0.2">
      <c r="A2" s="10">
        <v>1673</v>
      </c>
      <c r="B2" s="10" t="s">
        <v>2826</v>
      </c>
      <c r="C2" s="9" t="s">
        <v>805</v>
      </c>
      <c r="D2" s="10">
        <v>-5.9166146000000003E-2</v>
      </c>
      <c r="E2" s="10">
        <v>8.4445339999999994E-2</v>
      </c>
      <c r="F2" s="10">
        <v>-0.35496762199999998</v>
      </c>
      <c r="G2" s="10">
        <v>-0.723524587</v>
      </c>
      <c r="H2" s="9">
        <v>-0.26330325399999999</v>
      </c>
      <c r="I2" s="10">
        <v>0.35721472310115998</v>
      </c>
      <c r="J2" s="10">
        <v>0.12760235840023801</v>
      </c>
      <c r="K2" s="10">
        <v>-6.7727818999999995E-2</v>
      </c>
      <c r="L2" s="10">
        <v>0.1383984</v>
      </c>
      <c r="M2" s="10">
        <v>-0.28447457700000001</v>
      </c>
      <c r="N2" s="10">
        <v>-0.245522185</v>
      </c>
      <c r="O2" s="9">
        <v>-0.11483154525</v>
      </c>
      <c r="P2" s="10">
        <v>0.19339335367548</v>
      </c>
      <c r="Q2" s="10">
        <v>3.7400989245849503E-2</v>
      </c>
    </row>
    <row r="3" spans="1:17" x14ac:dyDescent="0.2">
      <c r="A3" s="10">
        <v>1673</v>
      </c>
      <c r="B3" s="10" t="s">
        <v>2824</v>
      </c>
      <c r="C3" s="9" t="s">
        <v>806</v>
      </c>
      <c r="D3" s="10">
        <v>-3.2594368999999998E-2</v>
      </c>
      <c r="E3" s="10">
        <v>-9.7593089999999993E-2</v>
      </c>
      <c r="F3" s="10">
        <v>-5.6028625999999998E-2</v>
      </c>
      <c r="G3" s="10">
        <v>0.25732781900000001</v>
      </c>
      <c r="H3" s="9">
        <v>1.7777933499999999E-2</v>
      </c>
      <c r="I3" s="10">
        <v>0.16194587345867401</v>
      </c>
      <c r="J3" s="10">
        <v>2.6226465930293E-2</v>
      </c>
      <c r="K3" s="10">
        <v>-5.6340811999999997E-2</v>
      </c>
      <c r="L3" s="10">
        <v>0.33149769800000001</v>
      </c>
      <c r="M3" s="10">
        <v>0.243070807</v>
      </c>
      <c r="N3" s="10">
        <v>0.25466162399999998</v>
      </c>
      <c r="O3" s="9">
        <v>0.193222329</v>
      </c>
      <c r="P3" s="10">
        <v>0.17094004479825201</v>
      </c>
      <c r="Q3" s="10">
        <v>2.9220498915628501E-2</v>
      </c>
    </row>
    <row r="4" spans="1:17" x14ac:dyDescent="0.2">
      <c r="A4" s="10">
        <v>1673</v>
      </c>
      <c r="B4" s="10" t="s">
        <v>2825</v>
      </c>
      <c r="C4" s="9" t="s">
        <v>808</v>
      </c>
      <c r="D4" s="10">
        <v>9.0238961000000006E-2</v>
      </c>
      <c r="E4" s="10">
        <v>-4.5574150000000001E-2</v>
      </c>
      <c r="F4" s="10">
        <v>-0.46056700299999997</v>
      </c>
      <c r="G4" s="10">
        <v>-0.30160489200000001</v>
      </c>
      <c r="H4" s="9">
        <v>-0.17937677125000001</v>
      </c>
      <c r="I4" s="10">
        <v>0.24806144700038099</v>
      </c>
      <c r="J4" s="10">
        <v>6.1534481487923301E-2</v>
      </c>
      <c r="K4" s="10">
        <v>3.261903E-2</v>
      </c>
      <c r="L4" s="10">
        <v>-4.4662672E-2</v>
      </c>
      <c r="M4" s="10">
        <v>-0.36503228199999999</v>
      </c>
      <c r="N4" s="10">
        <v>-0.30439938999999999</v>
      </c>
      <c r="O4" s="9">
        <v>-0.17036882850000001</v>
      </c>
      <c r="P4" s="10">
        <v>0.19396233313452901</v>
      </c>
      <c r="Q4" s="10">
        <v>3.7621386674990098E-2</v>
      </c>
    </row>
    <row r="5" spans="1:17" x14ac:dyDescent="0.2">
      <c r="A5" s="10">
        <v>1673</v>
      </c>
      <c r="B5" s="10" t="s">
        <v>74</v>
      </c>
      <c r="C5" s="9" t="s">
        <v>809</v>
      </c>
      <c r="D5" s="10">
        <v>-0.108306524</v>
      </c>
      <c r="E5" s="10">
        <v>-0.484771071</v>
      </c>
      <c r="F5" s="10">
        <v>-0.25717710599999999</v>
      </c>
      <c r="G5" s="10">
        <v>-0.57406794900000002</v>
      </c>
      <c r="H5" s="9">
        <v>-0.35608066249999998</v>
      </c>
      <c r="I5" s="10">
        <v>0.21233120002588299</v>
      </c>
      <c r="J5" s="10">
        <v>4.5084538504431899E-2</v>
      </c>
      <c r="K5" s="10">
        <v>0.14879066699999999</v>
      </c>
      <c r="L5" s="10">
        <v>0.40321735399999997</v>
      </c>
      <c r="M5" s="10">
        <v>0.446255503</v>
      </c>
      <c r="N5" s="10">
        <v>0.103977606</v>
      </c>
      <c r="O5" s="9">
        <v>0.27556028275</v>
      </c>
      <c r="P5" s="10">
        <v>0.17411139776440099</v>
      </c>
      <c r="Q5" s="10">
        <v>3.0314778831473699E-2</v>
      </c>
    </row>
    <row r="6" spans="1:17" x14ac:dyDescent="0.2">
      <c r="A6" s="10">
        <v>1673</v>
      </c>
      <c r="B6" s="10" t="s">
        <v>2830</v>
      </c>
      <c r="C6" s="9" t="s">
        <v>810</v>
      </c>
      <c r="D6" s="10">
        <v>-0.38440874000000003</v>
      </c>
      <c r="E6" s="10">
        <v>-0.53851754200000002</v>
      </c>
      <c r="F6" s="10">
        <v>-0.245870113</v>
      </c>
      <c r="G6" s="10">
        <v>-0.127388319</v>
      </c>
      <c r="H6" s="9">
        <v>-0.32404617824999998</v>
      </c>
      <c r="I6" s="10">
        <v>0.177414219190169</v>
      </c>
      <c r="J6" s="10">
        <v>3.14758051708574E-2</v>
      </c>
      <c r="K6" s="10">
        <v>-0.42094924099999997</v>
      </c>
      <c r="L6" s="10">
        <v>-0.45721117</v>
      </c>
      <c r="M6" s="10">
        <v>-0.23973107199999999</v>
      </c>
      <c r="N6" s="10">
        <v>-2.8200346000000001E-2</v>
      </c>
      <c r="O6" s="9">
        <v>-0.28652295724999999</v>
      </c>
      <c r="P6" s="10">
        <v>0.19674428728927301</v>
      </c>
      <c r="Q6" s="10">
        <v>3.8708314580964097E-2</v>
      </c>
    </row>
    <row r="7" spans="1:17" x14ac:dyDescent="0.2">
      <c r="A7" s="10">
        <v>1673</v>
      </c>
      <c r="B7" s="10" t="s">
        <v>2835</v>
      </c>
      <c r="C7" s="9" t="s">
        <v>2513</v>
      </c>
      <c r="D7" s="10">
        <v>0.199188175</v>
      </c>
      <c r="E7" s="10">
        <v>8.1806649999999995E-2</v>
      </c>
      <c r="F7" s="10">
        <v>0.358546064</v>
      </c>
      <c r="G7" s="10">
        <v>0.29823487300000001</v>
      </c>
      <c r="H7" s="9">
        <v>0.23444394025000001</v>
      </c>
      <c r="I7" s="10">
        <v>0.121122158141551</v>
      </c>
      <c r="J7" s="10">
        <v>1.4670577192867001E-2</v>
      </c>
      <c r="K7" s="10">
        <v>4.2590371000000002E-2</v>
      </c>
      <c r="L7" s="10">
        <v>-0.169007937</v>
      </c>
      <c r="M7" s="10">
        <v>0.33453811100000003</v>
      </c>
      <c r="N7" s="10">
        <v>0.31148203299999999</v>
      </c>
      <c r="O7" s="9">
        <v>0.12990064474999999</v>
      </c>
      <c r="P7" s="10">
        <v>0.23931688706128601</v>
      </c>
      <c r="Q7" s="10">
        <v>5.7272572432704498E-2</v>
      </c>
    </row>
    <row r="8" spans="1:17" x14ac:dyDescent="0.2">
      <c r="A8" s="10">
        <v>1673</v>
      </c>
      <c r="B8" s="10" t="s">
        <v>2832</v>
      </c>
      <c r="C8" s="9" t="s">
        <v>811</v>
      </c>
      <c r="D8" s="10">
        <v>0.16996119800000001</v>
      </c>
      <c r="E8" s="10">
        <v>-0.243823659</v>
      </c>
      <c r="F8" s="10">
        <v>-0.48094708800000002</v>
      </c>
      <c r="G8" s="10">
        <v>-0.472459662</v>
      </c>
      <c r="H8" s="9">
        <v>-0.25681730274999998</v>
      </c>
      <c r="I8" s="10">
        <v>0.30498333900910901</v>
      </c>
      <c r="J8" s="10">
        <v>9.3014837073145604E-2</v>
      </c>
      <c r="K8" s="10">
        <v>-0.156347656</v>
      </c>
      <c r="L8" s="10">
        <v>1.9533025999999998E-2</v>
      </c>
      <c r="M8" s="10">
        <v>-0.634906686</v>
      </c>
      <c r="N8" s="10">
        <v>-0.38148050999999999</v>
      </c>
      <c r="O8" s="9">
        <v>-0.28830045650000002</v>
      </c>
      <c r="P8" s="10">
        <v>0.28342629565511301</v>
      </c>
      <c r="Q8" s="10">
        <v>8.0330465068779999E-2</v>
      </c>
    </row>
    <row r="9" spans="1:17" x14ac:dyDescent="0.2">
      <c r="A9" s="10">
        <v>1674</v>
      </c>
      <c r="B9" s="10" t="s">
        <v>2831</v>
      </c>
      <c r="C9" s="9" t="s">
        <v>2512</v>
      </c>
      <c r="D9" s="10">
        <v>-0.91636309100000002</v>
      </c>
      <c r="E9" s="10">
        <v>-1.1412910119999999</v>
      </c>
      <c r="F9" s="10">
        <v>-0.55240643300000003</v>
      </c>
      <c r="G9" s="10">
        <v>-0.90314198099999998</v>
      </c>
      <c r="H9" s="9">
        <v>-0.87830062949999999</v>
      </c>
      <c r="I9" s="10">
        <v>0.24319869264976299</v>
      </c>
      <c r="J9" s="10">
        <v>5.9145604106554103E-2</v>
      </c>
      <c r="K9" s="10">
        <v>0.103973994</v>
      </c>
      <c r="L9" s="10">
        <v>6.5270526999999995E-2</v>
      </c>
      <c r="M9" s="10">
        <v>0.118959757</v>
      </c>
      <c r="N9" s="10">
        <v>-0.20354243499999999</v>
      </c>
      <c r="O9" s="9">
        <v>2.116546075E-2</v>
      </c>
      <c r="P9" s="10">
        <v>0.15150343542788999</v>
      </c>
      <c r="Q9" s="10">
        <v>2.29532909464529E-2</v>
      </c>
    </row>
    <row r="10" spans="1:17" x14ac:dyDescent="0.2">
      <c r="A10" s="10">
        <v>1674</v>
      </c>
      <c r="B10" s="10" t="s">
        <v>2822</v>
      </c>
      <c r="C10" s="9" t="s">
        <v>812</v>
      </c>
      <c r="D10" s="10">
        <v>-0.11239956500000001</v>
      </c>
      <c r="E10" s="10">
        <v>-6.0470432999999997E-2</v>
      </c>
      <c r="F10" s="10">
        <v>-0.25960801100000003</v>
      </c>
      <c r="G10" s="10">
        <v>-7.2349727000000003E-2</v>
      </c>
      <c r="H10" s="9">
        <v>-0.12620693375</v>
      </c>
      <c r="I10" s="10">
        <v>9.1666746229709606E-2</v>
      </c>
      <c r="J10" s="10">
        <v>8.4027923643418996E-3</v>
      </c>
      <c r="K10" s="10">
        <v>9.7097801999999997E-2</v>
      </c>
      <c r="L10" s="10">
        <v>7.5116088999999997E-2</v>
      </c>
      <c r="M10" s="10">
        <v>-0.19882380099999999</v>
      </c>
      <c r="N10" s="10">
        <v>0.192494309</v>
      </c>
      <c r="O10" s="9">
        <v>4.1471099499999997E-2</v>
      </c>
      <c r="P10" s="10">
        <v>0.168103107609054</v>
      </c>
      <c r="Q10" s="10">
        <v>2.82586547878214E-2</v>
      </c>
    </row>
    <row r="11" spans="1:17" x14ac:dyDescent="0.2">
      <c r="A11" s="10">
        <v>1674</v>
      </c>
      <c r="B11" s="10" t="s">
        <v>96</v>
      </c>
      <c r="C11" s="9" t="s">
        <v>813</v>
      </c>
      <c r="D11" s="10">
        <v>-0.25908579199999998</v>
      </c>
      <c r="E11" s="10">
        <v>-0.47969657799999998</v>
      </c>
      <c r="F11" s="10">
        <v>-0.31632401199999999</v>
      </c>
      <c r="G11" s="10">
        <v>-0.26364375200000001</v>
      </c>
      <c r="H11" s="9">
        <v>-0.32968753350000002</v>
      </c>
      <c r="I11" s="10">
        <v>0.103324221291261</v>
      </c>
      <c r="J11" s="10">
        <v>1.0675894705445501E-2</v>
      </c>
      <c r="K11" s="10">
        <v>-0.277789075</v>
      </c>
      <c r="L11" s="10">
        <v>-0.37080023600000001</v>
      </c>
      <c r="M11" s="10">
        <v>-0.34684382699999999</v>
      </c>
      <c r="N11" s="10">
        <v>-0.74538777099999998</v>
      </c>
      <c r="O11" s="9">
        <v>-0.43520522750000001</v>
      </c>
      <c r="P11" s="10">
        <v>0.21051428723364499</v>
      </c>
      <c r="Q11" s="10">
        <v>4.4316265129489697E-2</v>
      </c>
    </row>
    <row r="12" spans="1:17" x14ac:dyDescent="0.2">
      <c r="A12" s="10">
        <v>1674</v>
      </c>
      <c r="B12" s="10" t="s">
        <v>2823</v>
      </c>
      <c r="C12" s="9" t="s">
        <v>814</v>
      </c>
      <c r="D12" s="10">
        <v>-1.1848356659999999</v>
      </c>
      <c r="E12" s="10">
        <v>-0.99961022799999999</v>
      </c>
      <c r="F12" s="10">
        <v>-0.85245344199999995</v>
      </c>
      <c r="G12" s="10">
        <v>-0.93515703299999997</v>
      </c>
      <c r="H12" s="9">
        <v>-0.99301409249999995</v>
      </c>
      <c r="I12" s="10">
        <v>0.14135506224459399</v>
      </c>
      <c r="J12" s="10">
        <v>1.99812536221733E-2</v>
      </c>
      <c r="K12" s="10">
        <v>6.2923995999999996E-2</v>
      </c>
      <c r="L12" s="10">
        <v>-1.5949697999999998E-2</v>
      </c>
      <c r="M12" s="10">
        <v>-0.237211754</v>
      </c>
      <c r="N12" s="10">
        <v>-0.21362292299999999</v>
      </c>
      <c r="O12" s="9">
        <v>-0.10096509475</v>
      </c>
      <c r="P12" s="10">
        <v>0.14758295991770601</v>
      </c>
      <c r="Q12" s="10">
        <v>2.1780730058071199E-2</v>
      </c>
    </row>
    <row r="13" spans="1:17" x14ac:dyDescent="0.2">
      <c r="A13" s="10">
        <v>1674</v>
      </c>
      <c r="B13" s="10" t="s">
        <v>2819</v>
      </c>
      <c r="C13" s="9" t="s">
        <v>2511</v>
      </c>
      <c r="D13" s="10">
        <v>-1.2211483139999999</v>
      </c>
      <c r="E13" s="10">
        <v>-1.6396374970000001</v>
      </c>
      <c r="F13" s="10">
        <v>-0.48528347199999999</v>
      </c>
      <c r="G13" s="10">
        <v>-1.0782596689999999</v>
      </c>
      <c r="H13" s="9">
        <v>-1.10608223825</v>
      </c>
      <c r="I13" s="10">
        <v>0.47752368858011501</v>
      </c>
      <c r="J13" s="10">
        <v>0.22802887315515899</v>
      </c>
      <c r="K13" s="10">
        <v>-9.1283861999999993E-2</v>
      </c>
      <c r="L13" s="10">
        <v>-0.435359145</v>
      </c>
      <c r="M13" s="10">
        <v>2.5290316E-2</v>
      </c>
      <c r="N13" s="10">
        <v>-0.60358840899999999</v>
      </c>
      <c r="O13" s="9">
        <v>-0.276235275</v>
      </c>
      <c r="P13" s="10">
        <v>0.29303309684629703</v>
      </c>
      <c r="Q13" s="10">
        <v>8.5868395847331497E-2</v>
      </c>
    </row>
    <row r="14" spans="1:17" x14ac:dyDescent="0.2">
      <c r="A14" s="10">
        <v>1674</v>
      </c>
      <c r="B14" s="10" t="s">
        <v>2826</v>
      </c>
      <c r="C14" s="9" t="s">
        <v>815</v>
      </c>
      <c r="D14" s="10">
        <v>-7.0421728000000003E-2</v>
      </c>
      <c r="E14" s="10">
        <v>-0.124697432</v>
      </c>
      <c r="F14" s="10">
        <v>-0.35529975000000003</v>
      </c>
      <c r="G14" s="10">
        <v>-0.12409078599999999</v>
      </c>
      <c r="H14" s="9">
        <v>-0.16862742424999999</v>
      </c>
      <c r="I14" s="10">
        <v>0.12702266509375101</v>
      </c>
      <c r="J14" s="10">
        <v>1.6134757447519198E-2</v>
      </c>
      <c r="K14" s="10">
        <v>6.0689067999999999E-2</v>
      </c>
      <c r="L14" s="10">
        <v>-6.8201766999999996E-2</v>
      </c>
      <c r="M14" s="10">
        <v>-0.54468234199999999</v>
      </c>
      <c r="N14" s="10">
        <v>0.14379446800000001</v>
      </c>
      <c r="O14" s="9">
        <v>-0.10210014325</v>
      </c>
      <c r="P14" s="10">
        <v>0.30767547280858298</v>
      </c>
      <c r="Q14" s="10">
        <v>9.4664196567985595E-2</v>
      </c>
    </row>
    <row r="15" spans="1:17" x14ac:dyDescent="0.2">
      <c r="A15" s="10">
        <v>1674</v>
      </c>
      <c r="B15" s="10" t="s">
        <v>2821</v>
      </c>
      <c r="C15" s="9" t="s">
        <v>816</v>
      </c>
      <c r="D15" s="10">
        <v>0.111691806</v>
      </c>
      <c r="E15" s="10">
        <v>7.3525541E-2</v>
      </c>
      <c r="F15" s="10">
        <v>-2.4968877E-2</v>
      </c>
      <c r="G15" s="10">
        <v>-0.12852117800000001</v>
      </c>
      <c r="H15" s="9">
        <v>7.9318229999999993E-3</v>
      </c>
      <c r="I15" s="10">
        <v>0.107657709827056</v>
      </c>
      <c r="J15" s="10">
        <v>1.15901824852066E-2</v>
      </c>
      <c r="K15" s="10">
        <v>2.0484600000000002E-3</v>
      </c>
      <c r="L15" s="10">
        <v>0.30077111099999998</v>
      </c>
      <c r="M15" s="10">
        <v>-7.3437572000000007E-2</v>
      </c>
      <c r="N15" s="10">
        <v>6.6487556000000003E-2</v>
      </c>
      <c r="O15" s="9">
        <v>7.3967388750000002E-2</v>
      </c>
      <c r="P15" s="10">
        <v>0.16165439584772501</v>
      </c>
      <c r="Q15" s="10">
        <v>2.6132143696893199E-2</v>
      </c>
    </row>
    <row r="16" spans="1:17" x14ac:dyDescent="0.2">
      <c r="A16" s="10">
        <v>1674</v>
      </c>
      <c r="B16" s="10" t="s">
        <v>2834</v>
      </c>
      <c r="C16" s="9" t="s">
        <v>817</v>
      </c>
      <c r="D16" s="10">
        <v>-2.4546594000000001E-2</v>
      </c>
      <c r="E16" s="10">
        <v>6.6905285999999994E-2</v>
      </c>
      <c r="F16" s="10">
        <v>-1.8252520000000001E-2</v>
      </c>
      <c r="G16" s="10">
        <v>-0.123451302</v>
      </c>
      <c r="H16" s="9">
        <v>-2.4836282250000001E-2</v>
      </c>
      <c r="I16" s="10">
        <v>7.7856421935742298E-2</v>
      </c>
      <c r="J16" s="10">
        <v>6.0616224366363001E-3</v>
      </c>
      <c r="K16" s="10">
        <v>-3.8100211000000002E-2</v>
      </c>
      <c r="L16" s="10">
        <v>-0.26284061600000003</v>
      </c>
      <c r="M16" s="10">
        <v>-3.0733636000000002E-2</v>
      </c>
      <c r="N16" s="10">
        <v>0.245911833</v>
      </c>
      <c r="O16" s="9">
        <v>-2.1440657500000002E-2</v>
      </c>
      <c r="P16" s="10">
        <v>0.20825880878734701</v>
      </c>
      <c r="Q16" s="10">
        <v>4.3371731437524999E-2</v>
      </c>
    </row>
    <row r="17" spans="1:17" x14ac:dyDescent="0.2">
      <c r="A17" s="10">
        <v>1674</v>
      </c>
      <c r="B17" s="10" t="s">
        <v>2820</v>
      </c>
      <c r="C17" s="9" t="s">
        <v>818</v>
      </c>
      <c r="D17" s="10">
        <v>1.9700800000000001E-4</v>
      </c>
      <c r="E17" s="10">
        <v>7.3545182000000001E-2</v>
      </c>
      <c r="F17" s="10">
        <v>-1.8906179999999999E-3</v>
      </c>
      <c r="G17" s="10">
        <v>-0.111881973</v>
      </c>
      <c r="H17" s="9">
        <v>-1.000760025E-2</v>
      </c>
      <c r="I17" s="10">
        <v>7.6440553537383202E-2</v>
      </c>
      <c r="J17" s="10">
        <v>5.8431582251015001E-3</v>
      </c>
      <c r="K17" s="10">
        <v>7.4034925000000001E-2</v>
      </c>
      <c r="L17" s="10">
        <v>0.115015679</v>
      </c>
      <c r="M17" s="10">
        <v>-4.9777504E-2</v>
      </c>
      <c r="N17" s="10">
        <v>0.42065575599999999</v>
      </c>
      <c r="O17" s="9">
        <v>0.13998221399999999</v>
      </c>
      <c r="P17" s="10">
        <v>0.19979886598829</v>
      </c>
      <c r="Q17" s="10">
        <v>3.9919586850207002E-2</v>
      </c>
    </row>
    <row r="18" spans="1:17" x14ac:dyDescent="0.2">
      <c r="A18" s="10">
        <v>1674</v>
      </c>
      <c r="B18" s="10" t="s">
        <v>2824</v>
      </c>
      <c r="C18" s="9" t="s">
        <v>819</v>
      </c>
      <c r="D18" s="10">
        <v>0.20118939399999999</v>
      </c>
      <c r="E18" s="10">
        <v>-2.3962780999999999E-2</v>
      </c>
      <c r="F18" s="10">
        <v>-0.154863108</v>
      </c>
      <c r="G18" s="10">
        <v>-4.0612922000000003E-2</v>
      </c>
      <c r="H18" s="9">
        <v>-4.5623542500000001E-3</v>
      </c>
      <c r="I18" s="10">
        <v>0.14899677678720499</v>
      </c>
      <c r="J18" s="10">
        <v>2.22000394929763E-2</v>
      </c>
      <c r="K18" s="10">
        <v>0.21637683299999999</v>
      </c>
      <c r="L18" s="10">
        <v>8.6972072999999997E-2</v>
      </c>
      <c r="M18" s="10">
        <v>-0.104697596</v>
      </c>
      <c r="N18" s="10">
        <v>-2.9330630000000001E-3</v>
      </c>
      <c r="O18" s="9">
        <v>4.8929561750000003E-2</v>
      </c>
      <c r="P18" s="10">
        <v>0.13635353161980501</v>
      </c>
      <c r="Q18" s="10">
        <v>1.85922855851933E-2</v>
      </c>
    </row>
    <row r="19" spans="1:17" x14ac:dyDescent="0.2">
      <c r="A19" s="10">
        <v>1674</v>
      </c>
      <c r="B19" s="10" t="s">
        <v>82</v>
      </c>
      <c r="C19" s="9" t="s">
        <v>820</v>
      </c>
      <c r="D19" s="10">
        <v>-0.115791596</v>
      </c>
      <c r="E19" s="10">
        <v>-0.23154003400000001</v>
      </c>
      <c r="F19" s="10">
        <v>-0.49841535199999998</v>
      </c>
      <c r="G19" s="10">
        <v>-0.23097387799999999</v>
      </c>
      <c r="H19" s="9">
        <v>-0.26918021525000002</v>
      </c>
      <c r="I19" s="10">
        <v>0.16222753967478901</v>
      </c>
      <c r="J19" s="10">
        <v>2.6317774628935399E-2</v>
      </c>
      <c r="K19" s="10">
        <v>-0.18399190600000001</v>
      </c>
      <c r="L19" s="10">
        <v>0.24561803099999999</v>
      </c>
      <c r="M19" s="10">
        <v>-0.360092472</v>
      </c>
      <c r="N19" s="10">
        <v>-0.15365173900000001</v>
      </c>
      <c r="O19" s="9">
        <v>-0.11302952175</v>
      </c>
      <c r="P19" s="10">
        <v>0.255834577407973</v>
      </c>
      <c r="Q19" s="10">
        <v>6.5451330997516197E-2</v>
      </c>
    </row>
    <row r="20" spans="1:17" x14ac:dyDescent="0.2">
      <c r="A20" s="10">
        <v>1674</v>
      </c>
      <c r="B20" s="10" t="s">
        <v>2814</v>
      </c>
      <c r="C20" s="9" t="s">
        <v>821</v>
      </c>
      <c r="D20" s="10">
        <v>-1.189920971</v>
      </c>
      <c r="E20" s="10">
        <v>-1.6188003630000001</v>
      </c>
      <c r="F20" s="10">
        <v>-0.92623196900000004</v>
      </c>
      <c r="G20" s="10">
        <v>-1.19093117</v>
      </c>
      <c r="H20" s="9">
        <v>-1.23147111825</v>
      </c>
      <c r="I20" s="10">
        <v>0.286684951479307</v>
      </c>
      <c r="J20" s="10">
        <v>8.2188261404692806E-2</v>
      </c>
      <c r="K20" s="10">
        <v>-0.16973043700000001</v>
      </c>
      <c r="L20" s="10">
        <v>-0.40298165499999999</v>
      </c>
      <c r="M20" s="10">
        <v>-0.51934431199999997</v>
      </c>
      <c r="N20" s="10">
        <v>-0.50758619599999999</v>
      </c>
      <c r="O20" s="9">
        <v>-0.39991064999999998</v>
      </c>
      <c r="P20" s="10">
        <v>0.162122160066171</v>
      </c>
      <c r="Q20" s="10">
        <v>2.6283594784521198E-2</v>
      </c>
    </row>
    <row r="21" spans="1:17" x14ac:dyDescent="0.2">
      <c r="A21" s="10">
        <v>1674</v>
      </c>
      <c r="B21" s="10" t="s">
        <v>2833</v>
      </c>
      <c r="C21" s="9" t="s">
        <v>2510</v>
      </c>
      <c r="D21" s="10">
        <v>1.4294596999999999E-2</v>
      </c>
      <c r="E21" s="10">
        <v>-0.193184999</v>
      </c>
      <c r="F21" s="10">
        <v>6.1593712000000002E-2</v>
      </c>
      <c r="G21" s="10">
        <v>0.276303833</v>
      </c>
      <c r="H21" s="9">
        <v>3.9751785499999998E-2</v>
      </c>
      <c r="I21" s="10">
        <v>0.192649556578084</v>
      </c>
      <c r="J21" s="10">
        <v>3.71138516497325E-2</v>
      </c>
      <c r="K21" s="10">
        <v>0.213808252</v>
      </c>
      <c r="L21" s="10">
        <v>-0.41996744499999999</v>
      </c>
      <c r="M21" s="10">
        <v>9.8930696999999998E-2</v>
      </c>
      <c r="N21" s="10">
        <v>0.13086045800000001</v>
      </c>
      <c r="O21" s="9">
        <v>5.9079907499999997E-3</v>
      </c>
      <c r="P21" s="10">
        <v>0.28801547895498403</v>
      </c>
      <c r="Q21" s="10">
        <v>8.2952916117668904E-2</v>
      </c>
    </row>
    <row r="22" spans="1:17" x14ac:dyDescent="0.2">
      <c r="A22" s="10">
        <v>1674</v>
      </c>
      <c r="B22" s="10" t="s">
        <v>2825</v>
      </c>
      <c r="C22" s="9" t="s">
        <v>822</v>
      </c>
      <c r="D22" s="10">
        <v>-0.361265791</v>
      </c>
      <c r="E22" s="10">
        <v>-0.34755075800000002</v>
      </c>
      <c r="F22" s="10">
        <v>-0.46000137400000002</v>
      </c>
      <c r="G22" s="10">
        <v>-0.52595398599999998</v>
      </c>
      <c r="H22" s="9">
        <v>-0.42369297750000001</v>
      </c>
      <c r="I22" s="10">
        <v>8.4597881613608206E-2</v>
      </c>
      <c r="J22" s="10">
        <v>7.1568015735099999E-3</v>
      </c>
      <c r="K22" s="10">
        <v>-0.114399889</v>
      </c>
      <c r="L22" s="10">
        <v>-0.178043745</v>
      </c>
      <c r="M22" s="10">
        <v>-0.22796148299999999</v>
      </c>
      <c r="N22" s="10">
        <v>-0.238412187</v>
      </c>
      <c r="O22" s="9">
        <v>-0.18970432600000001</v>
      </c>
      <c r="P22" s="10">
        <v>5.6694482876973998E-2</v>
      </c>
      <c r="Q22" s="10">
        <v>3.2142643886874998E-3</v>
      </c>
    </row>
    <row r="23" spans="1:17" x14ac:dyDescent="0.2">
      <c r="A23" s="10">
        <v>1674</v>
      </c>
      <c r="B23" s="10" t="s">
        <v>74</v>
      </c>
      <c r="C23" s="9" t="s">
        <v>823</v>
      </c>
      <c r="D23" s="10">
        <v>1.1699998E-2</v>
      </c>
      <c r="E23" s="10">
        <v>8.9401485000000003E-2</v>
      </c>
      <c r="F23" s="10">
        <v>-0.26554828899999999</v>
      </c>
      <c r="G23" s="10">
        <v>-0.109909032</v>
      </c>
      <c r="H23" s="9">
        <v>-6.8588959500000005E-2</v>
      </c>
      <c r="I23" s="10">
        <v>0.15481992024955801</v>
      </c>
      <c r="J23" s="10">
        <v>2.3969207706079701E-2</v>
      </c>
      <c r="K23" s="10">
        <v>6.7393858000000001E-2</v>
      </c>
      <c r="L23" s="10">
        <v>4.0644466999999997E-2</v>
      </c>
      <c r="M23" s="10">
        <v>-7.6784927000000003E-2</v>
      </c>
      <c r="N23" s="10">
        <v>-0.109487869</v>
      </c>
      <c r="O23" s="9">
        <v>-1.955861775E-2</v>
      </c>
      <c r="P23" s="10">
        <v>8.6693454488083604E-2</v>
      </c>
      <c r="Q23" s="10">
        <v>7.5157550510774E-3</v>
      </c>
    </row>
    <row r="24" spans="1:17" x14ac:dyDescent="0.2">
      <c r="A24" s="10">
        <v>1674</v>
      </c>
      <c r="B24" s="10" t="s">
        <v>2818</v>
      </c>
      <c r="C24" s="9" t="s">
        <v>824</v>
      </c>
      <c r="D24" s="10">
        <v>-0.17153812800000001</v>
      </c>
      <c r="E24" s="10">
        <v>-0.12676120099999999</v>
      </c>
      <c r="F24" s="10">
        <v>-0.24599917900000001</v>
      </c>
      <c r="G24" s="10">
        <v>-0.18675276900000001</v>
      </c>
      <c r="H24" s="9">
        <v>-0.18276281925000001</v>
      </c>
      <c r="I24" s="10">
        <v>4.9250826841504197E-2</v>
      </c>
      <c r="J24" s="10">
        <v>2.4256439445718E-3</v>
      </c>
      <c r="K24" s="10">
        <v>-7.5968201999999999E-2</v>
      </c>
      <c r="L24" s="10">
        <v>-0.171369788</v>
      </c>
      <c r="M24" s="10">
        <v>-0.18736728699999999</v>
      </c>
      <c r="N24" s="10">
        <v>-2.1181104999999999E-2</v>
      </c>
      <c r="O24" s="9">
        <v>-0.11397159549999999</v>
      </c>
      <c r="P24" s="10">
        <v>7.9027027186435103E-2</v>
      </c>
      <c r="Q24" s="10">
        <v>6.2452710259254997E-3</v>
      </c>
    </row>
    <row r="25" spans="1:17" x14ac:dyDescent="0.2">
      <c r="A25" s="10">
        <v>1674</v>
      </c>
      <c r="B25" s="10" t="s">
        <v>2830</v>
      </c>
      <c r="C25" s="9" t="s">
        <v>825</v>
      </c>
      <c r="D25" s="10">
        <v>-9.9277763000000005E-2</v>
      </c>
      <c r="E25" s="10">
        <v>-0.43154451300000002</v>
      </c>
      <c r="F25" s="10">
        <v>-0.646483103</v>
      </c>
      <c r="G25" s="10">
        <v>-0.16784895699999999</v>
      </c>
      <c r="H25" s="9">
        <v>-0.336288584</v>
      </c>
      <c r="I25" s="10">
        <v>0.25155540731105103</v>
      </c>
      <c r="J25" s="10">
        <v>6.3280122947429102E-2</v>
      </c>
      <c r="K25" s="10">
        <v>-5.3234611000000001E-2</v>
      </c>
      <c r="L25" s="10">
        <v>0.10882346</v>
      </c>
      <c r="M25" s="10">
        <v>6.7945410000000003E-3</v>
      </c>
      <c r="N25" s="10">
        <v>-0.88168039099999995</v>
      </c>
      <c r="O25" s="9">
        <v>-0.20482425025000001</v>
      </c>
      <c r="P25" s="10">
        <v>0.45616921310485498</v>
      </c>
      <c r="Q25" s="10">
        <v>0.20809035098470199</v>
      </c>
    </row>
    <row r="26" spans="1:17" x14ac:dyDescent="0.2">
      <c r="A26" s="10">
        <v>1674</v>
      </c>
      <c r="B26" s="10" t="s">
        <v>2832</v>
      </c>
      <c r="C26" s="9" t="s">
        <v>826</v>
      </c>
      <c r="D26" s="10">
        <v>-0.27134254400000002</v>
      </c>
      <c r="E26" s="10">
        <v>-0.40528345399999999</v>
      </c>
      <c r="F26" s="10">
        <v>-3.4362775999999998E-2</v>
      </c>
      <c r="G26" s="10">
        <v>-0.69299904000000001</v>
      </c>
      <c r="H26" s="9">
        <v>-0.35099695325000002</v>
      </c>
      <c r="I26" s="10">
        <v>0.27478141532303102</v>
      </c>
      <c r="J26" s="10">
        <v>7.5504826206928402E-2</v>
      </c>
      <c r="K26" s="10">
        <v>-0.274827235</v>
      </c>
      <c r="L26" s="10">
        <v>-0.111184927</v>
      </c>
      <c r="M26" s="10">
        <v>-0.26971214100000002</v>
      </c>
      <c r="N26" s="10">
        <v>-0.51245027899999995</v>
      </c>
      <c r="O26" s="9">
        <v>-0.2920436455</v>
      </c>
      <c r="P26" s="10">
        <v>0.16541267689428901</v>
      </c>
      <c r="Q26" s="10">
        <v>2.7361353677334499E-2</v>
      </c>
    </row>
    <row r="27" spans="1:17" x14ac:dyDescent="0.2">
      <c r="A27" s="10">
        <v>1675</v>
      </c>
      <c r="B27" s="10" t="s">
        <v>2822</v>
      </c>
      <c r="C27" s="9" t="s">
        <v>827</v>
      </c>
      <c r="D27" s="10">
        <v>-0.31872022900000002</v>
      </c>
      <c r="E27" s="10">
        <v>0.34264759</v>
      </c>
      <c r="F27" s="10">
        <v>-0.22315000700000001</v>
      </c>
      <c r="G27" s="10">
        <v>0.36986302100000001</v>
      </c>
      <c r="H27" s="9">
        <v>4.2660093750000003E-2</v>
      </c>
      <c r="I27" s="10">
        <v>0.36437389260617598</v>
      </c>
      <c r="J27" s="10">
        <v>0.13276833361297699</v>
      </c>
      <c r="K27" s="10">
        <v>0.16302649399999999</v>
      </c>
      <c r="L27" s="10">
        <v>-3.0615027E-2</v>
      </c>
      <c r="M27" s="10">
        <v>0.48251363600000002</v>
      </c>
      <c r="N27" s="10">
        <v>0.28905820799999998</v>
      </c>
      <c r="O27" s="9">
        <v>0.22599582800000001</v>
      </c>
      <c r="P27" s="10">
        <v>0.21571008129788699</v>
      </c>
      <c r="Q27" s="10">
        <v>4.65308391735412E-2</v>
      </c>
    </row>
    <row r="28" spans="1:17" x14ac:dyDescent="0.2">
      <c r="A28" s="10">
        <v>1675</v>
      </c>
      <c r="B28" s="10" t="s">
        <v>96</v>
      </c>
      <c r="C28" s="9" t="s">
        <v>828</v>
      </c>
      <c r="D28" s="10">
        <v>0.26738910199999999</v>
      </c>
      <c r="E28" s="10">
        <v>0.26912881500000002</v>
      </c>
      <c r="F28" s="10">
        <v>0.210107872</v>
      </c>
      <c r="G28" s="10">
        <v>0.105156899</v>
      </c>
      <c r="H28" s="9">
        <v>0.212945672</v>
      </c>
      <c r="I28" s="10">
        <v>7.6913599406972802E-2</v>
      </c>
      <c r="J28" s="10">
        <v>5.9157017737361999E-3</v>
      </c>
      <c r="K28" s="10">
        <v>9.6212320000000004E-2</v>
      </c>
      <c r="L28" s="10">
        <v>0.23980398</v>
      </c>
      <c r="M28" s="10">
        <v>0.17369879699999999</v>
      </c>
      <c r="N28" s="10">
        <v>8.2933845000000006E-2</v>
      </c>
      <c r="O28" s="9">
        <v>0.14816223525</v>
      </c>
      <c r="P28" s="10">
        <v>7.3038487470474894E-2</v>
      </c>
      <c r="Q28" s="10">
        <v>5.3346206519746999E-3</v>
      </c>
    </row>
    <row r="29" spans="1:17" x14ac:dyDescent="0.2">
      <c r="A29" s="10">
        <v>1675</v>
      </c>
      <c r="B29" s="10" t="s">
        <v>2826</v>
      </c>
      <c r="C29" s="9" t="s">
        <v>829</v>
      </c>
      <c r="D29" s="10">
        <v>0.50594377400000001</v>
      </c>
      <c r="E29" s="10">
        <v>0.167393663</v>
      </c>
      <c r="F29" s="10">
        <v>0.119510981</v>
      </c>
      <c r="G29" s="10">
        <v>-0.99410190300000001</v>
      </c>
      <c r="H29" s="9">
        <v>-5.0313371250000002E-2</v>
      </c>
      <c r="I29" s="10">
        <v>0.65227690124250204</v>
      </c>
      <c r="J29" s="10">
        <v>0.425465155894521</v>
      </c>
      <c r="K29" s="10">
        <v>-0.21902191600000001</v>
      </c>
      <c r="L29" s="10">
        <v>0.22103571899999999</v>
      </c>
      <c r="M29" s="10">
        <v>0.24580645000000001</v>
      </c>
      <c r="N29" s="10">
        <v>1.5610297E-2</v>
      </c>
      <c r="O29" s="9">
        <v>6.5857637999999996E-2</v>
      </c>
      <c r="P29" s="10">
        <v>0.21613496348953101</v>
      </c>
      <c r="Q29" s="10">
        <v>4.6714322442620998E-2</v>
      </c>
    </row>
    <row r="30" spans="1:17" x14ac:dyDescent="0.2">
      <c r="A30" s="10">
        <v>1675</v>
      </c>
      <c r="B30" s="10" t="s">
        <v>79</v>
      </c>
      <c r="C30" s="9" t="s">
        <v>830</v>
      </c>
      <c r="D30" s="10">
        <v>0.108667689</v>
      </c>
      <c r="E30" s="10">
        <v>0.13759611299999999</v>
      </c>
      <c r="F30" s="10">
        <v>-9.334551E-3</v>
      </c>
      <c r="G30" s="10">
        <v>-0.448538612</v>
      </c>
      <c r="H30" s="9">
        <v>-5.2902340249999999E-2</v>
      </c>
      <c r="I30" s="10">
        <v>0.27130594466202401</v>
      </c>
      <c r="J30" s="10">
        <v>7.3606915608953494E-2</v>
      </c>
      <c r="K30" s="10">
        <v>-2.1619300000000001E-2</v>
      </c>
      <c r="L30" s="10">
        <v>0.107122273</v>
      </c>
      <c r="M30" s="10">
        <v>-0.19140927999999999</v>
      </c>
      <c r="N30" s="10">
        <v>-0.32207622000000002</v>
      </c>
      <c r="O30" s="9">
        <v>-0.10699563175</v>
      </c>
      <c r="P30" s="10">
        <v>0.18843293998171401</v>
      </c>
      <c r="Q30" s="10">
        <v>3.5506972870152302E-2</v>
      </c>
    </row>
    <row r="31" spans="1:17" x14ac:dyDescent="0.2">
      <c r="A31" s="10">
        <v>1675</v>
      </c>
      <c r="B31" s="10" t="s">
        <v>2824</v>
      </c>
      <c r="C31" s="9" t="s">
        <v>2509</v>
      </c>
      <c r="D31" s="10">
        <v>-0.40034255200000002</v>
      </c>
      <c r="E31" s="10">
        <v>2.9524569000000001E-2</v>
      </c>
      <c r="F31" s="10">
        <v>0.107678512</v>
      </c>
      <c r="G31" s="10">
        <v>0.267444811</v>
      </c>
      <c r="H31" s="9">
        <v>1.0763350000000001E-3</v>
      </c>
      <c r="I31" s="10">
        <v>0.28534342700550502</v>
      </c>
      <c r="J31" s="10">
        <v>8.1420871335246406E-2</v>
      </c>
      <c r="K31" s="10">
        <v>-0.107307527</v>
      </c>
      <c r="L31" s="10">
        <v>0.33584560699999999</v>
      </c>
      <c r="M31" s="10">
        <v>0.26056364999999998</v>
      </c>
      <c r="N31" s="10">
        <v>-0.24306710400000001</v>
      </c>
      <c r="O31" s="9">
        <v>6.1508656500000002E-2</v>
      </c>
      <c r="P31" s="10">
        <v>0.28056428291485602</v>
      </c>
      <c r="Q31" s="10">
        <v>7.8716316847527806E-2</v>
      </c>
    </row>
    <row r="32" spans="1:17" x14ac:dyDescent="0.2">
      <c r="A32" s="10">
        <v>1675</v>
      </c>
      <c r="B32" s="10" t="s">
        <v>2814</v>
      </c>
      <c r="C32" s="9" t="s">
        <v>831</v>
      </c>
      <c r="D32" s="10">
        <v>0.38933091199999997</v>
      </c>
      <c r="E32" s="10">
        <v>-4.2577575999999999E-2</v>
      </c>
      <c r="F32" s="10">
        <v>-0.20771752099999999</v>
      </c>
      <c r="G32" s="10">
        <v>-0.130677244</v>
      </c>
      <c r="H32" s="9">
        <v>2.0896427500000001E-3</v>
      </c>
      <c r="I32" s="10">
        <v>0.26683144068825998</v>
      </c>
      <c r="J32" s="10">
        <v>7.1199017739772594E-2</v>
      </c>
      <c r="K32" s="10">
        <v>0.12629952999999999</v>
      </c>
      <c r="L32" s="10">
        <v>0.50063494399999997</v>
      </c>
      <c r="M32" s="10">
        <v>-0.42541577600000002</v>
      </c>
      <c r="N32" s="10">
        <v>0.204021286</v>
      </c>
      <c r="O32" s="9">
        <v>0.10138499600000001</v>
      </c>
      <c r="P32" s="10">
        <v>0.38646885014068899</v>
      </c>
      <c r="Q32" s="10">
        <v>0.14935817212906599</v>
      </c>
    </row>
    <row r="33" spans="1:17" x14ac:dyDescent="0.2">
      <c r="A33" s="10">
        <v>1675</v>
      </c>
      <c r="B33" s="10" t="s">
        <v>2833</v>
      </c>
      <c r="C33" s="9" t="s">
        <v>2508</v>
      </c>
      <c r="D33" s="10">
        <v>-0.69223543399999998</v>
      </c>
      <c r="E33" s="10">
        <v>-0.18256693800000001</v>
      </c>
      <c r="F33" s="10">
        <v>0.37665864500000001</v>
      </c>
      <c r="G33" s="10">
        <v>0.182157503</v>
      </c>
      <c r="H33" s="9">
        <v>-7.8996555999999996E-2</v>
      </c>
      <c r="I33" s="10">
        <v>0.46996874018344698</v>
      </c>
      <c r="J33" s="10">
        <v>0.220870616749616</v>
      </c>
      <c r="K33" s="10">
        <v>-5.4291139000000002E-2</v>
      </c>
      <c r="L33" s="10">
        <v>-0.45060326099999998</v>
      </c>
      <c r="M33" s="10">
        <v>0.172579186</v>
      </c>
      <c r="N33" s="10">
        <v>6.6403111000000001E-2</v>
      </c>
      <c r="O33" s="9">
        <v>-6.6478025750000003E-2</v>
      </c>
      <c r="P33" s="10">
        <v>0.272339532910777</v>
      </c>
      <c r="Q33" s="10">
        <v>7.4168821186060496E-2</v>
      </c>
    </row>
    <row r="34" spans="1:17" x14ac:dyDescent="0.2">
      <c r="A34" s="10">
        <v>1675</v>
      </c>
      <c r="B34" s="10" t="s">
        <v>74</v>
      </c>
      <c r="C34" s="9" t="s">
        <v>832</v>
      </c>
      <c r="D34" s="10">
        <v>4.0122769999999999E-3</v>
      </c>
      <c r="E34" s="10">
        <v>-4.5906491000000001E-2</v>
      </c>
      <c r="F34" s="10">
        <v>-0.25199274700000002</v>
      </c>
      <c r="G34" s="10">
        <v>3.9825094999999998E-2</v>
      </c>
      <c r="H34" s="9">
        <v>-6.3515466249999999E-2</v>
      </c>
      <c r="I34" s="10">
        <v>0.13047736595053799</v>
      </c>
      <c r="J34" s="10">
        <v>1.7024343025390701E-2</v>
      </c>
      <c r="K34" s="10">
        <v>0.166898396</v>
      </c>
      <c r="L34" s="10">
        <v>0.20575274599999999</v>
      </c>
      <c r="M34" s="10">
        <v>0.11722366200000001</v>
      </c>
      <c r="N34" s="10">
        <v>8.6741048000000001E-2</v>
      </c>
      <c r="O34" s="9">
        <v>0.144153963</v>
      </c>
      <c r="P34" s="10">
        <v>5.27042162143928E-2</v>
      </c>
      <c r="Q34" s="10">
        <v>2.7777344067734001E-3</v>
      </c>
    </row>
    <row r="35" spans="1:17" x14ac:dyDescent="0.2">
      <c r="A35" s="10">
        <v>1675</v>
      </c>
      <c r="B35" s="10" t="s">
        <v>2830</v>
      </c>
      <c r="C35" s="9" t="s">
        <v>2506</v>
      </c>
      <c r="D35" s="10">
        <v>-0.98803554599999999</v>
      </c>
      <c r="E35" s="10">
        <v>-1.180702908</v>
      </c>
      <c r="F35" s="10">
        <v>-8.7586173000000003E-2</v>
      </c>
      <c r="G35" s="10">
        <v>-0.38174166199999998</v>
      </c>
      <c r="H35" s="9">
        <v>-0.65951657249999995</v>
      </c>
      <c r="I35" s="10">
        <v>0.51115007419117298</v>
      </c>
      <c r="J35" s="10">
        <v>0.26127439834564098</v>
      </c>
      <c r="K35" s="10">
        <v>7.5249278000000003E-2</v>
      </c>
      <c r="L35" s="10">
        <v>2.2805259000000001E-2</v>
      </c>
      <c r="M35" s="10">
        <v>0.107294177</v>
      </c>
      <c r="N35" s="10">
        <v>0.26100648500000001</v>
      </c>
      <c r="O35" s="9">
        <v>0.11658879975</v>
      </c>
      <c r="P35" s="10">
        <v>0.10238353773785799</v>
      </c>
      <c r="Q35" s="10">
        <v>1.0482388799719499E-2</v>
      </c>
    </row>
    <row r="36" spans="1:17" x14ac:dyDescent="0.2">
      <c r="A36" s="10">
        <v>1676</v>
      </c>
      <c r="B36" s="10" t="s">
        <v>2822</v>
      </c>
      <c r="C36" s="9" t="s">
        <v>2505</v>
      </c>
      <c r="D36" s="10">
        <v>-6.2332287E-2</v>
      </c>
      <c r="E36" s="10">
        <v>-0.43409326100000001</v>
      </c>
      <c r="F36" s="10">
        <v>-0.33834515799999998</v>
      </c>
      <c r="G36" s="10">
        <v>-0.47773642500000002</v>
      </c>
      <c r="H36" s="9">
        <v>-0.32812678275000001</v>
      </c>
      <c r="I36" s="10">
        <v>0.186514582745896</v>
      </c>
      <c r="J36" s="10">
        <v>3.4787689576875697E-2</v>
      </c>
      <c r="K36" s="10">
        <v>-9.1578396000000006E-2</v>
      </c>
      <c r="L36" s="10">
        <v>-8.2584548999999993E-2</v>
      </c>
      <c r="M36" s="10">
        <v>0.248531115</v>
      </c>
      <c r="N36" s="10">
        <v>-0.59343962299999997</v>
      </c>
      <c r="O36" s="9">
        <v>-0.1297678635</v>
      </c>
      <c r="P36" s="10">
        <v>0.34726854079953201</v>
      </c>
      <c r="Q36" s="10">
        <v>0.120595439429036</v>
      </c>
    </row>
    <row r="37" spans="1:17" x14ac:dyDescent="0.2">
      <c r="A37" s="10">
        <v>1676</v>
      </c>
      <c r="B37" s="10" t="s">
        <v>96</v>
      </c>
      <c r="C37" s="9" t="s">
        <v>833</v>
      </c>
      <c r="D37" s="10">
        <v>0.77293810299999999</v>
      </c>
      <c r="E37" s="10">
        <v>0.58135342099999998</v>
      </c>
      <c r="F37" s="10">
        <v>-0.49937263100000001</v>
      </c>
      <c r="G37" s="10">
        <v>-0.10391760999999999</v>
      </c>
      <c r="H37" s="9">
        <v>0.187750321</v>
      </c>
      <c r="I37" s="10">
        <v>0.59289579569845197</v>
      </c>
      <c r="J37" s="10">
        <v>0.351525424556901</v>
      </c>
      <c r="K37" s="10">
        <v>0.55692746500000001</v>
      </c>
      <c r="L37" s="10">
        <v>1.0813074760000001</v>
      </c>
      <c r="M37" s="10">
        <v>-0.118446551</v>
      </c>
      <c r="N37" s="10">
        <v>0.24243577699999999</v>
      </c>
      <c r="O37" s="9">
        <v>0.44055604175000002</v>
      </c>
      <c r="P37" s="10">
        <v>0.50854047582222806</v>
      </c>
      <c r="Q37" s="10">
        <v>0.25861341554949802</v>
      </c>
    </row>
    <row r="38" spans="1:17" x14ac:dyDescent="0.2">
      <c r="A38" s="10">
        <v>1676</v>
      </c>
      <c r="B38" s="10" t="s">
        <v>2823</v>
      </c>
      <c r="C38" s="9" t="s">
        <v>2504</v>
      </c>
      <c r="D38" s="10">
        <v>-1.2256352399999999</v>
      </c>
      <c r="E38" s="10">
        <v>-3.1193762349999998</v>
      </c>
      <c r="F38" s="10">
        <v>-2.656116473</v>
      </c>
      <c r="G38" s="10">
        <v>-2.4108056260000001</v>
      </c>
      <c r="H38" s="9">
        <v>-2.3529833935000002</v>
      </c>
      <c r="I38" s="10">
        <v>0.806950002821476</v>
      </c>
      <c r="J38" s="10">
        <v>0.65116830705357998</v>
      </c>
      <c r="K38" s="10">
        <v>-2.1796175629999999</v>
      </c>
      <c r="L38" s="10">
        <v>-0.55061225000000003</v>
      </c>
      <c r="M38" s="10">
        <v>-0.87359740100000005</v>
      </c>
      <c r="N38" s="10">
        <v>-1.0311616180000001</v>
      </c>
      <c r="O38" s="9">
        <v>-1.1587472080000001</v>
      </c>
      <c r="P38" s="10">
        <v>0.70936424683591903</v>
      </c>
      <c r="Q38" s="10">
        <v>0.50319763468909096</v>
      </c>
    </row>
    <row r="39" spans="1:17" x14ac:dyDescent="0.2">
      <c r="A39" s="10">
        <v>1676</v>
      </c>
      <c r="B39" s="10" t="s">
        <v>2826</v>
      </c>
      <c r="C39" s="9" t="s">
        <v>834</v>
      </c>
      <c r="D39" s="10">
        <v>-0.20594279800000001</v>
      </c>
      <c r="E39" s="10">
        <v>0.31566075799999999</v>
      </c>
      <c r="F39" s="10">
        <v>0.72938612999999997</v>
      </c>
      <c r="G39" s="10">
        <v>0.91683721799999995</v>
      </c>
      <c r="H39" s="9">
        <v>0.43898532675000002</v>
      </c>
      <c r="I39" s="10">
        <v>0.49793449765016601</v>
      </c>
      <c r="J39" s="10">
        <v>0.24793876395012401</v>
      </c>
      <c r="K39" s="10">
        <v>-7.0285332000000006E-2</v>
      </c>
      <c r="L39" s="10">
        <v>0.34011995699999997</v>
      </c>
      <c r="M39" s="10">
        <v>0.71165466499999996</v>
      </c>
      <c r="N39" s="10">
        <v>0.78289907400000003</v>
      </c>
      <c r="O39" s="9">
        <v>0.44109709074999998</v>
      </c>
      <c r="P39" s="10">
        <v>0.39231720183872498</v>
      </c>
      <c r="Q39" s="10">
        <v>0.15391278685856699</v>
      </c>
    </row>
    <row r="40" spans="1:17" x14ac:dyDescent="0.2">
      <c r="A40" s="10">
        <v>1676</v>
      </c>
      <c r="B40" s="10" t="s">
        <v>2833</v>
      </c>
      <c r="C40" s="9" t="s">
        <v>46</v>
      </c>
      <c r="D40" s="10">
        <v>-1.7667361559999999</v>
      </c>
      <c r="E40" s="10">
        <v>-1.5390297909999999</v>
      </c>
      <c r="F40" s="10">
        <v>-1.6238800499999999</v>
      </c>
      <c r="G40" s="10">
        <v>-2.4019803030000002</v>
      </c>
      <c r="H40" s="9">
        <v>-1.832906575</v>
      </c>
      <c r="I40" s="10">
        <v>0.390844847553865</v>
      </c>
      <c r="J40" s="10">
        <v>0.15275969485940399</v>
      </c>
      <c r="K40" s="10">
        <v>-0.13840745900000001</v>
      </c>
      <c r="L40" s="10">
        <v>-1.158122871</v>
      </c>
      <c r="M40" s="10">
        <v>-1.6002638819999999</v>
      </c>
      <c r="N40" s="10">
        <v>-1.434927683</v>
      </c>
      <c r="O40" s="9">
        <v>-1.0829304740000001</v>
      </c>
      <c r="P40" s="10">
        <v>0.65556934863470095</v>
      </c>
      <c r="Q40" s="10">
        <v>0.42977117086932598</v>
      </c>
    </row>
    <row r="41" spans="1:17" x14ac:dyDescent="0.2">
      <c r="A41" s="10">
        <v>1676</v>
      </c>
      <c r="B41" s="10" t="s">
        <v>2825</v>
      </c>
      <c r="C41" s="9" t="s">
        <v>2648</v>
      </c>
      <c r="D41" s="10">
        <v>-0.49599887999999998</v>
      </c>
      <c r="E41" s="10">
        <v>-0.52039162999999999</v>
      </c>
      <c r="F41" s="10">
        <v>-1.398551031</v>
      </c>
      <c r="G41" s="10">
        <v>-1.814001507</v>
      </c>
      <c r="H41" s="9">
        <v>-1.0572357619999999</v>
      </c>
      <c r="I41" s="10">
        <v>0.65634822196703402</v>
      </c>
      <c r="J41" s="10">
        <v>0.43079298847928699</v>
      </c>
      <c r="K41" s="10">
        <v>-2.5245371999999999E-2</v>
      </c>
      <c r="L41" s="10">
        <v>-1.3242036020000001</v>
      </c>
      <c r="M41" s="10">
        <v>-0.71019559700000001</v>
      </c>
      <c r="N41" s="10">
        <v>-1.3239624169999999</v>
      </c>
      <c r="O41" s="9">
        <v>-0.84590174699999998</v>
      </c>
      <c r="P41" s="10">
        <v>0.61892587431055401</v>
      </c>
      <c r="Q41" s="10">
        <v>0.38306923789108399</v>
      </c>
    </row>
    <row r="42" spans="1:17" x14ac:dyDescent="0.2">
      <c r="A42" s="10">
        <v>1676</v>
      </c>
      <c r="B42" s="10" t="s">
        <v>74</v>
      </c>
      <c r="C42" s="9" t="s">
        <v>835</v>
      </c>
      <c r="D42" s="10">
        <v>-0.45629209799999998</v>
      </c>
      <c r="E42" s="10">
        <v>2.5115924000000001E-2</v>
      </c>
      <c r="F42" s="10">
        <v>-0.68208776400000004</v>
      </c>
      <c r="G42" s="10">
        <v>-1.1925034999999999</v>
      </c>
      <c r="H42" s="9">
        <v>-0.57644185950000004</v>
      </c>
      <c r="I42" s="10">
        <v>0.50563515638291101</v>
      </c>
      <c r="J42" s="10">
        <v>0.25566691137037101</v>
      </c>
      <c r="K42" s="10">
        <v>-0.471943371</v>
      </c>
      <c r="L42" s="10">
        <v>-0.61507000000000001</v>
      </c>
      <c r="M42" s="10">
        <v>-0.67978199100000003</v>
      </c>
      <c r="N42" s="10">
        <v>-0.62137912799999995</v>
      </c>
      <c r="O42" s="9">
        <v>-0.59704362249999998</v>
      </c>
      <c r="P42" s="10">
        <v>8.8341907120607396E-2</v>
      </c>
      <c r="Q42" s="10">
        <v>7.8042925537060003E-3</v>
      </c>
    </row>
    <row r="43" spans="1:17" x14ac:dyDescent="0.2">
      <c r="A43" s="10">
        <v>1676</v>
      </c>
      <c r="B43" s="10" t="s">
        <v>2818</v>
      </c>
      <c r="C43" s="9" t="s">
        <v>2503</v>
      </c>
      <c r="D43" s="10">
        <v>0.13983243400000001</v>
      </c>
      <c r="E43" s="10">
        <v>-0.137855743</v>
      </c>
      <c r="F43" s="10">
        <v>1.7378119000000001E-2</v>
      </c>
      <c r="G43" s="10">
        <v>-2.8066577999999998E-2</v>
      </c>
      <c r="H43" s="9">
        <v>-2.177942E-3</v>
      </c>
      <c r="I43" s="10">
        <v>0.114931970561767</v>
      </c>
      <c r="J43" s="10">
        <v>1.3209357857211E-2</v>
      </c>
      <c r="K43" s="10">
        <v>1.7803182000000001E-2</v>
      </c>
      <c r="L43" s="10">
        <v>9.0997150999999998E-2</v>
      </c>
      <c r="M43" s="10">
        <v>7.5071021000000002E-2</v>
      </c>
      <c r="N43" s="10">
        <v>0.125334166</v>
      </c>
      <c r="O43" s="9">
        <v>7.7301380249999996E-2</v>
      </c>
      <c r="P43" s="10">
        <v>4.4869190397280802E-2</v>
      </c>
      <c r="Q43" s="10">
        <v>2.0132442469073999E-3</v>
      </c>
    </row>
    <row r="44" spans="1:17" x14ac:dyDescent="0.2">
      <c r="A44" s="10">
        <v>1676</v>
      </c>
      <c r="B44" s="10" t="s">
        <v>2830</v>
      </c>
      <c r="C44" s="9" t="s">
        <v>836</v>
      </c>
      <c r="D44" s="10">
        <v>-1.0588154519999999</v>
      </c>
      <c r="E44" s="10">
        <v>0.166600304</v>
      </c>
      <c r="F44" s="10">
        <v>-0.247370329</v>
      </c>
      <c r="G44" s="10">
        <v>-0.483728147</v>
      </c>
      <c r="H44" s="9">
        <v>-0.40582840599999997</v>
      </c>
      <c r="I44" s="10">
        <v>0.51161314880499098</v>
      </c>
      <c r="J44" s="10">
        <v>0.26174801403015802</v>
      </c>
      <c r="K44" s="10">
        <v>-0.44951904300000001</v>
      </c>
      <c r="L44" s="10">
        <v>-0.88925674799999999</v>
      </c>
      <c r="M44" s="10">
        <v>0.30939527300000003</v>
      </c>
      <c r="N44" s="10">
        <v>-0.19781484099999999</v>
      </c>
      <c r="O44" s="9">
        <v>-0.30679883975</v>
      </c>
      <c r="P44" s="10">
        <v>0.50039949635932102</v>
      </c>
      <c r="Q44" s="10">
        <v>0.25039965595666203</v>
      </c>
    </row>
    <row r="45" spans="1:17" x14ac:dyDescent="0.2">
      <c r="A45" s="10">
        <v>1677</v>
      </c>
      <c r="B45" s="10" t="s">
        <v>2831</v>
      </c>
      <c r="C45" s="9" t="s">
        <v>2502</v>
      </c>
      <c r="D45" s="10">
        <v>-1.352992559</v>
      </c>
      <c r="E45" s="10">
        <v>-1.4442796689999999</v>
      </c>
      <c r="F45" s="10">
        <v>-0.831411385</v>
      </c>
      <c r="G45" s="10">
        <v>-1.2978482</v>
      </c>
      <c r="H45" s="9">
        <v>-1.2316329532500001</v>
      </c>
      <c r="I45" s="10">
        <v>0.27356202357156501</v>
      </c>
      <c r="J45" s="10">
        <v>7.4836180740569802E-2</v>
      </c>
      <c r="K45" s="10">
        <v>-0.45262593099999998</v>
      </c>
      <c r="L45" s="10">
        <v>-0.32994997799999998</v>
      </c>
      <c r="M45" s="10">
        <v>-0.60965047000000006</v>
      </c>
      <c r="N45" s="10">
        <v>-0.58025540900000006</v>
      </c>
      <c r="O45" s="9">
        <v>-0.49312044724999998</v>
      </c>
      <c r="P45" s="10">
        <v>0.128369461117609</v>
      </c>
      <c r="Q45" s="10">
        <v>1.64787185476254E-2</v>
      </c>
    </row>
    <row r="46" spans="1:17" x14ac:dyDescent="0.2">
      <c r="A46" s="10">
        <v>1677</v>
      </c>
      <c r="B46" s="10" t="s">
        <v>2826</v>
      </c>
      <c r="C46" s="9" t="s">
        <v>838</v>
      </c>
      <c r="D46" s="10">
        <v>-0.111711302</v>
      </c>
      <c r="E46" s="10">
        <v>-0.47259433899999997</v>
      </c>
      <c r="F46" s="10">
        <v>-0.795545171</v>
      </c>
      <c r="G46" s="10">
        <v>-8.6781565000000005E-2</v>
      </c>
      <c r="H46" s="9">
        <v>-0.36665809399999999</v>
      </c>
      <c r="I46" s="10">
        <v>0.33590442641644502</v>
      </c>
      <c r="J46" s="10">
        <v>0.11283178368616099</v>
      </c>
      <c r="K46" s="10">
        <v>2.4008393999999999E-2</v>
      </c>
      <c r="L46" s="10">
        <v>-0.18486228399999999</v>
      </c>
      <c r="M46" s="10">
        <v>-0.25882654199999999</v>
      </c>
      <c r="N46" s="10">
        <v>-0.57746161100000004</v>
      </c>
      <c r="O46" s="9">
        <v>-0.24928551074999999</v>
      </c>
      <c r="P46" s="10">
        <v>0.24941965611594899</v>
      </c>
      <c r="Q46" s="10">
        <v>6.2210164856998498E-2</v>
      </c>
    </row>
    <row r="47" spans="1:17" x14ac:dyDescent="0.2">
      <c r="A47" s="10">
        <v>1677</v>
      </c>
      <c r="B47" s="10" t="s">
        <v>2821</v>
      </c>
      <c r="C47" s="9" t="s">
        <v>2501</v>
      </c>
      <c r="D47" s="10">
        <v>-0.71401632000000004</v>
      </c>
      <c r="E47" s="10">
        <v>-1.1611038629999999</v>
      </c>
      <c r="F47" s="10">
        <v>-0.56932399300000003</v>
      </c>
      <c r="G47" s="10">
        <v>-1.0078111869999999</v>
      </c>
      <c r="H47" s="9">
        <v>-0.86306384074999998</v>
      </c>
      <c r="I47" s="10">
        <v>0.26973932521795402</v>
      </c>
      <c r="J47" s="10">
        <v>7.2759303569037495E-2</v>
      </c>
      <c r="K47" s="10">
        <v>-0.28797368099999998</v>
      </c>
      <c r="L47" s="10">
        <v>-0.239144309</v>
      </c>
      <c r="M47" s="10">
        <v>-0.42920647499999998</v>
      </c>
      <c r="N47" s="10">
        <v>-0.72087584900000001</v>
      </c>
      <c r="O47" s="9">
        <v>-0.41930007850000001</v>
      </c>
      <c r="P47" s="10">
        <v>0.21660163588851999</v>
      </c>
      <c r="Q47" s="10">
        <v>4.6916268669582997E-2</v>
      </c>
    </row>
    <row r="48" spans="1:17" x14ac:dyDescent="0.2">
      <c r="A48" s="10">
        <v>1677</v>
      </c>
      <c r="B48" s="10" t="s">
        <v>2834</v>
      </c>
      <c r="C48" s="9" t="s">
        <v>839</v>
      </c>
      <c r="D48" s="10">
        <v>-0.101466485</v>
      </c>
      <c r="E48" s="10">
        <v>-0.119660447</v>
      </c>
      <c r="F48" s="10">
        <v>-0.21569714000000001</v>
      </c>
      <c r="G48" s="10">
        <v>-0.64759566000000002</v>
      </c>
      <c r="H48" s="9">
        <v>-0.27110493299999999</v>
      </c>
      <c r="I48" s="10">
        <v>0.25594786345515202</v>
      </c>
      <c r="J48" s="10">
        <v>6.5509308807257402E-2</v>
      </c>
      <c r="K48" s="10">
        <v>-9.8159950999999995E-2</v>
      </c>
      <c r="L48" s="10">
        <v>-0.157513187</v>
      </c>
      <c r="M48" s="10">
        <v>-0.81750448399999998</v>
      </c>
      <c r="N48" s="10">
        <v>-0.39385602800000002</v>
      </c>
      <c r="O48" s="9">
        <v>-0.36675841225</v>
      </c>
      <c r="P48" s="10">
        <v>0.32651442012728998</v>
      </c>
      <c r="Q48" s="10">
        <v>0.10661166655106</v>
      </c>
    </row>
    <row r="49" spans="1:17" x14ac:dyDescent="0.2">
      <c r="A49" s="10">
        <v>1677</v>
      </c>
      <c r="B49" s="10" t="s">
        <v>2824</v>
      </c>
      <c r="C49" s="9" t="s">
        <v>841</v>
      </c>
      <c r="D49" s="10">
        <v>-9.1683297999999996E-2</v>
      </c>
      <c r="E49" s="10">
        <v>-3.1403958000000003E-2</v>
      </c>
      <c r="F49" s="10">
        <v>0.471691794</v>
      </c>
      <c r="G49" s="10">
        <v>0.75585325400000003</v>
      </c>
      <c r="H49" s="9">
        <v>0.27611444800000001</v>
      </c>
      <c r="I49" s="10">
        <v>0.40753019202760499</v>
      </c>
      <c r="J49" s="10">
        <v>0.16608085741405601</v>
      </c>
      <c r="K49" s="10">
        <v>-5.6610600000000003E-4</v>
      </c>
      <c r="L49" s="10">
        <v>-0.23299502899999999</v>
      </c>
      <c r="M49" s="10">
        <v>0.60902048399999997</v>
      </c>
      <c r="N49" s="10">
        <v>0.19724910800000001</v>
      </c>
      <c r="O49" s="9">
        <v>0.14317711399999999</v>
      </c>
      <c r="P49" s="10">
        <v>0.356885331898671</v>
      </c>
      <c r="Q49" s="10">
        <v>0.12736714012442399</v>
      </c>
    </row>
    <row r="50" spans="1:17" x14ac:dyDescent="0.2">
      <c r="A50" s="10">
        <v>1677</v>
      </c>
      <c r="B50" s="10" t="s">
        <v>2825</v>
      </c>
      <c r="C50" s="9" t="s">
        <v>842</v>
      </c>
      <c r="D50" s="10">
        <v>0.11299722700000001</v>
      </c>
      <c r="E50" s="10">
        <v>0.32029923399999999</v>
      </c>
      <c r="F50" s="10">
        <v>2.0846938999999998E-2</v>
      </c>
      <c r="G50" s="10">
        <v>6.2872777000000005E-2</v>
      </c>
      <c r="H50" s="9">
        <v>0.12925404425000001</v>
      </c>
      <c r="I50" s="10">
        <v>0.13281706936498999</v>
      </c>
      <c r="J50" s="10">
        <v>1.7640373914704601E-2</v>
      </c>
      <c r="K50" s="10">
        <v>-0.104434943</v>
      </c>
      <c r="L50" s="10">
        <v>6.1570787000000002E-2</v>
      </c>
      <c r="M50" s="10">
        <v>6.7009328000000007E-2</v>
      </c>
      <c r="N50" s="10">
        <v>0.12843272</v>
      </c>
      <c r="O50" s="9">
        <v>3.8144472999999998E-2</v>
      </c>
      <c r="P50" s="10">
        <v>9.9771120495915799E-2</v>
      </c>
      <c r="Q50" s="10">
        <v>9.9542764850105003E-3</v>
      </c>
    </row>
    <row r="51" spans="1:17" x14ac:dyDescent="0.2">
      <c r="A51" s="10">
        <v>1677</v>
      </c>
      <c r="B51" s="10" t="s">
        <v>74</v>
      </c>
      <c r="C51" s="9" t="s">
        <v>843</v>
      </c>
      <c r="D51" s="10">
        <v>-0.13758574600000001</v>
      </c>
      <c r="E51" s="10">
        <v>-0.49388085999999998</v>
      </c>
      <c r="F51" s="10">
        <v>-0.34408983300000001</v>
      </c>
      <c r="G51" s="10">
        <v>-0.378747526</v>
      </c>
      <c r="H51" s="9">
        <v>-0.33857599150000001</v>
      </c>
      <c r="I51" s="10">
        <v>0.14850458533675401</v>
      </c>
      <c r="J51" s="10">
        <v>2.2053611866041399E-2</v>
      </c>
      <c r="K51" s="10">
        <v>-0.60972713899999997</v>
      </c>
      <c r="L51" s="10">
        <v>-0.43561539999999999</v>
      </c>
      <c r="M51" s="10">
        <v>-0.12267372</v>
      </c>
      <c r="N51" s="10">
        <v>-0.144396153</v>
      </c>
      <c r="O51" s="9">
        <v>-0.32810310300000001</v>
      </c>
      <c r="P51" s="10">
        <v>0.23581098824921101</v>
      </c>
      <c r="Q51" s="10">
        <v>5.5606822179069502E-2</v>
      </c>
    </row>
    <row r="52" spans="1:17" x14ac:dyDescent="0.2">
      <c r="A52" s="10">
        <v>1677</v>
      </c>
      <c r="B52" s="10" t="s">
        <v>2832</v>
      </c>
      <c r="C52" s="9" t="s">
        <v>844</v>
      </c>
      <c r="D52" s="10">
        <v>-0.20100894899999999</v>
      </c>
      <c r="E52" s="10">
        <v>-0.33202306799999998</v>
      </c>
      <c r="F52" s="10">
        <v>-0.28555447699999997</v>
      </c>
      <c r="G52" s="10">
        <v>-0.55404890399999995</v>
      </c>
      <c r="H52" s="9">
        <v>-0.34315884949999997</v>
      </c>
      <c r="I52" s="10">
        <v>0.15069116171816099</v>
      </c>
      <c r="J52" s="10">
        <v>2.2707826219969099E-2</v>
      </c>
      <c r="K52" s="10">
        <v>-8.5064265E-2</v>
      </c>
      <c r="L52" s="10">
        <v>-6.1804241000000003E-2</v>
      </c>
      <c r="M52" s="10">
        <v>-0.588248934</v>
      </c>
      <c r="N52" s="10">
        <v>-0.16869600600000001</v>
      </c>
      <c r="O52" s="9">
        <v>-0.22595336150000001</v>
      </c>
      <c r="P52" s="10">
        <v>0.24585304410390199</v>
      </c>
      <c r="Q52" s="10">
        <v>6.0443719295155303E-2</v>
      </c>
    </row>
    <row r="53" spans="1:17" x14ac:dyDescent="0.2">
      <c r="A53" s="10">
        <v>1678</v>
      </c>
      <c r="B53" s="10" t="s">
        <v>96</v>
      </c>
      <c r="C53" s="9" t="s">
        <v>845</v>
      </c>
      <c r="D53" s="10">
        <v>5.8782028E-2</v>
      </c>
      <c r="E53" s="10">
        <v>0.38917247799999999</v>
      </c>
      <c r="F53" s="10">
        <v>-0.69009785099999998</v>
      </c>
      <c r="G53" s="10">
        <v>-1.8887617809999999</v>
      </c>
      <c r="H53" s="9">
        <v>-0.53272628150000001</v>
      </c>
      <c r="I53" s="10">
        <v>1.0105077089869701</v>
      </c>
      <c r="J53" s="10">
        <v>1.02112582992209</v>
      </c>
      <c r="K53" s="10">
        <v>-2.1921611000000001E-2</v>
      </c>
      <c r="L53" s="10">
        <v>-0.188677551</v>
      </c>
      <c r="M53" s="10">
        <v>-0.26615326900000003</v>
      </c>
      <c r="N53" s="10">
        <v>-0.50709892599999995</v>
      </c>
      <c r="O53" s="9">
        <v>-0.24596283925000001</v>
      </c>
      <c r="P53" s="10">
        <v>0.20172240452516799</v>
      </c>
      <c r="Q53" s="10">
        <v>4.06919284874157E-2</v>
      </c>
    </row>
    <row r="54" spans="1:17" x14ac:dyDescent="0.2">
      <c r="A54" s="10">
        <v>1678</v>
      </c>
      <c r="B54" s="10" t="s">
        <v>2819</v>
      </c>
      <c r="C54" s="9" t="s">
        <v>846</v>
      </c>
      <c r="D54" s="10">
        <v>0.34029651</v>
      </c>
      <c r="E54" s="10">
        <v>0.324370877</v>
      </c>
      <c r="F54" s="10">
        <v>0.41224802199999999</v>
      </c>
      <c r="G54" s="10">
        <v>3.8506614000000002E-2</v>
      </c>
      <c r="H54" s="9">
        <v>0.27885550575000001</v>
      </c>
      <c r="I54" s="10">
        <v>0.164729879075041</v>
      </c>
      <c r="J54" s="10">
        <v>2.7135933060077801E-2</v>
      </c>
      <c r="K54" s="10">
        <v>0.18114564399999999</v>
      </c>
      <c r="L54" s="10">
        <v>0.38895442400000002</v>
      </c>
      <c r="M54" s="10">
        <v>0.31666042999999999</v>
      </c>
      <c r="N54" s="10">
        <v>0.25079457199999999</v>
      </c>
      <c r="O54" s="9">
        <v>0.28438876725000001</v>
      </c>
      <c r="P54" s="10">
        <v>8.9000279477310901E-2</v>
      </c>
      <c r="Q54" s="10">
        <v>7.9210497470394003E-3</v>
      </c>
    </row>
    <row r="55" spans="1:17" x14ac:dyDescent="0.2">
      <c r="A55" s="10">
        <v>1678</v>
      </c>
      <c r="B55" s="10" t="s">
        <v>2834</v>
      </c>
      <c r="C55" s="9" t="s">
        <v>847</v>
      </c>
      <c r="D55" s="10">
        <v>-0.44697805099999999</v>
      </c>
      <c r="E55" s="10">
        <v>-0.24005135399999999</v>
      </c>
      <c r="F55" s="10">
        <v>-0.54513419600000002</v>
      </c>
      <c r="G55" s="10">
        <v>-0.469790598</v>
      </c>
      <c r="H55" s="9">
        <v>-0.42548854975</v>
      </c>
      <c r="I55" s="10">
        <v>0.13054565533090001</v>
      </c>
      <c r="J55" s="10">
        <v>1.7042168125774301E-2</v>
      </c>
      <c r="K55" s="10">
        <v>0.51437259800000001</v>
      </c>
      <c r="L55" s="10">
        <v>2.8976555000000001E-2</v>
      </c>
      <c r="M55" s="10">
        <v>-1.1046405509999999</v>
      </c>
      <c r="N55" s="10">
        <v>-0.42235219200000002</v>
      </c>
      <c r="O55" s="9">
        <v>-0.24591089725000001</v>
      </c>
      <c r="P55" s="10">
        <v>0.68851101498734302</v>
      </c>
      <c r="Q55" s="10">
        <v>0.47404741775890102</v>
      </c>
    </row>
    <row r="56" spans="1:17" x14ac:dyDescent="0.2">
      <c r="A56" s="10">
        <v>1678</v>
      </c>
      <c r="B56" s="10" t="s">
        <v>2820</v>
      </c>
      <c r="C56" s="9" t="s">
        <v>848</v>
      </c>
      <c r="D56" s="10">
        <v>0.35898565900000001</v>
      </c>
      <c r="E56" s="10">
        <v>-0.25158388100000001</v>
      </c>
      <c r="F56" s="10">
        <v>0.36005193299999999</v>
      </c>
      <c r="G56" s="10">
        <v>-0.53589950799999997</v>
      </c>
      <c r="H56" s="9">
        <v>-1.7111449250000001E-2</v>
      </c>
      <c r="I56" s="10">
        <v>0.450118363284082</v>
      </c>
      <c r="J56" s="10">
        <v>0.20260654096554101</v>
      </c>
      <c r="K56" s="10">
        <v>-5.8634359999999996E-3</v>
      </c>
      <c r="L56" s="10">
        <v>0.29089778700000002</v>
      </c>
      <c r="M56" s="10">
        <v>-2.1305030000000002E-3</v>
      </c>
      <c r="N56" s="10">
        <v>-0.46454632800000001</v>
      </c>
      <c r="O56" s="9">
        <v>-4.5410619999999999E-2</v>
      </c>
      <c r="P56" s="10">
        <v>0.31209786639738601</v>
      </c>
      <c r="Q56" s="10">
        <v>9.7405078209800794E-2</v>
      </c>
    </row>
    <row r="57" spans="1:17" x14ac:dyDescent="0.2">
      <c r="A57" s="10">
        <v>1678</v>
      </c>
      <c r="B57" s="10" t="s">
        <v>2824</v>
      </c>
      <c r="C57" s="9" t="s">
        <v>849</v>
      </c>
      <c r="D57" s="10">
        <v>0.259066252</v>
      </c>
      <c r="E57" s="10">
        <v>0.13474297599999999</v>
      </c>
      <c r="F57" s="10">
        <v>0.48773900100000001</v>
      </c>
      <c r="G57" s="10">
        <v>0.324240574</v>
      </c>
      <c r="H57" s="9">
        <v>0.301447201</v>
      </c>
      <c r="I57" s="10">
        <v>0.14698142294288799</v>
      </c>
      <c r="J57" s="10">
        <v>2.1603538690316101E-2</v>
      </c>
      <c r="K57" s="10">
        <v>0.203453895</v>
      </c>
      <c r="L57" s="10">
        <v>0.43453493900000001</v>
      </c>
      <c r="M57" s="10">
        <v>0.89162929099999999</v>
      </c>
      <c r="N57" s="10">
        <v>0.597078479</v>
      </c>
      <c r="O57" s="9">
        <v>0.53167415100000004</v>
      </c>
      <c r="P57" s="10">
        <v>0.28925766592563401</v>
      </c>
      <c r="Q57" s="10">
        <v>8.3669997296745804E-2</v>
      </c>
    </row>
    <row r="58" spans="1:17" x14ac:dyDescent="0.2">
      <c r="A58" s="10">
        <v>1678</v>
      </c>
      <c r="B58" s="10" t="s">
        <v>2814</v>
      </c>
      <c r="C58" s="9" t="s">
        <v>2499</v>
      </c>
      <c r="D58" s="10">
        <v>0.14795275499999999</v>
      </c>
      <c r="E58" s="10">
        <v>-0.31884949000000001</v>
      </c>
      <c r="F58" s="10">
        <v>-0.29788706999999998</v>
      </c>
      <c r="G58" s="10">
        <v>-0.467786217</v>
      </c>
      <c r="H58" s="9">
        <v>-0.23414250524999999</v>
      </c>
      <c r="I58" s="10">
        <v>0.26572216991087699</v>
      </c>
      <c r="J58" s="10">
        <v>7.0608271582145304E-2</v>
      </c>
      <c r="K58" s="10">
        <v>0.12378251999999999</v>
      </c>
      <c r="L58" s="10">
        <v>0.31905156499999998</v>
      </c>
      <c r="M58" s="10">
        <v>-9.3204480000000006E-2</v>
      </c>
      <c r="N58" s="10">
        <v>-0.36029750799999999</v>
      </c>
      <c r="O58" s="9">
        <v>-2.6669757499999999E-3</v>
      </c>
      <c r="P58" s="10">
        <v>0.29188407042921199</v>
      </c>
      <c r="Q58" s="10">
        <v>8.5196310570325201E-2</v>
      </c>
    </row>
    <row r="59" spans="1:17" x14ac:dyDescent="0.2">
      <c r="A59" s="10">
        <v>1678</v>
      </c>
      <c r="B59" s="10" t="s">
        <v>2825</v>
      </c>
      <c r="C59" s="9" t="s">
        <v>2498</v>
      </c>
      <c r="D59" s="10">
        <v>-4.9368963000000002E-2</v>
      </c>
      <c r="E59" s="10">
        <v>-7.3692050000000002E-3</v>
      </c>
      <c r="F59" s="10">
        <v>-0.115198892</v>
      </c>
      <c r="G59" s="10">
        <v>-8.8750723000000004E-2</v>
      </c>
      <c r="H59" s="9">
        <v>-6.5171945999999994E-2</v>
      </c>
      <c r="I59" s="10">
        <v>4.7079879600929297E-2</v>
      </c>
      <c r="J59" s="10">
        <v>2.216515063238E-3</v>
      </c>
      <c r="K59" s="10">
        <v>7.3436944000000004E-2</v>
      </c>
      <c r="L59" s="10">
        <v>8.2187481000000007E-2</v>
      </c>
      <c r="M59" s="10">
        <v>-5.1147401000000002E-2</v>
      </c>
      <c r="N59" s="10">
        <v>-0.146292225</v>
      </c>
      <c r="O59" s="9">
        <v>-1.0453800500000001E-2</v>
      </c>
      <c r="P59" s="10">
        <v>0.109130061154908</v>
      </c>
      <c r="Q59" s="10">
        <v>1.1909370247674101E-2</v>
      </c>
    </row>
    <row r="60" spans="1:17" x14ac:dyDescent="0.2">
      <c r="A60" s="10">
        <v>1678</v>
      </c>
      <c r="B60" s="10" t="s">
        <v>74</v>
      </c>
      <c r="C60" s="9" t="s">
        <v>850</v>
      </c>
      <c r="D60" s="10">
        <v>0.34062072900000001</v>
      </c>
      <c r="E60" s="10">
        <v>0.49312011500000003</v>
      </c>
      <c r="F60" s="10">
        <v>0.31925633399999997</v>
      </c>
      <c r="G60" s="10">
        <v>0.69117593899999996</v>
      </c>
      <c r="H60" s="9">
        <v>0.46104327950000001</v>
      </c>
      <c r="I60" s="10">
        <v>0.171847891003819</v>
      </c>
      <c r="J60" s="10">
        <v>2.9531697642460601E-2</v>
      </c>
      <c r="K60" s="10">
        <v>6.8499974000000005E-2</v>
      </c>
      <c r="L60" s="10">
        <v>0.47807586200000002</v>
      </c>
      <c r="M60" s="10">
        <v>0.40790544000000001</v>
      </c>
      <c r="N60" s="10">
        <v>0.376016976</v>
      </c>
      <c r="O60" s="9">
        <v>0.33262456299999998</v>
      </c>
      <c r="P60" s="10">
        <v>0.18117026139615899</v>
      </c>
      <c r="Q60" s="10">
        <v>3.2822663614352598E-2</v>
      </c>
    </row>
    <row r="61" spans="1:17" x14ac:dyDescent="0.2">
      <c r="A61" s="10">
        <v>1678</v>
      </c>
      <c r="B61" s="10" t="s">
        <v>2830</v>
      </c>
      <c r="C61" s="9" t="s">
        <v>2647</v>
      </c>
      <c r="D61" s="10">
        <v>-0.263920873</v>
      </c>
      <c r="E61" s="10">
        <v>-4.8546576000000001E-2</v>
      </c>
      <c r="F61" s="10">
        <v>-0.852994209</v>
      </c>
      <c r="G61" s="10">
        <v>-0.291980089</v>
      </c>
      <c r="H61" s="9">
        <v>-0.36436043699999998</v>
      </c>
      <c r="I61" s="10">
        <v>0.34342800251376598</v>
      </c>
      <c r="J61" s="10">
        <v>0.11794279291059501</v>
      </c>
      <c r="K61" s="10">
        <v>-9.0521475000000004E-2</v>
      </c>
      <c r="L61" s="10">
        <v>0.14622933199999999</v>
      </c>
      <c r="M61" s="10">
        <v>-1.2691021250000001</v>
      </c>
      <c r="N61" s="10">
        <v>-0.25161820499999998</v>
      </c>
      <c r="O61" s="9">
        <v>-0.36625311825000001</v>
      </c>
      <c r="P61" s="10">
        <v>0.62368359853077304</v>
      </c>
      <c r="Q61" s="10">
        <v>0.38898123107629501</v>
      </c>
    </row>
    <row r="62" spans="1:17" x14ac:dyDescent="0.2">
      <c r="A62" s="10">
        <v>1678</v>
      </c>
      <c r="B62" s="10" t="s">
        <v>2835</v>
      </c>
      <c r="C62" s="9" t="s">
        <v>2497</v>
      </c>
      <c r="D62" s="10">
        <v>-3.0486485000000001E-2</v>
      </c>
      <c r="E62" s="10">
        <v>-0.129986026</v>
      </c>
      <c r="F62" s="10">
        <v>-0.29529284</v>
      </c>
      <c r="G62" s="10">
        <v>-0.36595325000000001</v>
      </c>
      <c r="H62" s="9">
        <v>-0.20542965025000001</v>
      </c>
      <c r="I62" s="10">
        <v>0.15290527618584199</v>
      </c>
      <c r="J62" s="10">
        <v>2.3380023485468901E-2</v>
      </c>
      <c r="K62" s="10">
        <v>-5.8969755999999998E-2</v>
      </c>
      <c r="L62" s="10">
        <v>8.3472888999999995E-2</v>
      </c>
      <c r="M62" s="10">
        <v>1.6763759E-2</v>
      </c>
      <c r="N62" s="10">
        <v>3.9201959999999999E-3</v>
      </c>
      <c r="O62" s="9">
        <v>1.1296772E-2</v>
      </c>
      <c r="P62" s="10">
        <v>5.8398283772483101E-2</v>
      </c>
      <c r="Q62" s="10">
        <v>3.4103595475714001E-3</v>
      </c>
    </row>
    <row r="63" spans="1:17" x14ac:dyDescent="0.2">
      <c r="A63" s="10">
        <v>1679</v>
      </c>
      <c r="B63" s="10" t="s">
        <v>2823</v>
      </c>
      <c r="C63" s="9" t="s">
        <v>2496</v>
      </c>
      <c r="D63" s="10">
        <v>0.36840210800000001</v>
      </c>
      <c r="E63" s="10">
        <v>-0.113683575</v>
      </c>
      <c r="F63" s="10">
        <v>-0.10730996199999999</v>
      </c>
      <c r="G63" s="10">
        <v>0.13805297699999999</v>
      </c>
      <c r="H63" s="9">
        <v>7.1365387000000002E-2</v>
      </c>
      <c r="I63" s="10">
        <v>0.230105806793301</v>
      </c>
      <c r="J63" s="10">
        <v>5.2948682319996297E-2</v>
      </c>
      <c r="K63" s="10">
        <v>4.0624733000000003E-2</v>
      </c>
      <c r="L63" s="10">
        <v>-2.3893033000000001E-2</v>
      </c>
      <c r="M63" s="10">
        <v>9.4838416999999994E-2</v>
      </c>
      <c r="N63" s="10">
        <v>-0.59526390500000004</v>
      </c>
      <c r="O63" s="9">
        <v>-0.120923447</v>
      </c>
      <c r="P63" s="10">
        <v>0.319929558785851</v>
      </c>
      <c r="Q63" s="10">
        <v>0.102354922584909</v>
      </c>
    </row>
    <row r="64" spans="1:17" x14ac:dyDescent="0.2">
      <c r="A64" s="10">
        <v>1679</v>
      </c>
      <c r="B64" s="10" t="s">
        <v>2826</v>
      </c>
      <c r="C64" s="9" t="s">
        <v>852</v>
      </c>
      <c r="D64" s="10">
        <v>3.8356322999999998E-2</v>
      </c>
      <c r="E64" s="10">
        <v>3.7866402E-2</v>
      </c>
      <c r="F64" s="10">
        <v>-0.12526245799999999</v>
      </c>
      <c r="G64" s="10">
        <v>0.133317769</v>
      </c>
      <c r="H64" s="9">
        <v>2.1069509E-2</v>
      </c>
      <c r="I64" s="10">
        <v>0.107383558629554</v>
      </c>
      <c r="J64" s="10">
        <v>1.15312286639469E-2</v>
      </c>
      <c r="K64" s="10">
        <v>0.40448838799999998</v>
      </c>
      <c r="L64" s="10">
        <v>0.38394347400000001</v>
      </c>
      <c r="M64" s="10">
        <v>0.44860039299999999</v>
      </c>
      <c r="N64" s="10">
        <v>7.4018604000000002E-2</v>
      </c>
      <c r="O64" s="9">
        <v>0.32776271475000002</v>
      </c>
      <c r="P64" s="10">
        <v>0.17129985879613799</v>
      </c>
      <c r="Q64" s="10">
        <v>2.9343641623576999E-2</v>
      </c>
    </row>
    <row r="65" spans="1:17" x14ac:dyDescent="0.2">
      <c r="A65" s="10">
        <v>1679</v>
      </c>
      <c r="B65" s="10" t="s">
        <v>2821</v>
      </c>
      <c r="C65" s="9" t="s">
        <v>2495</v>
      </c>
      <c r="D65" s="10">
        <v>-0.23618482099999999</v>
      </c>
      <c r="E65" s="10">
        <v>-0.548821801</v>
      </c>
      <c r="F65" s="10">
        <v>-0.39383839599999998</v>
      </c>
      <c r="G65" s="10">
        <v>-1.1196043579999999</v>
      </c>
      <c r="H65" s="9">
        <v>-0.57461234400000005</v>
      </c>
      <c r="I65" s="10">
        <v>0.38509473121620003</v>
      </c>
      <c r="J65" s="10">
        <v>0.14829795201047699</v>
      </c>
      <c r="K65" s="10">
        <v>-0.24403454199999999</v>
      </c>
      <c r="L65" s="10">
        <v>-4.4537374999999997E-2</v>
      </c>
      <c r="M65" s="10">
        <v>-0.70586808300000004</v>
      </c>
      <c r="N65" s="10">
        <v>-7.7374063000000007E-2</v>
      </c>
      <c r="O65" s="9">
        <v>-0.26795351574999998</v>
      </c>
      <c r="P65" s="10">
        <v>0.304727520512518</v>
      </c>
      <c r="Q65" s="10">
        <v>9.2858861757706995E-2</v>
      </c>
    </row>
    <row r="66" spans="1:17" x14ac:dyDescent="0.2">
      <c r="A66" s="10">
        <v>1679</v>
      </c>
      <c r="B66" s="10" t="s">
        <v>82</v>
      </c>
      <c r="C66" s="9" t="s">
        <v>2494</v>
      </c>
      <c r="D66" s="10">
        <v>8.9544534999999995E-2</v>
      </c>
      <c r="E66" s="10">
        <v>0.41191760900000002</v>
      </c>
      <c r="F66" s="10">
        <v>0.59654701300000001</v>
      </c>
      <c r="G66" s="10">
        <v>0.21928349799999999</v>
      </c>
      <c r="H66" s="9">
        <v>0.32932316374999998</v>
      </c>
      <c r="I66" s="10">
        <v>0.22198569536327001</v>
      </c>
      <c r="J66" s="10">
        <v>4.9277648945914597E-2</v>
      </c>
      <c r="K66" s="10">
        <v>0.101212626</v>
      </c>
      <c r="L66" s="10">
        <v>0.26042169199999998</v>
      </c>
      <c r="M66" s="10">
        <v>0.36014072400000002</v>
      </c>
      <c r="N66" s="10">
        <v>2.8091629999999999E-3</v>
      </c>
      <c r="O66" s="9">
        <v>0.18114605125</v>
      </c>
      <c r="P66" s="10">
        <v>0.15970505969034801</v>
      </c>
      <c r="Q66" s="10">
        <v>2.5505706090697602E-2</v>
      </c>
    </row>
    <row r="67" spans="1:17" x14ac:dyDescent="0.2">
      <c r="A67" s="10">
        <v>1679</v>
      </c>
      <c r="B67" s="10" t="s">
        <v>74</v>
      </c>
      <c r="C67" s="9" t="s">
        <v>854</v>
      </c>
      <c r="D67" s="10">
        <v>0.23226337799999999</v>
      </c>
      <c r="E67" s="10">
        <v>0.27961749400000002</v>
      </c>
      <c r="F67" s="10">
        <v>-2.3185072760000001</v>
      </c>
      <c r="G67" s="10">
        <v>-0.402665938</v>
      </c>
      <c r="H67" s="9">
        <v>-0.55232308549999998</v>
      </c>
      <c r="I67" s="10">
        <v>1.2178539736077001</v>
      </c>
      <c r="J67" s="10">
        <v>1.48316830103206</v>
      </c>
      <c r="K67" s="10">
        <v>-1.5651317000000001E-2</v>
      </c>
      <c r="L67" s="10">
        <v>-0.75174243900000004</v>
      </c>
      <c r="M67" s="10">
        <v>-0.87143354500000003</v>
      </c>
      <c r="N67" s="10">
        <v>-0.88810329700000001</v>
      </c>
      <c r="O67" s="9">
        <v>-0.63173264924999994</v>
      </c>
      <c r="P67" s="10">
        <v>0.415187100808732</v>
      </c>
      <c r="Q67" s="10">
        <v>0.17238032867795999</v>
      </c>
    </row>
    <row r="68" spans="1:17" x14ac:dyDescent="0.2">
      <c r="A68" s="10">
        <v>1679</v>
      </c>
      <c r="B68" s="10" t="s">
        <v>2835</v>
      </c>
      <c r="C68" s="9" t="s">
        <v>2493</v>
      </c>
      <c r="D68" s="10">
        <v>0.281604562</v>
      </c>
      <c r="E68" s="10">
        <v>0.10507564699999999</v>
      </c>
      <c r="F68" s="10">
        <v>-8.1586513999999999E-2</v>
      </c>
      <c r="G68" s="10">
        <v>0.135309971</v>
      </c>
      <c r="H68" s="9">
        <v>0.11010091650000001</v>
      </c>
      <c r="I68" s="10">
        <v>0.14924065709876499</v>
      </c>
      <c r="J68" s="10">
        <v>2.2272773731271098E-2</v>
      </c>
      <c r="K68" s="10">
        <v>0.15686645199999999</v>
      </c>
      <c r="L68" s="10">
        <v>0.123111974</v>
      </c>
      <c r="M68" s="10">
        <v>0.18592229299999999</v>
      </c>
      <c r="N68" s="10">
        <v>-9.6439025999999997E-2</v>
      </c>
      <c r="O68" s="9">
        <v>9.2365423249999995E-2</v>
      </c>
      <c r="P68" s="10">
        <v>0.128459774542908</v>
      </c>
      <c r="Q68" s="10">
        <v>1.6501913675614901E-2</v>
      </c>
    </row>
    <row r="69" spans="1:17" x14ac:dyDescent="0.2">
      <c r="A69" s="10">
        <v>1680</v>
      </c>
      <c r="B69" s="10" t="s">
        <v>96</v>
      </c>
      <c r="C69" s="9" t="s">
        <v>2646</v>
      </c>
      <c r="D69" s="10">
        <v>-1.645059018</v>
      </c>
      <c r="E69" s="10">
        <v>-1.680099746</v>
      </c>
      <c r="F69" s="10">
        <v>-0.26847343299999998</v>
      </c>
      <c r="G69" s="10">
        <v>-0.44280112100000002</v>
      </c>
      <c r="H69" s="9">
        <v>-1.0091083295000001</v>
      </c>
      <c r="I69" s="10">
        <v>0.75804719807606702</v>
      </c>
      <c r="J69" s="10">
        <v>0.57463555451097603</v>
      </c>
      <c r="K69" s="10">
        <v>-9.2977937999999996E-2</v>
      </c>
      <c r="L69" s="10">
        <v>-0.45939885499999999</v>
      </c>
      <c r="M69" s="10">
        <v>-0.37874902300000002</v>
      </c>
      <c r="N69" s="10">
        <v>3.2104515E-2</v>
      </c>
      <c r="O69" s="9">
        <v>-0.22475532525</v>
      </c>
      <c r="P69" s="10">
        <v>0.232460679344521</v>
      </c>
      <c r="Q69" s="10">
        <v>5.4037967441316399E-2</v>
      </c>
    </row>
    <row r="70" spans="1:17" x14ac:dyDescent="0.2">
      <c r="A70" s="10">
        <v>1680</v>
      </c>
      <c r="B70" s="10" t="s">
        <v>2819</v>
      </c>
      <c r="C70" s="9" t="s">
        <v>2492</v>
      </c>
      <c r="D70" s="10">
        <v>-0.809540853</v>
      </c>
      <c r="E70" s="10">
        <v>-0.96771367200000002</v>
      </c>
      <c r="F70" s="10">
        <v>-0.81921174100000005</v>
      </c>
      <c r="G70" s="10">
        <v>-0.57645014800000005</v>
      </c>
      <c r="H70" s="9">
        <v>-0.79322910349999998</v>
      </c>
      <c r="I70" s="10">
        <v>0.16163657879691001</v>
      </c>
      <c r="J70" s="10">
        <v>2.6126383605169699E-2</v>
      </c>
      <c r="K70" s="10">
        <v>-3.7547074E-2</v>
      </c>
      <c r="L70" s="10">
        <v>0.31476377500000002</v>
      </c>
      <c r="M70" s="10">
        <v>7.3373478000000006E-2</v>
      </c>
      <c r="N70" s="10">
        <v>7.2938380000000004E-3</v>
      </c>
      <c r="O70" s="9">
        <v>8.9471004500000006E-2</v>
      </c>
      <c r="P70" s="10">
        <v>0.15695290350801</v>
      </c>
      <c r="Q70" s="10">
        <v>2.4634213919594899E-2</v>
      </c>
    </row>
    <row r="71" spans="1:17" x14ac:dyDescent="0.2">
      <c r="A71" s="10">
        <v>1680</v>
      </c>
      <c r="B71" s="10" t="s">
        <v>2826</v>
      </c>
      <c r="C71" s="9" t="s">
        <v>855</v>
      </c>
      <c r="D71" s="10">
        <v>-0.20470322399999999</v>
      </c>
      <c r="E71" s="10">
        <v>-0.81779447900000002</v>
      </c>
      <c r="F71" s="10">
        <v>2.8756969E-2</v>
      </c>
      <c r="G71" s="10">
        <v>0.108603058</v>
      </c>
      <c r="H71" s="9">
        <v>-0.22128441900000001</v>
      </c>
      <c r="I71" s="10">
        <v>0.41930324384754503</v>
      </c>
      <c r="J71" s="10">
        <v>0.175815210301074</v>
      </c>
      <c r="K71" s="10">
        <v>-0.16778167999999999</v>
      </c>
      <c r="L71" s="10">
        <v>-0.67682519399999996</v>
      </c>
      <c r="M71" s="10">
        <v>-0.61567400000000005</v>
      </c>
      <c r="N71" s="10">
        <v>-0.48445691400000002</v>
      </c>
      <c r="O71" s="9">
        <v>-0.48618444675</v>
      </c>
      <c r="P71" s="10">
        <v>0.22693225505745099</v>
      </c>
      <c r="Q71" s="10">
        <v>5.1498248385460001E-2</v>
      </c>
    </row>
    <row r="72" spans="1:17" x14ac:dyDescent="0.2">
      <c r="A72" s="10">
        <v>1680</v>
      </c>
      <c r="B72" s="10" t="s">
        <v>82</v>
      </c>
      <c r="C72" s="9" t="s">
        <v>856</v>
      </c>
      <c r="D72" s="10">
        <v>0.196375563</v>
      </c>
      <c r="E72" s="10">
        <v>0.227563086</v>
      </c>
      <c r="F72" s="10">
        <v>0.32771380500000002</v>
      </c>
      <c r="G72" s="10">
        <v>-0.243531515</v>
      </c>
      <c r="H72" s="9">
        <v>0.12703023450000001</v>
      </c>
      <c r="I72" s="10">
        <v>0.25331504395161297</v>
      </c>
      <c r="J72" s="10">
        <v>6.4168511492207703E-2</v>
      </c>
      <c r="K72" s="10">
        <v>0.246414578</v>
      </c>
      <c r="L72" s="10">
        <v>0.37959363899999998</v>
      </c>
      <c r="M72" s="10">
        <v>0.85532135200000003</v>
      </c>
      <c r="N72" s="10">
        <v>-0.20206152399999999</v>
      </c>
      <c r="O72" s="9">
        <v>0.31981701099999998</v>
      </c>
      <c r="P72" s="10">
        <v>0.43515639600376599</v>
      </c>
      <c r="Q72" s="10">
        <v>0.18936108898298601</v>
      </c>
    </row>
    <row r="73" spans="1:17" x14ac:dyDescent="0.2">
      <c r="A73" s="10">
        <v>1680</v>
      </c>
      <c r="B73" s="10" t="s">
        <v>2814</v>
      </c>
      <c r="C73" s="9" t="s">
        <v>857</v>
      </c>
      <c r="D73" s="10">
        <v>-6.2243659E-2</v>
      </c>
      <c r="E73" s="10">
        <v>0.27364501499999999</v>
      </c>
      <c r="F73" s="10">
        <v>1.8977942000000001E-2</v>
      </c>
      <c r="G73" s="10">
        <v>-0.121145726</v>
      </c>
      <c r="H73" s="9">
        <v>2.7308393E-2</v>
      </c>
      <c r="I73" s="10">
        <v>0.17398210944204401</v>
      </c>
      <c r="J73" s="10">
        <v>3.0269774405903699E-2</v>
      </c>
      <c r="K73" s="10">
        <v>1.6961771E-2</v>
      </c>
      <c r="L73" s="10">
        <v>-0.289599206</v>
      </c>
      <c r="M73" s="10">
        <v>-9.7038885000000005E-2</v>
      </c>
      <c r="N73" s="10">
        <v>-0.33732134400000002</v>
      </c>
      <c r="O73" s="9">
        <v>-0.17674941599999999</v>
      </c>
      <c r="P73" s="10">
        <v>0.165726895710917</v>
      </c>
      <c r="Q73" s="10">
        <v>2.74654039619774E-2</v>
      </c>
    </row>
    <row r="74" spans="1:17" x14ac:dyDescent="0.2">
      <c r="A74" s="10">
        <v>1680</v>
      </c>
      <c r="B74" s="10" t="s">
        <v>2825</v>
      </c>
      <c r="C74" s="9" t="s">
        <v>858</v>
      </c>
      <c r="D74" s="10">
        <v>-1.050785699</v>
      </c>
      <c r="E74" s="10">
        <v>-1.3916638800000001</v>
      </c>
      <c r="F74" s="10">
        <v>-0.77668130999999996</v>
      </c>
      <c r="G74" s="10">
        <v>-1.3578758900000001</v>
      </c>
      <c r="H74" s="9">
        <v>-1.1442516949999999</v>
      </c>
      <c r="I74" s="10">
        <v>0.28907436546858301</v>
      </c>
      <c r="J74" s="10">
        <v>8.3563988771064204E-2</v>
      </c>
      <c r="K74" s="10">
        <v>0.13452181499999999</v>
      </c>
      <c r="L74" s="10">
        <v>-0.23287055300000001</v>
      </c>
      <c r="M74" s="10">
        <v>0.19486932500000001</v>
      </c>
      <c r="N74" s="10">
        <v>-0.45152820799999999</v>
      </c>
      <c r="O74" s="9">
        <v>-8.8751905249999999E-2</v>
      </c>
      <c r="P74" s="10">
        <v>0.30695764467270598</v>
      </c>
      <c r="Q74" s="10">
        <v>9.4222995623015601E-2</v>
      </c>
    </row>
    <row r="75" spans="1:17" x14ac:dyDescent="0.2">
      <c r="A75" s="10">
        <v>1680</v>
      </c>
      <c r="B75" s="10" t="s">
        <v>74</v>
      </c>
      <c r="C75" s="9" t="s">
        <v>859</v>
      </c>
      <c r="D75" s="10">
        <v>-0.57557666500000004</v>
      </c>
      <c r="E75" s="10">
        <v>-0.58269483399999999</v>
      </c>
      <c r="F75" s="10">
        <v>-0.29340043999999998</v>
      </c>
      <c r="G75" s="10">
        <v>-0.72608373000000004</v>
      </c>
      <c r="H75" s="9">
        <v>-0.54443891749999995</v>
      </c>
      <c r="I75" s="10">
        <v>0.181152081191749</v>
      </c>
      <c r="J75" s="10">
        <v>3.2816076520102301E-2</v>
      </c>
      <c r="K75" s="10">
        <v>0.11846655</v>
      </c>
      <c r="L75" s="10">
        <v>-0.13068157399999999</v>
      </c>
      <c r="M75" s="10">
        <v>-0.45077814500000002</v>
      </c>
      <c r="N75" s="10">
        <v>-0.169161432</v>
      </c>
      <c r="O75" s="9">
        <v>-0.15803865025</v>
      </c>
      <c r="P75" s="10">
        <v>0.23311203561562699</v>
      </c>
      <c r="Q75" s="10">
        <v>5.4341221148861397E-2</v>
      </c>
    </row>
    <row r="76" spans="1:17" x14ac:dyDescent="0.2">
      <c r="A76" s="10">
        <v>1681</v>
      </c>
      <c r="B76" s="10" t="s">
        <v>2819</v>
      </c>
      <c r="C76" s="9" t="s">
        <v>2491</v>
      </c>
      <c r="D76" s="10">
        <v>0.142627799</v>
      </c>
      <c r="E76" s="10">
        <v>0.26675122099999998</v>
      </c>
      <c r="F76" s="10">
        <v>-0.225133888</v>
      </c>
      <c r="G76" s="10">
        <v>0.116104319</v>
      </c>
      <c r="H76" s="9">
        <v>7.5087362749999997E-2</v>
      </c>
      <c r="I76" s="10">
        <v>0.210643407357889</v>
      </c>
      <c r="J76" s="10">
        <v>4.43706450633417E-2</v>
      </c>
      <c r="K76" s="10">
        <v>0.11514489</v>
      </c>
      <c r="L76" s="10">
        <v>8.6912459999999997E-2</v>
      </c>
      <c r="M76" s="10">
        <v>-0.13007548999999999</v>
      </c>
      <c r="N76" s="10">
        <v>-5.1066738E-2</v>
      </c>
      <c r="O76" s="9">
        <v>5.2287807500000002E-3</v>
      </c>
      <c r="P76" s="10">
        <v>0.115801850363736</v>
      </c>
      <c r="Q76" s="10">
        <v>1.34100685476652E-2</v>
      </c>
    </row>
    <row r="77" spans="1:17" x14ac:dyDescent="0.2">
      <c r="A77" s="10">
        <v>1681</v>
      </c>
      <c r="B77" s="10" t="s">
        <v>79</v>
      </c>
      <c r="C77" s="9" t="s">
        <v>2645</v>
      </c>
      <c r="D77" s="10">
        <v>-0.40298965199999998</v>
      </c>
      <c r="E77" s="10">
        <v>-0.29090409699999997</v>
      </c>
      <c r="F77" s="10">
        <v>-0.56721471499999998</v>
      </c>
      <c r="G77" s="10">
        <v>-9.9003402000000004E-2</v>
      </c>
      <c r="H77" s="9">
        <v>-0.34002796675000002</v>
      </c>
      <c r="I77" s="10">
        <v>0.19670958948160999</v>
      </c>
      <c r="J77" s="10">
        <v>3.8694662594023599E-2</v>
      </c>
      <c r="K77" s="10">
        <v>-0.26773182000000001</v>
      </c>
      <c r="L77" s="10">
        <v>-0.51737087299999995</v>
      </c>
      <c r="M77" s="10">
        <v>-0.64725868200000003</v>
      </c>
      <c r="N77" s="10">
        <v>-0.28283162699999997</v>
      </c>
      <c r="O77" s="9">
        <v>-0.42879825049999998</v>
      </c>
      <c r="P77" s="10">
        <v>0.185129432017796</v>
      </c>
      <c r="Q77" s="10">
        <v>3.4272906599231899E-2</v>
      </c>
    </row>
    <row r="78" spans="1:17" x14ac:dyDescent="0.2">
      <c r="A78" s="10">
        <v>1681</v>
      </c>
      <c r="B78" s="10" t="s">
        <v>2820</v>
      </c>
      <c r="C78" s="9" t="s">
        <v>860</v>
      </c>
      <c r="D78" s="10">
        <v>-0.54039206799999995</v>
      </c>
      <c r="E78" s="10">
        <v>-0.11832825900000001</v>
      </c>
      <c r="F78" s="10">
        <v>-0.98005206700000003</v>
      </c>
      <c r="G78" s="10">
        <v>-0.66461879499999998</v>
      </c>
      <c r="H78" s="9">
        <v>-0.57584779725000002</v>
      </c>
      <c r="I78" s="10">
        <v>0.35676444999598</v>
      </c>
      <c r="J78" s="10">
        <v>0.127280872780934</v>
      </c>
      <c r="K78" s="10">
        <v>-0.68782633000000004</v>
      </c>
      <c r="L78" s="10">
        <v>-1.2133056799999999</v>
      </c>
      <c r="M78" s="10">
        <v>-1.1750197769999999</v>
      </c>
      <c r="N78" s="10">
        <v>-1.583369969</v>
      </c>
      <c r="O78" s="9">
        <v>-1.16488043875</v>
      </c>
      <c r="P78" s="10">
        <v>0.36749690237895899</v>
      </c>
      <c r="Q78" s="10">
        <v>0.13505397325813001</v>
      </c>
    </row>
    <row r="79" spans="1:17" x14ac:dyDescent="0.2">
      <c r="A79" s="10">
        <v>1681</v>
      </c>
      <c r="B79" s="10" t="s">
        <v>2824</v>
      </c>
      <c r="C79" s="9" t="s">
        <v>861</v>
      </c>
      <c r="D79" s="10">
        <v>-0.109148829</v>
      </c>
      <c r="E79" s="10">
        <v>-1.8764411000000002E-2</v>
      </c>
      <c r="F79" s="10">
        <v>-0.423525121</v>
      </c>
      <c r="G79" s="10">
        <v>-0.365179174</v>
      </c>
      <c r="H79" s="9">
        <v>-0.22915438375</v>
      </c>
      <c r="I79" s="10">
        <v>0.195744732467454</v>
      </c>
      <c r="J79" s="10">
        <v>3.83160002887553E-2</v>
      </c>
      <c r="K79" s="10">
        <v>8.9770240000000001E-3</v>
      </c>
      <c r="L79" s="10">
        <v>0.109700699</v>
      </c>
      <c r="M79" s="10">
        <v>-0.23540346300000001</v>
      </c>
      <c r="N79" s="10">
        <v>-0.30576426000000001</v>
      </c>
      <c r="O79" s="9">
        <v>-0.10562249999999999</v>
      </c>
      <c r="P79" s="10">
        <v>0.19697457820890199</v>
      </c>
      <c r="Q79" s="10">
        <v>3.8798984460575003E-2</v>
      </c>
    </row>
    <row r="80" spans="1:17" x14ac:dyDescent="0.2">
      <c r="A80" s="10">
        <v>1682</v>
      </c>
      <c r="B80" s="10" t="s">
        <v>2822</v>
      </c>
      <c r="C80" s="9" t="s">
        <v>862</v>
      </c>
      <c r="D80" s="10">
        <v>2.2112878999999998E-2</v>
      </c>
      <c r="E80" s="10">
        <v>-0.56966890299999995</v>
      </c>
      <c r="F80" s="10">
        <v>0.14542390999999999</v>
      </c>
      <c r="G80" s="10">
        <v>-0.13680682399999999</v>
      </c>
      <c r="H80" s="9">
        <v>-0.13473473475</v>
      </c>
      <c r="I80" s="10">
        <v>0.31212287347154599</v>
      </c>
      <c r="J80" s="10">
        <v>9.7420688144135001E-2</v>
      </c>
      <c r="K80" s="10">
        <v>-0.81931916299999996</v>
      </c>
      <c r="L80" s="10">
        <v>-9.5713675999999998E-2</v>
      </c>
      <c r="M80" s="10">
        <v>-0.60266180999999996</v>
      </c>
      <c r="N80" s="10">
        <v>0.27798729700000002</v>
      </c>
      <c r="O80" s="9">
        <v>-0.30992683799999998</v>
      </c>
      <c r="P80" s="10">
        <v>0.49554838765001302</v>
      </c>
      <c r="Q80" s="10">
        <v>0.245568204502527</v>
      </c>
    </row>
    <row r="81" spans="1:17" x14ac:dyDescent="0.2">
      <c r="A81" s="10">
        <v>1682</v>
      </c>
      <c r="B81" s="10" t="s">
        <v>2823</v>
      </c>
      <c r="C81" s="9" t="s">
        <v>863</v>
      </c>
      <c r="D81" s="10">
        <v>0.10457129</v>
      </c>
      <c r="E81" s="10">
        <v>-0.77856323900000002</v>
      </c>
      <c r="F81" s="10">
        <v>-1.2030225450000001</v>
      </c>
      <c r="G81" s="10">
        <v>-1.1205132250000001</v>
      </c>
      <c r="H81" s="9">
        <v>-0.74938192974999995</v>
      </c>
      <c r="I81" s="10">
        <v>0.59822400945054999</v>
      </c>
      <c r="J81" s="10">
        <v>0.35787196548309202</v>
      </c>
      <c r="K81" s="10">
        <v>-0.35518686300000002</v>
      </c>
      <c r="L81" s="10">
        <v>-0.70910910000000005</v>
      </c>
      <c r="M81" s="10">
        <v>-0.65042434199999999</v>
      </c>
      <c r="N81" s="10">
        <v>-0.57655036699999995</v>
      </c>
      <c r="O81" s="9">
        <v>-0.572817668</v>
      </c>
      <c r="P81" s="10">
        <v>0.15489270545846101</v>
      </c>
      <c r="Q81" s="10">
        <v>2.39917502042418E-2</v>
      </c>
    </row>
    <row r="82" spans="1:17" x14ac:dyDescent="0.2">
      <c r="A82" s="10">
        <v>1682</v>
      </c>
      <c r="B82" s="10" t="s">
        <v>2821</v>
      </c>
      <c r="C82" s="9" t="s">
        <v>864</v>
      </c>
      <c r="D82" s="10">
        <v>0.26775066199999997</v>
      </c>
      <c r="E82" s="10">
        <v>0.17249262800000001</v>
      </c>
      <c r="F82" s="10">
        <v>-0.83241125699999996</v>
      </c>
      <c r="G82" s="10">
        <v>-0.34395553099999998</v>
      </c>
      <c r="H82" s="9">
        <v>-0.18403087474999999</v>
      </c>
      <c r="I82" s="10">
        <v>0.50898218067192902</v>
      </c>
      <c r="J82" s="10">
        <v>0.25906286024155201</v>
      </c>
      <c r="K82" s="10">
        <v>0.26384616999999999</v>
      </c>
      <c r="L82" s="10">
        <v>0.58220295300000002</v>
      </c>
      <c r="M82" s="10">
        <v>-1.9662676809999999</v>
      </c>
      <c r="N82" s="10">
        <v>-0.37636952299999998</v>
      </c>
      <c r="O82" s="9">
        <v>-0.37414702025000002</v>
      </c>
      <c r="P82" s="10">
        <v>1.13379800082821</v>
      </c>
      <c r="Q82" s="10">
        <v>1.28549790668204</v>
      </c>
    </row>
    <row r="83" spans="1:17" x14ac:dyDescent="0.2">
      <c r="A83" s="63">
        <v>1682</v>
      </c>
      <c r="B83" s="63" t="s">
        <v>2820</v>
      </c>
      <c r="C83" s="64" t="s">
        <v>865</v>
      </c>
      <c r="D83" s="63">
        <v>7.3973520000000001E-2</v>
      </c>
      <c r="E83" s="63">
        <v>8.7459649E-2</v>
      </c>
      <c r="F83" s="63">
        <v>-8.4876486000000001E-2</v>
      </c>
      <c r="G83" s="63">
        <v>-0.19914938300000001</v>
      </c>
      <c r="H83" s="64">
        <v>-3.064817525E-2</v>
      </c>
      <c r="I83" s="63">
        <v>0.136904497084719</v>
      </c>
      <c r="J83" s="63">
        <v>1.8742841322020001E-2</v>
      </c>
      <c r="K83" s="63">
        <v>0.264219698</v>
      </c>
      <c r="L83" s="63">
        <v>0.16650109399999999</v>
      </c>
      <c r="M83" s="63">
        <v>-0.13815940099999999</v>
      </c>
      <c r="N83" s="63">
        <v>-0.13989650300000001</v>
      </c>
      <c r="O83" s="64">
        <v>3.816622175E-2</v>
      </c>
      <c r="P83" s="63">
        <v>0.20846028618076701</v>
      </c>
      <c r="Q83" s="63">
        <v>4.3455690914567503E-2</v>
      </c>
    </row>
    <row r="84" spans="1:17" x14ac:dyDescent="0.2">
      <c r="A84" s="10">
        <v>1682</v>
      </c>
      <c r="B84" s="10" t="s">
        <v>2824</v>
      </c>
      <c r="C84" s="9" t="s">
        <v>866</v>
      </c>
      <c r="D84" s="10">
        <v>-0.153871543</v>
      </c>
      <c r="E84" s="10">
        <v>-0.16731501400000001</v>
      </c>
      <c r="F84" s="10">
        <v>-0.16761725599999999</v>
      </c>
      <c r="G84" s="10">
        <v>0.40395530600000001</v>
      </c>
      <c r="H84" s="9">
        <v>-2.1212126500000001E-2</v>
      </c>
      <c r="I84" s="10">
        <v>0.28351741987898599</v>
      </c>
      <c r="J84" s="10">
        <v>8.0382127374837298E-2</v>
      </c>
      <c r="K84" s="10">
        <v>-2.4436096000000001E-2</v>
      </c>
      <c r="L84" s="10">
        <v>0.209412025</v>
      </c>
      <c r="M84" s="10">
        <v>0.49001103200000001</v>
      </c>
      <c r="N84" s="10">
        <v>7.6920243999999999E-2</v>
      </c>
      <c r="O84" s="9">
        <v>0.18797680124999999</v>
      </c>
      <c r="P84" s="10">
        <v>0.22296258519335899</v>
      </c>
      <c r="Q84" s="10">
        <v>4.97123143961061E-2</v>
      </c>
    </row>
    <row r="85" spans="1:17" x14ac:dyDescent="0.2">
      <c r="A85" s="10">
        <v>1682</v>
      </c>
      <c r="B85" s="10" t="s">
        <v>2814</v>
      </c>
      <c r="C85" s="9" t="s">
        <v>2490</v>
      </c>
      <c r="D85" s="10">
        <v>-0.29930391000000001</v>
      </c>
      <c r="E85" s="10">
        <v>-0.112100568</v>
      </c>
      <c r="F85" s="10">
        <v>-0.55820710699999998</v>
      </c>
      <c r="G85" s="10">
        <v>-0.34659578699999999</v>
      </c>
      <c r="H85" s="9">
        <v>-0.32905184300000001</v>
      </c>
      <c r="I85" s="10">
        <v>0.183278222230468</v>
      </c>
      <c r="J85" s="10">
        <v>3.3590906743960897E-2</v>
      </c>
      <c r="K85" s="10">
        <v>-0.106995856</v>
      </c>
      <c r="L85" s="10">
        <v>-0.43674964999999999</v>
      </c>
      <c r="M85" s="10">
        <v>-0.37419243400000002</v>
      </c>
      <c r="N85" s="10">
        <v>-0.15838018600000001</v>
      </c>
      <c r="O85" s="9">
        <v>-0.26907953125</v>
      </c>
      <c r="P85" s="10">
        <v>0.16092177589074699</v>
      </c>
      <c r="Q85" s="10">
        <v>2.5895817955831998E-2</v>
      </c>
    </row>
    <row r="86" spans="1:17" x14ac:dyDescent="0.2">
      <c r="A86" s="10">
        <v>1682</v>
      </c>
      <c r="B86" s="10" t="s">
        <v>2825</v>
      </c>
      <c r="C86" s="9" t="s">
        <v>2489</v>
      </c>
      <c r="D86" s="10">
        <v>-0.14856772100000001</v>
      </c>
      <c r="E86" s="10">
        <v>1.0130683E-2</v>
      </c>
      <c r="F86" s="10">
        <v>-0.12557760900000001</v>
      </c>
      <c r="G86" s="10">
        <v>1.236782E-2</v>
      </c>
      <c r="H86" s="9">
        <v>-6.2911706750000004E-2</v>
      </c>
      <c r="I86" s="10">
        <v>8.6151351179378097E-2</v>
      </c>
      <c r="J86" s="10">
        <v>7.4220553100325E-3</v>
      </c>
      <c r="K86" s="10">
        <v>-0.108539971</v>
      </c>
      <c r="L86" s="10">
        <v>0.20129673300000001</v>
      </c>
      <c r="M86" s="10">
        <v>0.31423863899999999</v>
      </c>
      <c r="N86" s="10">
        <v>0.25786155900000002</v>
      </c>
      <c r="O86" s="9">
        <v>0.16621424000000001</v>
      </c>
      <c r="P86" s="10">
        <v>0.188883660451371</v>
      </c>
      <c r="Q86" s="10">
        <v>3.5677037185508798E-2</v>
      </c>
    </row>
    <row r="87" spans="1:17" x14ac:dyDescent="0.2">
      <c r="A87" s="10">
        <v>1682</v>
      </c>
      <c r="B87" s="10" t="s">
        <v>74</v>
      </c>
      <c r="C87" s="9" t="s">
        <v>2488</v>
      </c>
      <c r="D87" s="10">
        <v>-0.110890584</v>
      </c>
      <c r="E87" s="10">
        <v>0.30570646600000001</v>
      </c>
      <c r="F87" s="10">
        <v>-0.301990484</v>
      </c>
      <c r="G87" s="10">
        <v>0.56960390900000002</v>
      </c>
      <c r="H87" s="9">
        <v>0.1156073265</v>
      </c>
      <c r="I87" s="10">
        <v>0.39494295560902598</v>
      </c>
      <c r="J87" s="10">
        <v>0.15597993818519301</v>
      </c>
      <c r="K87" s="10">
        <v>9.2357933000000003E-2</v>
      </c>
      <c r="L87" s="10">
        <v>0.54452281800000002</v>
      </c>
      <c r="M87" s="10">
        <v>0.47510566500000001</v>
      </c>
      <c r="N87" s="10">
        <v>-0.199339605</v>
      </c>
      <c r="O87" s="9">
        <v>0.22816170275</v>
      </c>
      <c r="P87" s="10">
        <v>0.34749854087953802</v>
      </c>
      <c r="Q87" s="10">
        <v>0.120755235913408</v>
      </c>
    </row>
    <row r="88" spans="1:17" x14ac:dyDescent="0.2">
      <c r="A88" s="10">
        <v>1683</v>
      </c>
      <c r="B88" s="10" t="s">
        <v>2831</v>
      </c>
      <c r="C88" s="9" t="s">
        <v>868</v>
      </c>
      <c r="D88" s="10">
        <v>-1.3208776870000001</v>
      </c>
      <c r="E88" s="10">
        <v>-1.1325866570000001</v>
      </c>
      <c r="F88" s="10">
        <v>-1.8459556610000001</v>
      </c>
      <c r="G88" s="10">
        <v>-1.712279822</v>
      </c>
      <c r="H88" s="9">
        <v>-1.50292495675</v>
      </c>
      <c r="I88" s="10">
        <v>0.33256136694212601</v>
      </c>
      <c r="J88" s="10">
        <v>0.110597062782415</v>
      </c>
      <c r="K88" s="10">
        <v>-0.26053147700000001</v>
      </c>
      <c r="L88" s="10">
        <v>-0.19368879</v>
      </c>
      <c r="M88" s="10">
        <v>-1.5620182279999999</v>
      </c>
      <c r="N88" s="10">
        <v>-0.97486181599999999</v>
      </c>
      <c r="O88" s="9">
        <v>-0.74777507774999996</v>
      </c>
      <c r="P88" s="10">
        <v>0.64781124698543402</v>
      </c>
      <c r="Q88" s="10">
        <v>0.41965941172082299</v>
      </c>
    </row>
    <row r="89" spans="1:17" x14ac:dyDescent="0.2">
      <c r="A89" s="10">
        <v>1683</v>
      </c>
      <c r="B89" s="10" t="s">
        <v>2822</v>
      </c>
      <c r="C89" s="9" t="s">
        <v>869</v>
      </c>
      <c r="D89" s="10">
        <v>0.119922207</v>
      </c>
      <c r="E89" s="10">
        <v>-0.186742136</v>
      </c>
      <c r="F89" s="10">
        <v>-0.40310799600000002</v>
      </c>
      <c r="G89" s="10">
        <v>-0.56060931800000002</v>
      </c>
      <c r="H89" s="9">
        <v>-0.257634311</v>
      </c>
      <c r="I89" s="10">
        <v>0.294692536187941</v>
      </c>
      <c r="J89" s="10">
        <v>8.6843690884881405E-2</v>
      </c>
      <c r="K89" s="10">
        <v>3.5467263999999998E-2</v>
      </c>
      <c r="L89" s="10">
        <v>-0.13374508199999999</v>
      </c>
      <c r="M89" s="10">
        <v>-0.13132175099999999</v>
      </c>
      <c r="N89" s="10">
        <v>-0.36042027999999998</v>
      </c>
      <c r="O89" s="9">
        <v>-0.14750496225000001</v>
      </c>
      <c r="P89" s="10">
        <v>0.162545376989853</v>
      </c>
      <c r="Q89" s="10">
        <v>2.6420999580773701E-2</v>
      </c>
    </row>
    <row r="90" spans="1:17" x14ac:dyDescent="0.2">
      <c r="A90" s="10">
        <v>1683</v>
      </c>
      <c r="B90" s="10" t="s">
        <v>2826</v>
      </c>
      <c r="C90" s="9" t="s">
        <v>2487</v>
      </c>
      <c r="D90" s="10">
        <v>0.33323663599999997</v>
      </c>
      <c r="E90" s="10">
        <v>0.19796599300000001</v>
      </c>
      <c r="F90" s="10">
        <v>-0.467883243</v>
      </c>
      <c r="G90" s="10">
        <v>-0.202737953</v>
      </c>
      <c r="H90" s="9">
        <v>-3.4854641749999998E-2</v>
      </c>
      <c r="I90" s="10">
        <v>0.36760268969718501</v>
      </c>
      <c r="J90" s="10">
        <v>0.13513173747260501</v>
      </c>
      <c r="K90" s="10">
        <v>5.1693424000000002E-2</v>
      </c>
      <c r="L90" s="10">
        <v>0.63598980000000005</v>
      </c>
      <c r="M90" s="10">
        <v>-0.17410572599999999</v>
      </c>
      <c r="N90" s="10">
        <v>0.141303489</v>
      </c>
      <c r="O90" s="9">
        <v>0.1637202465</v>
      </c>
      <c r="P90" s="10">
        <v>0.34167110834588599</v>
      </c>
      <c r="Q90" s="10">
        <v>0.11673914627830601</v>
      </c>
    </row>
    <row r="91" spans="1:17" x14ac:dyDescent="0.2">
      <c r="A91" s="10">
        <v>1683</v>
      </c>
      <c r="B91" s="10" t="s">
        <v>2821</v>
      </c>
      <c r="C91" s="9" t="s">
        <v>870</v>
      </c>
      <c r="D91" s="10">
        <v>-5.4406999999999997E-3</v>
      </c>
      <c r="E91" s="10">
        <v>-0.247640587</v>
      </c>
      <c r="F91" s="10">
        <v>-0.39311499900000002</v>
      </c>
      <c r="G91" s="10">
        <v>-0.37803720800000001</v>
      </c>
      <c r="H91" s="9">
        <v>-0.25605837325000003</v>
      </c>
      <c r="I91" s="10">
        <v>0.17939103662069</v>
      </c>
      <c r="J91" s="10">
        <v>3.2181144019845898E-2</v>
      </c>
      <c r="K91" s="10">
        <v>7.1957417999999995E-2</v>
      </c>
      <c r="L91" s="10">
        <v>3.7548277999999997E-2</v>
      </c>
      <c r="M91" s="10">
        <v>-0.17263893199999999</v>
      </c>
      <c r="N91" s="10">
        <v>-0.30382939599999997</v>
      </c>
      <c r="O91" s="9">
        <v>-9.1740658000000003E-2</v>
      </c>
      <c r="P91" s="10">
        <v>0.17798768925661199</v>
      </c>
      <c r="Q91" s="10">
        <v>3.1679617526908503E-2</v>
      </c>
    </row>
    <row r="92" spans="1:17" x14ac:dyDescent="0.2">
      <c r="A92" s="10">
        <v>1683</v>
      </c>
      <c r="B92" s="10" t="s">
        <v>2820</v>
      </c>
      <c r="C92" s="9" t="s">
        <v>2644</v>
      </c>
      <c r="D92" s="10">
        <v>4.0301970999999999E-2</v>
      </c>
      <c r="E92" s="10">
        <v>-0.37388084900000002</v>
      </c>
      <c r="F92" s="10">
        <v>-0.60694674699999995</v>
      </c>
      <c r="G92" s="10">
        <v>-0.16898640400000001</v>
      </c>
      <c r="H92" s="9">
        <v>-0.27737800725</v>
      </c>
      <c r="I92" s="10">
        <v>0.27724697829567901</v>
      </c>
      <c r="J92" s="10">
        <v>7.6865886974084793E-2</v>
      </c>
      <c r="K92" s="10">
        <v>-0.90024438399999995</v>
      </c>
      <c r="L92" s="10">
        <v>-0.490849492</v>
      </c>
      <c r="M92" s="10">
        <v>0.22531695600000001</v>
      </c>
      <c r="N92" s="10">
        <v>-4.4677415999999998E-2</v>
      </c>
      <c r="O92" s="9">
        <v>-0.30261358425000001</v>
      </c>
      <c r="P92" s="10">
        <v>0.49592911186863498</v>
      </c>
      <c r="Q92" s="10">
        <v>0.245945683998813</v>
      </c>
    </row>
    <row r="93" spans="1:17" x14ac:dyDescent="0.2">
      <c r="A93" s="10">
        <v>1683</v>
      </c>
      <c r="B93" s="10" t="s">
        <v>2824</v>
      </c>
      <c r="C93" s="9" t="s">
        <v>872</v>
      </c>
      <c r="D93" s="10">
        <v>-0.21467476299999999</v>
      </c>
      <c r="E93" s="10">
        <v>1.2682119999999999E-3</v>
      </c>
      <c r="F93" s="10">
        <v>-0.63161182400000004</v>
      </c>
      <c r="G93" s="10">
        <v>-0.51867200800000002</v>
      </c>
      <c r="H93" s="9">
        <v>-0.34092259549999998</v>
      </c>
      <c r="I93" s="10">
        <v>0.288171329338682</v>
      </c>
      <c r="J93" s="10">
        <v>8.3042715052823499E-2</v>
      </c>
      <c r="K93" s="10">
        <v>-0.32459719399999998</v>
      </c>
      <c r="L93" s="10">
        <v>-0.30170608500000001</v>
      </c>
      <c r="M93" s="10">
        <v>-0.42175795799999999</v>
      </c>
      <c r="N93" s="10">
        <v>-0.63479877100000004</v>
      </c>
      <c r="O93" s="9">
        <v>-0.420715002</v>
      </c>
      <c r="P93" s="10">
        <v>0.151915221145107</v>
      </c>
      <c r="Q93" s="10">
        <v>2.3078234415567001E-2</v>
      </c>
    </row>
    <row r="94" spans="1:17" x14ac:dyDescent="0.2">
      <c r="A94" s="10">
        <v>1683</v>
      </c>
      <c r="B94" s="10" t="s">
        <v>2817</v>
      </c>
      <c r="C94" s="9" t="s">
        <v>873</v>
      </c>
      <c r="D94" s="10">
        <v>-1.177752138</v>
      </c>
      <c r="E94" s="10">
        <v>-0.14023591599999999</v>
      </c>
      <c r="F94" s="10">
        <v>-8.0990596999999998E-2</v>
      </c>
      <c r="G94" s="10">
        <v>0.41472269899999997</v>
      </c>
      <c r="H94" s="9">
        <v>-0.24606398774999999</v>
      </c>
      <c r="I94" s="10">
        <v>0.66911151532120905</v>
      </c>
      <c r="J94" s="10">
        <v>0.44771021993544402</v>
      </c>
      <c r="K94" s="10">
        <v>0.47765132100000002</v>
      </c>
      <c r="L94" s="10">
        <v>0.26975445100000001</v>
      </c>
      <c r="M94" s="10">
        <v>0.67166644499999995</v>
      </c>
      <c r="N94" s="10">
        <v>0.465074712</v>
      </c>
      <c r="O94" s="9">
        <v>0.47103673224999998</v>
      </c>
      <c r="P94" s="10">
        <v>0.16416062951993499</v>
      </c>
      <c r="Q94" s="10">
        <v>2.6948712284381501E-2</v>
      </c>
    </row>
    <row r="95" spans="1:17" x14ac:dyDescent="0.2">
      <c r="A95" s="10">
        <v>1683</v>
      </c>
      <c r="B95" s="10" t="s">
        <v>82</v>
      </c>
      <c r="C95" s="9" t="s">
        <v>874</v>
      </c>
      <c r="D95" s="10">
        <v>-0.39396558199999998</v>
      </c>
      <c r="E95" s="10">
        <v>-0.92687170799999996</v>
      </c>
      <c r="F95" s="10">
        <v>-1.480321005</v>
      </c>
      <c r="G95" s="10">
        <v>-0.83912852500000001</v>
      </c>
      <c r="H95" s="9">
        <v>-0.91007170500000001</v>
      </c>
      <c r="I95" s="10">
        <v>0.44604370833581303</v>
      </c>
      <c r="J95" s="10">
        <v>0.19895498974596401</v>
      </c>
      <c r="K95" s="10">
        <v>0.11679842999999999</v>
      </c>
      <c r="L95" s="10">
        <v>-0.64222738800000001</v>
      </c>
      <c r="M95" s="10">
        <v>-0.15841432</v>
      </c>
      <c r="N95" s="10">
        <v>-0.55462305099999998</v>
      </c>
      <c r="O95" s="9">
        <v>-0.30961658224999999</v>
      </c>
      <c r="P95" s="10">
        <v>0.353718345868901</v>
      </c>
      <c r="Q95" s="10">
        <v>0.12511666820423101</v>
      </c>
    </row>
    <row r="96" spans="1:17" x14ac:dyDescent="0.2">
      <c r="A96" s="10">
        <v>1683</v>
      </c>
      <c r="B96" s="10" t="s">
        <v>2814</v>
      </c>
      <c r="C96" s="9" t="s">
        <v>2485</v>
      </c>
      <c r="D96" s="10">
        <v>9.1995425000000006E-2</v>
      </c>
      <c r="E96" s="10">
        <v>2.6366779999999999E-2</v>
      </c>
      <c r="F96" s="10">
        <v>-0.34583856499999999</v>
      </c>
      <c r="G96" s="10">
        <v>-0.47710445200000001</v>
      </c>
      <c r="H96" s="9">
        <v>-0.176145203</v>
      </c>
      <c r="I96" s="10">
        <v>0.278258157297819</v>
      </c>
      <c r="J96" s="10">
        <v>7.7427602102777895E-2</v>
      </c>
      <c r="K96" s="10">
        <v>8.6166956000000003E-2</v>
      </c>
      <c r="L96" s="10">
        <v>0.27343921700000001</v>
      </c>
      <c r="M96" s="10">
        <v>3.0317949E-2</v>
      </c>
      <c r="N96" s="10">
        <v>-6.4188843999999995E-2</v>
      </c>
      <c r="O96" s="9">
        <v>8.1433819249999997E-2</v>
      </c>
      <c r="P96" s="10">
        <v>0.14225243711101199</v>
      </c>
      <c r="Q96" s="10">
        <v>2.02357558640225E-2</v>
      </c>
    </row>
    <row r="97" spans="1:17" x14ac:dyDescent="0.2">
      <c r="A97" s="10">
        <v>1683</v>
      </c>
      <c r="B97" s="10" t="s">
        <v>2833</v>
      </c>
      <c r="C97" s="9" t="s">
        <v>875</v>
      </c>
      <c r="D97" s="10">
        <v>-6.1016940000000004E-3</v>
      </c>
      <c r="E97" s="10">
        <v>-0.33445910299999998</v>
      </c>
      <c r="F97" s="10">
        <v>0.50909934300000004</v>
      </c>
      <c r="G97" s="10">
        <v>-0.30481591099999999</v>
      </c>
      <c r="H97" s="9">
        <v>-3.4069341000000003E-2</v>
      </c>
      <c r="I97" s="10">
        <v>0.39130215215277903</v>
      </c>
      <c r="J97" s="10">
        <v>0.15311737427939601</v>
      </c>
      <c r="K97" s="10">
        <v>4.0962877000000002E-2</v>
      </c>
      <c r="L97" s="10">
        <v>-0.64137344399999996</v>
      </c>
      <c r="M97" s="10">
        <v>0.52490151500000004</v>
      </c>
      <c r="N97" s="10">
        <v>-0.20322918800000001</v>
      </c>
      <c r="O97" s="9">
        <v>-6.9684560000000006E-2</v>
      </c>
      <c r="P97" s="10">
        <v>0.48663394992382702</v>
      </c>
      <c r="Q97" s="10">
        <v>0.23681260121846601</v>
      </c>
    </row>
    <row r="98" spans="1:17" x14ac:dyDescent="0.2">
      <c r="A98" s="10">
        <v>1683</v>
      </c>
      <c r="B98" s="10" t="s">
        <v>2825</v>
      </c>
      <c r="C98" s="9" t="s">
        <v>876</v>
      </c>
      <c r="D98" s="10">
        <v>-0.182617898</v>
      </c>
      <c r="E98" s="10">
        <v>-0.26541493100000002</v>
      </c>
      <c r="F98" s="10">
        <v>-0.60932518499999999</v>
      </c>
      <c r="G98" s="10">
        <v>-0.69797596900000003</v>
      </c>
      <c r="H98" s="9">
        <v>-0.43883349575000002</v>
      </c>
      <c r="I98" s="10">
        <v>0.25294443966728097</v>
      </c>
      <c r="J98" s="10">
        <v>6.39808895585951E-2</v>
      </c>
      <c r="K98" s="10">
        <v>-0.19954129700000001</v>
      </c>
      <c r="L98" s="10">
        <v>-0.21176993899999999</v>
      </c>
      <c r="M98" s="10">
        <v>-0.70645156099999995</v>
      </c>
      <c r="N98" s="10">
        <v>-0.74489964399999997</v>
      </c>
      <c r="O98" s="9">
        <v>-0.46566561049999999</v>
      </c>
      <c r="P98" s="10">
        <v>0.30068515186994099</v>
      </c>
      <c r="Q98" s="10">
        <v>9.0411560555049897E-2</v>
      </c>
    </row>
    <row r="99" spans="1:17" x14ac:dyDescent="0.2">
      <c r="A99" s="10">
        <v>1683</v>
      </c>
      <c r="B99" s="10" t="s">
        <v>74</v>
      </c>
      <c r="C99" s="9" t="s">
        <v>2484</v>
      </c>
      <c r="D99" s="10">
        <v>-2.8658675000000002E-2</v>
      </c>
      <c r="E99" s="10">
        <v>1.26198E-4</v>
      </c>
      <c r="F99" s="10">
        <v>-0.36684664900000002</v>
      </c>
      <c r="G99" s="10">
        <v>-0.20880125599999999</v>
      </c>
      <c r="H99" s="9">
        <v>-0.15104509575</v>
      </c>
      <c r="I99" s="10">
        <v>0.17101391802031801</v>
      </c>
      <c r="J99" s="10">
        <v>2.9245760156660298E-2</v>
      </c>
      <c r="K99" s="10">
        <v>-8.9892567000000007E-2</v>
      </c>
      <c r="L99" s="10">
        <v>0.33685026899999998</v>
      </c>
      <c r="M99" s="10">
        <v>0.207420148</v>
      </c>
      <c r="N99" s="10">
        <v>-0.46364682600000001</v>
      </c>
      <c r="O99" s="9">
        <v>-2.317244E-3</v>
      </c>
      <c r="P99" s="10">
        <v>0.35567719255171798</v>
      </c>
      <c r="Q99" s="10">
        <v>0.12650626530147099</v>
      </c>
    </row>
    <row r="100" spans="1:17" x14ac:dyDescent="0.2">
      <c r="A100" s="10">
        <v>1683</v>
      </c>
      <c r="B100" s="10" t="s">
        <v>2818</v>
      </c>
      <c r="C100" s="9" t="s">
        <v>2483</v>
      </c>
      <c r="D100" s="10">
        <v>-5.1247425999999999E-2</v>
      </c>
      <c r="E100" s="10">
        <v>-9.3963339999999992E-3</v>
      </c>
      <c r="F100" s="10">
        <v>9.3324065999999997E-2</v>
      </c>
      <c r="G100" s="10">
        <v>0.85067882900000003</v>
      </c>
      <c r="H100" s="9">
        <v>0.22083978374999999</v>
      </c>
      <c r="I100" s="10">
        <v>0.42426312622430401</v>
      </c>
      <c r="J100" s="10">
        <v>0.17999920027362001</v>
      </c>
      <c r="K100" s="10">
        <v>5.7683945E-2</v>
      </c>
      <c r="L100" s="10">
        <v>0.17003169400000001</v>
      </c>
      <c r="M100" s="10">
        <v>0.18639546500000001</v>
      </c>
      <c r="N100" s="10">
        <v>-0.10645734900000001</v>
      </c>
      <c r="O100" s="9">
        <v>7.6913438749999993E-2</v>
      </c>
      <c r="P100" s="10">
        <v>0.13497153127301401</v>
      </c>
      <c r="Q100" s="10">
        <v>1.8217314254182201E-2</v>
      </c>
    </row>
    <row r="101" spans="1:17" x14ac:dyDescent="0.2">
      <c r="A101" s="10">
        <v>1683</v>
      </c>
      <c r="B101" s="10" t="s">
        <v>2830</v>
      </c>
      <c r="C101" s="9" t="s">
        <v>877</v>
      </c>
      <c r="D101" s="10">
        <v>-1.203457134</v>
      </c>
      <c r="E101" s="10">
        <v>-1.224562994</v>
      </c>
      <c r="F101" s="10">
        <v>-0.72539831600000004</v>
      </c>
      <c r="G101" s="10">
        <v>-0.78236600899999997</v>
      </c>
      <c r="H101" s="9">
        <v>-0.98394611325000003</v>
      </c>
      <c r="I101" s="10">
        <v>0.26681021558705598</v>
      </c>
      <c r="J101" s="10">
        <v>7.1187691141611498E-2</v>
      </c>
      <c r="K101" s="10">
        <v>-0.12778634</v>
      </c>
      <c r="L101" s="10">
        <v>-0.18633263</v>
      </c>
      <c r="M101" s="10">
        <v>0.252657193</v>
      </c>
      <c r="N101" s="10">
        <v>0.430931499</v>
      </c>
      <c r="O101" s="9">
        <v>9.23674305E-2</v>
      </c>
      <c r="P101" s="10">
        <v>0.29802675653350802</v>
      </c>
      <c r="Q101" s="10">
        <v>8.8819947609883099E-2</v>
      </c>
    </row>
    <row r="102" spans="1:17" x14ac:dyDescent="0.2">
      <c r="A102" s="10">
        <v>1683</v>
      </c>
      <c r="B102" s="10" t="s">
        <v>2835</v>
      </c>
      <c r="C102" s="9" t="s">
        <v>878</v>
      </c>
      <c r="D102" s="10">
        <v>-3.2265337999999998E-2</v>
      </c>
      <c r="E102" s="10">
        <v>3.1963057000000003E-2</v>
      </c>
      <c r="F102" s="10">
        <v>-7.9487851999999998E-2</v>
      </c>
      <c r="G102" s="10">
        <v>4.6500466999999997E-2</v>
      </c>
      <c r="H102" s="9">
        <v>-8.3224165000000006E-3</v>
      </c>
      <c r="I102" s="10">
        <v>5.8498577276812402E-2</v>
      </c>
      <c r="J102" s="10">
        <v>3.4220835434111002E-3</v>
      </c>
      <c r="K102" s="10">
        <v>-0.216419484</v>
      </c>
      <c r="L102" s="10">
        <v>0.17949114699999999</v>
      </c>
      <c r="M102" s="10">
        <v>-0.22489997</v>
      </c>
      <c r="N102" s="10">
        <v>-0.70441266000000002</v>
      </c>
      <c r="O102" s="9">
        <v>-0.24156024200000001</v>
      </c>
      <c r="P102" s="10">
        <v>0.36167492559074099</v>
      </c>
      <c r="Q102" s="10">
        <v>0.13080875180106799</v>
      </c>
    </row>
    <row r="103" spans="1:17" x14ac:dyDescent="0.2">
      <c r="A103" s="10">
        <v>1684</v>
      </c>
      <c r="B103" s="10" t="s">
        <v>2822</v>
      </c>
      <c r="C103" s="9" t="s">
        <v>879</v>
      </c>
      <c r="D103" s="10">
        <v>-0.72675549500000003</v>
      </c>
      <c r="E103" s="10">
        <v>-1.0417427079999999</v>
      </c>
      <c r="F103" s="10">
        <v>-0.68031466399999996</v>
      </c>
      <c r="G103" s="10">
        <v>-1.4013932229999999</v>
      </c>
      <c r="H103" s="9">
        <v>-0.96255152249999998</v>
      </c>
      <c r="I103" s="10">
        <v>0.33372178674226799</v>
      </c>
      <c r="J103" s="10">
        <v>0.111370230946452</v>
      </c>
      <c r="K103" s="10">
        <v>-0.60904230400000003</v>
      </c>
      <c r="L103" s="10">
        <v>-0.63607569799999997</v>
      </c>
      <c r="M103" s="10">
        <v>-0.90437400899999998</v>
      </c>
      <c r="N103" s="10">
        <v>-1.138787738</v>
      </c>
      <c r="O103" s="9">
        <v>-0.82206993699999997</v>
      </c>
      <c r="P103" s="10">
        <v>0.24970566346589501</v>
      </c>
      <c r="Q103" s="10">
        <v>6.2352918366942803E-2</v>
      </c>
    </row>
    <row r="104" spans="1:17" x14ac:dyDescent="0.2">
      <c r="A104" s="10">
        <v>1684</v>
      </c>
      <c r="B104" s="10" t="s">
        <v>96</v>
      </c>
      <c r="C104" s="9" t="s">
        <v>2482</v>
      </c>
      <c r="D104" s="10">
        <v>-5.5016110999999999E-2</v>
      </c>
      <c r="E104" s="10">
        <v>-3.9546574000000001E-2</v>
      </c>
      <c r="F104" s="10">
        <v>-0.83387105100000003</v>
      </c>
      <c r="G104" s="10">
        <v>-0.37234810200000001</v>
      </c>
      <c r="H104" s="9">
        <v>-0.32519545975000003</v>
      </c>
      <c r="I104" s="10">
        <v>0.37218561463597899</v>
      </c>
      <c r="J104" s="10">
        <v>0.13852213174196101</v>
      </c>
      <c r="K104" s="10">
        <v>-6.6151470000000004E-2</v>
      </c>
      <c r="L104" s="10">
        <v>0.12245318400000001</v>
      </c>
      <c r="M104" s="10">
        <v>-0.24592017899999999</v>
      </c>
      <c r="N104" s="10">
        <v>-0.48539034599999997</v>
      </c>
      <c r="O104" s="9">
        <v>-0.16875220275</v>
      </c>
      <c r="P104" s="10">
        <v>0.25919239826326002</v>
      </c>
      <c r="Q104" s="10">
        <v>6.7180699317460596E-2</v>
      </c>
    </row>
    <row r="105" spans="1:17" x14ac:dyDescent="0.2">
      <c r="A105" s="10">
        <v>1684</v>
      </c>
      <c r="B105" s="10" t="s">
        <v>2826</v>
      </c>
      <c r="C105" s="9" t="s">
        <v>2481</v>
      </c>
      <c r="D105" s="10">
        <v>-0.69070442200000004</v>
      </c>
      <c r="E105" s="10">
        <v>-0.31706616300000001</v>
      </c>
      <c r="F105" s="10">
        <v>-0.16530771999999999</v>
      </c>
      <c r="G105" s="10">
        <v>-1.084008241</v>
      </c>
      <c r="H105" s="9">
        <v>-0.56427163675000003</v>
      </c>
      <c r="I105" s="10">
        <v>0.41085039454926298</v>
      </c>
      <c r="J105" s="10">
        <v>0.16879804670128501</v>
      </c>
      <c r="K105" s="10">
        <v>-0.483655367</v>
      </c>
      <c r="L105" s="10">
        <v>7.4911092999999998E-2</v>
      </c>
      <c r="M105" s="10">
        <v>-0.467788388</v>
      </c>
      <c r="N105" s="10">
        <v>-9.6560266000000006E-2</v>
      </c>
      <c r="O105" s="9">
        <v>-0.24327323200000001</v>
      </c>
      <c r="P105" s="10">
        <v>0.27746266125317598</v>
      </c>
      <c r="Q105" s="10">
        <v>7.6985528389695093E-2</v>
      </c>
    </row>
    <row r="106" spans="1:17" x14ac:dyDescent="0.2">
      <c r="A106" s="10">
        <v>1684</v>
      </c>
      <c r="B106" s="10" t="s">
        <v>2821</v>
      </c>
      <c r="C106" s="9" t="s">
        <v>2480</v>
      </c>
      <c r="D106" s="10">
        <v>-0.86553482699999995</v>
      </c>
      <c r="E106" s="10">
        <v>-1.553185526</v>
      </c>
      <c r="F106" s="10">
        <v>-1.4770892849999999</v>
      </c>
      <c r="G106" s="10">
        <v>-0.53976260700000001</v>
      </c>
      <c r="H106" s="9">
        <v>-1.1088930612500001</v>
      </c>
      <c r="I106" s="10">
        <v>0.48856830213371999</v>
      </c>
      <c r="J106" s="10">
        <v>0.23869898584982599</v>
      </c>
      <c r="K106" s="10">
        <v>-0.83180506600000004</v>
      </c>
      <c r="L106" s="10">
        <v>-0.65513812100000002</v>
      </c>
      <c r="M106" s="10">
        <v>-0.83070580000000005</v>
      </c>
      <c r="N106" s="10">
        <v>-0.32053731200000002</v>
      </c>
      <c r="O106" s="9">
        <v>-0.65954657500000002</v>
      </c>
      <c r="P106" s="10">
        <v>0.240773187108165</v>
      </c>
      <c r="Q106" s="10">
        <v>5.7971727630223603E-2</v>
      </c>
    </row>
    <row r="107" spans="1:17" x14ac:dyDescent="0.2">
      <c r="A107" s="10">
        <v>1684</v>
      </c>
      <c r="B107" s="10" t="s">
        <v>2834</v>
      </c>
      <c r="C107" s="9" t="s">
        <v>880</v>
      </c>
      <c r="D107" s="10">
        <v>-0.64018890299999998</v>
      </c>
      <c r="E107" s="10">
        <v>-0.45594504499999999</v>
      </c>
      <c r="F107" s="10">
        <v>-5.4103104999999999E-2</v>
      </c>
      <c r="G107" s="10">
        <v>-8.5099618000000002E-2</v>
      </c>
      <c r="H107" s="9">
        <v>-0.30883416775</v>
      </c>
      <c r="I107" s="10">
        <v>0.28657903730003298</v>
      </c>
      <c r="J107" s="10">
        <v>8.2127544619813905E-2</v>
      </c>
      <c r="K107" s="10">
        <v>-0.247802983</v>
      </c>
      <c r="L107" s="10">
        <v>0.179127913</v>
      </c>
      <c r="M107" s="10">
        <v>0.160536281</v>
      </c>
      <c r="N107" s="10">
        <v>0.317187475</v>
      </c>
      <c r="O107" s="9">
        <v>0.102262172</v>
      </c>
      <c r="P107" s="10">
        <v>0.24361356867933101</v>
      </c>
      <c r="Q107" s="10">
        <v>5.9347570844679502E-2</v>
      </c>
    </row>
    <row r="108" spans="1:17" x14ac:dyDescent="0.2">
      <c r="A108" s="10">
        <v>1684</v>
      </c>
      <c r="B108" s="10" t="s">
        <v>82</v>
      </c>
      <c r="C108" s="9" t="s">
        <v>882</v>
      </c>
      <c r="D108" s="10">
        <v>-2.5544883889999999</v>
      </c>
      <c r="E108" s="10">
        <v>-1.976409708</v>
      </c>
      <c r="F108" s="10">
        <v>-2.0022973049999999</v>
      </c>
      <c r="G108" s="10">
        <v>-1.9274771180000001</v>
      </c>
      <c r="H108" s="9">
        <v>-2.1151681302499998</v>
      </c>
      <c r="I108" s="10">
        <v>0.294518776291949</v>
      </c>
      <c r="J108" s="10">
        <v>8.6741309588507204E-2</v>
      </c>
      <c r="K108" s="10">
        <v>-5.3945779999999997E-3</v>
      </c>
      <c r="L108" s="10">
        <v>-0.28855680099999997</v>
      </c>
      <c r="M108" s="10">
        <v>-0.174700942</v>
      </c>
      <c r="N108" s="10">
        <v>-0.39050263699999999</v>
      </c>
      <c r="O108" s="9">
        <v>-0.21478873949999999</v>
      </c>
      <c r="P108" s="10">
        <v>0.16509597920684099</v>
      </c>
      <c r="Q108" s="10">
        <v>2.7256682350265699E-2</v>
      </c>
    </row>
    <row r="109" spans="1:17" x14ac:dyDescent="0.2">
      <c r="A109" s="10">
        <v>1684</v>
      </c>
      <c r="B109" s="10" t="s">
        <v>2814</v>
      </c>
      <c r="C109" s="9" t="s">
        <v>883</v>
      </c>
      <c r="D109" s="10">
        <v>-1.3633730660000001</v>
      </c>
      <c r="E109" s="10">
        <v>-1.816957768</v>
      </c>
      <c r="F109" s="10">
        <v>-1.575398276</v>
      </c>
      <c r="G109" s="10">
        <v>-1.27996168</v>
      </c>
      <c r="H109" s="9">
        <v>-1.5089226975000001</v>
      </c>
      <c r="I109" s="10">
        <v>0.24007807754927701</v>
      </c>
      <c r="J109" s="10">
        <v>5.7637483319756898E-2</v>
      </c>
      <c r="K109" s="10">
        <v>-0.67274579499999998</v>
      </c>
      <c r="L109" s="10">
        <v>-0.110221738</v>
      </c>
      <c r="M109" s="10">
        <v>-0.520150169</v>
      </c>
      <c r="N109" s="10">
        <v>-1.357667905</v>
      </c>
      <c r="O109" s="9">
        <v>-0.66519640175000005</v>
      </c>
      <c r="P109" s="10">
        <v>0.519168907386652</v>
      </c>
      <c r="Q109" s="10">
        <v>0.26953635439704998</v>
      </c>
    </row>
    <row r="110" spans="1:17" x14ac:dyDescent="0.2">
      <c r="A110" s="10">
        <v>1684</v>
      </c>
      <c r="B110" s="10" t="s">
        <v>2825</v>
      </c>
      <c r="C110" s="9" t="s">
        <v>884</v>
      </c>
      <c r="D110" s="10">
        <v>-1.765831436</v>
      </c>
      <c r="E110" s="10">
        <v>-2.0727811530000002</v>
      </c>
      <c r="F110" s="10">
        <v>-1.494223809</v>
      </c>
      <c r="G110" s="10">
        <v>-1.4534817209999999</v>
      </c>
      <c r="H110" s="9">
        <v>-1.6965795297499999</v>
      </c>
      <c r="I110" s="10">
        <v>0.286570451020627</v>
      </c>
      <c r="J110" s="10">
        <v>8.2122623398165798E-2</v>
      </c>
      <c r="K110" s="10">
        <v>-0.52551244200000002</v>
      </c>
      <c r="L110" s="10">
        <v>-0.59673536100000002</v>
      </c>
      <c r="M110" s="10">
        <v>-0.73545125300000003</v>
      </c>
      <c r="N110" s="10">
        <v>-0.737516693</v>
      </c>
      <c r="O110" s="9">
        <v>-0.64880393724999996</v>
      </c>
      <c r="P110" s="10">
        <v>0.105340147131601</v>
      </c>
      <c r="Q110" s="10">
        <v>1.1096546597707301E-2</v>
      </c>
    </row>
    <row r="111" spans="1:17" x14ac:dyDescent="0.2">
      <c r="A111" s="10">
        <v>1684</v>
      </c>
      <c r="B111" s="10" t="s">
        <v>74</v>
      </c>
      <c r="C111" s="9" t="s">
        <v>885</v>
      </c>
      <c r="D111" s="10">
        <v>-0.13478489900000001</v>
      </c>
      <c r="E111" s="10">
        <v>-0.33036948599999999</v>
      </c>
      <c r="F111" s="10">
        <v>-0.55126288000000001</v>
      </c>
      <c r="G111" s="10">
        <v>-0.213697156</v>
      </c>
      <c r="H111" s="9">
        <v>-0.30752860524999998</v>
      </c>
      <c r="I111" s="10">
        <v>0.18126668331373499</v>
      </c>
      <c r="J111" s="10">
        <v>3.28576104795619E-2</v>
      </c>
      <c r="K111" s="10">
        <v>-0.110815994</v>
      </c>
      <c r="L111" s="10">
        <v>-0.15721921999999999</v>
      </c>
      <c r="M111" s="10">
        <v>-0.56119661200000004</v>
      </c>
      <c r="N111" s="10">
        <v>-0.41947950699999997</v>
      </c>
      <c r="O111" s="9">
        <v>-0.31217783324999998</v>
      </c>
      <c r="P111" s="10">
        <v>0.21454041071260399</v>
      </c>
      <c r="Q111" s="10">
        <v>4.6027587828732897E-2</v>
      </c>
    </row>
    <row r="112" spans="1:17" x14ac:dyDescent="0.2">
      <c r="A112" s="10">
        <v>1684</v>
      </c>
      <c r="B112" s="10" t="s">
        <v>2830</v>
      </c>
      <c r="C112" s="9" t="s">
        <v>2479</v>
      </c>
      <c r="D112" s="10">
        <v>0.1194556</v>
      </c>
      <c r="E112" s="10">
        <v>0.103086885</v>
      </c>
      <c r="F112" s="10">
        <v>-0.27979617200000001</v>
      </c>
      <c r="G112" s="10">
        <v>-0.19634137099999999</v>
      </c>
      <c r="H112" s="9">
        <v>-6.3398764499999996E-2</v>
      </c>
      <c r="I112" s="10">
        <v>0.20465806010829399</v>
      </c>
      <c r="J112" s="10">
        <v>4.1884921567290199E-2</v>
      </c>
      <c r="K112" s="10">
        <v>1.3023285000000001E-2</v>
      </c>
      <c r="L112" s="10">
        <v>-0.11952903500000001</v>
      </c>
      <c r="M112" s="10">
        <v>-0.40582241299999999</v>
      </c>
      <c r="N112" s="10">
        <v>-0.208869148</v>
      </c>
      <c r="O112" s="9">
        <v>-0.18029932774999999</v>
      </c>
      <c r="P112" s="10">
        <v>0.17582525197024701</v>
      </c>
      <c r="Q112" s="10">
        <v>3.0914519230400998E-2</v>
      </c>
    </row>
    <row r="113" spans="1:17" x14ac:dyDescent="0.2">
      <c r="A113" s="10">
        <v>1685</v>
      </c>
      <c r="B113" s="10" t="s">
        <v>2821</v>
      </c>
      <c r="C113" s="9" t="s">
        <v>2476</v>
      </c>
      <c r="D113" s="10">
        <v>-1.2676990480000001</v>
      </c>
      <c r="E113" s="10">
        <v>-1.1925734240000001</v>
      </c>
      <c r="F113" s="10">
        <v>-0.80111015600000002</v>
      </c>
      <c r="G113" s="10">
        <v>-1.3309914759999999</v>
      </c>
      <c r="H113" s="9">
        <v>-1.1480935262500001</v>
      </c>
      <c r="I113" s="10">
        <v>0.238140757669172</v>
      </c>
      <c r="J113" s="10">
        <v>5.67110204632474E-2</v>
      </c>
      <c r="K113" s="10">
        <v>0.215175476</v>
      </c>
      <c r="L113" s="10">
        <v>-0.201366456</v>
      </c>
      <c r="M113" s="10">
        <v>-0.65132400000000001</v>
      </c>
      <c r="N113" s="10">
        <v>-0.647861778</v>
      </c>
      <c r="O113" s="9">
        <v>-0.32134418949999999</v>
      </c>
      <c r="P113" s="10">
        <v>0.41543086827272802</v>
      </c>
      <c r="Q113" s="10">
        <v>0.17258280631383299</v>
      </c>
    </row>
    <row r="114" spans="1:17" x14ac:dyDescent="0.2">
      <c r="A114" s="10">
        <v>1685</v>
      </c>
      <c r="B114" s="10" t="s">
        <v>79</v>
      </c>
      <c r="C114" s="9" t="s">
        <v>26</v>
      </c>
      <c r="D114" s="10">
        <v>-1.3212106180000001</v>
      </c>
      <c r="E114" s="10">
        <v>-1.4334526329999999</v>
      </c>
      <c r="F114" s="10">
        <v>-0.67073151499999994</v>
      </c>
      <c r="G114" s="10">
        <v>-0.70861527199999996</v>
      </c>
      <c r="H114" s="9">
        <v>-1.0335025092500001</v>
      </c>
      <c r="I114" s="10">
        <v>0.39995440095307999</v>
      </c>
      <c r="J114" s="10">
        <v>0.15996352284173701</v>
      </c>
      <c r="K114" s="10">
        <v>-0.183936616</v>
      </c>
      <c r="L114" s="10">
        <v>-0.25594384100000001</v>
      </c>
      <c r="M114" s="10">
        <v>-0.30319243200000001</v>
      </c>
      <c r="N114" s="10">
        <v>-0.30868646399999999</v>
      </c>
      <c r="O114" s="9">
        <v>-0.26293983825</v>
      </c>
      <c r="P114" s="10">
        <v>5.7745066671009503E-2</v>
      </c>
      <c r="Q114" s="10">
        <v>3.3344927248392998E-3</v>
      </c>
    </row>
    <row r="115" spans="1:17" x14ac:dyDescent="0.2">
      <c r="A115" s="10">
        <v>1685</v>
      </c>
      <c r="B115" s="10" t="s">
        <v>2824</v>
      </c>
      <c r="C115" s="9" t="s">
        <v>886</v>
      </c>
      <c r="D115" s="10">
        <v>-1.335284487</v>
      </c>
      <c r="E115" s="10">
        <v>-1.6246356740000001</v>
      </c>
      <c r="F115" s="10">
        <v>-1.054212221</v>
      </c>
      <c r="G115" s="10">
        <v>-1.414236045</v>
      </c>
      <c r="H115" s="9">
        <v>-1.3570921064999999</v>
      </c>
      <c r="I115" s="10">
        <v>0.23597795626334001</v>
      </c>
      <c r="J115" s="10">
        <v>5.56855958422229E-2</v>
      </c>
      <c r="K115" s="10">
        <v>-3.2586944E-2</v>
      </c>
      <c r="L115" s="10">
        <v>-1.4088313999999999E-2</v>
      </c>
      <c r="M115" s="10">
        <v>-0.266447514</v>
      </c>
      <c r="N115" s="10">
        <v>-0.25993396699999999</v>
      </c>
      <c r="O115" s="9">
        <v>-0.14326418499999999</v>
      </c>
      <c r="P115" s="10">
        <v>0.13871052339245901</v>
      </c>
      <c r="Q115" s="10">
        <v>1.9240609299810099E-2</v>
      </c>
    </row>
    <row r="116" spans="1:17" x14ac:dyDescent="0.2">
      <c r="A116" s="10">
        <v>1685</v>
      </c>
      <c r="B116" s="10" t="s">
        <v>2833</v>
      </c>
      <c r="C116" s="9" t="s">
        <v>2475</v>
      </c>
      <c r="D116" s="10">
        <v>-1.9527063840000001</v>
      </c>
      <c r="E116" s="10">
        <v>-1.588681038</v>
      </c>
      <c r="F116" s="10">
        <v>-1.0930765339999999</v>
      </c>
      <c r="G116" s="10">
        <v>-0.42126903900000001</v>
      </c>
      <c r="H116" s="9">
        <v>-1.2639332487499999</v>
      </c>
      <c r="I116" s="10">
        <v>0.66310998228891904</v>
      </c>
      <c r="J116" s="10">
        <v>0.43971484861121002</v>
      </c>
      <c r="K116" s="10">
        <v>0.26755774900000001</v>
      </c>
      <c r="L116" s="10">
        <v>0.47355183299999998</v>
      </c>
      <c r="M116" s="10">
        <v>0.62937119900000005</v>
      </c>
      <c r="N116" s="10">
        <v>0.302402958</v>
      </c>
      <c r="O116" s="9">
        <v>0.41822093475</v>
      </c>
      <c r="P116" s="10">
        <v>0.167091932453165</v>
      </c>
      <c r="Q116" s="10">
        <v>2.7919713890933E-2</v>
      </c>
    </row>
    <row r="117" spans="1:17" x14ac:dyDescent="0.2">
      <c r="A117" s="10">
        <v>1685</v>
      </c>
      <c r="B117" s="10" t="s">
        <v>2825</v>
      </c>
      <c r="C117" s="9" t="s">
        <v>2474</v>
      </c>
      <c r="D117" s="10">
        <v>-1.4191736800000001</v>
      </c>
      <c r="E117" s="10">
        <v>-1.2915742059999999</v>
      </c>
      <c r="F117" s="10">
        <v>-0.724112427</v>
      </c>
      <c r="G117" s="10">
        <v>-1.027137846</v>
      </c>
      <c r="H117" s="9">
        <v>-1.11549953975</v>
      </c>
      <c r="I117" s="10">
        <v>0.30779426705770802</v>
      </c>
      <c r="J117" s="10">
        <v>9.4737310833591798E-2</v>
      </c>
      <c r="K117" s="10">
        <v>-9.1875790999999998E-2</v>
      </c>
      <c r="L117" s="10">
        <v>-0.39061037999999998</v>
      </c>
      <c r="M117" s="10">
        <v>-0.25856539299999998</v>
      </c>
      <c r="N117" s="10">
        <v>-0.108987709</v>
      </c>
      <c r="O117" s="9">
        <v>-0.2125098185</v>
      </c>
      <c r="P117" s="10">
        <v>0.140368944446817</v>
      </c>
      <c r="Q117" s="10">
        <v>1.9703440565113601E-2</v>
      </c>
    </row>
    <row r="118" spans="1:17" x14ac:dyDescent="0.2">
      <c r="A118" s="10">
        <v>1685</v>
      </c>
      <c r="B118" s="10" t="s">
        <v>74</v>
      </c>
      <c r="C118" s="9" t="s">
        <v>887</v>
      </c>
      <c r="D118" s="10">
        <v>-0.26333588099999999</v>
      </c>
      <c r="E118" s="10">
        <v>-0.27592973500000001</v>
      </c>
      <c r="F118" s="10">
        <v>-0.53909560999999995</v>
      </c>
      <c r="G118" s="10">
        <v>-0.28167825499999999</v>
      </c>
      <c r="H118" s="9">
        <v>-0.34000987049999998</v>
      </c>
      <c r="I118" s="10">
        <v>0.13294469209743501</v>
      </c>
      <c r="J118" s="10">
        <v>1.7674291156881999E-2</v>
      </c>
      <c r="K118" s="10">
        <v>-0.30178555699999998</v>
      </c>
      <c r="L118" s="10">
        <v>-8.8273184000000005E-2</v>
      </c>
      <c r="M118" s="10">
        <v>-0.51390709899999998</v>
      </c>
      <c r="N118" s="10">
        <v>-0.50316717600000005</v>
      </c>
      <c r="O118" s="9">
        <v>-0.35178325399999999</v>
      </c>
      <c r="P118" s="10">
        <v>0.200946559773483</v>
      </c>
      <c r="Q118" s="10">
        <v>4.0379519884798203E-2</v>
      </c>
    </row>
    <row r="119" spans="1:17" x14ac:dyDescent="0.2">
      <c r="A119" s="10">
        <v>1686</v>
      </c>
      <c r="B119" s="10" t="s">
        <v>2824</v>
      </c>
      <c r="C119" s="9" t="s">
        <v>888</v>
      </c>
      <c r="D119" s="10">
        <v>-0.46997091699999999</v>
      </c>
      <c r="E119" s="10">
        <v>-0.50635827200000005</v>
      </c>
      <c r="F119" s="10">
        <v>-0.54706588199999995</v>
      </c>
      <c r="G119" s="10">
        <v>-0.37039159700000002</v>
      </c>
      <c r="H119" s="9">
        <v>-0.47344666725000001</v>
      </c>
      <c r="I119" s="10">
        <v>7.5576431184286599E-2</v>
      </c>
      <c r="J119" s="10">
        <v>5.7117969505532003E-3</v>
      </c>
      <c r="K119" s="10">
        <v>0.25173931399999999</v>
      </c>
      <c r="L119" s="10">
        <v>4.0238256E-2</v>
      </c>
      <c r="M119" s="10">
        <v>1.0918936000000001E-2</v>
      </c>
      <c r="N119" s="10">
        <v>-4.1039860999999997E-2</v>
      </c>
      <c r="O119" s="9">
        <v>6.546416125E-2</v>
      </c>
      <c r="P119" s="10">
        <v>0.128650776886784</v>
      </c>
      <c r="Q119" s="10">
        <v>1.65510223935731E-2</v>
      </c>
    </row>
    <row r="120" spans="1:17" x14ac:dyDescent="0.2">
      <c r="A120" s="10">
        <v>1686</v>
      </c>
      <c r="B120" s="10" t="s">
        <v>2814</v>
      </c>
      <c r="C120" s="9" t="s">
        <v>889</v>
      </c>
      <c r="D120" s="10">
        <v>-1.5116734970000001</v>
      </c>
      <c r="E120" s="10">
        <v>-1.5633712420000001</v>
      </c>
      <c r="F120" s="10">
        <v>-1.079665834</v>
      </c>
      <c r="G120" s="10">
        <v>-1.26150137</v>
      </c>
      <c r="H120" s="9">
        <v>-1.3540529855000001</v>
      </c>
      <c r="I120" s="10">
        <v>0.225471704499452</v>
      </c>
      <c r="J120" s="10">
        <v>5.0837489529888397E-2</v>
      </c>
      <c r="K120" s="10">
        <v>-7.3390943E-2</v>
      </c>
      <c r="L120" s="10">
        <v>1.1056042E-2</v>
      </c>
      <c r="M120" s="10">
        <v>-0.72187844800000001</v>
      </c>
      <c r="N120" s="10">
        <v>-0.64873175500000002</v>
      </c>
      <c r="O120" s="9">
        <v>-0.35823627624999999</v>
      </c>
      <c r="P120" s="10">
        <v>0.380410713327061</v>
      </c>
      <c r="Q120" s="10">
        <v>0.14471231081400299</v>
      </c>
    </row>
    <row r="121" spans="1:17" x14ac:dyDescent="0.2">
      <c r="A121" s="10">
        <v>1686</v>
      </c>
      <c r="B121" s="10" t="s">
        <v>2833</v>
      </c>
      <c r="C121" s="9" t="s">
        <v>890</v>
      </c>
      <c r="D121" s="10">
        <v>-2.1357428110000001</v>
      </c>
      <c r="E121" s="10">
        <v>-0.735713073</v>
      </c>
      <c r="F121" s="10">
        <v>-0.97721534200000004</v>
      </c>
      <c r="G121" s="10">
        <v>-1.5363382699999999</v>
      </c>
      <c r="H121" s="9">
        <v>-1.3462523742500001</v>
      </c>
      <c r="I121" s="10">
        <v>0.62406579968929299</v>
      </c>
      <c r="J121" s="10">
        <v>0.38945812234183702</v>
      </c>
      <c r="K121" s="10">
        <v>-8.1499843000000002E-2</v>
      </c>
      <c r="L121" s="10">
        <v>-1.9805389999999999E-3</v>
      </c>
      <c r="M121" s="10">
        <v>-0.86448925600000004</v>
      </c>
      <c r="N121" s="10">
        <v>-0.46090041799999998</v>
      </c>
      <c r="O121" s="9">
        <v>-0.35221751424999997</v>
      </c>
      <c r="P121" s="10">
        <v>0.39589068664737997</v>
      </c>
      <c r="Q121" s="10">
        <v>0.15672943577413401</v>
      </c>
    </row>
    <row r="122" spans="1:17" x14ac:dyDescent="0.2">
      <c r="A122" s="10">
        <v>1686</v>
      </c>
      <c r="B122" s="10" t="s">
        <v>74</v>
      </c>
      <c r="C122" s="9" t="s">
        <v>2473</v>
      </c>
      <c r="D122" s="10">
        <v>-1.661596788</v>
      </c>
      <c r="E122" s="10">
        <v>-1.7078659190000001</v>
      </c>
      <c r="F122" s="10">
        <v>-0.65192495800000005</v>
      </c>
      <c r="G122" s="10">
        <v>-0.75589906900000003</v>
      </c>
      <c r="H122" s="9">
        <v>-1.1943216834999999</v>
      </c>
      <c r="I122" s="10">
        <v>0.56817905095691501</v>
      </c>
      <c r="J122" s="10">
        <v>0.32282743394630098</v>
      </c>
      <c r="K122" s="10">
        <v>-0.20125928500000001</v>
      </c>
      <c r="L122" s="10">
        <v>-7.4079790000000003E-3</v>
      </c>
      <c r="M122" s="10">
        <v>-0.59076023899999996</v>
      </c>
      <c r="N122" s="10">
        <v>-0.458397104</v>
      </c>
      <c r="O122" s="9">
        <v>-0.31445615175000002</v>
      </c>
      <c r="P122" s="10">
        <v>0.26086718037909801</v>
      </c>
      <c r="Q122" s="10">
        <v>6.8051685798941094E-2</v>
      </c>
    </row>
    <row r="123" spans="1:17" x14ac:dyDescent="0.2">
      <c r="A123" s="10">
        <v>1687</v>
      </c>
      <c r="B123" s="10" t="s">
        <v>2826</v>
      </c>
      <c r="C123" s="9" t="s">
        <v>891</v>
      </c>
      <c r="D123" s="10">
        <v>-1.1939776900000001</v>
      </c>
      <c r="E123" s="10">
        <v>-0.62754388699999997</v>
      </c>
      <c r="F123" s="10">
        <v>-0.37474652600000002</v>
      </c>
      <c r="G123" s="10">
        <v>-0.75820087400000002</v>
      </c>
      <c r="H123" s="9">
        <v>-0.73861724399999995</v>
      </c>
      <c r="I123" s="10">
        <v>0.34277098496342001</v>
      </c>
      <c r="J123" s="10">
        <v>0.117491948132793</v>
      </c>
      <c r="K123" s="10">
        <v>-4.5037015E-2</v>
      </c>
      <c r="L123" s="10">
        <v>-0.36311058600000001</v>
      </c>
      <c r="M123" s="10">
        <v>7.1468245999999999E-2</v>
      </c>
      <c r="N123" s="10">
        <v>-0.33788836799999999</v>
      </c>
      <c r="O123" s="9">
        <v>-0.16864193075</v>
      </c>
      <c r="P123" s="10">
        <v>0.215556246776444</v>
      </c>
      <c r="Q123" s="10">
        <v>4.64644955243474E-2</v>
      </c>
    </row>
    <row r="124" spans="1:17" x14ac:dyDescent="0.2">
      <c r="A124" s="10">
        <v>1687</v>
      </c>
      <c r="B124" s="10" t="s">
        <v>2821</v>
      </c>
      <c r="C124" s="9" t="s">
        <v>892</v>
      </c>
      <c r="D124" s="10">
        <v>-0.96038372400000005</v>
      </c>
      <c r="E124" s="10">
        <v>-1.541416422</v>
      </c>
      <c r="F124" s="10">
        <v>-1.507583619</v>
      </c>
      <c r="G124" s="10">
        <v>-1.685979517</v>
      </c>
      <c r="H124" s="9">
        <v>-1.4238408204999999</v>
      </c>
      <c r="I124" s="10">
        <v>0.31851010181134898</v>
      </c>
      <c r="J124" s="10">
        <v>0.101448684955875</v>
      </c>
      <c r="K124" s="10">
        <v>-0.26088652800000001</v>
      </c>
      <c r="L124" s="10">
        <v>-0.40624627699999999</v>
      </c>
      <c r="M124" s="10">
        <v>-0.71710518700000003</v>
      </c>
      <c r="N124" s="10">
        <v>-0.69788965999999997</v>
      </c>
      <c r="O124" s="9">
        <v>-0.52053191300000001</v>
      </c>
      <c r="P124" s="10">
        <v>0.22403404132684601</v>
      </c>
      <c r="Q124" s="10">
        <v>5.01912516732392E-2</v>
      </c>
    </row>
    <row r="125" spans="1:17" x14ac:dyDescent="0.2">
      <c r="A125" s="10">
        <v>1687</v>
      </c>
      <c r="B125" s="10" t="s">
        <v>2824</v>
      </c>
      <c r="C125" s="9" t="s">
        <v>893</v>
      </c>
      <c r="D125" s="10">
        <v>0.188884266</v>
      </c>
      <c r="E125" s="10">
        <v>0.50994212400000005</v>
      </c>
      <c r="F125" s="10">
        <v>-0.21117346000000001</v>
      </c>
      <c r="G125" s="10">
        <v>-7.4890670000000003E-3</v>
      </c>
      <c r="H125" s="9">
        <v>0.12004096575000001</v>
      </c>
      <c r="I125" s="10">
        <v>0.30699034635860101</v>
      </c>
      <c r="J125" s="10">
        <v>9.42430727573738E-2</v>
      </c>
      <c r="K125" s="10">
        <v>0.79446033000000005</v>
      </c>
      <c r="L125" s="10">
        <v>0.380772685</v>
      </c>
      <c r="M125" s="10">
        <v>0.51595637100000002</v>
      </c>
      <c r="N125" s="10">
        <v>0.65239898200000002</v>
      </c>
      <c r="O125" s="9">
        <v>0.58589709224999997</v>
      </c>
      <c r="P125" s="10">
        <v>0.177847174487646</v>
      </c>
      <c r="Q125" s="10">
        <v>3.1629617473239398E-2</v>
      </c>
    </row>
    <row r="126" spans="1:17" x14ac:dyDescent="0.2">
      <c r="A126" s="10">
        <v>1687</v>
      </c>
      <c r="B126" s="10" t="s">
        <v>2818</v>
      </c>
      <c r="C126" s="9" t="s">
        <v>2472</v>
      </c>
      <c r="D126" s="10">
        <v>-0.74632359599999998</v>
      </c>
      <c r="E126" s="10">
        <v>-1.039611949</v>
      </c>
      <c r="F126" s="10">
        <v>-1.0896385040000001</v>
      </c>
      <c r="G126" s="10">
        <v>-0.80430386200000004</v>
      </c>
      <c r="H126" s="9">
        <v>-0.91996947775000004</v>
      </c>
      <c r="I126" s="10">
        <v>0.16993462106644799</v>
      </c>
      <c r="J126" s="10">
        <v>2.8877775436997301E-2</v>
      </c>
      <c r="K126" s="10">
        <v>0.14614169299999999</v>
      </c>
      <c r="L126" s="10">
        <v>-0.25614062999999998</v>
      </c>
      <c r="M126" s="10">
        <v>-0.42655946</v>
      </c>
      <c r="N126" s="10">
        <v>-0.63478519300000003</v>
      </c>
      <c r="O126" s="9">
        <v>-0.2928358975</v>
      </c>
      <c r="P126" s="10">
        <v>0.33108869882994502</v>
      </c>
      <c r="Q126" s="10">
        <v>0.10961972649290599</v>
      </c>
    </row>
    <row r="127" spans="1:17" x14ac:dyDescent="0.2">
      <c r="A127" s="10">
        <v>1688</v>
      </c>
      <c r="B127" s="10" t="s">
        <v>2824</v>
      </c>
      <c r="C127" s="9" t="s">
        <v>896</v>
      </c>
      <c r="D127" s="10">
        <v>0.45374580799999997</v>
      </c>
      <c r="E127" s="10">
        <v>0.37953173099999998</v>
      </c>
      <c r="F127" s="10">
        <v>0.104163803</v>
      </c>
      <c r="G127" s="10">
        <v>0.28259151700000001</v>
      </c>
      <c r="H127" s="9">
        <v>0.30500821475000001</v>
      </c>
      <c r="I127" s="10">
        <v>0.15112645057399701</v>
      </c>
      <c r="J127" s="10">
        <v>2.2839204063094899E-2</v>
      </c>
      <c r="K127" s="10">
        <v>-4.4422899999999998E-4</v>
      </c>
      <c r="L127" s="10">
        <v>0.41165807799999998</v>
      </c>
      <c r="M127" s="10">
        <v>0.54630601300000003</v>
      </c>
      <c r="N127" s="10">
        <v>0.31171048600000001</v>
      </c>
      <c r="O127" s="9">
        <v>0.317307587</v>
      </c>
      <c r="P127" s="10">
        <v>0.23262261166484499</v>
      </c>
      <c r="Q127" s="10">
        <v>5.41132794577735E-2</v>
      </c>
    </row>
    <row r="128" spans="1:17" x14ac:dyDescent="0.2">
      <c r="A128" s="10">
        <v>1688</v>
      </c>
      <c r="B128" s="10" t="s">
        <v>2814</v>
      </c>
      <c r="C128" s="9" t="s">
        <v>897</v>
      </c>
      <c r="D128" s="10">
        <v>-1.799620303</v>
      </c>
      <c r="E128" s="10">
        <v>-0.57108757600000004</v>
      </c>
      <c r="F128" s="10">
        <v>-0.67426499699999998</v>
      </c>
      <c r="G128" s="10">
        <v>-0.369713872</v>
      </c>
      <c r="H128" s="9">
        <v>-0.85367168699999996</v>
      </c>
      <c r="I128" s="10">
        <v>0.64318853923721397</v>
      </c>
      <c r="J128" s="10">
        <v>0.41369149700610203</v>
      </c>
      <c r="K128" s="10">
        <v>-0.41917917399999999</v>
      </c>
      <c r="L128" s="10">
        <v>-4.1674106000000002E-2</v>
      </c>
      <c r="M128" s="10">
        <v>0.14156813100000001</v>
      </c>
      <c r="N128" s="10">
        <v>-0.38261166200000002</v>
      </c>
      <c r="O128" s="9">
        <v>-0.17547420275</v>
      </c>
      <c r="P128" s="10">
        <v>0.271241803142795</v>
      </c>
      <c r="Q128" s="10">
        <v>7.3572115772154806E-2</v>
      </c>
    </row>
    <row r="129" spans="1:17" x14ac:dyDescent="0.2">
      <c r="A129" s="10">
        <v>1688</v>
      </c>
      <c r="B129" s="10" t="s">
        <v>2818</v>
      </c>
      <c r="C129" s="9" t="s">
        <v>2471</v>
      </c>
      <c r="D129" s="10">
        <v>-0.83778951199999996</v>
      </c>
      <c r="E129" s="10">
        <v>-0.61925547000000003</v>
      </c>
      <c r="F129" s="10">
        <v>-1.06701545</v>
      </c>
      <c r="G129" s="10">
        <v>-0.90914173499999995</v>
      </c>
      <c r="H129" s="9">
        <v>-0.85830054150000001</v>
      </c>
      <c r="I129" s="10">
        <v>0.18593008410534101</v>
      </c>
      <c r="J129" s="10">
        <v>3.4569996175419199E-2</v>
      </c>
      <c r="K129" s="10">
        <v>-0.40836849200000003</v>
      </c>
      <c r="L129" s="10">
        <v>-0.411411851</v>
      </c>
      <c r="M129" s="10">
        <v>-0.58979031800000004</v>
      </c>
      <c r="N129" s="10">
        <v>-0.805489283</v>
      </c>
      <c r="O129" s="9">
        <v>-0.55376498600000001</v>
      </c>
      <c r="P129" s="10">
        <v>0.18803147055539601</v>
      </c>
      <c r="Q129" s="10">
        <v>3.5355833919224797E-2</v>
      </c>
    </row>
    <row r="130" spans="1:17" x14ac:dyDescent="0.2">
      <c r="A130" s="10">
        <v>1689</v>
      </c>
      <c r="B130" s="10" t="s">
        <v>2831</v>
      </c>
      <c r="C130" s="9" t="s">
        <v>2643</v>
      </c>
      <c r="D130" s="10">
        <v>-1.3751915589999999</v>
      </c>
      <c r="E130" s="10">
        <v>-1.083336946</v>
      </c>
      <c r="F130" s="10">
        <v>-2.457779833</v>
      </c>
      <c r="G130" s="10">
        <v>-1.2696700350000001</v>
      </c>
      <c r="H130" s="9">
        <v>-1.54649459325</v>
      </c>
      <c r="I130" s="10">
        <v>0.61939011938786304</v>
      </c>
      <c r="J130" s="10">
        <v>0.38364411999531101</v>
      </c>
      <c r="K130" s="10">
        <v>-0.74145843600000005</v>
      </c>
      <c r="L130" s="10">
        <v>0.30797381099999999</v>
      </c>
      <c r="M130" s="10">
        <v>-7.8937804E-2</v>
      </c>
      <c r="N130" s="10">
        <v>-0.84435957399999995</v>
      </c>
      <c r="O130" s="9">
        <v>-0.33919550074999999</v>
      </c>
      <c r="P130" s="10">
        <v>0.54880731189463905</v>
      </c>
      <c r="Q130" s="10">
        <v>0.30118946558901999</v>
      </c>
    </row>
    <row r="131" spans="1:17" x14ac:dyDescent="0.2">
      <c r="A131" s="10">
        <v>1689</v>
      </c>
      <c r="B131" s="10" t="s">
        <v>2819</v>
      </c>
      <c r="C131" s="9" t="s">
        <v>2470</v>
      </c>
      <c r="D131" s="10">
        <v>-3.5803774609999999</v>
      </c>
      <c r="E131" s="10">
        <v>-2.0525930209999999</v>
      </c>
      <c r="F131" s="10">
        <v>-1.7268993850000001</v>
      </c>
      <c r="G131" s="10">
        <v>-2.2446872469999999</v>
      </c>
      <c r="H131" s="9">
        <v>-2.4011392785000001</v>
      </c>
      <c r="I131" s="10">
        <v>0.81469091415712702</v>
      </c>
      <c r="J131" s="10">
        <v>0.66372128561017596</v>
      </c>
      <c r="K131" s="10">
        <v>-1.2136752230000001</v>
      </c>
      <c r="L131" s="10">
        <v>-0.68084228800000002</v>
      </c>
      <c r="M131" s="10">
        <v>-1.412061587</v>
      </c>
      <c r="N131" s="10">
        <v>-1.8004172380000001</v>
      </c>
      <c r="O131" s="9">
        <v>-1.27674908375</v>
      </c>
      <c r="P131" s="10">
        <v>0.46605472870408798</v>
      </c>
      <c r="Q131" s="10">
        <v>0.21720701014744101</v>
      </c>
    </row>
    <row r="132" spans="1:17" x14ac:dyDescent="0.2">
      <c r="A132" s="10">
        <v>1689</v>
      </c>
      <c r="B132" s="10" t="s">
        <v>2826</v>
      </c>
      <c r="C132" s="9" t="s">
        <v>898</v>
      </c>
      <c r="D132" s="10">
        <v>-0.61081743099999997</v>
      </c>
      <c r="E132" s="10">
        <v>-1.236095618</v>
      </c>
      <c r="F132" s="10">
        <v>-2.5314786520000001</v>
      </c>
      <c r="G132" s="10">
        <v>-1.540837529</v>
      </c>
      <c r="H132" s="9">
        <v>-1.47980730725</v>
      </c>
      <c r="I132" s="10">
        <v>0.80089035825494503</v>
      </c>
      <c r="J132" s="10">
        <v>0.64142536594573496</v>
      </c>
      <c r="K132" s="10">
        <v>-0.59757902100000004</v>
      </c>
      <c r="L132" s="10">
        <v>0.13550203599999999</v>
      </c>
      <c r="M132" s="10">
        <v>-0.35224888999999998</v>
      </c>
      <c r="N132" s="10">
        <v>-5.1487228000000003E-2</v>
      </c>
      <c r="O132" s="9">
        <v>-0.216453276</v>
      </c>
      <c r="P132" s="10">
        <v>0.32392572241240603</v>
      </c>
      <c r="Q132" s="10">
        <v>0.104927873640399</v>
      </c>
    </row>
    <row r="133" spans="1:17" x14ac:dyDescent="0.2">
      <c r="A133" s="10">
        <v>1689</v>
      </c>
      <c r="B133" s="10" t="s">
        <v>2821</v>
      </c>
      <c r="C133" s="9" t="s">
        <v>899</v>
      </c>
      <c r="D133" s="10">
        <v>-1.6683330279999999</v>
      </c>
      <c r="E133" s="10">
        <v>-2.7440900419999998</v>
      </c>
      <c r="F133" s="10">
        <v>-0.67784405199999997</v>
      </c>
      <c r="G133" s="10">
        <v>-1.454500983</v>
      </c>
      <c r="H133" s="9">
        <v>-1.6361920265000001</v>
      </c>
      <c r="I133" s="10">
        <v>0.85243055088427999</v>
      </c>
      <c r="J133" s="10">
        <v>0.72663784408087695</v>
      </c>
      <c r="K133" s="10">
        <v>-9.5984771999999996E-2</v>
      </c>
      <c r="L133" s="10">
        <v>5.4808410000000002E-2</v>
      </c>
      <c r="M133" s="10">
        <v>-0.58133710199999999</v>
      </c>
      <c r="N133" s="10">
        <v>-5.9645365999999998E-2</v>
      </c>
      <c r="O133" s="9">
        <v>-0.1705397075</v>
      </c>
      <c r="P133" s="10">
        <v>0.28130189404084999</v>
      </c>
      <c r="Q133" s="10">
        <v>7.9130755590970006E-2</v>
      </c>
    </row>
    <row r="134" spans="1:17" x14ac:dyDescent="0.2">
      <c r="A134" s="10">
        <v>1689</v>
      </c>
      <c r="B134" s="10" t="s">
        <v>2824</v>
      </c>
      <c r="C134" s="9" t="s">
        <v>900</v>
      </c>
      <c r="D134" s="10">
        <v>-0.40268867000000003</v>
      </c>
      <c r="E134" s="10">
        <v>-0.48907318599999999</v>
      </c>
      <c r="F134" s="10">
        <v>-1.1628232810000001</v>
      </c>
      <c r="G134" s="10">
        <v>-1.4364716609999999</v>
      </c>
      <c r="H134" s="9">
        <v>-0.87276419949999995</v>
      </c>
      <c r="I134" s="10">
        <v>0.50665246806424102</v>
      </c>
      <c r="J134" s="10">
        <v>0.25669672339558602</v>
      </c>
      <c r="K134" s="10">
        <v>-0.53320371300000002</v>
      </c>
      <c r="L134" s="10">
        <v>-0.33428427700000002</v>
      </c>
      <c r="M134" s="10">
        <v>-1.0692830449999999</v>
      </c>
      <c r="N134" s="10">
        <v>-1.1616579899999999</v>
      </c>
      <c r="O134" s="9">
        <v>-0.77460725600000002</v>
      </c>
      <c r="P134" s="10">
        <v>0.40365087543614397</v>
      </c>
      <c r="Q134" s="10">
        <v>0.16293402924036601</v>
      </c>
    </row>
    <row r="135" spans="1:17" x14ac:dyDescent="0.2">
      <c r="A135" s="10">
        <v>1689</v>
      </c>
      <c r="B135" s="10" t="s">
        <v>82</v>
      </c>
      <c r="C135" s="9" t="s">
        <v>901</v>
      </c>
      <c r="D135" s="10">
        <v>-1.4603509180000001</v>
      </c>
      <c r="E135" s="10">
        <v>-0.96709814299999997</v>
      </c>
      <c r="F135" s="10">
        <v>-1.4797023069999999</v>
      </c>
      <c r="G135" s="10">
        <v>-0.65174525500000002</v>
      </c>
      <c r="H135" s="9">
        <v>-1.1397241554999999</v>
      </c>
      <c r="I135" s="10">
        <v>0.40262050446768</v>
      </c>
      <c r="J135" s="10">
        <v>0.16210327061780899</v>
      </c>
      <c r="K135" s="10">
        <v>-0.44762718400000001</v>
      </c>
      <c r="L135" s="10">
        <v>-0.297883124</v>
      </c>
      <c r="M135" s="10">
        <v>-0.87013883700000005</v>
      </c>
      <c r="N135" s="10">
        <v>-0.43034682299999999</v>
      </c>
      <c r="O135" s="9">
        <v>-0.51149899200000004</v>
      </c>
      <c r="P135" s="10">
        <v>0.24827374668136701</v>
      </c>
      <c r="Q135" s="10">
        <v>6.1639853291203597E-2</v>
      </c>
    </row>
    <row r="136" spans="1:17" x14ac:dyDescent="0.2">
      <c r="A136" s="10">
        <v>1689</v>
      </c>
      <c r="B136" s="10" t="s">
        <v>2814</v>
      </c>
      <c r="C136" s="9" t="s">
        <v>2469</v>
      </c>
      <c r="D136" s="10">
        <v>-1.545612014</v>
      </c>
      <c r="E136" s="10">
        <v>-1.2493956420000001</v>
      </c>
      <c r="F136" s="10">
        <v>-0.64914064000000005</v>
      </c>
      <c r="G136" s="10">
        <v>-0.41060965500000002</v>
      </c>
      <c r="H136" s="9">
        <v>-0.96368948750000005</v>
      </c>
      <c r="I136" s="10">
        <v>0.52443624084952001</v>
      </c>
      <c r="J136" s="10">
        <v>0.27503337071637501</v>
      </c>
      <c r="K136" s="10">
        <v>-0.805190395</v>
      </c>
      <c r="L136" s="10">
        <v>-0.50622852799999996</v>
      </c>
      <c r="M136" s="10">
        <v>0.116120608</v>
      </c>
      <c r="N136" s="10">
        <v>0.19714880100000001</v>
      </c>
      <c r="O136" s="9">
        <v>-0.24953737825</v>
      </c>
      <c r="P136" s="10">
        <v>0.48575540039019599</v>
      </c>
      <c r="Q136" s="10">
        <v>0.23595830900824</v>
      </c>
    </row>
    <row r="137" spans="1:17" x14ac:dyDescent="0.2">
      <c r="A137" s="10">
        <v>1689</v>
      </c>
      <c r="B137" s="10" t="s">
        <v>2825</v>
      </c>
      <c r="C137" s="9" t="s">
        <v>2642</v>
      </c>
      <c r="D137" s="10">
        <v>-2.8209878590000002</v>
      </c>
      <c r="E137" s="10">
        <v>-6.5817602620000004</v>
      </c>
      <c r="F137" s="10">
        <v>-1.0065036540000001</v>
      </c>
      <c r="G137" s="10">
        <v>-2.3826502789999999</v>
      </c>
      <c r="H137" s="9">
        <v>-3.197975515</v>
      </c>
      <c r="I137" s="10">
        <v>2.3846329602141698</v>
      </c>
      <c r="J137" s="10">
        <v>5.6864743549398202</v>
      </c>
      <c r="K137" s="10">
        <v>-0.99148273799999997</v>
      </c>
      <c r="L137" s="10">
        <v>-0.92542751700000003</v>
      </c>
      <c r="M137" s="10">
        <v>-0.90347602000000005</v>
      </c>
      <c r="N137" s="10">
        <v>-2.2607771809999999</v>
      </c>
      <c r="O137" s="9">
        <v>-1.2702908639999999</v>
      </c>
      <c r="P137" s="10">
        <v>0.66138263589005797</v>
      </c>
      <c r="Q137" s="10">
        <v>0.43742699105687999</v>
      </c>
    </row>
    <row r="138" spans="1:17" x14ac:dyDescent="0.2">
      <c r="A138" s="10">
        <v>1689</v>
      </c>
      <c r="B138" s="10" t="s">
        <v>74</v>
      </c>
      <c r="C138" s="9" t="s">
        <v>902</v>
      </c>
      <c r="D138" s="10">
        <v>-0.69449374399999997</v>
      </c>
      <c r="E138" s="10">
        <v>-1.0304486559999999</v>
      </c>
      <c r="F138" s="10">
        <v>-0.73721067200000001</v>
      </c>
      <c r="G138" s="10">
        <v>-0.76803410000000005</v>
      </c>
      <c r="H138" s="9">
        <v>-0.80754679274999996</v>
      </c>
      <c r="I138" s="10">
        <v>0.15162965325918901</v>
      </c>
      <c r="J138" s="10">
        <v>2.2991551747502E-2</v>
      </c>
      <c r="K138" s="10">
        <v>0.22295474900000001</v>
      </c>
      <c r="L138" s="10">
        <v>-2.4048191999999999E-2</v>
      </c>
      <c r="M138" s="10">
        <v>-0.14258815599999999</v>
      </c>
      <c r="N138" s="10">
        <v>-0.11173915099999999</v>
      </c>
      <c r="O138" s="9">
        <v>-1.3855187499999999E-2</v>
      </c>
      <c r="P138" s="10">
        <v>0.16566662393208201</v>
      </c>
      <c r="Q138" s="10">
        <v>2.7445430285054102E-2</v>
      </c>
    </row>
    <row r="139" spans="1:17" x14ac:dyDescent="0.2">
      <c r="A139" s="10">
        <v>1689</v>
      </c>
      <c r="B139" s="10" t="s">
        <v>2818</v>
      </c>
      <c r="C139" s="9" t="s">
        <v>27</v>
      </c>
      <c r="D139" s="10">
        <v>6.3610768999999998E-2</v>
      </c>
      <c r="E139" s="10">
        <v>6.110993E-2</v>
      </c>
      <c r="F139" s="10">
        <v>-0.10137147000000001</v>
      </c>
      <c r="G139" s="10">
        <v>0.17765481299999999</v>
      </c>
      <c r="H139" s="9">
        <v>5.0251010499999998E-2</v>
      </c>
      <c r="I139" s="10">
        <v>0.11477151906333601</v>
      </c>
      <c r="J139" s="10">
        <v>1.31725015881058E-2</v>
      </c>
      <c r="K139" s="10">
        <v>0.16736514</v>
      </c>
      <c r="L139" s="10">
        <v>0.341468985</v>
      </c>
      <c r="M139" s="10">
        <v>7.6362962000000006E-2</v>
      </c>
      <c r="N139" s="10">
        <v>-5.7313026000000003E-2</v>
      </c>
      <c r="O139" s="9">
        <v>0.13197101524999999</v>
      </c>
      <c r="P139" s="10">
        <v>0.16739459096635201</v>
      </c>
      <c r="Q139" s="10">
        <v>2.8020949084792302E-2</v>
      </c>
    </row>
    <row r="140" spans="1:17" x14ac:dyDescent="0.2">
      <c r="A140" s="10">
        <v>1689</v>
      </c>
      <c r="B140" s="10" t="s">
        <v>2830</v>
      </c>
      <c r="C140" s="9" t="s">
        <v>903</v>
      </c>
      <c r="D140" s="10">
        <v>0.22908152500000001</v>
      </c>
      <c r="E140" s="10">
        <v>-0.16642081</v>
      </c>
      <c r="F140" s="10">
        <v>-0.26751528800000002</v>
      </c>
      <c r="G140" s="10">
        <v>0.15641888300000001</v>
      </c>
      <c r="H140" s="9">
        <v>-1.2108922249999999E-2</v>
      </c>
      <c r="I140" s="10">
        <v>0.241949735381565</v>
      </c>
      <c r="J140" s="10">
        <v>5.8539674451209403E-2</v>
      </c>
      <c r="K140" s="10">
        <v>6.6670510000000002E-3</v>
      </c>
      <c r="L140" s="10">
        <v>0.29548072800000003</v>
      </c>
      <c r="M140" s="10">
        <v>0.136152141</v>
      </c>
      <c r="N140" s="10">
        <v>0.17990246500000001</v>
      </c>
      <c r="O140" s="9">
        <v>0.15455059600000001</v>
      </c>
      <c r="P140" s="10">
        <v>0.119320388583964</v>
      </c>
      <c r="Q140" s="10">
        <v>1.42373551318282E-2</v>
      </c>
    </row>
    <row r="141" spans="1:17" x14ac:dyDescent="0.2">
      <c r="A141" s="10">
        <v>1690</v>
      </c>
      <c r="B141" s="10" t="s">
        <v>2831</v>
      </c>
      <c r="C141" s="9" t="s">
        <v>904</v>
      </c>
      <c r="D141" s="10">
        <v>-0.68440067199999999</v>
      </c>
      <c r="E141" s="10">
        <v>-0.70473728899999999</v>
      </c>
      <c r="F141" s="10">
        <v>-1.267756678</v>
      </c>
      <c r="G141" s="10">
        <v>-6.3752765000000003E-2</v>
      </c>
      <c r="H141" s="9">
        <v>-0.68016185124999995</v>
      </c>
      <c r="I141" s="10">
        <v>0.49188405198002899</v>
      </c>
      <c r="J141" s="10">
        <v>0.24194992059229201</v>
      </c>
      <c r="K141" s="10">
        <v>8.1041395000000002E-2</v>
      </c>
      <c r="L141" s="10">
        <v>0.93759898200000003</v>
      </c>
      <c r="M141" s="10">
        <v>-3.5550396999999997E-2</v>
      </c>
      <c r="N141" s="10">
        <v>0.45125908199999998</v>
      </c>
      <c r="O141" s="9">
        <v>0.35858726549999997</v>
      </c>
      <c r="P141" s="10">
        <v>0.43826127696092099</v>
      </c>
      <c r="Q141" s="10">
        <v>0.192072946883417</v>
      </c>
    </row>
    <row r="142" spans="1:17" x14ac:dyDescent="0.2">
      <c r="A142" s="10">
        <v>1690</v>
      </c>
      <c r="B142" s="10" t="s">
        <v>2822</v>
      </c>
      <c r="C142" s="9" t="s">
        <v>2468</v>
      </c>
      <c r="D142" s="10">
        <v>0.32587054599999998</v>
      </c>
      <c r="E142" s="10">
        <v>-0.15652912399999999</v>
      </c>
      <c r="F142" s="10">
        <v>0.124708686</v>
      </c>
      <c r="G142" s="10">
        <v>0.156752735</v>
      </c>
      <c r="H142" s="9">
        <v>0.11270071075</v>
      </c>
      <c r="I142" s="10">
        <v>0.200009045537238</v>
      </c>
      <c r="J142" s="10">
        <v>4.0003618296717197E-2</v>
      </c>
      <c r="K142" s="10">
        <v>-9.8823381000000002E-2</v>
      </c>
      <c r="L142" s="10">
        <v>0.10884163199999999</v>
      </c>
      <c r="M142" s="10">
        <v>-4.9299322999999999E-2</v>
      </c>
      <c r="N142" s="10">
        <v>-0.146982262</v>
      </c>
      <c r="O142" s="9">
        <v>-4.6565833750000001E-2</v>
      </c>
      <c r="P142" s="10">
        <v>0.111015408362068</v>
      </c>
      <c r="Q142" s="10">
        <v>1.23244208937968E-2</v>
      </c>
    </row>
    <row r="143" spans="1:17" x14ac:dyDescent="0.2">
      <c r="A143" s="10">
        <v>1690</v>
      </c>
      <c r="B143" s="10" t="s">
        <v>2823</v>
      </c>
      <c r="C143" s="9" t="s">
        <v>2641</v>
      </c>
      <c r="D143" s="10">
        <v>-1.590562754</v>
      </c>
      <c r="E143" s="10">
        <v>-0.63317982500000003</v>
      </c>
      <c r="F143" s="10">
        <v>-1.5566935E-2</v>
      </c>
      <c r="G143" s="10">
        <v>-0.20047042300000001</v>
      </c>
      <c r="H143" s="9">
        <v>-0.60994498424999999</v>
      </c>
      <c r="I143" s="10">
        <v>0.70311349247833799</v>
      </c>
      <c r="J143" s="10">
        <v>0.49436858330508499</v>
      </c>
      <c r="K143" s="10">
        <v>0.34388617599999999</v>
      </c>
      <c r="L143" s="10">
        <v>-3.2443837000000003E-2</v>
      </c>
      <c r="M143" s="10">
        <v>-0.84263646699999994</v>
      </c>
      <c r="N143" s="10">
        <v>-0.567157684</v>
      </c>
      <c r="O143" s="9">
        <v>-0.274587953</v>
      </c>
      <c r="P143" s="10">
        <v>0.53210906867882801</v>
      </c>
      <c r="Q143" s="10">
        <v>0.28314006097025002</v>
      </c>
    </row>
    <row r="144" spans="1:17" x14ac:dyDescent="0.2">
      <c r="A144" s="10">
        <v>1690</v>
      </c>
      <c r="B144" s="10" t="s">
        <v>2826</v>
      </c>
      <c r="C144" s="9" t="s">
        <v>2467</v>
      </c>
      <c r="D144" s="10">
        <v>3.9693543999999997E-2</v>
      </c>
      <c r="E144" s="10">
        <v>-0.23126807899999999</v>
      </c>
      <c r="F144" s="10">
        <v>-0.85965458699999997</v>
      </c>
      <c r="G144" s="10">
        <v>-0.211034316</v>
      </c>
      <c r="H144" s="9">
        <v>-0.31556585949999999</v>
      </c>
      <c r="I144" s="10">
        <v>0.383090392532216</v>
      </c>
      <c r="J144" s="10">
        <v>0.14675824885048699</v>
      </c>
      <c r="K144" s="10">
        <v>0.21395555999999999</v>
      </c>
      <c r="L144" s="10">
        <v>6.2796788000000006E-2</v>
      </c>
      <c r="M144" s="10">
        <v>-0.54841172100000002</v>
      </c>
      <c r="N144" s="10">
        <v>-0.20696669300000001</v>
      </c>
      <c r="O144" s="9">
        <v>-0.1196565165</v>
      </c>
      <c r="P144" s="10">
        <v>0.33468408896346202</v>
      </c>
      <c r="Q144" s="10">
        <v>0.11201343940530301</v>
      </c>
    </row>
    <row r="145" spans="1:17" x14ac:dyDescent="0.2">
      <c r="A145" s="10">
        <v>1690</v>
      </c>
      <c r="B145" s="10" t="s">
        <v>79</v>
      </c>
      <c r="C145" s="9" t="s">
        <v>905</v>
      </c>
      <c r="D145" s="10">
        <v>-0.56472749899999997</v>
      </c>
      <c r="E145" s="10">
        <v>-0.81676830199999995</v>
      </c>
      <c r="F145" s="10">
        <v>-0.77864622699999997</v>
      </c>
      <c r="G145" s="10">
        <v>-0.182201533</v>
      </c>
      <c r="H145" s="9">
        <v>-0.58558589024999996</v>
      </c>
      <c r="I145" s="10">
        <v>0.290901823810086</v>
      </c>
      <c r="J145" s="10">
        <v>8.4623871096034503E-2</v>
      </c>
      <c r="K145" s="10">
        <v>5.565253E-3</v>
      </c>
      <c r="L145" s="10">
        <v>-0.70621809999999996</v>
      </c>
      <c r="M145" s="10">
        <v>-0.58750399499999995</v>
      </c>
      <c r="N145" s="10">
        <v>-0.41791565400000003</v>
      </c>
      <c r="O145" s="9">
        <v>-0.42651812374999998</v>
      </c>
      <c r="P145" s="10">
        <v>0.31140465336164203</v>
      </c>
      <c r="Q145" s="10">
        <v>9.6972858135284695E-2</v>
      </c>
    </row>
    <row r="146" spans="1:17" x14ac:dyDescent="0.2">
      <c r="A146" s="10">
        <v>1690</v>
      </c>
      <c r="B146" s="10" t="s">
        <v>2824</v>
      </c>
      <c r="C146" s="9" t="s">
        <v>2466</v>
      </c>
      <c r="D146" s="10">
        <v>0.27162059399999999</v>
      </c>
      <c r="E146" s="10">
        <v>7.0052797E-2</v>
      </c>
      <c r="F146" s="10">
        <v>0.757963579</v>
      </c>
      <c r="G146" s="10">
        <v>0.641479829</v>
      </c>
      <c r="H146" s="9">
        <v>0.43527919975000001</v>
      </c>
      <c r="I146" s="10">
        <v>0.31980117396948998</v>
      </c>
      <c r="J146" s="10">
        <v>0.102272790872264</v>
      </c>
      <c r="K146" s="10">
        <v>0.32046108200000001</v>
      </c>
      <c r="L146" s="10">
        <v>0.58344223200000001</v>
      </c>
      <c r="M146" s="10">
        <v>0.74858085200000002</v>
      </c>
      <c r="N146" s="10">
        <v>0.78965716699999999</v>
      </c>
      <c r="O146" s="9">
        <v>0.6105353335</v>
      </c>
      <c r="P146" s="10">
        <v>0.21293058645679899</v>
      </c>
      <c r="Q146" s="10">
        <v>4.5339434648836698E-2</v>
      </c>
    </row>
    <row r="147" spans="1:17" x14ac:dyDescent="0.2">
      <c r="A147" s="10">
        <v>1690</v>
      </c>
      <c r="B147" s="10" t="s">
        <v>2817</v>
      </c>
      <c r="C147" s="9" t="s">
        <v>906</v>
      </c>
      <c r="D147" s="10">
        <v>-5.3952859999999998E-2</v>
      </c>
      <c r="E147" s="10">
        <v>-0.27122806500000002</v>
      </c>
      <c r="F147" s="10">
        <v>0.21015816500000001</v>
      </c>
      <c r="G147" s="10">
        <v>-0.1678683</v>
      </c>
      <c r="H147" s="9">
        <v>-7.0722765000000007E-2</v>
      </c>
      <c r="I147" s="10">
        <v>0.207215633941956</v>
      </c>
      <c r="J147" s="10">
        <v>4.2938318949966699E-2</v>
      </c>
      <c r="K147" s="10">
        <v>-9.4530578000000004E-2</v>
      </c>
      <c r="L147" s="10">
        <v>-0.129876407</v>
      </c>
      <c r="M147" s="10">
        <v>0.1155982</v>
      </c>
      <c r="N147" s="10">
        <v>-0.61627779000000005</v>
      </c>
      <c r="O147" s="9">
        <v>-0.18127164374999999</v>
      </c>
      <c r="P147" s="10">
        <v>0.309584417271207</v>
      </c>
      <c r="Q147" s="10">
        <v>9.5842511417153303E-2</v>
      </c>
    </row>
    <row r="148" spans="1:17" x14ac:dyDescent="0.2">
      <c r="A148" s="10">
        <v>1690</v>
      </c>
      <c r="B148" s="10" t="s">
        <v>74</v>
      </c>
      <c r="C148" s="9" t="s">
        <v>2465</v>
      </c>
      <c r="D148" s="10">
        <v>0.39499184999999998</v>
      </c>
      <c r="E148" s="10">
        <v>-0.33243533400000003</v>
      </c>
      <c r="F148" s="10">
        <v>0.46720678500000001</v>
      </c>
      <c r="G148" s="10">
        <v>0.36346560900000002</v>
      </c>
      <c r="H148" s="9">
        <v>0.22330722750000001</v>
      </c>
      <c r="I148" s="10">
        <v>0.37303117399619701</v>
      </c>
      <c r="J148" s="10">
        <v>0.13915225677298099</v>
      </c>
      <c r="K148" s="10">
        <v>-0.17481317800000001</v>
      </c>
      <c r="L148" s="10">
        <v>-0.46965152399999999</v>
      </c>
      <c r="M148" s="10">
        <v>0.60139670599999995</v>
      </c>
      <c r="N148" s="10">
        <v>0.47257833999999999</v>
      </c>
      <c r="O148" s="9">
        <v>0.107377586</v>
      </c>
      <c r="P148" s="10">
        <v>0.51316686783216903</v>
      </c>
      <c r="Q148" s="10">
        <v>0.26334023424067898</v>
      </c>
    </row>
    <row r="149" spans="1:17" x14ac:dyDescent="0.2">
      <c r="A149" s="10">
        <v>1690</v>
      </c>
      <c r="B149" s="10" t="s">
        <v>2818</v>
      </c>
      <c r="C149" s="9" t="s">
        <v>908</v>
      </c>
      <c r="D149" s="10">
        <v>-0.674253887</v>
      </c>
      <c r="E149" s="10">
        <v>-1.523845407</v>
      </c>
      <c r="F149" s="10">
        <v>-0.65413605399999997</v>
      </c>
      <c r="G149" s="10">
        <v>-0.46568011500000001</v>
      </c>
      <c r="H149" s="9">
        <v>-0.82947886550000005</v>
      </c>
      <c r="I149" s="10">
        <v>0.47234673715928999</v>
      </c>
      <c r="J149" s="10">
        <v>0.22311144010502701</v>
      </c>
      <c r="K149" s="10">
        <v>-0.33584533999999999</v>
      </c>
      <c r="L149" s="10">
        <v>4.1347243999999998E-2</v>
      </c>
      <c r="M149" s="10">
        <v>-0.127875286</v>
      </c>
      <c r="N149" s="10">
        <v>-0.25518119099999997</v>
      </c>
      <c r="O149" s="9">
        <v>-0.16938864349999999</v>
      </c>
      <c r="P149" s="10">
        <v>0.16452068375290299</v>
      </c>
      <c r="Q149" s="10">
        <v>2.7067055382522701E-2</v>
      </c>
    </row>
    <row r="150" spans="1:17" x14ac:dyDescent="0.2">
      <c r="A150" s="10">
        <v>1690</v>
      </c>
      <c r="B150" s="10" t="s">
        <v>2830</v>
      </c>
      <c r="C150" s="9" t="s">
        <v>2464</v>
      </c>
      <c r="D150" s="10">
        <v>-1.7112072439999999</v>
      </c>
      <c r="E150" s="10">
        <v>-1.286172029</v>
      </c>
      <c r="F150" s="10">
        <v>-0.64507418000000005</v>
      </c>
      <c r="G150" s="10">
        <v>0.24456361600000001</v>
      </c>
      <c r="H150" s="9">
        <v>-0.84947245925000003</v>
      </c>
      <c r="I150" s="10">
        <v>0.85087933809221705</v>
      </c>
      <c r="J150" s="10">
        <v>0.72399564799224903</v>
      </c>
      <c r="K150" s="10">
        <v>-1.9085378829999999</v>
      </c>
      <c r="L150" s="10">
        <v>-0.40461796999999999</v>
      </c>
      <c r="M150" s="10">
        <v>-2.3232781000000001E-2</v>
      </c>
      <c r="N150" s="10">
        <v>2.7227306999999999E-2</v>
      </c>
      <c r="O150" s="9">
        <v>-0.57729033175</v>
      </c>
      <c r="P150" s="10">
        <v>0.90819548782634596</v>
      </c>
      <c r="Q150" s="10">
        <v>0.824819044108136</v>
      </c>
    </row>
    <row r="151" spans="1:17" x14ac:dyDescent="0.2">
      <c r="A151" s="10">
        <v>1691</v>
      </c>
      <c r="B151" s="10" t="s">
        <v>2831</v>
      </c>
      <c r="C151" s="9" t="s">
        <v>909</v>
      </c>
      <c r="D151" s="10">
        <v>-0.93741383099999998</v>
      </c>
      <c r="E151" s="10">
        <v>-1.828977243</v>
      </c>
      <c r="F151" s="10">
        <v>-1.0983788990000001</v>
      </c>
      <c r="G151" s="10">
        <v>-0.72268384399999996</v>
      </c>
      <c r="H151" s="9">
        <v>-1.1468634545</v>
      </c>
      <c r="I151" s="10">
        <v>0.48007897243824299</v>
      </c>
      <c r="J151" s="10">
        <v>0.23047581977735901</v>
      </c>
      <c r="K151" s="10">
        <v>-0.21001070199999999</v>
      </c>
      <c r="L151" s="10">
        <v>-0.35938121899999997</v>
      </c>
      <c r="M151" s="10">
        <v>-0.67268595499999995</v>
      </c>
      <c r="N151" s="10">
        <v>-0.94304896999999999</v>
      </c>
      <c r="O151" s="9">
        <v>-0.54628171125000002</v>
      </c>
      <c r="P151" s="10">
        <v>0.327318538083472</v>
      </c>
      <c r="Q151" s="10">
        <v>0.107137425373101</v>
      </c>
    </row>
    <row r="152" spans="1:17" x14ac:dyDescent="0.2">
      <c r="A152" s="10">
        <v>1691</v>
      </c>
      <c r="B152" s="10" t="s">
        <v>2821</v>
      </c>
      <c r="C152" s="9" t="s">
        <v>2463</v>
      </c>
      <c r="D152" s="10">
        <v>-1.6131889230000001</v>
      </c>
      <c r="E152" s="10">
        <v>-2.422913592</v>
      </c>
      <c r="F152" s="10">
        <v>-1.0890057630000001</v>
      </c>
      <c r="G152" s="10">
        <v>-0.69675561900000005</v>
      </c>
      <c r="H152" s="9">
        <v>-1.45546597425</v>
      </c>
      <c r="I152" s="10">
        <v>0.74627204852866702</v>
      </c>
      <c r="J152" s="10">
        <v>0.556921970415173</v>
      </c>
      <c r="K152" s="10">
        <v>-0.71427766199999998</v>
      </c>
      <c r="L152" s="10">
        <v>-0.42708303600000003</v>
      </c>
      <c r="M152" s="10">
        <v>-4.841575E-2</v>
      </c>
      <c r="N152" s="10">
        <v>-0.69949748099999998</v>
      </c>
      <c r="O152" s="9">
        <v>-0.47231848225</v>
      </c>
      <c r="P152" s="10">
        <v>0.31192644119236201</v>
      </c>
      <c r="Q152" s="10">
        <v>9.7298104714932304E-2</v>
      </c>
    </row>
    <row r="153" spans="1:17" x14ac:dyDescent="0.2">
      <c r="A153" s="10">
        <v>1691</v>
      </c>
      <c r="B153" s="10" t="s">
        <v>2834</v>
      </c>
      <c r="C153" s="9" t="s">
        <v>2462</v>
      </c>
      <c r="D153" s="10">
        <v>-1.4325206850000001</v>
      </c>
      <c r="E153" s="10">
        <v>-1.902892528</v>
      </c>
      <c r="F153" s="10">
        <v>-1.228035626</v>
      </c>
      <c r="G153" s="10">
        <v>-1.5247256339999999</v>
      </c>
      <c r="H153" s="9">
        <v>-1.5220436180000001</v>
      </c>
      <c r="I153" s="10">
        <v>0.28255273274842302</v>
      </c>
      <c r="J153" s="10">
        <v>7.9836046783602205E-2</v>
      </c>
      <c r="K153" s="10">
        <v>4.9729848E-2</v>
      </c>
      <c r="L153" s="10">
        <v>-7.9841002999999994E-2</v>
      </c>
      <c r="M153" s="10">
        <v>-0.23025243200000001</v>
      </c>
      <c r="N153" s="10">
        <v>-0.75978744200000004</v>
      </c>
      <c r="O153" s="9">
        <v>-0.25503775725</v>
      </c>
      <c r="P153" s="10">
        <v>0.35541700977515001</v>
      </c>
      <c r="Q153" s="10">
        <v>0.126321250837509</v>
      </c>
    </row>
    <row r="154" spans="1:17" x14ac:dyDescent="0.2">
      <c r="A154" s="10">
        <v>1691</v>
      </c>
      <c r="B154" s="10" t="s">
        <v>2832</v>
      </c>
      <c r="C154" s="9" t="s">
        <v>2460</v>
      </c>
      <c r="D154" s="10">
        <v>-1.493818683</v>
      </c>
      <c r="E154" s="10">
        <v>-1.5579929509999999</v>
      </c>
      <c r="F154" s="10">
        <v>-1.5478898139999999</v>
      </c>
      <c r="G154" s="10">
        <v>-1.109318225</v>
      </c>
      <c r="H154" s="9">
        <v>-1.4272549182500001</v>
      </c>
      <c r="I154" s="10">
        <v>0.21382211218081201</v>
      </c>
      <c r="J154" s="10">
        <v>4.5719895657463698E-2</v>
      </c>
      <c r="K154" s="10">
        <v>-0.30226960800000002</v>
      </c>
      <c r="L154" s="10">
        <v>0.13149269299999999</v>
      </c>
      <c r="M154" s="10">
        <v>-0.50227568600000005</v>
      </c>
      <c r="N154" s="10">
        <v>-0.50769239399999999</v>
      </c>
      <c r="O154" s="9">
        <v>-0.29518624900000001</v>
      </c>
      <c r="P154" s="10">
        <v>0.300083316264389</v>
      </c>
      <c r="Q154" s="10">
        <v>9.0049996700233406E-2</v>
      </c>
    </row>
    <row r="155" spans="1:17" x14ac:dyDescent="0.2">
      <c r="A155" s="10">
        <v>1692</v>
      </c>
      <c r="B155" s="10" t="s">
        <v>2831</v>
      </c>
      <c r="C155" s="9" t="s">
        <v>910</v>
      </c>
      <c r="D155" s="10">
        <v>-1.240001718</v>
      </c>
      <c r="E155" s="10">
        <v>-1.553154704</v>
      </c>
      <c r="F155" s="10">
        <v>-0.79500711300000004</v>
      </c>
      <c r="G155" s="10">
        <v>-0.836828672</v>
      </c>
      <c r="H155" s="9">
        <v>-1.10624805175</v>
      </c>
      <c r="I155" s="10">
        <v>0.35919972308799403</v>
      </c>
      <c r="J155" s="10">
        <v>0.129024441066491</v>
      </c>
      <c r="K155" s="10">
        <v>-0.20503896799999999</v>
      </c>
      <c r="L155" s="10">
        <v>-0.25186319699999998</v>
      </c>
      <c r="M155" s="10">
        <v>-0.10385578600000001</v>
      </c>
      <c r="N155" s="10">
        <v>-0.42683868699999999</v>
      </c>
      <c r="O155" s="9">
        <v>-0.24689915925</v>
      </c>
      <c r="P155" s="10">
        <v>0.13492782954836899</v>
      </c>
      <c r="Q155" s="10">
        <v>1.8205519186633899E-2</v>
      </c>
    </row>
    <row r="156" spans="1:17" x14ac:dyDescent="0.2">
      <c r="A156" s="10">
        <v>1692</v>
      </c>
      <c r="B156" s="10" t="s">
        <v>2819</v>
      </c>
      <c r="C156" s="9" t="s">
        <v>912</v>
      </c>
      <c r="D156" s="10">
        <v>-0.61437014099999998</v>
      </c>
      <c r="E156" s="10">
        <v>-0.65501274700000001</v>
      </c>
      <c r="F156" s="10">
        <v>-1.192625928</v>
      </c>
      <c r="G156" s="10">
        <v>-0.59063441299999997</v>
      </c>
      <c r="H156" s="9">
        <v>-0.76316080725000002</v>
      </c>
      <c r="I156" s="10">
        <v>0.28754148219730802</v>
      </c>
      <c r="J156" s="10">
        <v>8.2680103984224998E-2</v>
      </c>
      <c r="K156" s="10">
        <v>-0.144129005</v>
      </c>
      <c r="L156" s="10">
        <v>-0.27189506600000002</v>
      </c>
      <c r="M156" s="10">
        <v>-0.19389880900000001</v>
      </c>
      <c r="N156" s="10">
        <v>-0.34648023900000002</v>
      </c>
      <c r="O156" s="9">
        <v>-0.23910077974999999</v>
      </c>
      <c r="P156" s="10">
        <v>8.8823175726304507E-2</v>
      </c>
      <c r="Q156" s="10">
        <v>7.8895565461059008E-3</v>
      </c>
    </row>
    <row r="157" spans="1:17" x14ac:dyDescent="0.2">
      <c r="A157" s="10">
        <v>1692</v>
      </c>
      <c r="B157" s="10" t="s">
        <v>2820</v>
      </c>
      <c r="C157" s="9" t="s">
        <v>914</v>
      </c>
      <c r="D157" s="10">
        <v>-1.275355383</v>
      </c>
      <c r="E157" s="10">
        <v>-1.355825726</v>
      </c>
      <c r="F157" s="10">
        <v>-1.3355245389999999</v>
      </c>
      <c r="G157" s="10">
        <v>-0.90421502399999998</v>
      </c>
      <c r="H157" s="9">
        <v>-1.2177301682499999</v>
      </c>
      <c r="I157" s="10">
        <v>0.211784723953164</v>
      </c>
      <c r="J157" s="10">
        <v>4.4852769299917897E-2</v>
      </c>
      <c r="K157" s="10">
        <v>-6.7795545999999998E-2</v>
      </c>
      <c r="L157" s="10">
        <v>-0.251417524</v>
      </c>
      <c r="M157" s="10">
        <v>-0.42409197500000001</v>
      </c>
      <c r="N157" s="10">
        <v>-0.60680203799999999</v>
      </c>
      <c r="O157" s="9">
        <v>-0.33752677050000002</v>
      </c>
      <c r="P157" s="10">
        <v>0.23106452210035</v>
      </c>
      <c r="Q157" s="10">
        <v>5.3390813373463498E-2</v>
      </c>
    </row>
    <row r="158" spans="1:17" x14ac:dyDescent="0.2">
      <c r="A158" s="10">
        <v>1692</v>
      </c>
      <c r="B158" s="10" t="s">
        <v>2824</v>
      </c>
      <c r="C158" s="9" t="s">
        <v>915</v>
      </c>
      <c r="D158" s="10">
        <v>-1.1364876699999999</v>
      </c>
      <c r="E158" s="10">
        <v>-1.259450948</v>
      </c>
      <c r="F158" s="10">
        <v>-1.011789104</v>
      </c>
      <c r="G158" s="10">
        <v>-0.72780700499999995</v>
      </c>
      <c r="H158" s="9">
        <v>-1.0338836819999999</v>
      </c>
      <c r="I158" s="10">
        <v>0.22772737533037099</v>
      </c>
      <c r="J158" s="10">
        <v>5.18597574748597E-2</v>
      </c>
      <c r="K158" s="10">
        <v>6.0023756999999997E-2</v>
      </c>
      <c r="L158" s="10">
        <v>-0.26993437199999998</v>
      </c>
      <c r="M158" s="10">
        <v>-2.4033124999999999E-2</v>
      </c>
      <c r="N158" s="10">
        <v>0.23869593</v>
      </c>
      <c r="O158" s="9">
        <v>1.1880477500000001E-3</v>
      </c>
      <c r="P158" s="10">
        <v>0.21135681430526501</v>
      </c>
      <c r="Q158" s="10">
        <v>4.4671702953270297E-2</v>
      </c>
    </row>
    <row r="159" spans="1:17" x14ac:dyDescent="0.2">
      <c r="A159" s="10">
        <v>1692</v>
      </c>
      <c r="B159" s="10" t="s">
        <v>2825</v>
      </c>
      <c r="C159" s="9" t="s">
        <v>2459</v>
      </c>
      <c r="D159" s="10">
        <v>-0.83867575699999997</v>
      </c>
      <c r="E159" s="10">
        <v>-1.5135343800000001</v>
      </c>
      <c r="F159" s="10">
        <v>-0.95972769599999996</v>
      </c>
      <c r="G159" s="10">
        <v>-0.88367936499999999</v>
      </c>
      <c r="H159" s="9">
        <v>-1.0489042995</v>
      </c>
      <c r="I159" s="10">
        <v>0.31375622032582101</v>
      </c>
      <c r="J159" s="10">
        <v>9.8442965793145404E-2</v>
      </c>
      <c r="K159" s="10">
        <v>-5.4936216000000003E-2</v>
      </c>
      <c r="L159" s="10">
        <v>-0.31941103500000001</v>
      </c>
      <c r="M159" s="10">
        <v>-0.171431361</v>
      </c>
      <c r="N159" s="10">
        <v>-0.38116313699999999</v>
      </c>
      <c r="O159" s="9">
        <v>-0.2317354375</v>
      </c>
      <c r="P159" s="10">
        <v>0.14709429417935499</v>
      </c>
      <c r="Q159" s="10">
        <v>2.16367313801227E-2</v>
      </c>
    </row>
    <row r="160" spans="1:17" x14ac:dyDescent="0.2">
      <c r="A160" s="10">
        <v>1692</v>
      </c>
      <c r="B160" s="10" t="s">
        <v>2818</v>
      </c>
      <c r="C160" s="9" t="s">
        <v>2457</v>
      </c>
      <c r="D160" s="10">
        <v>-0.158948272</v>
      </c>
      <c r="E160" s="10">
        <v>-0.26345825499999997</v>
      </c>
      <c r="F160" s="10">
        <v>-0.20051342899999999</v>
      </c>
      <c r="G160" s="10">
        <v>-0.55597991199999997</v>
      </c>
      <c r="H160" s="9">
        <v>-0.294724967</v>
      </c>
      <c r="I160" s="10">
        <v>0.17939052219825899</v>
      </c>
      <c r="J160" s="10">
        <v>3.2180959454564097E-2</v>
      </c>
      <c r="K160" s="10">
        <v>2.3932966E-2</v>
      </c>
      <c r="L160" s="10">
        <v>0.17262397099999999</v>
      </c>
      <c r="M160" s="10">
        <v>-0.35653759899999998</v>
      </c>
      <c r="N160" s="10">
        <v>-6.7203206000000001E-2</v>
      </c>
      <c r="O160" s="9">
        <v>-5.6795967000000003E-2</v>
      </c>
      <c r="P160" s="10">
        <v>0.22293797728880299</v>
      </c>
      <c r="Q160" s="10">
        <v>4.9701341717622902E-2</v>
      </c>
    </row>
    <row r="161" spans="1:17" x14ac:dyDescent="0.2">
      <c r="A161" s="10">
        <v>1692</v>
      </c>
      <c r="B161" s="10" t="s">
        <v>2832</v>
      </c>
      <c r="C161" s="9" t="s">
        <v>916</v>
      </c>
      <c r="D161" s="10">
        <v>-1.208651801</v>
      </c>
      <c r="E161" s="10">
        <v>-1.0986076680000001</v>
      </c>
      <c r="F161" s="10">
        <v>-1.1602289939999999</v>
      </c>
      <c r="G161" s="10">
        <v>-0.918569266</v>
      </c>
      <c r="H161" s="9">
        <v>-1.09651443225</v>
      </c>
      <c r="I161" s="10">
        <v>0.12688997685240699</v>
      </c>
      <c r="J161" s="10">
        <v>1.61010662256044E-2</v>
      </c>
      <c r="K161" s="10">
        <v>-6.3659278E-2</v>
      </c>
      <c r="L161" s="10">
        <v>-7.2482857999999997E-2</v>
      </c>
      <c r="M161" s="10">
        <v>-0.809452756</v>
      </c>
      <c r="N161" s="10">
        <v>-0.74457341600000004</v>
      </c>
      <c r="O161" s="9">
        <v>-0.42254207700000002</v>
      </c>
      <c r="P161" s="10">
        <v>0.41017978864856203</v>
      </c>
      <c r="Q161" s="10">
        <v>0.16824745901577901</v>
      </c>
    </row>
    <row r="162" spans="1:17" x14ac:dyDescent="0.2">
      <c r="A162" s="10">
        <v>1693</v>
      </c>
      <c r="B162" s="10" t="s">
        <v>2831</v>
      </c>
      <c r="C162" s="9" t="s">
        <v>2456</v>
      </c>
      <c r="D162" s="10">
        <v>-0.45133944199999998</v>
      </c>
      <c r="E162" s="10">
        <v>-1.3618126100000001</v>
      </c>
      <c r="F162" s="10">
        <v>-0.699322624</v>
      </c>
      <c r="G162" s="10">
        <v>-0.68973496499999998</v>
      </c>
      <c r="H162" s="9">
        <v>-0.80055240999999999</v>
      </c>
      <c r="I162" s="10">
        <v>0.39136116517156799</v>
      </c>
      <c r="J162" s="10">
        <v>0.153163561604447</v>
      </c>
      <c r="K162" s="10">
        <v>-6.0859091999999997E-2</v>
      </c>
      <c r="L162" s="10">
        <v>-5.8659899999999997E-3</v>
      </c>
      <c r="M162" s="10">
        <v>-0.26553792900000001</v>
      </c>
      <c r="N162" s="10">
        <v>-0.51836884999999999</v>
      </c>
      <c r="O162" s="9">
        <v>-0.212657965</v>
      </c>
      <c r="P162" s="10">
        <v>0.23242292956920499</v>
      </c>
      <c r="Q162" s="10">
        <v>5.4020418189531703E-2</v>
      </c>
    </row>
    <row r="163" spans="1:17" x14ac:dyDescent="0.2">
      <c r="A163" s="10">
        <v>1693</v>
      </c>
      <c r="B163" s="10" t="s">
        <v>2823</v>
      </c>
      <c r="C163" s="9" t="s">
        <v>917</v>
      </c>
      <c r="D163" s="10">
        <v>-7.3274163000000003E-2</v>
      </c>
      <c r="E163" s="10">
        <v>-0.51201289299999997</v>
      </c>
      <c r="F163" s="10">
        <v>-0.12907059500000001</v>
      </c>
      <c r="G163" s="10">
        <v>-0.95026406500000005</v>
      </c>
      <c r="H163" s="9">
        <v>-0.41615542900000002</v>
      </c>
      <c r="I163" s="10">
        <v>0.40597452832284198</v>
      </c>
      <c r="J163" s="10">
        <v>0.16481531764695401</v>
      </c>
      <c r="K163" s="10">
        <v>-0.60044970600000003</v>
      </c>
      <c r="L163" s="10">
        <v>-0.107210457</v>
      </c>
      <c r="M163" s="10">
        <v>2.4836542E-2</v>
      </c>
      <c r="N163" s="10">
        <v>-0.84190167000000005</v>
      </c>
      <c r="O163" s="9">
        <v>-0.38118132275</v>
      </c>
      <c r="P163" s="10">
        <v>0.40835132098034699</v>
      </c>
      <c r="Q163" s="10">
        <v>0.166750801346394</v>
      </c>
    </row>
    <row r="164" spans="1:17" x14ac:dyDescent="0.2">
      <c r="A164" s="10">
        <v>1693</v>
      </c>
      <c r="B164" s="10" t="s">
        <v>2819</v>
      </c>
      <c r="C164" s="9" t="s">
        <v>2455</v>
      </c>
      <c r="D164" s="10">
        <v>-4.6301731999999998E-2</v>
      </c>
      <c r="E164" s="10">
        <v>-5.8196341999999998E-2</v>
      </c>
      <c r="F164" s="10">
        <v>-0.30608497400000001</v>
      </c>
      <c r="G164" s="10">
        <v>-0.22122503399999999</v>
      </c>
      <c r="H164" s="9">
        <v>-0.15795202050000001</v>
      </c>
      <c r="I164" s="10">
        <v>0.12696958752017801</v>
      </c>
      <c r="J164" s="10">
        <v>1.6121276155044301E-2</v>
      </c>
      <c r="K164" s="10">
        <v>0.37581590399999998</v>
      </c>
      <c r="L164" s="10">
        <v>0.77233165699999995</v>
      </c>
      <c r="M164" s="10">
        <v>0.58828554</v>
      </c>
      <c r="N164" s="10">
        <v>3.8217195000000002E-2</v>
      </c>
      <c r="O164" s="9">
        <v>0.44366257375000001</v>
      </c>
      <c r="P164" s="10">
        <v>0.31513398970239098</v>
      </c>
      <c r="Q164" s="10">
        <v>9.9309431465746806E-2</v>
      </c>
    </row>
    <row r="165" spans="1:17" x14ac:dyDescent="0.2">
      <c r="A165" s="10">
        <v>1693</v>
      </c>
      <c r="B165" s="10" t="s">
        <v>2826</v>
      </c>
      <c r="C165" s="9" t="s">
        <v>918</v>
      </c>
      <c r="D165" s="10">
        <v>0.46019431300000002</v>
      </c>
      <c r="E165" s="10">
        <v>-2.8748349999999999E-2</v>
      </c>
      <c r="F165" s="10">
        <v>-0.55218447400000004</v>
      </c>
      <c r="G165" s="10">
        <v>-0.28424654799999999</v>
      </c>
      <c r="H165" s="9">
        <v>-0.1012462645</v>
      </c>
      <c r="I165" s="10">
        <v>0.43100883294062903</v>
      </c>
      <c r="J165" s="10">
        <v>0.18576861407284301</v>
      </c>
      <c r="K165" s="10">
        <v>-0.52514118600000004</v>
      </c>
      <c r="L165" s="10">
        <v>0.10556729099999999</v>
      </c>
      <c r="M165" s="10">
        <v>-0.38898621</v>
      </c>
      <c r="N165" s="10">
        <v>-0.83111452399999997</v>
      </c>
      <c r="O165" s="9">
        <v>-0.40991865700000002</v>
      </c>
      <c r="P165" s="10">
        <v>0.39023331460802702</v>
      </c>
      <c r="Q165" s="10">
        <v>0.15228203982996799</v>
      </c>
    </row>
    <row r="166" spans="1:17" x14ac:dyDescent="0.2">
      <c r="A166" s="10">
        <v>1693</v>
      </c>
      <c r="B166" s="10" t="s">
        <v>2834</v>
      </c>
      <c r="C166" s="9" t="s">
        <v>919</v>
      </c>
      <c r="D166" s="10">
        <v>-0.324403214</v>
      </c>
      <c r="E166" s="10">
        <v>0.14770135700000001</v>
      </c>
      <c r="F166" s="10">
        <v>-0.55944379600000005</v>
      </c>
      <c r="G166" s="10">
        <v>-0.80779181</v>
      </c>
      <c r="H166" s="9">
        <v>-0.38598436549999998</v>
      </c>
      <c r="I166" s="10">
        <v>0.40686704744319002</v>
      </c>
      <c r="J166" s="10">
        <v>0.16554079429513899</v>
      </c>
      <c r="K166" s="10">
        <v>-8.3497507999999998E-2</v>
      </c>
      <c r="L166" s="10">
        <v>-0.82273292099999995</v>
      </c>
      <c r="M166" s="10">
        <v>-0.57783128399999995</v>
      </c>
      <c r="N166" s="10">
        <v>-1.4778606809999999</v>
      </c>
      <c r="O166" s="9">
        <v>-0.74048059850000003</v>
      </c>
      <c r="P166" s="10">
        <v>0.57982078016533101</v>
      </c>
      <c r="Q166" s="10">
        <v>0.33619213711153301</v>
      </c>
    </row>
    <row r="167" spans="1:17" x14ac:dyDescent="0.2">
      <c r="A167" s="10">
        <v>1693</v>
      </c>
      <c r="B167" s="10" t="s">
        <v>79</v>
      </c>
      <c r="C167" s="9" t="s">
        <v>920</v>
      </c>
      <c r="D167" s="10">
        <v>0.19122620400000001</v>
      </c>
      <c r="E167" s="10">
        <v>-0.39205585700000001</v>
      </c>
      <c r="F167" s="10">
        <v>0.206311935</v>
      </c>
      <c r="G167" s="10">
        <v>0.41380510300000001</v>
      </c>
      <c r="H167" s="9">
        <v>0.10482184625</v>
      </c>
      <c r="I167" s="10">
        <v>0.34646984288751798</v>
      </c>
      <c r="J167" s="10">
        <v>0.12004135203050099</v>
      </c>
      <c r="K167" s="10">
        <v>0.37241164700000001</v>
      </c>
      <c r="L167" s="10">
        <v>8.8022496000000006E-2</v>
      </c>
      <c r="M167" s="10">
        <v>-0.771722464</v>
      </c>
      <c r="N167" s="10">
        <v>-4.3046757999999997E-2</v>
      </c>
      <c r="O167" s="9">
        <v>-8.8583769749999999E-2</v>
      </c>
      <c r="P167" s="10">
        <v>0.48732557303011098</v>
      </c>
      <c r="Q167" s="10">
        <v>0.23748621412912599</v>
      </c>
    </row>
    <row r="168" spans="1:17" x14ac:dyDescent="0.2">
      <c r="A168" s="10">
        <v>1693</v>
      </c>
      <c r="B168" s="10" t="s">
        <v>2820</v>
      </c>
      <c r="C168" s="9" t="s">
        <v>2454</v>
      </c>
      <c r="D168" s="10">
        <v>-6.3469646000000005E-2</v>
      </c>
      <c r="E168" s="10">
        <v>-0.21063642199999999</v>
      </c>
      <c r="F168" s="10">
        <v>-7.8481396999999994E-2</v>
      </c>
      <c r="G168" s="10">
        <v>-8.0457327999999995E-2</v>
      </c>
      <c r="H168" s="9">
        <v>-0.108261198</v>
      </c>
      <c r="I168" s="10">
        <v>6.8670375355013594E-2</v>
      </c>
      <c r="J168" s="10">
        <v>4.7156204513983998E-3</v>
      </c>
      <c r="K168" s="10">
        <v>-1.5237606000000001E-2</v>
      </c>
      <c r="L168" s="10">
        <v>7.1356216E-2</v>
      </c>
      <c r="M168" s="10">
        <v>-0.113810099</v>
      </c>
      <c r="N168" s="10">
        <v>-2.1764670000000001E-3</v>
      </c>
      <c r="O168" s="9">
        <v>-1.4966989E-2</v>
      </c>
      <c r="P168" s="10">
        <v>7.6125612865704295E-2</v>
      </c>
      <c r="Q168" s="10">
        <v>5.795108934179E-3</v>
      </c>
    </row>
    <row r="169" spans="1:17" x14ac:dyDescent="0.2">
      <c r="A169" s="10">
        <v>1693</v>
      </c>
      <c r="B169" s="10" t="s">
        <v>2824</v>
      </c>
      <c r="C169" s="9" t="s">
        <v>2453</v>
      </c>
      <c r="D169" s="10">
        <v>-0.204811518</v>
      </c>
      <c r="E169" s="10">
        <v>-7.5415684999999996E-2</v>
      </c>
      <c r="F169" s="10">
        <v>-2.2175865999999999E-2</v>
      </c>
      <c r="G169" s="10">
        <v>-0.19456530699999999</v>
      </c>
      <c r="H169" s="9">
        <v>-0.124242094</v>
      </c>
      <c r="I169" s="10">
        <v>8.9885704247706297E-2</v>
      </c>
      <c r="J169" s="10">
        <v>8.0794398281061001E-3</v>
      </c>
      <c r="K169" s="10">
        <v>4.2075508999999997E-2</v>
      </c>
      <c r="L169" s="10">
        <v>0.19132816799999999</v>
      </c>
      <c r="M169" s="10">
        <v>-0.36019161300000002</v>
      </c>
      <c r="N169" s="10">
        <v>-0.14468175599999999</v>
      </c>
      <c r="O169" s="9">
        <v>-6.7867423250000003E-2</v>
      </c>
      <c r="P169" s="10">
        <v>0.23848387541857399</v>
      </c>
      <c r="Q169" s="10">
        <v>5.6874558834662199E-2</v>
      </c>
    </row>
    <row r="170" spans="1:17" x14ac:dyDescent="0.2">
      <c r="A170" s="10">
        <v>1693</v>
      </c>
      <c r="B170" s="10" t="s">
        <v>2817</v>
      </c>
      <c r="C170" s="9" t="s">
        <v>2452</v>
      </c>
      <c r="D170" s="10">
        <v>7.0005599000000002E-2</v>
      </c>
      <c r="E170" s="10">
        <v>0.14348260099999999</v>
      </c>
      <c r="F170" s="10">
        <v>-0.53191468799999997</v>
      </c>
      <c r="G170" s="10">
        <v>-0.30083543699999998</v>
      </c>
      <c r="H170" s="9">
        <v>-0.154815481</v>
      </c>
      <c r="I170" s="10">
        <v>0.31783219010850899</v>
      </c>
      <c r="J170" s="10">
        <v>0.10101730106917101</v>
      </c>
      <c r="K170" s="10">
        <v>8.0379256999999996E-2</v>
      </c>
      <c r="L170" s="10">
        <v>-0.55753996100000003</v>
      </c>
      <c r="M170" s="10">
        <v>-0.39792011399999999</v>
      </c>
      <c r="N170" s="10">
        <v>-1.3628741999999999E-2</v>
      </c>
      <c r="O170" s="9">
        <v>-0.22217738975000001</v>
      </c>
      <c r="P170" s="10">
        <v>0.30462360506761998</v>
      </c>
      <c r="Q170" s="10">
        <v>9.2795540764393503E-2</v>
      </c>
    </row>
    <row r="171" spans="1:17" x14ac:dyDescent="0.2">
      <c r="A171" s="10">
        <v>1693</v>
      </c>
      <c r="B171" s="10" t="s">
        <v>2825</v>
      </c>
      <c r="C171" s="9" t="s">
        <v>921</v>
      </c>
      <c r="D171" s="10">
        <v>0.24016633600000001</v>
      </c>
      <c r="E171" s="10">
        <v>-0.49319051699999999</v>
      </c>
      <c r="F171" s="10">
        <v>-1.0386736299999999</v>
      </c>
      <c r="G171" s="10">
        <v>9.6806267000000001E-2</v>
      </c>
      <c r="H171" s="9">
        <v>-0.29872288575</v>
      </c>
      <c r="I171" s="10">
        <v>0.58656902620622797</v>
      </c>
      <c r="J171" s="10">
        <v>0.34406322250452198</v>
      </c>
      <c r="K171" s="10">
        <v>0.20124699700000001</v>
      </c>
      <c r="L171" s="10">
        <v>0.42800962799999998</v>
      </c>
      <c r="M171" s="10">
        <v>-0.218858256</v>
      </c>
      <c r="N171" s="10">
        <v>-0.80724290300000001</v>
      </c>
      <c r="O171" s="9">
        <v>-9.9211133500000007E-2</v>
      </c>
      <c r="P171" s="10">
        <v>0.54278947425437596</v>
      </c>
      <c r="Q171" s="10">
        <v>0.29462041336134198</v>
      </c>
    </row>
    <row r="172" spans="1:17" x14ac:dyDescent="0.2">
      <c r="A172" s="10">
        <v>1693</v>
      </c>
      <c r="B172" s="10" t="s">
        <v>74</v>
      </c>
      <c r="C172" s="9" t="s">
        <v>922</v>
      </c>
      <c r="D172" s="10">
        <v>0.30783676300000001</v>
      </c>
      <c r="E172" s="10">
        <v>0.16079517300000001</v>
      </c>
      <c r="F172" s="10">
        <v>0.29745935499999998</v>
      </c>
      <c r="G172" s="10">
        <v>0.42193576100000002</v>
      </c>
      <c r="H172" s="9">
        <v>0.29700676300000001</v>
      </c>
      <c r="I172" s="10">
        <v>0.10689300808305199</v>
      </c>
      <c r="J172" s="10">
        <v>1.14261151770435E-2</v>
      </c>
      <c r="K172" s="10">
        <v>0.134632274</v>
      </c>
      <c r="L172" s="10">
        <v>-5.1096809E-2</v>
      </c>
      <c r="M172" s="10">
        <v>0.50242112500000002</v>
      </c>
      <c r="N172" s="10">
        <v>1.0575310449999999</v>
      </c>
      <c r="O172" s="9">
        <v>0.41087190899999998</v>
      </c>
      <c r="P172" s="10">
        <v>0.488628260022544</v>
      </c>
      <c r="Q172" s="10">
        <v>0.238757576492659</v>
      </c>
    </row>
    <row r="173" spans="1:17" x14ac:dyDescent="0.2">
      <c r="A173" s="10">
        <v>1693</v>
      </c>
      <c r="B173" s="10" t="s">
        <v>2818</v>
      </c>
      <c r="C173" s="9" t="s">
        <v>923</v>
      </c>
      <c r="D173" s="10">
        <v>5.1889123000000002E-2</v>
      </c>
      <c r="E173" s="10">
        <v>-5.8307487999999998E-2</v>
      </c>
      <c r="F173" s="10">
        <v>-0.37118965100000001</v>
      </c>
      <c r="G173" s="10">
        <v>-0.58010353000000003</v>
      </c>
      <c r="H173" s="9">
        <v>-0.23942788649999999</v>
      </c>
      <c r="I173" s="10">
        <v>0.289304485179608</v>
      </c>
      <c r="J173" s="10">
        <v>8.3697085145038097E-2</v>
      </c>
      <c r="K173" s="10">
        <v>5.9096931999999998E-2</v>
      </c>
      <c r="L173" s="10">
        <v>0.25648209100000002</v>
      </c>
      <c r="M173" s="10">
        <v>-0.25629713900000001</v>
      </c>
      <c r="N173" s="10">
        <v>-0.28269587400000001</v>
      </c>
      <c r="O173" s="9">
        <v>-5.5853497500000002E-2</v>
      </c>
      <c r="P173" s="10">
        <v>0.25974489939157802</v>
      </c>
      <c r="Q173" s="10">
        <v>6.7467412759941295E-2</v>
      </c>
    </row>
    <row r="174" spans="1:17" x14ac:dyDescent="0.2">
      <c r="A174" s="10">
        <v>1693</v>
      </c>
      <c r="B174" s="10" t="s">
        <v>2830</v>
      </c>
      <c r="C174" s="9" t="s">
        <v>924</v>
      </c>
      <c r="D174" s="10">
        <v>-0.41354755199999998</v>
      </c>
      <c r="E174" s="10">
        <v>-0.50996253999999996</v>
      </c>
      <c r="F174" s="10">
        <v>-0.63364976200000001</v>
      </c>
      <c r="G174" s="10">
        <v>-0.94335260499999996</v>
      </c>
      <c r="H174" s="9">
        <v>-0.62512811499999998</v>
      </c>
      <c r="I174" s="10">
        <v>0.230484192377575</v>
      </c>
      <c r="J174" s="10">
        <v>5.3122962935943402E-2</v>
      </c>
      <c r="K174" s="10">
        <v>-0.30520287600000001</v>
      </c>
      <c r="L174" s="10">
        <v>-0.42537443600000002</v>
      </c>
      <c r="M174" s="10">
        <v>-0.737692397</v>
      </c>
      <c r="N174" s="10">
        <v>7.8688567000000001E-2</v>
      </c>
      <c r="O174" s="9">
        <v>-0.34739528549999998</v>
      </c>
      <c r="P174" s="10">
        <v>0.33751060819802498</v>
      </c>
      <c r="Q174" s="10">
        <v>0.1139134106462</v>
      </c>
    </row>
    <row r="175" spans="1:17" x14ac:dyDescent="0.2">
      <c r="A175" s="10">
        <v>1694</v>
      </c>
      <c r="B175" s="10" t="s">
        <v>2831</v>
      </c>
      <c r="C175" s="9" t="s">
        <v>925</v>
      </c>
      <c r="D175" s="10">
        <v>-0.84208671300000004</v>
      </c>
      <c r="E175" s="10">
        <v>-1.502910357</v>
      </c>
      <c r="F175" s="10">
        <v>-0.72823036100000005</v>
      </c>
      <c r="G175" s="10">
        <v>-0.82706997900000001</v>
      </c>
      <c r="H175" s="9">
        <v>-0.97507435249999996</v>
      </c>
      <c r="I175" s="10">
        <v>0.35549674664291198</v>
      </c>
      <c r="J175" s="10">
        <v>0.126377936873695</v>
      </c>
      <c r="K175" s="10">
        <v>-7.5544470000000002E-2</v>
      </c>
      <c r="L175" s="10">
        <v>-0.22003789000000001</v>
      </c>
      <c r="M175" s="10">
        <v>-0.19685702099999999</v>
      </c>
      <c r="N175" s="10">
        <v>-6.8944674999999997E-2</v>
      </c>
      <c r="O175" s="9">
        <v>-0.14034601399999999</v>
      </c>
      <c r="P175" s="10">
        <v>7.9249984917622696E-2</v>
      </c>
      <c r="Q175" s="10">
        <v>6.2805601094433998E-3</v>
      </c>
    </row>
    <row r="176" spans="1:17" x14ac:dyDescent="0.2">
      <c r="A176" s="10">
        <v>1694</v>
      </c>
      <c r="B176" s="10" t="s">
        <v>2822</v>
      </c>
      <c r="C176" s="9" t="s">
        <v>926</v>
      </c>
      <c r="D176" s="10">
        <v>0.12886081399999999</v>
      </c>
      <c r="E176" s="10">
        <v>-0.399528149</v>
      </c>
      <c r="F176" s="10">
        <v>0.31583725200000001</v>
      </c>
      <c r="G176" s="10">
        <v>0.11712442200000001</v>
      </c>
      <c r="H176" s="9">
        <v>4.0573584750000002E-2</v>
      </c>
      <c r="I176" s="10">
        <v>0.30719933164531898</v>
      </c>
      <c r="J176" s="10">
        <v>9.4371429363330803E-2</v>
      </c>
      <c r="K176" s="10">
        <v>0.657678765</v>
      </c>
      <c r="L176" s="10">
        <v>0.246526151</v>
      </c>
      <c r="M176" s="10">
        <v>0.23996472099999999</v>
      </c>
      <c r="N176" s="10">
        <v>-0.16484601900000001</v>
      </c>
      <c r="O176" s="9">
        <v>0.24483090425000001</v>
      </c>
      <c r="P176" s="10">
        <v>0.33581001135086402</v>
      </c>
      <c r="Q176" s="10">
        <v>0.112768363723467</v>
      </c>
    </row>
    <row r="177" spans="1:17" x14ac:dyDescent="0.2">
      <c r="A177" s="10">
        <v>1694</v>
      </c>
      <c r="B177" s="10" t="s">
        <v>2834</v>
      </c>
      <c r="C177" s="9" t="s">
        <v>927</v>
      </c>
      <c r="D177" s="10">
        <v>0.30730590000000002</v>
      </c>
      <c r="E177" s="10">
        <v>0.79315355700000001</v>
      </c>
      <c r="F177" s="10">
        <v>0.67338321400000001</v>
      </c>
      <c r="G177" s="10">
        <v>0.37852157600000003</v>
      </c>
      <c r="H177" s="9">
        <v>0.53809106174999999</v>
      </c>
      <c r="I177" s="10">
        <v>0.23243999556163999</v>
      </c>
      <c r="J177" s="10">
        <v>5.4028351536695503E-2</v>
      </c>
      <c r="K177" s="10">
        <v>0.41241072400000001</v>
      </c>
      <c r="L177" s="10">
        <v>0.46090194899999998</v>
      </c>
      <c r="M177" s="10">
        <v>0.29375486899999997</v>
      </c>
      <c r="N177" s="10">
        <v>0.40412521899999998</v>
      </c>
      <c r="O177" s="9">
        <v>0.39279819025000001</v>
      </c>
      <c r="P177" s="10">
        <v>7.0617878993229202E-2</v>
      </c>
      <c r="Q177" s="10">
        <v>4.9868848335022998E-3</v>
      </c>
    </row>
    <row r="178" spans="1:17" x14ac:dyDescent="0.2">
      <c r="A178" s="63">
        <v>1694</v>
      </c>
      <c r="B178" s="63" t="s">
        <v>2820</v>
      </c>
      <c r="C178" s="64" t="s">
        <v>928</v>
      </c>
      <c r="D178" s="63">
        <v>0.15579268099999999</v>
      </c>
      <c r="E178" s="63">
        <v>-0.14912272200000001</v>
      </c>
      <c r="F178" s="63">
        <v>-9.4223589999999999E-3</v>
      </c>
      <c r="G178" s="63">
        <v>8.6690428999999999E-2</v>
      </c>
      <c r="H178" s="64">
        <v>2.0984507249999999E-2</v>
      </c>
      <c r="I178" s="63">
        <v>0.13210041486319499</v>
      </c>
      <c r="J178" s="63">
        <v>1.74505196070282E-2</v>
      </c>
      <c r="K178" s="63">
        <v>5.2320579999999998E-2</v>
      </c>
      <c r="L178" s="63">
        <v>7.5638283000000001E-2</v>
      </c>
      <c r="M178" s="63">
        <v>0.31055277199999998</v>
      </c>
      <c r="N178" s="63">
        <v>-0.34575286500000002</v>
      </c>
      <c r="O178" s="64">
        <v>2.3189692500000001E-2</v>
      </c>
      <c r="P178" s="63">
        <v>0.27221046602848697</v>
      </c>
      <c r="Q178" s="63">
        <v>7.4098537815446106E-2</v>
      </c>
    </row>
    <row r="179" spans="1:17" x14ac:dyDescent="0.2">
      <c r="A179" s="10">
        <v>1694</v>
      </c>
      <c r="B179" s="10" t="s">
        <v>2824</v>
      </c>
      <c r="C179" s="9" t="s">
        <v>2450</v>
      </c>
      <c r="D179" s="10">
        <v>0.14616743300000001</v>
      </c>
      <c r="E179" s="10">
        <v>-7.0830227999999995E-2</v>
      </c>
      <c r="F179" s="10">
        <v>-0.46369785099999999</v>
      </c>
      <c r="G179" s="10">
        <v>-0.273982901</v>
      </c>
      <c r="H179" s="9">
        <v>-0.16558588674999999</v>
      </c>
      <c r="I179" s="10">
        <v>0.26254486801789401</v>
      </c>
      <c r="J179" s="10">
        <v>6.8929807722533307E-2</v>
      </c>
      <c r="K179" s="10">
        <v>-7.0042773000000003E-2</v>
      </c>
      <c r="L179" s="10">
        <v>-5.3433407000000002E-2</v>
      </c>
      <c r="M179" s="10">
        <v>-0.183132768</v>
      </c>
      <c r="N179" s="10">
        <v>-0.207693355</v>
      </c>
      <c r="O179" s="9">
        <v>-0.12857557550000001</v>
      </c>
      <c r="P179" s="10">
        <v>7.8120728665911798E-2</v>
      </c>
      <c r="Q179" s="10">
        <v>6.1028482472929996E-3</v>
      </c>
    </row>
    <row r="180" spans="1:17" x14ac:dyDescent="0.2">
      <c r="A180" s="10">
        <v>1694</v>
      </c>
      <c r="B180" s="10" t="s">
        <v>2830</v>
      </c>
      <c r="C180" s="9" t="s">
        <v>929</v>
      </c>
      <c r="D180" s="10">
        <v>-0.30370317600000002</v>
      </c>
      <c r="E180" s="10">
        <v>-6.2611860000000002E-3</v>
      </c>
      <c r="F180" s="10">
        <v>-0.113125855</v>
      </c>
      <c r="G180" s="10">
        <v>-0.47207044500000001</v>
      </c>
      <c r="H180" s="9">
        <v>-0.2237901655</v>
      </c>
      <c r="I180" s="10">
        <v>0.20623177331708001</v>
      </c>
      <c r="J180" s="10">
        <v>4.2531544325507598E-2</v>
      </c>
      <c r="K180" s="10">
        <v>0.23575037800000001</v>
      </c>
      <c r="L180" s="10">
        <v>0.24813432799999999</v>
      </c>
      <c r="M180" s="10">
        <v>-0.177381917</v>
      </c>
      <c r="N180" s="10">
        <v>0.13539459400000001</v>
      </c>
      <c r="O180" s="9">
        <v>0.11047434574999999</v>
      </c>
      <c r="P180" s="10">
        <v>0.19843269366598101</v>
      </c>
      <c r="Q180" s="10">
        <v>3.9375533915537303E-2</v>
      </c>
    </row>
    <row r="181" spans="1:17" x14ac:dyDescent="0.2">
      <c r="A181" s="10">
        <v>1695</v>
      </c>
      <c r="B181" s="10" t="s">
        <v>2822</v>
      </c>
      <c r="C181" s="9" t="s">
        <v>2449</v>
      </c>
      <c r="D181" s="10">
        <v>7.8993109999999991E-3</v>
      </c>
      <c r="E181" s="10">
        <v>-1.9039505000000002E-2</v>
      </c>
      <c r="F181" s="10">
        <v>0.35179578700000003</v>
      </c>
      <c r="G181" s="10">
        <v>-7.0671301000000006E-2</v>
      </c>
      <c r="H181" s="9">
        <v>6.7496073000000004E-2</v>
      </c>
      <c r="I181" s="10">
        <v>0.19231634608912501</v>
      </c>
      <c r="J181" s="10">
        <v>3.6985576973072101E-2</v>
      </c>
      <c r="K181" s="10">
        <v>-0.28404302199999998</v>
      </c>
      <c r="L181" s="10">
        <v>-0.27663916199999999</v>
      </c>
      <c r="M181" s="10">
        <v>0.203637188</v>
      </c>
      <c r="N181" s="10">
        <v>2.9184161E-2</v>
      </c>
      <c r="O181" s="9">
        <v>-8.1965208750000004E-2</v>
      </c>
      <c r="P181" s="10">
        <v>0.23990018904192301</v>
      </c>
      <c r="Q181" s="10">
        <v>5.7552100702350499E-2</v>
      </c>
    </row>
    <row r="182" spans="1:17" x14ac:dyDescent="0.2">
      <c r="A182" s="10">
        <v>1695</v>
      </c>
      <c r="B182" s="10" t="s">
        <v>96</v>
      </c>
      <c r="C182" s="9" t="s">
        <v>930</v>
      </c>
      <c r="D182" s="10">
        <v>-0.40436522499999999</v>
      </c>
      <c r="E182" s="10">
        <v>-0.66174809199999995</v>
      </c>
      <c r="F182" s="10">
        <v>-0.27274320400000002</v>
      </c>
      <c r="G182" s="10">
        <v>0.18420170299999999</v>
      </c>
      <c r="H182" s="9">
        <v>-0.28866370450000001</v>
      </c>
      <c r="I182" s="10">
        <v>0.35422871989181098</v>
      </c>
      <c r="J182" s="10">
        <v>0.125477985996191</v>
      </c>
      <c r="K182" s="10">
        <v>-0.40526400200000001</v>
      </c>
      <c r="L182" s="10">
        <v>1.0769226999999999E-2</v>
      </c>
      <c r="M182" s="10">
        <v>0.437563808</v>
      </c>
      <c r="N182" s="10">
        <v>0.34421245299999997</v>
      </c>
      <c r="O182" s="9">
        <v>9.6820371500000002E-2</v>
      </c>
      <c r="P182" s="10">
        <v>0.38157675029163701</v>
      </c>
      <c r="Q182" s="10">
        <v>0.145600816363126</v>
      </c>
    </row>
    <row r="183" spans="1:17" x14ac:dyDescent="0.2">
      <c r="A183" s="10">
        <v>1695</v>
      </c>
      <c r="B183" s="10" t="s">
        <v>2823</v>
      </c>
      <c r="C183" s="9" t="s">
        <v>2640</v>
      </c>
      <c r="D183" s="10">
        <v>-1.167507517</v>
      </c>
      <c r="E183" s="10">
        <v>-2.1603431409999998</v>
      </c>
      <c r="F183" s="10">
        <v>-2.4462726469999998</v>
      </c>
      <c r="G183" s="10">
        <v>-1.387137713</v>
      </c>
      <c r="H183" s="9">
        <v>-1.7903152545000001</v>
      </c>
      <c r="I183" s="10">
        <v>0.61036665085365105</v>
      </c>
      <c r="J183" s="10">
        <v>0.37254744847430199</v>
      </c>
      <c r="K183" s="10">
        <v>-0.64252690700000004</v>
      </c>
      <c r="L183" s="10">
        <v>-1.869307649</v>
      </c>
      <c r="M183" s="10">
        <v>-0.29059740899999997</v>
      </c>
      <c r="N183" s="10">
        <v>-1.515228861</v>
      </c>
      <c r="O183" s="9">
        <v>-1.0794152065</v>
      </c>
      <c r="P183" s="10">
        <v>0.73642571837672199</v>
      </c>
      <c r="Q183" s="10">
        <v>0.54232283868667097</v>
      </c>
    </row>
    <row r="184" spans="1:17" x14ac:dyDescent="0.2">
      <c r="A184" s="10">
        <v>1695</v>
      </c>
      <c r="B184" s="10" t="s">
        <v>79</v>
      </c>
      <c r="C184" s="9" t="s">
        <v>932</v>
      </c>
      <c r="D184" s="10">
        <v>-0.58220831500000003</v>
      </c>
      <c r="E184" s="10">
        <v>-2.8561317999999999E-2</v>
      </c>
      <c r="F184" s="10">
        <v>-0.15630949599999999</v>
      </c>
      <c r="G184" s="10">
        <v>-0.26760750799999999</v>
      </c>
      <c r="H184" s="9">
        <v>-0.25867165925000002</v>
      </c>
      <c r="I184" s="10">
        <v>0.23677316755507299</v>
      </c>
      <c r="J184" s="10">
        <v>5.6061532874062597E-2</v>
      </c>
      <c r="K184" s="10">
        <v>-0.147843212</v>
      </c>
      <c r="L184" s="10">
        <v>0.27829410199999999</v>
      </c>
      <c r="M184" s="10">
        <v>0.57609012900000001</v>
      </c>
      <c r="N184" s="10">
        <v>9.7521957000000006E-2</v>
      </c>
      <c r="O184" s="9">
        <v>0.201015744</v>
      </c>
      <c r="P184" s="10">
        <v>0.304995231671642</v>
      </c>
      <c r="Q184" s="10">
        <v>9.3022091342438495E-2</v>
      </c>
    </row>
    <row r="185" spans="1:17" x14ac:dyDescent="0.2">
      <c r="A185" s="10">
        <v>1695</v>
      </c>
      <c r="B185" s="10" t="s">
        <v>2820</v>
      </c>
      <c r="C185" s="9" t="s">
        <v>2448</v>
      </c>
      <c r="D185" s="10">
        <v>-0.152580935</v>
      </c>
      <c r="E185" s="10">
        <v>-0.31039066300000001</v>
      </c>
      <c r="F185" s="10">
        <v>-0.25374223400000001</v>
      </c>
      <c r="G185" s="10">
        <v>-0.56037979500000001</v>
      </c>
      <c r="H185" s="9">
        <v>-0.31927340700000001</v>
      </c>
      <c r="I185" s="10">
        <v>0.173485742287949</v>
      </c>
      <c r="J185" s="10">
        <v>3.00973027772009E-2</v>
      </c>
      <c r="K185" s="10">
        <v>-0.75545469200000004</v>
      </c>
      <c r="L185" s="10">
        <v>-0.29737992000000002</v>
      </c>
      <c r="M185" s="10">
        <v>-0.29154226799999999</v>
      </c>
      <c r="N185" s="10">
        <v>-0.24254221500000001</v>
      </c>
      <c r="O185" s="9">
        <v>-0.39672977375000001</v>
      </c>
      <c r="P185" s="10">
        <v>0.24041088096063501</v>
      </c>
      <c r="Q185" s="10">
        <v>5.7797391684268798E-2</v>
      </c>
    </row>
    <row r="186" spans="1:17" x14ac:dyDescent="0.2">
      <c r="A186" s="10">
        <v>1695</v>
      </c>
      <c r="B186" s="10" t="s">
        <v>2824</v>
      </c>
      <c r="C186" s="9" t="s">
        <v>933</v>
      </c>
      <c r="D186" s="10">
        <v>-0.69486576799999999</v>
      </c>
      <c r="E186" s="10">
        <v>-0.17190198700000001</v>
      </c>
      <c r="F186" s="10">
        <v>-1.7114530999999999E-2</v>
      </c>
      <c r="G186" s="10">
        <v>-0.54634246799999997</v>
      </c>
      <c r="H186" s="9">
        <v>-0.35755618825000002</v>
      </c>
      <c r="I186" s="10">
        <v>0.31611496666343197</v>
      </c>
      <c r="J186" s="10">
        <v>9.9928672148622902E-2</v>
      </c>
      <c r="K186" s="10">
        <v>-0.13273167899999999</v>
      </c>
      <c r="L186" s="10">
        <v>0.21588110799999999</v>
      </c>
      <c r="M186" s="10">
        <v>0.10287702</v>
      </c>
      <c r="N186" s="10">
        <v>-8.1771337999999999E-2</v>
      </c>
      <c r="O186" s="9">
        <v>2.6063777749999999E-2</v>
      </c>
      <c r="P186" s="10">
        <v>0.16204454358956499</v>
      </c>
      <c r="Q186" s="10">
        <v>2.6258434107150501E-2</v>
      </c>
    </row>
    <row r="187" spans="1:17" x14ac:dyDescent="0.2">
      <c r="A187" s="10">
        <v>1695</v>
      </c>
      <c r="B187" s="10" t="s">
        <v>2817</v>
      </c>
      <c r="C187" s="9" t="s">
        <v>934</v>
      </c>
      <c r="D187" s="10">
        <v>2.2508688999999998E-2</v>
      </c>
      <c r="E187" s="10">
        <v>-6.3605880000000004E-2</v>
      </c>
      <c r="F187" s="10">
        <v>-0.208163299</v>
      </c>
      <c r="G187" s="10">
        <v>-0.207061573</v>
      </c>
      <c r="H187" s="9">
        <v>-0.11408051600000001</v>
      </c>
      <c r="I187" s="10">
        <v>0.113580143246559</v>
      </c>
      <c r="J187" s="10">
        <v>1.2900448939908901E-2</v>
      </c>
      <c r="K187" s="10">
        <v>-0.69478097599999999</v>
      </c>
      <c r="L187" s="10">
        <v>0.26343730300000001</v>
      </c>
      <c r="M187" s="10">
        <v>0.12291563599999999</v>
      </c>
      <c r="N187" s="10">
        <v>6.5168289000000004E-2</v>
      </c>
      <c r="O187" s="9">
        <v>-6.081493675E-2</v>
      </c>
      <c r="P187" s="10">
        <v>0.430767203347176</v>
      </c>
      <c r="Q187" s="10">
        <v>0.18556038347954701</v>
      </c>
    </row>
    <row r="188" spans="1:17" x14ac:dyDescent="0.2">
      <c r="A188" s="10">
        <v>1695</v>
      </c>
      <c r="B188" s="10" t="s">
        <v>2814</v>
      </c>
      <c r="C188" s="9" t="s">
        <v>2447</v>
      </c>
      <c r="D188" s="10">
        <v>-0.67224272299999999</v>
      </c>
      <c r="E188" s="10">
        <v>-1.0099679850000001</v>
      </c>
      <c r="F188" s="10">
        <v>-0.69984753399999999</v>
      </c>
      <c r="G188" s="10">
        <v>-1.7489050749999999</v>
      </c>
      <c r="H188" s="9">
        <v>-1.03274082875</v>
      </c>
      <c r="I188" s="10">
        <v>0.50139361116729397</v>
      </c>
      <c r="J188" s="10">
        <v>0.25139555331938002</v>
      </c>
      <c r="K188" s="10">
        <v>-0.102287039</v>
      </c>
      <c r="L188" s="10">
        <v>0.24734937500000001</v>
      </c>
      <c r="M188" s="10">
        <v>-0.198688949</v>
      </c>
      <c r="N188" s="10">
        <v>2.5207459000000002E-2</v>
      </c>
      <c r="O188" s="9">
        <v>-7.1047887500000004E-3</v>
      </c>
      <c r="P188" s="10">
        <v>0.19283425873507701</v>
      </c>
      <c r="Q188" s="10">
        <v>3.7185051341906798E-2</v>
      </c>
    </row>
    <row r="189" spans="1:17" x14ac:dyDescent="0.2">
      <c r="A189" s="10">
        <v>1695</v>
      </c>
      <c r="B189" s="10" t="s">
        <v>2833</v>
      </c>
      <c r="C189" s="9" t="s">
        <v>2446</v>
      </c>
      <c r="D189" s="10">
        <v>-0.61966104099999997</v>
      </c>
      <c r="E189" s="10">
        <v>-0.78289410199999998</v>
      </c>
      <c r="F189" s="10">
        <v>-0.46802427899999999</v>
      </c>
      <c r="G189" s="10">
        <v>-0.14117014999999999</v>
      </c>
      <c r="H189" s="9">
        <v>-0.50293739324999998</v>
      </c>
      <c r="I189" s="10">
        <v>0.27330973427812399</v>
      </c>
      <c r="J189" s="10">
        <v>7.4698210851178795E-2</v>
      </c>
      <c r="K189" s="10">
        <v>-0.55347894900000005</v>
      </c>
      <c r="L189" s="10">
        <v>-3.6423927000000002E-2</v>
      </c>
      <c r="M189" s="10">
        <v>-0.39283330100000002</v>
      </c>
      <c r="N189" s="10">
        <v>-1.9452958999999999E-2</v>
      </c>
      <c r="O189" s="9">
        <v>-0.25054728375000002</v>
      </c>
      <c r="P189" s="10">
        <v>0.26537162832120997</v>
      </c>
      <c r="Q189" s="10">
        <v>7.0422101117850494E-2</v>
      </c>
    </row>
    <row r="190" spans="1:17" x14ac:dyDescent="0.2">
      <c r="A190" s="10">
        <v>1695</v>
      </c>
      <c r="B190" s="10" t="s">
        <v>2825</v>
      </c>
      <c r="C190" s="9" t="s">
        <v>935</v>
      </c>
      <c r="D190" s="10">
        <v>8.7219729999999995E-2</v>
      </c>
      <c r="E190" s="10">
        <v>0.30978941100000001</v>
      </c>
      <c r="F190" s="10">
        <v>0.109577174</v>
      </c>
      <c r="G190" s="10">
        <v>0.13128599699999999</v>
      </c>
      <c r="H190" s="9">
        <v>0.15946807800000001</v>
      </c>
      <c r="I190" s="10">
        <v>0.101816270695558</v>
      </c>
      <c r="J190" s="10">
        <v>1.03665529783512E-2</v>
      </c>
      <c r="K190" s="10">
        <v>0.26846181000000002</v>
      </c>
      <c r="L190" s="10">
        <v>0.27531727700000003</v>
      </c>
      <c r="M190" s="10">
        <v>-4.4818410000000003E-3</v>
      </c>
      <c r="N190" s="10">
        <v>-3.5107706000000002E-2</v>
      </c>
      <c r="O190" s="9">
        <v>0.12604738474999999</v>
      </c>
      <c r="P190" s="10">
        <v>0.16889070558712299</v>
      </c>
      <c r="Q190" s="10">
        <v>2.8524070433716499E-2</v>
      </c>
    </row>
    <row r="191" spans="1:17" x14ac:dyDescent="0.2">
      <c r="A191" s="10">
        <v>1695</v>
      </c>
      <c r="B191" s="10" t="s">
        <v>74</v>
      </c>
      <c r="C191" s="9" t="s">
        <v>936</v>
      </c>
      <c r="D191" s="10">
        <v>0.40571261800000002</v>
      </c>
      <c r="E191" s="10">
        <v>9.5051231999999999E-2</v>
      </c>
      <c r="F191" s="10">
        <v>0.48992868299999998</v>
      </c>
      <c r="G191" s="10">
        <v>0.685616746</v>
      </c>
      <c r="H191" s="9">
        <v>0.41907731999999998</v>
      </c>
      <c r="I191" s="10">
        <v>0.24578764697430699</v>
      </c>
      <c r="J191" s="10">
        <v>6.0411567405166601E-2</v>
      </c>
      <c r="K191" s="10">
        <v>-0.456350019</v>
      </c>
      <c r="L191" s="10">
        <v>0.46264450899999998</v>
      </c>
      <c r="M191" s="10">
        <v>-2.9889890000000001E-3</v>
      </c>
      <c r="N191" s="10">
        <v>0.49503891500000002</v>
      </c>
      <c r="O191" s="9">
        <v>0.124586104</v>
      </c>
      <c r="P191" s="10">
        <v>0.44917737911622901</v>
      </c>
      <c r="Q191" s="10">
        <v>0.20176031790972501</v>
      </c>
    </row>
    <row r="192" spans="1:17" x14ac:dyDescent="0.2">
      <c r="A192" s="10">
        <v>1695</v>
      </c>
      <c r="B192" s="10" t="s">
        <v>2818</v>
      </c>
      <c r="C192" s="9" t="s">
        <v>937</v>
      </c>
      <c r="D192" s="10">
        <v>-1.3072674470000001</v>
      </c>
      <c r="E192" s="10">
        <v>-1.0026637599999999</v>
      </c>
      <c r="F192" s="10">
        <v>-1.312729262</v>
      </c>
      <c r="G192" s="10">
        <v>-0.987480566</v>
      </c>
      <c r="H192" s="9">
        <v>-1.15253525875</v>
      </c>
      <c r="I192" s="10">
        <v>0.18194201136100299</v>
      </c>
      <c r="J192" s="10">
        <v>3.3102895498087502E-2</v>
      </c>
      <c r="K192" s="10">
        <v>-0.47436816799999998</v>
      </c>
      <c r="L192" s="10">
        <v>-7.8126845E-2</v>
      </c>
      <c r="M192" s="10">
        <v>-0.57869182299999999</v>
      </c>
      <c r="N192" s="10">
        <v>-0.33661574100000002</v>
      </c>
      <c r="O192" s="9">
        <v>-0.36695064399999999</v>
      </c>
      <c r="P192" s="10">
        <v>0.21657350142265899</v>
      </c>
      <c r="Q192" s="10">
        <v>4.6904081518470801E-2</v>
      </c>
    </row>
    <row r="193" spans="1:17" x14ac:dyDescent="0.2">
      <c r="A193" s="10">
        <v>1695</v>
      </c>
      <c r="B193" s="10" t="s">
        <v>2830</v>
      </c>
      <c r="C193" s="9" t="s">
        <v>938</v>
      </c>
      <c r="D193" s="10">
        <v>-0.94058065000000002</v>
      </c>
      <c r="E193" s="10">
        <v>-0.53594080399999999</v>
      </c>
      <c r="F193" s="10">
        <v>-0.58951102499999997</v>
      </c>
      <c r="G193" s="10">
        <v>-0.23003725699999999</v>
      </c>
      <c r="H193" s="9">
        <v>-0.57401743375000003</v>
      </c>
      <c r="I193" s="10">
        <v>0.29119342632658302</v>
      </c>
      <c r="J193" s="10">
        <v>8.4793611535815397E-2</v>
      </c>
      <c r="K193" s="10">
        <v>0.149568706</v>
      </c>
      <c r="L193" s="10">
        <v>0.35269212700000002</v>
      </c>
      <c r="M193" s="10">
        <v>2.3754200000000001E-4</v>
      </c>
      <c r="N193" s="10">
        <v>0.244440188</v>
      </c>
      <c r="O193" s="9">
        <v>0.18673464075000001</v>
      </c>
      <c r="P193" s="10">
        <v>0.14948165101872199</v>
      </c>
      <c r="Q193" s="10">
        <v>2.2344763991283101E-2</v>
      </c>
    </row>
    <row r="194" spans="1:17" x14ac:dyDescent="0.2">
      <c r="A194" s="10">
        <v>1695</v>
      </c>
      <c r="B194" s="10" t="s">
        <v>2832</v>
      </c>
      <c r="C194" s="9" t="s">
        <v>939</v>
      </c>
      <c r="D194" s="10">
        <v>-0.49957227500000001</v>
      </c>
      <c r="E194" s="10">
        <v>-0.24265972599999999</v>
      </c>
      <c r="F194" s="10">
        <v>-0.16004845000000001</v>
      </c>
      <c r="G194" s="10">
        <v>-0.47798671500000001</v>
      </c>
      <c r="H194" s="9">
        <v>-0.34506679150000003</v>
      </c>
      <c r="I194" s="10">
        <v>0.16956674619998099</v>
      </c>
      <c r="J194" s="10">
        <v>2.87528814168488E-2</v>
      </c>
      <c r="K194" s="10">
        <v>-0.38660055300000001</v>
      </c>
      <c r="L194" s="10">
        <v>-0.124466917</v>
      </c>
      <c r="M194" s="10">
        <v>-0.73765803299999999</v>
      </c>
      <c r="N194" s="10">
        <v>-0.73190289399999997</v>
      </c>
      <c r="O194" s="9">
        <v>-0.49515709925000001</v>
      </c>
      <c r="P194" s="10">
        <v>0.296676596735512</v>
      </c>
      <c r="Q194" s="10">
        <v>8.8017003050565798E-2</v>
      </c>
    </row>
    <row r="195" spans="1:17" x14ac:dyDescent="0.2">
      <c r="A195" s="10">
        <v>1696</v>
      </c>
      <c r="B195" s="10" t="s">
        <v>96</v>
      </c>
      <c r="C195" s="9" t="s">
        <v>2445</v>
      </c>
      <c r="D195" s="10">
        <v>6.3238971000000005E-2</v>
      </c>
      <c r="E195" s="10">
        <v>0.338470355</v>
      </c>
      <c r="F195" s="10">
        <v>0.68647233299999999</v>
      </c>
      <c r="G195" s="10">
        <v>0.52454268999999998</v>
      </c>
      <c r="H195" s="9">
        <v>0.40318108749999998</v>
      </c>
      <c r="I195" s="10">
        <v>0.26753858899823202</v>
      </c>
      <c r="J195" s="10">
        <v>7.1576896603165102E-2</v>
      </c>
      <c r="K195" s="10">
        <v>0.32168703599999998</v>
      </c>
      <c r="L195" s="10">
        <v>0.32224748399999997</v>
      </c>
      <c r="M195" s="10">
        <v>1.0790305309999999</v>
      </c>
      <c r="N195" s="10">
        <v>0.93873233899999997</v>
      </c>
      <c r="O195" s="9">
        <v>0.66542434750000001</v>
      </c>
      <c r="P195" s="10">
        <v>0.40070480914098699</v>
      </c>
      <c r="Q195" s="10">
        <v>0.160564344068715</v>
      </c>
    </row>
    <row r="196" spans="1:17" x14ac:dyDescent="0.2">
      <c r="A196" s="10">
        <v>1696</v>
      </c>
      <c r="B196" s="10" t="s">
        <v>2834</v>
      </c>
      <c r="C196" s="9" t="s">
        <v>2444</v>
      </c>
      <c r="D196" s="10">
        <v>-0.42659153999999999</v>
      </c>
      <c r="E196" s="10">
        <v>-0.43370309499999998</v>
      </c>
      <c r="F196" s="10">
        <v>-0.62998042799999998</v>
      </c>
      <c r="G196" s="10">
        <v>-0.55926911199999996</v>
      </c>
      <c r="H196" s="9">
        <v>-0.51238604374999996</v>
      </c>
      <c r="I196" s="10">
        <v>9.9294451999049502E-2</v>
      </c>
      <c r="J196" s="10">
        <v>9.8593881977915004E-3</v>
      </c>
      <c r="K196" s="10">
        <v>-0.13346008600000001</v>
      </c>
      <c r="L196" s="10">
        <v>-0.218377143</v>
      </c>
      <c r="M196" s="10">
        <v>-0.31579954799999999</v>
      </c>
      <c r="N196" s="10">
        <v>-0.27622642200000003</v>
      </c>
      <c r="O196" s="9">
        <v>-0.2359658</v>
      </c>
      <c r="P196" s="10">
        <v>7.9185704225926606E-2</v>
      </c>
      <c r="Q196" s="10">
        <v>6.2703757537558996E-3</v>
      </c>
    </row>
    <row r="197" spans="1:17" x14ac:dyDescent="0.2">
      <c r="A197" s="10">
        <v>1696</v>
      </c>
      <c r="B197" s="10" t="s">
        <v>2824</v>
      </c>
      <c r="C197" s="9" t="s">
        <v>941</v>
      </c>
      <c r="D197" s="10">
        <v>-0.39942080299999999</v>
      </c>
      <c r="E197" s="10">
        <v>-0.42449820700000002</v>
      </c>
      <c r="F197" s="10">
        <v>-0.58568500899999998</v>
      </c>
      <c r="G197" s="10">
        <v>-0.56240829699999995</v>
      </c>
      <c r="H197" s="9">
        <v>-0.49300307900000001</v>
      </c>
      <c r="I197" s="10">
        <v>9.4617800128074803E-2</v>
      </c>
      <c r="J197" s="10">
        <v>8.9525281010762996E-3</v>
      </c>
      <c r="K197" s="10">
        <v>-8.9019279999999999E-3</v>
      </c>
      <c r="L197" s="10">
        <v>4.2469174999999998E-2</v>
      </c>
      <c r="M197" s="10">
        <v>0.20682872499999999</v>
      </c>
      <c r="N197" s="10">
        <v>-0.45497231799999999</v>
      </c>
      <c r="O197" s="9">
        <v>-5.36440865E-2</v>
      </c>
      <c r="P197" s="10">
        <v>0.282931119245797</v>
      </c>
      <c r="Q197" s="10">
        <v>8.0050018237679502E-2</v>
      </c>
    </row>
    <row r="198" spans="1:17" x14ac:dyDescent="0.2">
      <c r="A198" s="10">
        <v>1696</v>
      </c>
      <c r="B198" s="10" t="s">
        <v>2817</v>
      </c>
      <c r="C198" s="9" t="s">
        <v>942</v>
      </c>
      <c r="D198" s="10">
        <v>-0.53381731399999999</v>
      </c>
      <c r="E198" s="10">
        <v>-0.30795066999999998</v>
      </c>
      <c r="F198" s="10">
        <v>-0.999651493</v>
      </c>
      <c r="G198" s="10">
        <v>-0.38465674599999999</v>
      </c>
      <c r="H198" s="9">
        <v>-0.55651905575000005</v>
      </c>
      <c r="I198" s="10">
        <v>0.30994871722516398</v>
      </c>
      <c r="J198" s="10">
        <v>9.6068207309524797E-2</v>
      </c>
      <c r="K198" s="10">
        <v>-0.26745041400000003</v>
      </c>
      <c r="L198" s="10">
        <v>-0.290359743</v>
      </c>
      <c r="M198" s="10">
        <v>-0.72493556699999995</v>
      </c>
      <c r="N198" s="10">
        <v>-0.80673434700000002</v>
      </c>
      <c r="O198" s="9">
        <v>-0.52237001750000001</v>
      </c>
      <c r="P198" s="10">
        <v>0.28325997802865599</v>
      </c>
      <c r="Q198" s="10">
        <v>8.0236215152794596E-2</v>
      </c>
    </row>
    <row r="199" spans="1:17" x14ac:dyDescent="0.2">
      <c r="A199" s="10">
        <v>1696</v>
      </c>
      <c r="B199" s="10" t="s">
        <v>2832</v>
      </c>
      <c r="C199" s="9" t="s">
        <v>2443</v>
      </c>
      <c r="D199" s="10">
        <v>-0.80749242600000004</v>
      </c>
      <c r="E199" s="10">
        <v>-0.14886247</v>
      </c>
      <c r="F199" s="10">
        <v>-0.43734424599999999</v>
      </c>
      <c r="G199" s="10">
        <v>-1.639728573</v>
      </c>
      <c r="H199" s="9">
        <v>-0.75835692875000005</v>
      </c>
      <c r="I199" s="10">
        <v>0.64646807348629898</v>
      </c>
      <c r="J199" s="10">
        <v>0.417920970037086</v>
      </c>
      <c r="K199" s="10">
        <v>-2.6602603999999998E-2</v>
      </c>
      <c r="L199" s="10">
        <v>-7.4688852999999999E-2</v>
      </c>
      <c r="M199" s="10">
        <v>0.172624149</v>
      </c>
      <c r="N199" s="10">
        <v>-1.2375799999999999E-2</v>
      </c>
      <c r="O199" s="9">
        <v>1.4739223250000001E-2</v>
      </c>
      <c r="P199" s="10">
        <v>0.108580848168658</v>
      </c>
      <c r="Q199" s="10">
        <v>1.17898005890252E-2</v>
      </c>
    </row>
    <row r="200" spans="1:17" x14ac:dyDescent="0.2">
      <c r="A200" s="10">
        <v>1697</v>
      </c>
      <c r="B200" s="10" t="s">
        <v>2831</v>
      </c>
      <c r="C200" s="9" t="s">
        <v>943</v>
      </c>
      <c r="D200" s="10">
        <v>-0.42533818200000001</v>
      </c>
      <c r="E200" s="10">
        <v>-0.34573695300000001</v>
      </c>
      <c r="F200" s="10">
        <v>-0.615844752</v>
      </c>
      <c r="G200" s="10">
        <v>-0.62548505799999998</v>
      </c>
      <c r="H200" s="9">
        <v>-0.50310123625000003</v>
      </c>
      <c r="I200" s="10">
        <v>0.13964181610926399</v>
      </c>
      <c r="J200" s="10">
        <v>1.9499836806293601E-2</v>
      </c>
      <c r="K200" s="10">
        <v>-3.4598879999999999E-3</v>
      </c>
      <c r="L200" s="10">
        <v>8.9932772999999994E-2</v>
      </c>
      <c r="M200" s="10">
        <v>-0.249651809</v>
      </c>
      <c r="N200" s="10">
        <v>-0.22007581100000001</v>
      </c>
      <c r="O200" s="9">
        <v>-9.5813683750000003E-2</v>
      </c>
      <c r="P200" s="10">
        <v>0.16546723223823101</v>
      </c>
      <c r="Q200" s="10">
        <v>2.7379404944580701E-2</v>
      </c>
    </row>
    <row r="201" spans="1:17" x14ac:dyDescent="0.2">
      <c r="A201" s="10">
        <v>1697</v>
      </c>
      <c r="B201" s="10" t="s">
        <v>2822</v>
      </c>
      <c r="C201" s="9" t="s">
        <v>944</v>
      </c>
      <c r="D201" s="10">
        <v>0.24735112500000001</v>
      </c>
      <c r="E201" s="10">
        <v>0.10155254599999999</v>
      </c>
      <c r="F201" s="10">
        <v>-0.25357149200000001</v>
      </c>
      <c r="G201" s="10">
        <v>0.105606195</v>
      </c>
      <c r="H201" s="9">
        <v>5.0234593500000001E-2</v>
      </c>
      <c r="I201" s="10">
        <v>0.21358262341842499</v>
      </c>
      <c r="J201" s="10">
        <v>4.5617537026296902E-2</v>
      </c>
      <c r="K201" s="10">
        <v>7.8894170999999999E-2</v>
      </c>
      <c r="L201" s="10">
        <v>0.40340638400000001</v>
      </c>
      <c r="M201" s="10">
        <v>-2.6647812E-2</v>
      </c>
      <c r="N201" s="10">
        <v>9.0390575000000001E-2</v>
      </c>
      <c r="O201" s="9">
        <v>0.13651082950000001</v>
      </c>
      <c r="P201" s="10">
        <v>0.18556287031609001</v>
      </c>
      <c r="Q201" s="10">
        <v>3.4433578839946098E-2</v>
      </c>
    </row>
    <row r="202" spans="1:17" x14ac:dyDescent="0.2">
      <c r="A202" s="10">
        <v>1697</v>
      </c>
      <c r="B202" s="10" t="s">
        <v>2824</v>
      </c>
      <c r="C202" s="9" t="s">
        <v>945</v>
      </c>
      <c r="D202" s="10">
        <v>-1.675641688</v>
      </c>
      <c r="E202" s="10">
        <v>-1.6883735609999999</v>
      </c>
      <c r="F202" s="10">
        <v>-1.082722159</v>
      </c>
      <c r="G202" s="10">
        <v>-0.61217937600000005</v>
      </c>
      <c r="H202" s="9">
        <v>-1.264729196</v>
      </c>
      <c r="I202" s="10">
        <v>0.51873932219611496</v>
      </c>
      <c r="J202" s="10">
        <v>0.26909048439248501</v>
      </c>
      <c r="K202" s="10">
        <v>-4.2014170000000003E-2</v>
      </c>
      <c r="L202" s="10">
        <v>3.2282827E-2</v>
      </c>
      <c r="M202" s="10">
        <v>-0.32828146499999999</v>
      </c>
      <c r="N202" s="10">
        <v>-0.256190733</v>
      </c>
      <c r="O202" s="9">
        <v>-0.14855088524999999</v>
      </c>
      <c r="P202" s="10">
        <v>0.17121168311312701</v>
      </c>
      <c r="Q202" s="10">
        <v>2.9313440434429801E-2</v>
      </c>
    </row>
    <row r="203" spans="1:17" x14ac:dyDescent="0.2">
      <c r="A203" s="10">
        <v>1697</v>
      </c>
      <c r="B203" s="10" t="s">
        <v>82</v>
      </c>
      <c r="C203" s="9" t="s">
        <v>2441</v>
      </c>
      <c r="D203" s="10">
        <v>-1.4122469099999999</v>
      </c>
      <c r="E203" s="10">
        <v>-1.198721105</v>
      </c>
      <c r="F203" s="10">
        <v>-2.027303157</v>
      </c>
      <c r="G203" s="10">
        <v>-0.69818291099999996</v>
      </c>
      <c r="H203" s="9">
        <v>-1.3341135207499999</v>
      </c>
      <c r="I203" s="10">
        <v>0.55056199922737303</v>
      </c>
      <c r="J203" s="10">
        <v>0.30311851499324199</v>
      </c>
      <c r="K203" s="10">
        <v>-0.67513910700000002</v>
      </c>
      <c r="L203" s="10">
        <v>-0.44603385400000001</v>
      </c>
      <c r="M203" s="10">
        <v>-0.56044216499999999</v>
      </c>
      <c r="N203" s="10">
        <v>-0.58411367400000003</v>
      </c>
      <c r="O203" s="9">
        <v>-0.56643220000000005</v>
      </c>
      <c r="P203" s="10">
        <v>9.4271714370671195E-2</v>
      </c>
      <c r="Q203" s="10">
        <v>8.8871561303854006E-3</v>
      </c>
    </row>
    <row r="204" spans="1:17" x14ac:dyDescent="0.2">
      <c r="A204" s="10">
        <v>1697</v>
      </c>
      <c r="B204" s="10" t="s">
        <v>2825</v>
      </c>
      <c r="C204" s="9" t="s">
        <v>946</v>
      </c>
      <c r="D204" s="10">
        <v>-1.382771792</v>
      </c>
      <c r="E204" s="10">
        <v>-1.8121106259999999</v>
      </c>
      <c r="F204" s="10">
        <v>-0.90195124299999996</v>
      </c>
      <c r="G204" s="10">
        <v>-1.1520775430000001</v>
      </c>
      <c r="H204" s="9">
        <v>-1.3122278007499999</v>
      </c>
      <c r="I204" s="10">
        <v>0.386796351490024</v>
      </c>
      <c r="J204" s="10">
        <v>0.14961141752599399</v>
      </c>
      <c r="K204" s="10">
        <v>-0.31320516100000001</v>
      </c>
      <c r="L204" s="10">
        <v>-0.472161524</v>
      </c>
      <c r="M204" s="10">
        <v>-0.30706266900000001</v>
      </c>
      <c r="N204" s="10">
        <v>-0.260751764</v>
      </c>
      <c r="O204" s="9">
        <v>-0.33829527949999999</v>
      </c>
      <c r="P204" s="10">
        <v>9.2264399450024903E-2</v>
      </c>
      <c r="Q204" s="10">
        <v>8.5127194058736994E-3</v>
      </c>
    </row>
    <row r="205" spans="1:17" x14ac:dyDescent="0.2">
      <c r="A205" s="10">
        <v>1697</v>
      </c>
      <c r="B205" s="10" t="s">
        <v>74</v>
      </c>
      <c r="C205" s="9" t="s">
        <v>947</v>
      </c>
      <c r="D205" s="10">
        <v>0.105025495</v>
      </c>
      <c r="E205" s="10">
        <v>-0.14102920399999999</v>
      </c>
      <c r="F205" s="10">
        <v>0.23193081800000001</v>
      </c>
      <c r="G205" s="10">
        <v>0.26904007400000002</v>
      </c>
      <c r="H205" s="9">
        <v>0.11624179549999999</v>
      </c>
      <c r="I205" s="10">
        <v>0.18533342603733</v>
      </c>
      <c r="J205" s="10">
        <v>3.4348478806734702E-2</v>
      </c>
      <c r="K205" s="10">
        <v>6.6848762000000006E-2</v>
      </c>
      <c r="L205" s="10">
        <v>-6.4536753000000002E-2</v>
      </c>
      <c r="M205" s="10">
        <v>1.9524142000000001E-2</v>
      </c>
      <c r="N205" s="10">
        <v>0.18376468500000001</v>
      </c>
      <c r="O205" s="9">
        <v>5.1400209000000002E-2</v>
      </c>
      <c r="P205" s="10">
        <v>0.10362830228228501</v>
      </c>
      <c r="Q205" s="10">
        <v>1.0738825033908699E-2</v>
      </c>
    </row>
    <row r="206" spans="1:17" x14ac:dyDescent="0.2">
      <c r="A206" s="10">
        <v>1697</v>
      </c>
      <c r="B206" s="10" t="s">
        <v>2818</v>
      </c>
      <c r="C206" s="9" t="s">
        <v>948</v>
      </c>
      <c r="D206" s="10">
        <v>-0.38581815600000002</v>
      </c>
      <c r="E206" s="10">
        <v>-0.41304011000000002</v>
      </c>
      <c r="F206" s="10">
        <v>-0.45616040600000002</v>
      </c>
      <c r="G206" s="10">
        <v>-0.32097529299999999</v>
      </c>
      <c r="H206" s="9">
        <v>-0.39399849125000003</v>
      </c>
      <c r="I206" s="10">
        <v>5.6645071152065803E-2</v>
      </c>
      <c r="J206" s="10">
        <v>3.2086640858225999E-3</v>
      </c>
      <c r="K206" s="10">
        <v>-0.42390724099999999</v>
      </c>
      <c r="L206" s="10">
        <v>-0.34910201000000002</v>
      </c>
      <c r="M206" s="10">
        <v>-0.46225391199999999</v>
      </c>
      <c r="N206" s="10">
        <v>-0.75781986999999995</v>
      </c>
      <c r="O206" s="9">
        <v>-0.49827075825</v>
      </c>
      <c r="P206" s="10">
        <v>0.179298822059965</v>
      </c>
      <c r="Q206" s="10">
        <v>3.2148067592090997E-2</v>
      </c>
    </row>
    <row r="207" spans="1:17" x14ac:dyDescent="0.2">
      <c r="A207" s="10">
        <v>1698</v>
      </c>
      <c r="B207" s="10" t="s">
        <v>2821</v>
      </c>
      <c r="C207" s="9" t="s">
        <v>950</v>
      </c>
      <c r="D207" s="10">
        <v>-7.4493313000000005E-2</v>
      </c>
      <c r="E207" s="10">
        <v>-5.8009866E-2</v>
      </c>
      <c r="F207" s="10">
        <v>-0.51396383999999995</v>
      </c>
      <c r="G207" s="10">
        <v>-0.58769970800000004</v>
      </c>
      <c r="H207" s="9">
        <v>-0.30854168175000002</v>
      </c>
      <c r="I207" s="10">
        <v>0.28146775797440299</v>
      </c>
      <c r="J207" s="10">
        <v>7.9224098779137206E-2</v>
      </c>
      <c r="K207" s="10">
        <v>0.24101904299999999</v>
      </c>
      <c r="L207" s="10">
        <v>0.25221223599999998</v>
      </c>
      <c r="M207" s="10">
        <v>-0.99821018399999994</v>
      </c>
      <c r="N207" s="10">
        <v>-0.81546149300000004</v>
      </c>
      <c r="O207" s="9">
        <v>-0.33011009949999998</v>
      </c>
      <c r="P207" s="10">
        <v>0.67012722620814202</v>
      </c>
      <c r="Q207" s="10">
        <v>0.44907049930541898</v>
      </c>
    </row>
    <row r="208" spans="1:17" x14ac:dyDescent="0.2">
      <c r="A208" s="10">
        <v>1698</v>
      </c>
      <c r="B208" s="10" t="s">
        <v>2824</v>
      </c>
      <c r="C208" s="9" t="s">
        <v>951</v>
      </c>
      <c r="D208" s="10">
        <v>0.53112336299999996</v>
      </c>
      <c r="E208" s="10">
        <v>0.19096202500000001</v>
      </c>
      <c r="F208" s="10">
        <v>0.11045294</v>
      </c>
      <c r="G208" s="10">
        <v>0.50274141299999997</v>
      </c>
      <c r="H208" s="9">
        <v>0.3338199355</v>
      </c>
      <c r="I208" s="10">
        <v>0.214292872283979</v>
      </c>
      <c r="J208" s="10">
        <v>4.5921435111717902E-2</v>
      </c>
      <c r="K208" s="10">
        <v>0.61573739299999997</v>
      </c>
      <c r="L208" s="10">
        <v>0.43052980800000001</v>
      </c>
      <c r="M208" s="10">
        <v>0.20551781299999999</v>
      </c>
      <c r="N208" s="10">
        <v>0.44612658599999999</v>
      </c>
      <c r="O208" s="9">
        <v>0.42447790024999998</v>
      </c>
      <c r="P208" s="10">
        <v>0.16835379864799699</v>
      </c>
      <c r="Q208" s="10">
        <v>2.8343001519210501E-2</v>
      </c>
    </row>
    <row r="209" spans="1:17" x14ac:dyDescent="0.2">
      <c r="A209" s="10">
        <v>1698</v>
      </c>
      <c r="B209" s="10" t="s">
        <v>2825</v>
      </c>
      <c r="C209" s="9" t="s">
        <v>953</v>
      </c>
      <c r="D209" s="10">
        <v>-4.1622491999999997E-2</v>
      </c>
      <c r="E209" s="10">
        <v>-0.35247961100000003</v>
      </c>
      <c r="F209" s="10">
        <v>0.18843337299999999</v>
      </c>
      <c r="G209" s="10">
        <v>-0.89786842700000002</v>
      </c>
      <c r="H209" s="9">
        <v>-0.27588428949999999</v>
      </c>
      <c r="I209" s="10">
        <v>0.47017748140275001</v>
      </c>
      <c r="J209" s="10">
        <v>0.221066864018234</v>
      </c>
      <c r="K209" s="10">
        <v>-2.9441498E-2</v>
      </c>
      <c r="L209" s="10">
        <v>-0.14557567499999999</v>
      </c>
      <c r="M209" s="10">
        <v>0.88834431999999997</v>
      </c>
      <c r="N209" s="10">
        <v>0.36547514399999997</v>
      </c>
      <c r="O209" s="9">
        <v>0.26970057274999998</v>
      </c>
      <c r="P209" s="10">
        <v>0.46684515453826098</v>
      </c>
      <c r="Q209" s="10">
        <v>0.21794439831585299</v>
      </c>
    </row>
    <row r="210" spans="1:17" x14ac:dyDescent="0.2">
      <c r="A210" s="10">
        <v>1698</v>
      </c>
      <c r="B210" s="10" t="s">
        <v>74</v>
      </c>
      <c r="C210" s="9" t="s">
        <v>2440</v>
      </c>
      <c r="D210" s="10">
        <v>0.17092236699999999</v>
      </c>
      <c r="E210" s="10">
        <v>-0.130956618</v>
      </c>
      <c r="F210" s="10">
        <v>-0.18411185199999999</v>
      </c>
      <c r="G210" s="10">
        <v>0.244525929</v>
      </c>
      <c r="H210" s="9">
        <v>2.5094956250000001E-2</v>
      </c>
      <c r="I210" s="10">
        <v>0.21411458612319001</v>
      </c>
      <c r="J210" s="10">
        <v>4.5845055990705298E-2</v>
      </c>
      <c r="K210" s="10">
        <v>0.16793033700000001</v>
      </c>
      <c r="L210" s="10">
        <v>0.233031979</v>
      </c>
      <c r="M210" s="10">
        <v>-5.8184278999999998E-2</v>
      </c>
      <c r="N210" s="10">
        <v>0.133743573</v>
      </c>
      <c r="O210" s="9">
        <v>0.1191304025</v>
      </c>
      <c r="P210" s="10">
        <v>0.125178597430362</v>
      </c>
      <c r="Q210" s="10">
        <v>1.5669681254632702E-2</v>
      </c>
    </row>
    <row r="211" spans="1:17" x14ac:dyDescent="0.2">
      <c r="A211" s="10">
        <v>1698</v>
      </c>
      <c r="B211" s="10" t="s">
        <v>2818</v>
      </c>
      <c r="C211" s="9" t="s">
        <v>954</v>
      </c>
      <c r="D211" s="10">
        <v>-0.29236486699999997</v>
      </c>
      <c r="E211" s="10">
        <v>-0.142710058</v>
      </c>
      <c r="F211" s="10">
        <v>-0.40962891499999998</v>
      </c>
      <c r="G211" s="10">
        <v>-2.1664951000000002E-2</v>
      </c>
      <c r="H211" s="9">
        <v>-0.21659219774999999</v>
      </c>
      <c r="I211" s="10">
        <v>0.16976441883926499</v>
      </c>
      <c r="J211" s="10">
        <v>2.8819957903833401E-2</v>
      </c>
      <c r="K211" s="10">
        <v>-0.30267255199999998</v>
      </c>
      <c r="L211" s="10">
        <v>-4.9909578000000003E-2</v>
      </c>
      <c r="M211" s="10">
        <v>-0.27812921600000001</v>
      </c>
      <c r="N211" s="10">
        <v>-0.37620181699999999</v>
      </c>
      <c r="O211" s="9">
        <v>-0.25172829050000001</v>
      </c>
      <c r="P211" s="10">
        <v>0.14085072258901199</v>
      </c>
      <c r="Q211" s="10">
        <v>1.9838926053846899E-2</v>
      </c>
    </row>
    <row r="212" spans="1:17" x14ac:dyDescent="0.2">
      <c r="A212" s="10">
        <v>1698</v>
      </c>
      <c r="B212" s="10" t="s">
        <v>2832</v>
      </c>
      <c r="C212" s="9" t="s">
        <v>955</v>
      </c>
      <c r="D212" s="10">
        <v>-0.12818896599999999</v>
      </c>
      <c r="E212" s="10">
        <v>-0.59088149499999998</v>
      </c>
      <c r="F212" s="10">
        <v>-0.236989064</v>
      </c>
      <c r="G212" s="10">
        <v>-0.22594730399999999</v>
      </c>
      <c r="H212" s="9">
        <v>-0.29550170725000002</v>
      </c>
      <c r="I212" s="10">
        <v>0.20289924989789801</v>
      </c>
      <c r="J212" s="10">
        <v>4.1168105609129903E-2</v>
      </c>
      <c r="K212" s="10">
        <v>-0.69367254</v>
      </c>
      <c r="L212" s="10">
        <v>-1.4803223089999999</v>
      </c>
      <c r="M212" s="10">
        <v>-7.1829661000000003E-2</v>
      </c>
      <c r="N212" s="10">
        <v>-1.1228726959999999</v>
      </c>
      <c r="O212" s="9">
        <v>-0.84217430174999997</v>
      </c>
      <c r="P212" s="10">
        <v>0.60594502128679795</v>
      </c>
      <c r="Q212" s="10">
        <v>0.36716936882225798</v>
      </c>
    </row>
    <row r="213" spans="1:17" x14ac:dyDescent="0.2">
      <c r="A213" s="10">
        <v>1699</v>
      </c>
      <c r="B213" s="10" t="s">
        <v>2822</v>
      </c>
      <c r="C213" s="9" t="s">
        <v>2438</v>
      </c>
      <c r="D213" s="10">
        <v>-1.7286419500000001</v>
      </c>
      <c r="E213" s="10">
        <v>-1.681210262</v>
      </c>
      <c r="F213" s="10">
        <v>-1.0288327610000001</v>
      </c>
      <c r="G213" s="10">
        <v>-0.40096982599999997</v>
      </c>
      <c r="H213" s="9">
        <v>-1.20991369975</v>
      </c>
      <c r="I213" s="10">
        <v>0.62673225129830601</v>
      </c>
      <c r="J213" s="10">
        <v>0.39279331481744401</v>
      </c>
      <c r="K213" s="10">
        <v>-0.52426069799999997</v>
      </c>
      <c r="L213" s="10">
        <v>-0.457568474</v>
      </c>
      <c r="M213" s="10">
        <v>-0.86780056699999997</v>
      </c>
      <c r="N213" s="10">
        <v>-0.60095542499999999</v>
      </c>
      <c r="O213" s="9">
        <v>-0.61264629125000003</v>
      </c>
      <c r="P213" s="10">
        <v>0.179908794749229</v>
      </c>
      <c r="Q213" s="10">
        <v>3.2367174428120399E-2</v>
      </c>
    </row>
    <row r="214" spans="1:17" x14ac:dyDescent="0.2">
      <c r="A214" s="10">
        <v>1699</v>
      </c>
      <c r="B214" s="10" t="s">
        <v>2824</v>
      </c>
      <c r="C214" s="9" t="s">
        <v>956</v>
      </c>
      <c r="D214" s="10">
        <v>-0.77650154900000001</v>
      </c>
      <c r="E214" s="10">
        <v>-1.131885993</v>
      </c>
      <c r="F214" s="10">
        <v>-1.0022271979999999</v>
      </c>
      <c r="G214" s="10">
        <v>-1.01230749</v>
      </c>
      <c r="H214" s="9">
        <v>-0.98073055774999995</v>
      </c>
      <c r="I214" s="10">
        <v>0.148342690880478</v>
      </c>
      <c r="J214" s="10">
        <v>2.2005553937661099E-2</v>
      </c>
      <c r="K214" s="10">
        <v>-5.8515900000000003E-4</v>
      </c>
      <c r="L214" s="10">
        <v>-2.6692578000000002E-2</v>
      </c>
      <c r="M214" s="10">
        <v>-9.7812398999999994E-2</v>
      </c>
      <c r="N214" s="10">
        <v>-0.64883974799999999</v>
      </c>
      <c r="O214" s="9">
        <v>-0.19348247125000001</v>
      </c>
      <c r="P214" s="10">
        <v>0.306339274757643</v>
      </c>
      <c r="Q214" s="10">
        <v>9.3843751259038793E-2</v>
      </c>
    </row>
    <row r="215" spans="1:17" x14ac:dyDescent="0.2">
      <c r="A215" s="10">
        <v>1699</v>
      </c>
      <c r="B215" s="10" t="s">
        <v>2817</v>
      </c>
      <c r="C215" s="9" t="s">
        <v>2437</v>
      </c>
      <c r="D215" s="10">
        <v>-1.7936470600000001</v>
      </c>
      <c r="E215" s="10">
        <v>-1.1700019100000001</v>
      </c>
      <c r="F215" s="10">
        <v>-0.46902843999999999</v>
      </c>
      <c r="G215" s="10">
        <v>-1.0013712530000001</v>
      </c>
      <c r="H215" s="9">
        <v>-1.1085121657499999</v>
      </c>
      <c r="I215" s="10">
        <v>0.54577450247359205</v>
      </c>
      <c r="J215" s="10">
        <v>0.29786980755029702</v>
      </c>
      <c r="K215" s="10">
        <v>-0.45048308599999998</v>
      </c>
      <c r="L215" s="10">
        <v>-1.322108815</v>
      </c>
      <c r="M215" s="10">
        <v>-0.453626313</v>
      </c>
      <c r="N215" s="10">
        <v>-0.40662103399999999</v>
      </c>
      <c r="O215" s="9">
        <v>-0.65820981224999997</v>
      </c>
      <c r="P215" s="10">
        <v>0.44311909616478501</v>
      </c>
      <c r="Q215" s="10">
        <v>0.19635453338589601</v>
      </c>
    </row>
    <row r="216" spans="1:17" x14ac:dyDescent="0.2">
      <c r="A216" s="10">
        <v>1699</v>
      </c>
      <c r="B216" s="10" t="s">
        <v>2814</v>
      </c>
      <c r="C216" s="9" t="s">
        <v>957</v>
      </c>
      <c r="D216" s="10">
        <v>-0.79640799900000003</v>
      </c>
      <c r="E216" s="10">
        <v>-1.490257422</v>
      </c>
      <c r="F216" s="10">
        <v>-1.0230227599999999</v>
      </c>
      <c r="G216" s="10">
        <v>-0.96377095300000004</v>
      </c>
      <c r="H216" s="9">
        <v>-1.0683647835000001</v>
      </c>
      <c r="I216" s="10">
        <v>0.29718101079409898</v>
      </c>
      <c r="J216" s="10">
        <v>8.8316553176602794E-2</v>
      </c>
      <c r="K216" s="10">
        <v>-6.8686213999999995E-2</v>
      </c>
      <c r="L216" s="10">
        <v>3.9394540999999998E-2</v>
      </c>
      <c r="M216" s="10">
        <v>-0.36377406200000001</v>
      </c>
      <c r="N216" s="10">
        <v>-0.395515595</v>
      </c>
      <c r="O216" s="9">
        <v>-0.19714533249999999</v>
      </c>
      <c r="P216" s="10">
        <v>0.21569171782916999</v>
      </c>
      <c r="Q216" s="10">
        <v>4.65229171400987E-2</v>
      </c>
    </row>
    <row r="217" spans="1:17" x14ac:dyDescent="0.2">
      <c r="A217" s="10">
        <v>1699</v>
      </c>
      <c r="B217" s="10" t="s">
        <v>74</v>
      </c>
      <c r="C217" s="9" t="s">
        <v>958</v>
      </c>
      <c r="D217" s="10">
        <v>-0.78810205600000005</v>
      </c>
      <c r="E217" s="10">
        <v>-1.0710949279999999</v>
      </c>
      <c r="F217" s="10">
        <v>-0.48941522999999998</v>
      </c>
      <c r="G217" s="10">
        <v>-0.66235932200000003</v>
      </c>
      <c r="H217" s="9">
        <v>-0.75274288374999998</v>
      </c>
      <c r="I217" s="10">
        <v>0.245023085037889</v>
      </c>
      <c r="J217" s="10">
        <v>6.0036312201484997E-2</v>
      </c>
      <c r="K217" s="10">
        <v>-0.185518287</v>
      </c>
      <c r="L217" s="10">
        <v>-0.22537370800000001</v>
      </c>
      <c r="M217" s="10">
        <v>-0.27457923000000001</v>
      </c>
      <c r="N217" s="10">
        <v>-0.22544170699999999</v>
      </c>
      <c r="O217" s="9">
        <v>-0.227728233</v>
      </c>
      <c r="P217" s="10">
        <v>3.64575892892057E-2</v>
      </c>
      <c r="Q217" s="10">
        <v>1.3291558167804001E-3</v>
      </c>
    </row>
    <row r="218" spans="1:17" x14ac:dyDescent="0.2">
      <c r="A218" s="10">
        <v>1700</v>
      </c>
      <c r="B218" s="10" t="s">
        <v>2832</v>
      </c>
      <c r="C218" s="9" t="s">
        <v>2435</v>
      </c>
      <c r="D218" s="10">
        <v>-0.54868770200000005</v>
      </c>
      <c r="E218" s="10">
        <v>-1.040230041</v>
      </c>
      <c r="F218" s="10">
        <v>-0.75168418100000001</v>
      </c>
      <c r="G218" s="10">
        <v>-1.039849888</v>
      </c>
      <c r="H218" s="9">
        <v>-0.84511295325000002</v>
      </c>
      <c r="I218" s="10">
        <v>0.239854133972181</v>
      </c>
      <c r="J218" s="10">
        <v>5.7530005583544902E-2</v>
      </c>
      <c r="K218" s="10">
        <v>-0.94096992099999999</v>
      </c>
      <c r="L218" s="10">
        <v>0.30662712399999997</v>
      </c>
      <c r="M218" s="10">
        <v>-1.1041186329999999</v>
      </c>
      <c r="N218" s="10">
        <v>-0.14675558699999999</v>
      </c>
      <c r="O218" s="9">
        <v>-0.47130425399999998</v>
      </c>
      <c r="P218" s="10">
        <v>0.666220419770155</v>
      </c>
      <c r="Q218" s="10">
        <v>0.44384964771872198</v>
      </c>
    </row>
    <row r="219" spans="1:17" x14ac:dyDescent="0.2">
      <c r="A219" s="10">
        <v>1701</v>
      </c>
      <c r="B219" s="10" t="s">
        <v>2831</v>
      </c>
      <c r="C219" s="9" t="s">
        <v>2434</v>
      </c>
      <c r="D219" s="10">
        <v>-0.89974004399999996</v>
      </c>
      <c r="E219" s="10">
        <v>-1.420690024</v>
      </c>
      <c r="F219" s="10">
        <v>-0.82773910900000003</v>
      </c>
      <c r="G219" s="10">
        <v>-1.5554041620000001</v>
      </c>
      <c r="H219" s="9">
        <v>-1.17589333475</v>
      </c>
      <c r="I219" s="10">
        <v>0.36579862035796701</v>
      </c>
      <c r="J219" s="10">
        <v>0.13380863065579199</v>
      </c>
      <c r="K219" s="10">
        <v>-0.166443385</v>
      </c>
      <c r="L219" s="10">
        <v>-0.43375266600000001</v>
      </c>
      <c r="M219" s="10">
        <v>-0.73877529099999995</v>
      </c>
      <c r="N219" s="10">
        <v>-0.211934136</v>
      </c>
      <c r="O219" s="9">
        <v>-0.3877263695</v>
      </c>
      <c r="P219" s="10">
        <v>0.26154848743841203</v>
      </c>
      <c r="Q219" s="10">
        <v>6.8407611281321598E-2</v>
      </c>
    </row>
    <row r="220" spans="1:17" x14ac:dyDescent="0.2">
      <c r="A220" s="10">
        <v>1701</v>
      </c>
      <c r="B220" s="10" t="s">
        <v>2822</v>
      </c>
      <c r="C220" s="9" t="s">
        <v>2433</v>
      </c>
      <c r="D220" s="10">
        <v>0.183987294</v>
      </c>
      <c r="E220" s="10">
        <v>-8.7621393000000006E-2</v>
      </c>
      <c r="F220" s="10">
        <v>0.15966375299999999</v>
      </c>
      <c r="G220" s="10">
        <v>-7.5706018999999999E-2</v>
      </c>
      <c r="H220" s="9">
        <v>4.5080908750000002E-2</v>
      </c>
      <c r="I220" s="10">
        <v>0.14676920074805899</v>
      </c>
      <c r="J220" s="10">
        <v>2.15411982882243E-2</v>
      </c>
      <c r="K220" s="10">
        <v>-4.8973573999999999E-2</v>
      </c>
      <c r="L220" s="10">
        <v>7.7163197000000003E-2</v>
      </c>
      <c r="M220" s="10">
        <v>0.16645986099999999</v>
      </c>
      <c r="N220" s="10">
        <v>0.121437302</v>
      </c>
      <c r="O220" s="9">
        <v>7.9021696500000002E-2</v>
      </c>
      <c r="P220" s="10">
        <v>9.2791449842860599E-2</v>
      </c>
      <c r="Q220" s="10">
        <v>8.6102531639400993E-3</v>
      </c>
    </row>
    <row r="221" spans="1:17" x14ac:dyDescent="0.2">
      <c r="A221" s="10">
        <v>1701</v>
      </c>
      <c r="B221" s="10" t="s">
        <v>79</v>
      </c>
      <c r="C221" s="9" t="s">
        <v>960</v>
      </c>
      <c r="D221" s="10">
        <v>-0.27285541400000002</v>
      </c>
      <c r="E221" s="10">
        <v>0.103145261</v>
      </c>
      <c r="F221" s="10">
        <v>-0.16479390999999999</v>
      </c>
      <c r="G221" s="10">
        <v>-0.331651523</v>
      </c>
      <c r="H221" s="9">
        <v>-0.16653889675</v>
      </c>
      <c r="I221" s="10">
        <v>0.192611847253681</v>
      </c>
      <c r="J221" s="10">
        <v>3.7099323702475401E-2</v>
      </c>
      <c r="K221" s="10">
        <v>0.16549504000000001</v>
      </c>
      <c r="L221" s="10">
        <v>-3.6409980000000002E-2</v>
      </c>
      <c r="M221" s="10">
        <v>9.4026578E-2</v>
      </c>
      <c r="N221" s="10">
        <v>-0.97078984300000004</v>
      </c>
      <c r="O221" s="9">
        <v>-0.18691955125000001</v>
      </c>
      <c r="P221" s="10">
        <v>0.52922349941291302</v>
      </c>
      <c r="Q221" s="10">
        <v>0.28007751233084999</v>
      </c>
    </row>
    <row r="222" spans="1:17" x14ac:dyDescent="0.2">
      <c r="A222" s="10">
        <v>1701</v>
      </c>
      <c r="B222" s="10" t="s">
        <v>74</v>
      </c>
      <c r="C222" s="9" t="s">
        <v>2432</v>
      </c>
      <c r="D222" s="10">
        <v>-0.121467033</v>
      </c>
      <c r="E222" s="10">
        <v>-0.52105215299999996</v>
      </c>
      <c r="F222" s="10">
        <v>-0.32655220899999998</v>
      </c>
      <c r="G222" s="10">
        <v>-0.57616164199999997</v>
      </c>
      <c r="H222" s="9">
        <v>-0.38630825949999997</v>
      </c>
      <c r="I222" s="10">
        <v>0.20648800167532999</v>
      </c>
      <c r="J222" s="10">
        <v>4.2637294835871101E-2</v>
      </c>
      <c r="K222" s="10">
        <v>-0.43666911800000002</v>
      </c>
      <c r="L222" s="10">
        <v>-0.25387363800000001</v>
      </c>
      <c r="M222" s="10">
        <v>-0.32335446600000001</v>
      </c>
      <c r="N222" s="10">
        <v>-0.64442392699999995</v>
      </c>
      <c r="O222" s="9">
        <v>-0.41458028725000001</v>
      </c>
      <c r="P222" s="10">
        <v>0.170748150554483</v>
      </c>
      <c r="Q222" s="10">
        <v>2.9154930917776399E-2</v>
      </c>
    </row>
    <row r="223" spans="1:17" x14ac:dyDescent="0.2">
      <c r="A223" s="10">
        <v>1702</v>
      </c>
      <c r="B223" s="10" t="s">
        <v>2822</v>
      </c>
      <c r="C223" s="9" t="s">
        <v>2639</v>
      </c>
      <c r="D223" s="10">
        <v>-1.61146141</v>
      </c>
      <c r="E223" s="10">
        <v>-2.7646478079999999</v>
      </c>
      <c r="F223" s="10">
        <v>-1.6232418669999999</v>
      </c>
      <c r="G223" s="10">
        <v>-1.3379072249999999</v>
      </c>
      <c r="H223" s="9">
        <v>-1.8343145775</v>
      </c>
      <c r="I223" s="10">
        <v>0.63407554827775903</v>
      </c>
      <c r="J223" s="10">
        <v>0.40205180092374099</v>
      </c>
      <c r="K223" s="10">
        <v>-0.27628728200000002</v>
      </c>
      <c r="L223" s="10">
        <v>-0.70348364900000004</v>
      </c>
      <c r="M223" s="10">
        <v>0.192326519</v>
      </c>
      <c r="N223" s="10">
        <v>-0.44042108099999999</v>
      </c>
      <c r="O223" s="9">
        <v>-0.30696637324999998</v>
      </c>
      <c r="P223" s="10">
        <v>0.37650617873643399</v>
      </c>
      <c r="Q223" s="10">
        <v>0.14175690262671101</v>
      </c>
    </row>
    <row r="224" spans="1:17" x14ac:dyDescent="0.2">
      <c r="A224" s="10">
        <v>1702</v>
      </c>
      <c r="B224" s="10" t="s">
        <v>2825</v>
      </c>
      <c r="C224" s="9" t="s">
        <v>963</v>
      </c>
      <c r="D224" s="10">
        <v>-0.4864695</v>
      </c>
      <c r="E224" s="10">
        <v>-1.0090944989999999</v>
      </c>
      <c r="F224" s="10">
        <v>-2.0021966610000002</v>
      </c>
      <c r="G224" s="10">
        <v>-2.850290861</v>
      </c>
      <c r="H224" s="9">
        <v>-1.5870128802500001</v>
      </c>
      <c r="I224" s="10">
        <v>1.0509415168702101</v>
      </c>
      <c r="J224" s="10">
        <v>1.10447807188145</v>
      </c>
      <c r="K224" s="10">
        <v>0.123383466</v>
      </c>
      <c r="L224" s="10">
        <v>0.32569240300000002</v>
      </c>
      <c r="M224" s="10">
        <v>-1.0650527089999999</v>
      </c>
      <c r="N224" s="10">
        <v>-1.2448685340000001</v>
      </c>
      <c r="O224" s="9">
        <v>-0.46521134349999999</v>
      </c>
      <c r="P224" s="10">
        <v>0.80408282833327804</v>
      </c>
      <c r="Q224" s="10">
        <v>0.64654919482044504</v>
      </c>
    </row>
    <row r="225" spans="1:17" x14ac:dyDescent="0.2">
      <c r="A225" s="10">
        <v>1703</v>
      </c>
      <c r="B225" s="10" t="s">
        <v>2822</v>
      </c>
      <c r="C225" s="9" t="s">
        <v>964</v>
      </c>
      <c r="D225" s="10">
        <v>-1.494391657</v>
      </c>
      <c r="E225" s="10">
        <v>-1.9896403739999999</v>
      </c>
      <c r="F225" s="10">
        <v>-1.3188093830000001</v>
      </c>
      <c r="G225" s="10">
        <v>-1.0487773709999999</v>
      </c>
      <c r="H225" s="9">
        <v>-1.4629046960000001</v>
      </c>
      <c r="I225" s="10">
        <v>0.39610890915309199</v>
      </c>
      <c r="J225" s="10">
        <v>0.156902267910452</v>
      </c>
      <c r="K225" s="10">
        <v>-0.13277800300000001</v>
      </c>
      <c r="L225" s="10">
        <v>-5.6628336000000001E-2</v>
      </c>
      <c r="M225" s="10">
        <v>-0.68045303599999996</v>
      </c>
      <c r="N225" s="10">
        <v>-0.178654703</v>
      </c>
      <c r="O225" s="9">
        <v>-0.26212851949999999</v>
      </c>
      <c r="P225" s="10">
        <v>0.28338734427363099</v>
      </c>
      <c r="Q225" s="10">
        <v>8.0308386894461598E-2</v>
      </c>
    </row>
    <row r="226" spans="1:17" x14ac:dyDescent="0.2">
      <c r="A226" s="10">
        <v>1703</v>
      </c>
      <c r="B226" s="10" t="s">
        <v>2833</v>
      </c>
      <c r="C226" s="9" t="s">
        <v>967</v>
      </c>
      <c r="D226" s="10">
        <v>-1.589688381</v>
      </c>
      <c r="E226" s="10">
        <v>-2.1337712780000002</v>
      </c>
      <c r="F226" s="10">
        <v>-1.427019214</v>
      </c>
      <c r="G226" s="10">
        <v>-1.613116416</v>
      </c>
      <c r="H226" s="9">
        <v>-1.6908988224999999</v>
      </c>
      <c r="I226" s="10">
        <v>0.30662795907106899</v>
      </c>
      <c r="J226" s="10">
        <v>9.4020705284089706E-2</v>
      </c>
      <c r="K226" s="10">
        <v>-0.23302709599999999</v>
      </c>
      <c r="L226" s="10">
        <v>-0.449376414</v>
      </c>
      <c r="M226" s="10">
        <v>-1.590470874</v>
      </c>
      <c r="N226" s="10">
        <v>-0.94518328100000004</v>
      </c>
      <c r="O226" s="9">
        <v>-0.80451441624999998</v>
      </c>
      <c r="P226" s="10">
        <v>0.60283663924196096</v>
      </c>
      <c r="Q226" s="10">
        <v>0.363412013612542</v>
      </c>
    </row>
    <row r="227" spans="1:17" x14ac:dyDescent="0.2">
      <c r="A227" s="10">
        <v>1703</v>
      </c>
      <c r="B227" s="10" t="s">
        <v>74</v>
      </c>
      <c r="C227" s="9" t="s">
        <v>2430</v>
      </c>
      <c r="D227" s="10">
        <v>-0.78185708300000001</v>
      </c>
      <c r="E227" s="10">
        <v>-0.90213898199999998</v>
      </c>
      <c r="F227" s="10">
        <v>-0.93026764900000003</v>
      </c>
      <c r="G227" s="10">
        <v>-1.031852971</v>
      </c>
      <c r="H227" s="9">
        <v>-0.91152917124999999</v>
      </c>
      <c r="I227" s="10">
        <v>0.102846120425828</v>
      </c>
      <c r="J227" s="10">
        <v>1.05773244866439E-2</v>
      </c>
      <c r="K227" s="10">
        <v>5.7315366E-2</v>
      </c>
      <c r="L227" s="10">
        <v>0.27458680099999999</v>
      </c>
      <c r="M227" s="10">
        <v>-0.28108771599999999</v>
      </c>
      <c r="N227" s="10">
        <v>-0.21908103300000001</v>
      </c>
      <c r="O227" s="9">
        <v>-4.2066645749999999E-2</v>
      </c>
      <c r="P227" s="10">
        <v>0.25730096185536</v>
      </c>
      <c r="Q227" s="10">
        <v>6.6203784971693505E-2</v>
      </c>
    </row>
    <row r="228" spans="1:17" x14ac:dyDescent="0.2">
      <c r="A228" s="10">
        <v>1704</v>
      </c>
      <c r="B228" s="10" t="s">
        <v>2831</v>
      </c>
      <c r="C228" s="9" t="s">
        <v>968</v>
      </c>
      <c r="D228" s="10">
        <v>-0.77601453300000001</v>
      </c>
      <c r="E228" s="10">
        <v>-1.11645803</v>
      </c>
      <c r="F228" s="10">
        <v>-1.498346395</v>
      </c>
      <c r="G228" s="10">
        <v>-1.1026383740000001</v>
      </c>
      <c r="H228" s="9">
        <v>-1.12336433275</v>
      </c>
      <c r="I228" s="10">
        <v>0.29537585817587803</v>
      </c>
      <c r="J228" s="10">
        <v>8.7246897593136405E-2</v>
      </c>
      <c r="K228" s="10">
        <v>0.10903745400000001</v>
      </c>
      <c r="L228" s="10">
        <v>-0.24367275899999999</v>
      </c>
      <c r="M228" s="10">
        <v>5.4730400999999998E-2</v>
      </c>
      <c r="N228" s="10">
        <v>-0.12962996500000001</v>
      </c>
      <c r="O228" s="9">
        <v>-5.2383717500000003E-2</v>
      </c>
      <c r="P228" s="10">
        <v>0.16338982948894901</v>
      </c>
      <c r="Q228" s="10">
        <v>2.66962363804281E-2</v>
      </c>
    </row>
    <row r="229" spans="1:17" x14ac:dyDescent="0.2">
      <c r="A229" s="10">
        <v>1704</v>
      </c>
      <c r="B229" s="10" t="s">
        <v>2834</v>
      </c>
      <c r="C229" s="9" t="s">
        <v>969</v>
      </c>
      <c r="D229" s="10">
        <v>-0.92985271599999997</v>
      </c>
      <c r="E229" s="10">
        <v>-0.95992838199999997</v>
      </c>
      <c r="F229" s="10">
        <v>-0.56336302999999999</v>
      </c>
      <c r="G229" s="10">
        <v>-0.60389444699999995</v>
      </c>
      <c r="H229" s="9">
        <v>-0.76425964375</v>
      </c>
      <c r="I229" s="10">
        <v>0.209589890381528</v>
      </c>
      <c r="J229" s="10">
        <v>4.3927922150141199E-2</v>
      </c>
      <c r="K229" s="10">
        <v>-0.17120618600000001</v>
      </c>
      <c r="L229" s="10">
        <v>-0.11101797400000001</v>
      </c>
      <c r="M229" s="10">
        <v>-7.9077047999999997E-2</v>
      </c>
      <c r="N229" s="10">
        <v>-1.3319889999999999E-2</v>
      </c>
      <c r="O229" s="9">
        <v>-9.3655274750000003E-2</v>
      </c>
      <c r="P229" s="10">
        <v>6.5782231387754603E-2</v>
      </c>
      <c r="Q229" s="10">
        <v>4.3273019663519997E-3</v>
      </c>
    </row>
    <row r="230" spans="1:17" x14ac:dyDescent="0.2">
      <c r="A230" s="10">
        <v>1704</v>
      </c>
      <c r="B230" s="10" t="s">
        <v>2824</v>
      </c>
      <c r="C230" s="9" t="s">
        <v>970</v>
      </c>
      <c r="D230" s="10">
        <v>-1.2819309780000001</v>
      </c>
      <c r="E230" s="10">
        <v>-2.5643067460000002</v>
      </c>
      <c r="F230" s="10">
        <v>-2.0564104670000001</v>
      </c>
      <c r="G230" s="10">
        <v>-1.202056915</v>
      </c>
      <c r="H230" s="9">
        <v>-1.7761762765</v>
      </c>
      <c r="I230" s="10">
        <v>0.65155513832112999</v>
      </c>
      <c r="J230" s="10">
        <v>0.42452409827266702</v>
      </c>
      <c r="K230" s="10">
        <v>-1.548780431</v>
      </c>
      <c r="L230" s="10">
        <v>-1.139786116</v>
      </c>
      <c r="M230" s="10">
        <v>-0.87903504499999996</v>
      </c>
      <c r="N230" s="10">
        <v>-0.387876412</v>
      </c>
      <c r="O230" s="9">
        <v>-0.98886950100000004</v>
      </c>
      <c r="P230" s="10">
        <v>0.48632375189342703</v>
      </c>
      <c r="Q230" s="10">
        <v>0.23651079165569999</v>
      </c>
    </row>
    <row r="231" spans="1:17" x14ac:dyDescent="0.2">
      <c r="A231" s="10">
        <v>1704</v>
      </c>
      <c r="B231" s="10" t="s">
        <v>2817</v>
      </c>
      <c r="C231" s="9" t="s">
        <v>971</v>
      </c>
      <c r="D231" s="10">
        <v>-0.72114745099999999</v>
      </c>
      <c r="E231" s="10">
        <v>-1.0794835920000001</v>
      </c>
      <c r="F231" s="10">
        <v>-1.1681322949999999</v>
      </c>
      <c r="G231" s="10">
        <v>-1.125202161</v>
      </c>
      <c r="H231" s="9">
        <v>-1.0234913747500001</v>
      </c>
      <c r="I231" s="10">
        <v>0.20478692704978099</v>
      </c>
      <c r="J231" s="10">
        <v>4.1937685490492302E-2</v>
      </c>
      <c r="K231" s="10">
        <v>-0.42056052700000002</v>
      </c>
      <c r="L231" s="10">
        <v>-0.49800588000000001</v>
      </c>
      <c r="M231" s="10">
        <v>-0.78788872499999996</v>
      </c>
      <c r="N231" s="10">
        <v>-0.80350461799999995</v>
      </c>
      <c r="O231" s="9">
        <v>-0.62748993750000004</v>
      </c>
      <c r="P231" s="10">
        <v>0.19688815848896499</v>
      </c>
      <c r="Q231" s="10">
        <v>3.8764946953175998E-2</v>
      </c>
    </row>
    <row r="232" spans="1:17" x14ac:dyDescent="0.2">
      <c r="A232" s="10">
        <v>1704</v>
      </c>
      <c r="B232" s="10" t="s">
        <v>2825</v>
      </c>
      <c r="C232" s="9" t="s">
        <v>972</v>
      </c>
      <c r="D232" s="10">
        <v>-2.7025157000000002</v>
      </c>
      <c r="E232" s="10">
        <v>-1.3489299969999999</v>
      </c>
      <c r="F232" s="10">
        <v>-1.7277673689999999</v>
      </c>
      <c r="G232" s="10">
        <v>-2.215601205</v>
      </c>
      <c r="H232" s="9">
        <v>-1.9987035675</v>
      </c>
      <c r="I232" s="10">
        <v>0.58821997574185003</v>
      </c>
      <c r="J232" s="10">
        <v>0.34600273986174301</v>
      </c>
      <c r="K232" s="10">
        <v>-0.41398449999999998</v>
      </c>
      <c r="L232" s="10">
        <v>0.111600382</v>
      </c>
      <c r="M232" s="10">
        <v>-0.76617425299999997</v>
      </c>
      <c r="N232" s="10">
        <v>-0.13612749299999999</v>
      </c>
      <c r="O232" s="9">
        <v>-0.30117146625000002</v>
      </c>
      <c r="P232" s="10">
        <v>0.37708287510086802</v>
      </c>
      <c r="Q232" s="10">
        <v>0.14219149469433701</v>
      </c>
    </row>
    <row r="233" spans="1:17" x14ac:dyDescent="0.2">
      <c r="A233" s="10">
        <v>1704</v>
      </c>
      <c r="B233" s="10" t="s">
        <v>74</v>
      </c>
      <c r="C233" s="9" t="s">
        <v>973</v>
      </c>
      <c r="D233" s="10">
        <v>-1.1822994259999999</v>
      </c>
      <c r="E233" s="10">
        <v>-1.224087108</v>
      </c>
      <c r="F233" s="10">
        <v>-1.260931129</v>
      </c>
      <c r="G233" s="10">
        <v>-1.2281927079999999</v>
      </c>
      <c r="H233" s="9">
        <v>-1.2238775927500001</v>
      </c>
      <c r="I233" s="10">
        <v>3.2250956653416402E-2</v>
      </c>
      <c r="J233" s="10">
        <v>1.0401242050605E-3</v>
      </c>
      <c r="K233" s="10">
        <v>-0.30791971299999998</v>
      </c>
      <c r="L233" s="10">
        <v>-0.530012755</v>
      </c>
      <c r="M233" s="10">
        <v>-0.66467565100000003</v>
      </c>
      <c r="N233" s="10">
        <v>-0.550519804</v>
      </c>
      <c r="O233" s="9">
        <v>-0.51328198074999998</v>
      </c>
      <c r="P233" s="10">
        <v>0.14917582321385101</v>
      </c>
      <c r="Q233" s="10">
        <v>2.2253426231530302E-2</v>
      </c>
    </row>
    <row r="234" spans="1:17" x14ac:dyDescent="0.2">
      <c r="A234" s="10">
        <v>1704</v>
      </c>
      <c r="B234" s="10" t="s">
        <v>2818</v>
      </c>
      <c r="C234" s="9" t="s">
        <v>974</v>
      </c>
      <c r="D234" s="10">
        <v>-0.10763194500000001</v>
      </c>
      <c r="E234" s="10">
        <v>-0.99108852199999997</v>
      </c>
      <c r="F234" s="10">
        <v>-1.3103221700000001</v>
      </c>
      <c r="G234" s="10">
        <v>-0.43861700199999998</v>
      </c>
      <c r="H234" s="9">
        <v>-0.71191490975000005</v>
      </c>
      <c r="I234" s="10">
        <v>0.54033286122667001</v>
      </c>
      <c r="J234" s="10">
        <v>0.2919596009214</v>
      </c>
      <c r="K234" s="10">
        <v>-0.67946258500000001</v>
      </c>
      <c r="L234" s="10">
        <v>-0.136609538</v>
      </c>
      <c r="M234" s="10">
        <v>-0.44157334300000001</v>
      </c>
      <c r="N234" s="10">
        <v>-1.2972370529999999</v>
      </c>
      <c r="O234" s="9">
        <v>-0.63872062974999999</v>
      </c>
      <c r="P234" s="10">
        <v>0.49203197312736602</v>
      </c>
      <c r="Q234" s="10">
        <v>0.24209546257960901</v>
      </c>
    </row>
    <row r="235" spans="1:17" x14ac:dyDescent="0.2">
      <c r="A235" s="10">
        <v>1704</v>
      </c>
      <c r="B235" s="10" t="s">
        <v>2832</v>
      </c>
      <c r="C235" s="9" t="s">
        <v>975</v>
      </c>
      <c r="D235" s="10">
        <v>-0.92013864300000003</v>
      </c>
      <c r="E235" s="10">
        <v>-1.2326679730000001</v>
      </c>
      <c r="F235" s="10">
        <v>-0.91850904099999997</v>
      </c>
      <c r="G235" s="10">
        <v>-1.2016894010000001</v>
      </c>
      <c r="H235" s="9">
        <v>-1.0682512642499999</v>
      </c>
      <c r="I235" s="10">
        <v>0.17243227893184801</v>
      </c>
      <c r="J235" s="10">
        <v>2.9732890817630898E-2</v>
      </c>
      <c r="K235" s="10">
        <v>-0.34004166400000002</v>
      </c>
      <c r="L235" s="10">
        <v>-0.231671184</v>
      </c>
      <c r="M235" s="10">
        <v>-0.41172572899999998</v>
      </c>
      <c r="N235" s="10">
        <v>-0.35080424399999999</v>
      </c>
      <c r="O235" s="9">
        <v>-0.33356070524999998</v>
      </c>
      <c r="P235" s="10">
        <v>7.4901241496907495E-2</v>
      </c>
      <c r="Q235" s="10">
        <v>5.6101959777780002E-3</v>
      </c>
    </row>
    <row r="236" spans="1:17" x14ac:dyDescent="0.2">
      <c r="A236" s="10">
        <v>1705</v>
      </c>
      <c r="B236" s="10" t="s">
        <v>2819</v>
      </c>
      <c r="C236" s="9" t="s">
        <v>976</v>
      </c>
      <c r="D236" s="10">
        <v>-0.55139747100000003</v>
      </c>
      <c r="E236" s="10">
        <v>-0.72172574499999997</v>
      </c>
      <c r="F236" s="10">
        <v>-0.76315414599999998</v>
      </c>
      <c r="G236" s="10">
        <v>-0.74672451699999998</v>
      </c>
      <c r="H236" s="9">
        <v>-0.69575046949999997</v>
      </c>
      <c r="I236" s="10">
        <v>9.7731114522603593E-2</v>
      </c>
      <c r="J236" s="10">
        <v>9.5513707458301997E-3</v>
      </c>
      <c r="K236" s="10">
        <v>-7.9107504999999995E-2</v>
      </c>
      <c r="L236" s="10">
        <v>-1.9102224000000001E-2</v>
      </c>
      <c r="M236" s="10">
        <v>-0.75854861500000004</v>
      </c>
      <c r="N236" s="10">
        <v>-0.45430178999999998</v>
      </c>
      <c r="O236" s="9">
        <v>-0.32776503350000002</v>
      </c>
      <c r="P236" s="10">
        <v>0.34577899554661001</v>
      </c>
      <c r="Q236" s="10">
        <v>0.119563113761223</v>
      </c>
    </row>
    <row r="237" spans="1:17" x14ac:dyDescent="0.2">
      <c r="A237" s="10">
        <v>1705</v>
      </c>
      <c r="B237" s="10" t="s">
        <v>2834</v>
      </c>
      <c r="C237" s="9" t="s">
        <v>977</v>
      </c>
      <c r="D237" s="10">
        <v>0.22826689</v>
      </c>
      <c r="E237" s="10">
        <v>0.20385213699999999</v>
      </c>
      <c r="F237" s="10">
        <v>-9.641274E-3</v>
      </c>
      <c r="G237" s="10">
        <v>-0.93443427000000001</v>
      </c>
      <c r="H237" s="9">
        <v>-0.12798912900000001</v>
      </c>
      <c r="I237" s="10">
        <v>0.548147473197928</v>
      </c>
      <c r="J237" s="10">
        <v>0.30046565237327399</v>
      </c>
      <c r="K237" s="10">
        <v>0.18464013300000001</v>
      </c>
      <c r="L237" s="10">
        <v>0.52745544700000002</v>
      </c>
      <c r="M237" s="10">
        <v>-0.43886423299999999</v>
      </c>
      <c r="N237" s="10">
        <v>-0.22711313899999999</v>
      </c>
      <c r="O237" s="9">
        <v>1.1529552E-2</v>
      </c>
      <c r="P237" s="10">
        <v>0.43048488084951197</v>
      </c>
      <c r="Q237" s="10">
        <v>0.18531723264001801</v>
      </c>
    </row>
    <row r="238" spans="1:17" x14ac:dyDescent="0.2">
      <c r="A238" s="10">
        <v>1705</v>
      </c>
      <c r="B238" s="10" t="s">
        <v>79</v>
      </c>
      <c r="C238" s="9" t="s">
        <v>978</v>
      </c>
      <c r="D238" s="10">
        <v>0.66628395100000004</v>
      </c>
      <c r="E238" s="10">
        <v>0.26959357699999997</v>
      </c>
      <c r="F238" s="10">
        <v>0.110639795</v>
      </c>
      <c r="G238" s="10">
        <v>0.16394219700000001</v>
      </c>
      <c r="H238" s="9">
        <v>0.30261488025</v>
      </c>
      <c r="I238" s="10">
        <v>0.251283469362787</v>
      </c>
      <c r="J238" s="10">
        <v>6.3143381974998802E-2</v>
      </c>
      <c r="K238" s="10">
        <v>0.34536225599999998</v>
      </c>
      <c r="L238" s="10">
        <v>0.49682857699999999</v>
      </c>
      <c r="M238" s="10">
        <v>0.27910663699999999</v>
      </c>
      <c r="N238" s="10">
        <v>0.259271158</v>
      </c>
      <c r="O238" s="9">
        <v>0.345142157</v>
      </c>
      <c r="P238" s="10">
        <v>0.107615576361594</v>
      </c>
      <c r="Q238" s="10">
        <v>1.15811122756381E-2</v>
      </c>
    </row>
    <row r="239" spans="1:17" x14ac:dyDescent="0.2">
      <c r="A239" s="10">
        <v>1705</v>
      </c>
      <c r="B239" s="10" t="s">
        <v>2820</v>
      </c>
      <c r="C239" s="9" t="s">
        <v>979</v>
      </c>
      <c r="D239" s="10">
        <v>-0.57013982900000004</v>
      </c>
      <c r="E239" s="10">
        <v>-0.59069617500000005</v>
      </c>
      <c r="F239" s="10">
        <v>-0.69474255799999995</v>
      </c>
      <c r="G239" s="10">
        <v>-0.51665177600000001</v>
      </c>
      <c r="H239" s="9">
        <v>-0.59305758450000001</v>
      </c>
      <c r="I239" s="10">
        <v>7.4629040773278102E-2</v>
      </c>
      <c r="J239" s="10">
        <v>5.5694937267395999E-3</v>
      </c>
      <c r="K239" s="10">
        <v>-9.9139955000000002E-2</v>
      </c>
      <c r="L239" s="10">
        <v>-0.17060947700000001</v>
      </c>
      <c r="M239" s="10">
        <v>-0.293697296</v>
      </c>
      <c r="N239" s="10">
        <v>-0.560465887</v>
      </c>
      <c r="O239" s="9">
        <v>-0.28097815375000001</v>
      </c>
      <c r="P239" s="10">
        <v>0.20291340102696401</v>
      </c>
      <c r="Q239" s="10">
        <v>4.1173848316329698E-2</v>
      </c>
    </row>
    <row r="240" spans="1:17" x14ac:dyDescent="0.2">
      <c r="A240" s="10">
        <v>1705</v>
      </c>
      <c r="B240" s="10" t="s">
        <v>2825</v>
      </c>
      <c r="C240" s="9" t="s">
        <v>980</v>
      </c>
      <c r="D240" s="10">
        <v>-0.36030284299999998</v>
      </c>
      <c r="E240" s="10">
        <v>-0.81359421600000004</v>
      </c>
      <c r="F240" s="10">
        <v>-0.43744820000000001</v>
      </c>
      <c r="G240" s="10">
        <v>-0.250848929</v>
      </c>
      <c r="H240" s="9">
        <v>-0.46554854699999998</v>
      </c>
      <c r="I240" s="10">
        <v>0.24433447115991</v>
      </c>
      <c r="J240" s="10">
        <v>5.9699333796993097E-2</v>
      </c>
      <c r="K240" s="10">
        <v>-0.25376711000000002</v>
      </c>
      <c r="L240" s="10">
        <v>-5.6415736000000001E-2</v>
      </c>
      <c r="M240" s="10">
        <v>-0.30792254099999999</v>
      </c>
      <c r="N240" s="10">
        <v>-0.109697791</v>
      </c>
      <c r="O240" s="9">
        <v>-0.18195079450000001</v>
      </c>
      <c r="P240" s="10">
        <v>0.11833006312236</v>
      </c>
      <c r="Q240" s="10">
        <v>1.40020038385417E-2</v>
      </c>
    </row>
    <row r="241" spans="1:17" x14ac:dyDescent="0.2">
      <c r="A241" s="10">
        <v>1705</v>
      </c>
      <c r="B241" s="10" t="s">
        <v>74</v>
      </c>
      <c r="C241" s="9" t="s">
        <v>2425</v>
      </c>
      <c r="D241" s="10">
        <v>-1.04634044</v>
      </c>
      <c r="E241" s="10">
        <v>-1.222177903</v>
      </c>
      <c r="F241" s="10">
        <v>-1.0977564719999999</v>
      </c>
      <c r="G241" s="10">
        <v>-0.91480162200000004</v>
      </c>
      <c r="H241" s="9">
        <v>-1.0702691092500001</v>
      </c>
      <c r="I241" s="10">
        <v>0.12724590043616901</v>
      </c>
      <c r="J241" s="10">
        <v>1.61915191778116E-2</v>
      </c>
      <c r="K241" s="10">
        <v>-0.61760486599999997</v>
      </c>
      <c r="L241" s="10">
        <v>-0.42308050400000002</v>
      </c>
      <c r="M241" s="10">
        <v>-0.36421563000000001</v>
      </c>
      <c r="N241" s="10">
        <v>-0.91921043800000002</v>
      </c>
      <c r="O241" s="9">
        <v>-0.58102785925</v>
      </c>
      <c r="P241" s="10">
        <v>0.25010680636854099</v>
      </c>
      <c r="Q241" s="10">
        <v>6.2553414591871206E-2</v>
      </c>
    </row>
    <row r="242" spans="1:17" x14ac:dyDescent="0.2">
      <c r="A242" s="10">
        <v>1706</v>
      </c>
      <c r="B242" s="10" t="s">
        <v>2822</v>
      </c>
      <c r="C242" s="9" t="s">
        <v>30</v>
      </c>
      <c r="D242" s="10">
        <v>-0.23470723499999999</v>
      </c>
      <c r="E242" s="10">
        <v>-0.26220853</v>
      </c>
      <c r="F242" s="10">
        <v>-0.18004186699999999</v>
      </c>
      <c r="G242" s="10">
        <v>-0.25309117599999997</v>
      </c>
      <c r="H242" s="9">
        <v>-0.232512202</v>
      </c>
      <c r="I242" s="10">
        <v>3.6802718615429997E-2</v>
      </c>
      <c r="J242" s="10">
        <v>1.3544400974864999E-3</v>
      </c>
      <c r="K242" s="10">
        <v>-0.37369279999999999</v>
      </c>
      <c r="L242" s="10">
        <v>-5.0094858999999999E-2</v>
      </c>
      <c r="M242" s="10">
        <v>-0.293785456</v>
      </c>
      <c r="N242" s="10">
        <v>-0.52343971099999997</v>
      </c>
      <c r="O242" s="9">
        <v>-0.31025320649999999</v>
      </c>
      <c r="P242" s="10">
        <v>0.197843894948209</v>
      </c>
      <c r="Q242" s="10">
        <v>3.9142206768278197E-2</v>
      </c>
    </row>
    <row r="243" spans="1:17" x14ac:dyDescent="0.2">
      <c r="A243" s="10">
        <v>1706</v>
      </c>
      <c r="B243" s="10" t="s">
        <v>2823</v>
      </c>
      <c r="C243" s="9" t="s">
        <v>981</v>
      </c>
      <c r="D243" s="10">
        <v>-1.595084822</v>
      </c>
      <c r="E243" s="10">
        <v>-1.7392434210000001</v>
      </c>
      <c r="F243" s="10">
        <v>-0.71617593800000001</v>
      </c>
      <c r="G243" s="10">
        <v>-0.13359531999999999</v>
      </c>
      <c r="H243" s="9">
        <v>-1.0460248752500001</v>
      </c>
      <c r="I243" s="10">
        <v>0.75792409294412499</v>
      </c>
      <c r="J243" s="10">
        <v>0.57444893066517499</v>
      </c>
      <c r="K243" s="10">
        <v>0.36993152800000001</v>
      </c>
      <c r="L243" s="10">
        <v>-0.235557402</v>
      </c>
      <c r="M243" s="10">
        <v>0.122682602</v>
      </c>
      <c r="N243" s="10">
        <v>0.43702173500000002</v>
      </c>
      <c r="O243" s="9">
        <v>0.1735196155</v>
      </c>
      <c r="P243" s="10">
        <v>0.30437882895124502</v>
      </c>
      <c r="Q243" s="10">
        <v>9.2646471513731496E-2</v>
      </c>
    </row>
    <row r="244" spans="1:17" x14ac:dyDescent="0.2">
      <c r="A244" s="10">
        <v>1706</v>
      </c>
      <c r="B244" s="10" t="s">
        <v>2834</v>
      </c>
      <c r="C244" s="9" t="s">
        <v>2423</v>
      </c>
      <c r="D244" s="10">
        <v>-1.5180190039999999</v>
      </c>
      <c r="E244" s="10">
        <v>-1.527792764</v>
      </c>
      <c r="F244" s="10">
        <v>-1.205867654</v>
      </c>
      <c r="G244" s="10">
        <v>-1.420589788</v>
      </c>
      <c r="H244" s="9">
        <v>-1.4180673022500001</v>
      </c>
      <c r="I244" s="10">
        <v>0.149515967141477</v>
      </c>
      <c r="J244" s="10">
        <v>2.2355024430251402E-2</v>
      </c>
      <c r="K244" s="10">
        <v>1.08859E-3</v>
      </c>
      <c r="L244" s="10">
        <v>-0.20097176</v>
      </c>
      <c r="M244" s="10">
        <v>-0.65463284099999997</v>
      </c>
      <c r="N244" s="10">
        <v>-0.32044594599999998</v>
      </c>
      <c r="O244" s="9">
        <v>-0.29374048925000001</v>
      </c>
      <c r="P244" s="10">
        <v>0.27476456228920398</v>
      </c>
      <c r="Q244" s="10">
        <v>7.5495564689978104E-2</v>
      </c>
    </row>
    <row r="245" spans="1:17" x14ac:dyDescent="0.2">
      <c r="A245" s="10">
        <v>1706</v>
      </c>
      <c r="B245" s="10" t="s">
        <v>79</v>
      </c>
      <c r="C245" s="9" t="s">
        <v>2638</v>
      </c>
      <c r="D245" s="10">
        <v>-0.477113179</v>
      </c>
      <c r="E245" s="10">
        <v>-1.8027023680000001</v>
      </c>
      <c r="F245" s="10">
        <v>-1.1025157860000001</v>
      </c>
      <c r="G245" s="10">
        <v>-1.2013705809999999</v>
      </c>
      <c r="H245" s="9">
        <v>-1.1459254782499999</v>
      </c>
      <c r="I245" s="10">
        <v>0.54271672639845003</v>
      </c>
      <c r="J245" s="10">
        <v>0.29454144511265001</v>
      </c>
      <c r="K245" s="10">
        <v>-0.64212267599999995</v>
      </c>
      <c r="L245" s="10">
        <v>0.26539674699999999</v>
      </c>
      <c r="M245" s="10">
        <v>-4.6126694000000003E-2</v>
      </c>
      <c r="N245" s="10">
        <v>0.15328172000000001</v>
      </c>
      <c r="O245" s="9">
        <v>-6.7392725749999993E-2</v>
      </c>
      <c r="P245" s="10">
        <v>0.40423293779744202</v>
      </c>
      <c r="Q245" s="10">
        <v>0.16340426800034999</v>
      </c>
    </row>
    <row r="246" spans="1:17" x14ac:dyDescent="0.2">
      <c r="A246" s="10">
        <v>1706</v>
      </c>
      <c r="B246" s="10" t="s">
        <v>2814</v>
      </c>
      <c r="C246" s="9" t="s">
        <v>2421</v>
      </c>
      <c r="D246" s="10">
        <v>-2.8090388279999998</v>
      </c>
      <c r="E246" s="10">
        <v>-1.1535409539999999</v>
      </c>
      <c r="F246" s="10">
        <v>-1.436901545</v>
      </c>
      <c r="G246" s="10">
        <v>-1.6419035799999999</v>
      </c>
      <c r="H246" s="9">
        <v>-1.7603462270000001</v>
      </c>
      <c r="I246" s="10">
        <v>0.72723538914512798</v>
      </c>
      <c r="J246" s="10">
        <v>0.52887131122506503</v>
      </c>
      <c r="K246" s="10">
        <v>-1.0742154580000001</v>
      </c>
      <c r="L246" s="10">
        <v>-0.92050150100000006</v>
      </c>
      <c r="M246" s="10">
        <v>-0.95081874899999996</v>
      </c>
      <c r="N246" s="10">
        <v>-0.97500768299999996</v>
      </c>
      <c r="O246" s="9">
        <v>-0.98013584774999996</v>
      </c>
      <c r="P246" s="10">
        <v>6.65658038583163E-2</v>
      </c>
      <c r="Q246" s="10">
        <v>4.4310062433038002E-3</v>
      </c>
    </row>
    <row r="247" spans="1:17" x14ac:dyDescent="0.2">
      <c r="A247" s="10">
        <v>1706</v>
      </c>
      <c r="B247" s="10" t="s">
        <v>2825</v>
      </c>
      <c r="C247" s="9" t="s">
        <v>982</v>
      </c>
      <c r="D247" s="10">
        <v>-1.854058051</v>
      </c>
      <c r="E247" s="10">
        <v>-1.6704457859999999</v>
      </c>
      <c r="F247" s="10">
        <v>-1.5156256100000001</v>
      </c>
      <c r="G247" s="10">
        <v>-1.3300223659999999</v>
      </c>
      <c r="H247" s="9">
        <v>-1.5925379532499999</v>
      </c>
      <c r="I247" s="10">
        <v>0.223078711089747</v>
      </c>
      <c r="J247" s="10">
        <v>4.9764111341463198E-2</v>
      </c>
      <c r="K247" s="10">
        <v>-0.24860522400000001</v>
      </c>
      <c r="L247" s="10">
        <v>-0.30263375999999997</v>
      </c>
      <c r="M247" s="10">
        <v>-0.24763967200000001</v>
      </c>
      <c r="N247" s="10">
        <v>-0.92634640899999998</v>
      </c>
      <c r="O247" s="9">
        <v>-0.43130626599999999</v>
      </c>
      <c r="P247" s="10">
        <v>0.33102590305554902</v>
      </c>
      <c r="Q247" s="10">
        <v>0.10957814849374201</v>
      </c>
    </row>
    <row r="248" spans="1:17" x14ac:dyDescent="0.2">
      <c r="A248" s="10">
        <v>1706</v>
      </c>
      <c r="B248" s="10" t="s">
        <v>74</v>
      </c>
      <c r="C248" s="9" t="s">
        <v>2420</v>
      </c>
      <c r="D248" s="10">
        <v>-0.37688686900000001</v>
      </c>
      <c r="E248" s="10">
        <v>-0.39882120900000001</v>
      </c>
      <c r="F248" s="10">
        <v>3.3330708000000001E-2</v>
      </c>
      <c r="G248" s="10">
        <v>0.123694636</v>
      </c>
      <c r="H248" s="9">
        <v>-0.15467068375000001</v>
      </c>
      <c r="I248" s="10">
        <v>0.271919894151672</v>
      </c>
      <c r="J248" s="10">
        <v>7.3940428835456595E-2</v>
      </c>
      <c r="K248" s="10">
        <v>0.16231705799999999</v>
      </c>
      <c r="L248" s="10">
        <v>0.37604167799999999</v>
      </c>
      <c r="M248" s="10">
        <v>0.16471825400000001</v>
      </c>
      <c r="N248" s="10">
        <v>0.20118182100000001</v>
      </c>
      <c r="O248" s="9">
        <v>0.22606470300000001</v>
      </c>
      <c r="P248" s="10">
        <v>0.101553598155082</v>
      </c>
      <c r="Q248" s="10">
        <v>1.0313133298243999E-2</v>
      </c>
    </row>
    <row r="249" spans="1:17" x14ac:dyDescent="0.2">
      <c r="A249" s="10">
        <v>1706</v>
      </c>
      <c r="B249" s="10" t="s">
        <v>2818</v>
      </c>
      <c r="C249" s="9" t="s">
        <v>983</v>
      </c>
      <c r="D249" s="10">
        <v>-1.2644777620000001</v>
      </c>
      <c r="E249" s="10">
        <v>-1.692405916</v>
      </c>
      <c r="F249" s="10">
        <v>-0.63727364399999997</v>
      </c>
      <c r="G249" s="10">
        <v>-0.75630997499999997</v>
      </c>
      <c r="H249" s="9">
        <v>-1.0876168242499999</v>
      </c>
      <c r="I249" s="10">
        <v>0.48635475569425102</v>
      </c>
      <c r="J249" s="10">
        <v>0.23654094838641501</v>
      </c>
      <c r="K249" s="10">
        <v>-0.34583740600000001</v>
      </c>
      <c r="L249" s="10">
        <v>0.35056774099999999</v>
      </c>
      <c r="M249" s="10">
        <v>-0.228299852</v>
      </c>
      <c r="N249" s="10">
        <v>6.8754091000000003E-2</v>
      </c>
      <c r="O249" s="9">
        <v>-3.8703856500000001E-2</v>
      </c>
      <c r="P249" s="10">
        <v>0.31270712913694998</v>
      </c>
      <c r="Q249" s="10">
        <v>9.7785748613073195E-2</v>
      </c>
    </row>
    <row r="250" spans="1:17" x14ac:dyDescent="0.2">
      <c r="A250" s="10">
        <v>1706</v>
      </c>
      <c r="B250" s="10" t="s">
        <v>2830</v>
      </c>
      <c r="C250" s="9" t="s">
        <v>984</v>
      </c>
      <c r="D250" s="10">
        <v>-1.2090547869999999</v>
      </c>
      <c r="E250" s="10">
        <v>-1.5755055099999999</v>
      </c>
      <c r="F250" s="10">
        <v>-0.42680770099999998</v>
      </c>
      <c r="G250" s="10">
        <v>-0.97856455799999997</v>
      </c>
      <c r="H250" s="9">
        <v>-1.0474831392499999</v>
      </c>
      <c r="I250" s="10">
        <v>0.48128328174352097</v>
      </c>
      <c r="J250" s="10">
        <v>0.23163359728581401</v>
      </c>
      <c r="K250" s="10">
        <v>-0.54002139000000005</v>
      </c>
      <c r="L250" s="10">
        <v>-0.21526911800000001</v>
      </c>
      <c r="M250" s="10">
        <v>-0.25303459900000003</v>
      </c>
      <c r="N250" s="10">
        <v>7.0728349999999995E-2</v>
      </c>
      <c r="O250" s="9">
        <v>-0.23439918925</v>
      </c>
      <c r="P250" s="10">
        <v>0.24981391936306899</v>
      </c>
      <c r="Q250" s="10">
        <v>6.2406994307538002E-2</v>
      </c>
    </row>
    <row r="251" spans="1:17" x14ac:dyDescent="0.2">
      <c r="A251" s="10">
        <v>1707</v>
      </c>
      <c r="B251" s="10" t="s">
        <v>2824</v>
      </c>
      <c r="C251" s="9" t="s">
        <v>985</v>
      </c>
      <c r="D251" s="10">
        <v>7.5427151999999997E-2</v>
      </c>
      <c r="E251" s="10">
        <v>1.5697437000000002E-2</v>
      </c>
      <c r="F251" s="10">
        <v>-0.1497243</v>
      </c>
      <c r="G251" s="10">
        <v>-4.3982944000000003E-2</v>
      </c>
      <c r="H251" s="9">
        <v>-2.5645663999999999E-2</v>
      </c>
      <c r="I251" s="10">
        <v>9.6015154852215803E-2</v>
      </c>
      <c r="J251" s="10">
        <v>9.2189099612949004E-3</v>
      </c>
      <c r="K251" s="10">
        <v>-0.237909549</v>
      </c>
      <c r="L251" s="10">
        <v>0.119423143</v>
      </c>
      <c r="M251" s="10">
        <v>6.3420960000000002E-3</v>
      </c>
      <c r="N251" s="10">
        <v>4.7399874000000002E-2</v>
      </c>
      <c r="O251" s="9">
        <v>-1.6186109000000001E-2</v>
      </c>
      <c r="P251" s="10">
        <v>0.15502886863208301</v>
      </c>
      <c r="Q251" s="10">
        <v>2.40339501093438E-2</v>
      </c>
    </row>
    <row r="252" spans="1:17" x14ac:dyDescent="0.2">
      <c r="A252" s="10">
        <v>1707</v>
      </c>
      <c r="B252" s="10" t="s">
        <v>2833</v>
      </c>
      <c r="C252" s="9" t="s">
        <v>2637</v>
      </c>
      <c r="D252" s="10">
        <v>-0.575458421</v>
      </c>
      <c r="E252" s="10">
        <v>-1.078236754</v>
      </c>
      <c r="F252" s="10">
        <v>-1.0555529560000001</v>
      </c>
      <c r="G252" s="10">
        <v>-1.0135777640000001</v>
      </c>
      <c r="H252" s="9">
        <v>-0.93070647350000002</v>
      </c>
      <c r="I252" s="10">
        <v>0.23834195144176701</v>
      </c>
      <c r="J252" s="10">
        <v>5.6806885817069802E-2</v>
      </c>
      <c r="K252" s="10">
        <v>-0.47549212000000002</v>
      </c>
      <c r="L252" s="10">
        <v>0.65907478399999997</v>
      </c>
      <c r="M252" s="10">
        <v>0.44723441000000003</v>
      </c>
      <c r="N252" s="10">
        <v>-0.19319159</v>
      </c>
      <c r="O252" s="9">
        <v>0.109406371</v>
      </c>
      <c r="P252" s="10">
        <v>0.53227026936822197</v>
      </c>
      <c r="Q252" s="10">
        <v>0.28331163965331901</v>
      </c>
    </row>
    <row r="253" spans="1:17" x14ac:dyDescent="0.2">
      <c r="A253" s="10">
        <v>1707</v>
      </c>
      <c r="B253" s="10" t="s">
        <v>2825</v>
      </c>
      <c r="C253" s="9" t="s">
        <v>2419</v>
      </c>
      <c r="D253" s="10">
        <v>-1.4973731889999999</v>
      </c>
      <c r="E253" s="10">
        <v>-1.8614396019999999</v>
      </c>
      <c r="F253" s="10">
        <v>-2.2384795839999998</v>
      </c>
      <c r="G253" s="10">
        <v>-2.0004983300000001</v>
      </c>
      <c r="H253" s="9">
        <v>-1.8994476760000001</v>
      </c>
      <c r="I253" s="10">
        <v>0.309979771437562</v>
      </c>
      <c r="J253" s="10">
        <v>9.6087458700483505E-2</v>
      </c>
      <c r="K253" s="10">
        <v>-0.26391455000000003</v>
      </c>
      <c r="L253" s="10">
        <v>-0.55414890699999997</v>
      </c>
      <c r="M253" s="10">
        <v>-0.84513482900000003</v>
      </c>
      <c r="N253" s="10">
        <v>-0.83816488200000006</v>
      </c>
      <c r="O253" s="9">
        <v>-0.62534079200000003</v>
      </c>
      <c r="P253" s="10">
        <v>0.27646622752226602</v>
      </c>
      <c r="Q253" s="10">
        <v>7.6433574960393699E-2</v>
      </c>
    </row>
    <row r="254" spans="1:17" x14ac:dyDescent="0.2">
      <c r="A254" s="10">
        <v>1707</v>
      </c>
      <c r="B254" s="10" t="s">
        <v>74</v>
      </c>
      <c r="C254" s="9" t="s">
        <v>986</v>
      </c>
      <c r="D254" s="10">
        <v>-1.09022245</v>
      </c>
      <c r="E254" s="10">
        <v>-0.88929467900000003</v>
      </c>
      <c r="F254" s="10">
        <v>-0.42401258200000003</v>
      </c>
      <c r="G254" s="10">
        <v>-0.52557271000000005</v>
      </c>
      <c r="H254" s="9">
        <v>-0.73227560525000002</v>
      </c>
      <c r="I254" s="10">
        <v>0.31119828169820701</v>
      </c>
      <c r="J254" s="10">
        <v>9.6844370531916996E-2</v>
      </c>
      <c r="K254" s="10">
        <v>-8.6562998000000002E-2</v>
      </c>
      <c r="L254" s="10">
        <v>6.0344690999999999E-2</v>
      </c>
      <c r="M254" s="10">
        <v>0.24702352499999999</v>
      </c>
      <c r="N254" s="10">
        <v>0.160143691</v>
      </c>
      <c r="O254" s="9">
        <v>9.5237227250000001E-2</v>
      </c>
      <c r="P254" s="10">
        <v>0.14320235124709599</v>
      </c>
      <c r="Q254" s="10">
        <v>2.05069134026966E-2</v>
      </c>
    </row>
    <row r="255" spans="1:17" x14ac:dyDescent="0.2">
      <c r="A255" s="10">
        <v>1708</v>
      </c>
      <c r="B255" s="10" t="s">
        <v>2824</v>
      </c>
      <c r="C255" s="9" t="s">
        <v>988</v>
      </c>
      <c r="D255" s="10">
        <v>-0.94536854800000003</v>
      </c>
      <c r="E255" s="10">
        <v>-0.98725658800000005</v>
      </c>
      <c r="F255" s="10">
        <v>-0.69449129799999998</v>
      </c>
      <c r="G255" s="10">
        <v>-0.92893752200000002</v>
      </c>
      <c r="H255" s="9">
        <v>-0.88901348899999999</v>
      </c>
      <c r="I255" s="10">
        <v>0.131985365828239</v>
      </c>
      <c r="J255" s="10">
        <v>1.7420136792814199E-2</v>
      </c>
      <c r="K255" s="10">
        <v>-0.14910668899999999</v>
      </c>
      <c r="L255" s="10">
        <v>-0.10953447600000001</v>
      </c>
      <c r="M255" s="10">
        <v>-0.44874544799999999</v>
      </c>
      <c r="N255" s="10">
        <v>-0.40139027799999999</v>
      </c>
      <c r="O255" s="9">
        <v>-0.27719422275</v>
      </c>
      <c r="P255" s="10">
        <v>0.17259846465797299</v>
      </c>
      <c r="Q255" s="10">
        <v>2.97902300022896E-2</v>
      </c>
    </row>
    <row r="256" spans="1:17" x14ac:dyDescent="0.2">
      <c r="A256" s="10">
        <v>1708</v>
      </c>
      <c r="B256" s="10" t="s">
        <v>2814</v>
      </c>
      <c r="C256" s="9" t="s">
        <v>989</v>
      </c>
      <c r="D256" s="10">
        <v>-0.81313961800000001</v>
      </c>
      <c r="E256" s="10">
        <v>-1.6288100910000001</v>
      </c>
      <c r="F256" s="10">
        <v>-0.85118597200000001</v>
      </c>
      <c r="G256" s="10">
        <v>-1.365653255</v>
      </c>
      <c r="H256" s="9">
        <v>-1.1646972342499999</v>
      </c>
      <c r="I256" s="10">
        <v>0.399026371383016</v>
      </c>
      <c r="J256" s="10">
        <v>0.15922204505909701</v>
      </c>
      <c r="K256" s="10">
        <v>-4.2908478999999999E-2</v>
      </c>
      <c r="L256" s="10">
        <v>0.157936832</v>
      </c>
      <c r="M256" s="10">
        <v>-0.39074547199999998</v>
      </c>
      <c r="N256" s="10">
        <v>-0.456288839</v>
      </c>
      <c r="O256" s="9">
        <v>-0.18300148925000001</v>
      </c>
      <c r="P256" s="10">
        <v>0.29080837236909401</v>
      </c>
      <c r="Q256" s="10">
        <v>8.4569509439961901E-2</v>
      </c>
    </row>
    <row r="257" spans="1:17" x14ac:dyDescent="0.2">
      <c r="A257" s="10">
        <v>1708</v>
      </c>
      <c r="B257" s="10" t="s">
        <v>2833</v>
      </c>
      <c r="C257" s="9" t="s">
        <v>990</v>
      </c>
      <c r="D257" s="10">
        <v>-2.0396232319999998</v>
      </c>
      <c r="E257" s="10">
        <v>-1.684371176</v>
      </c>
      <c r="F257" s="10">
        <v>-0.93171501099999998</v>
      </c>
      <c r="G257" s="10">
        <v>-1.192199161</v>
      </c>
      <c r="H257" s="9">
        <v>-1.4619771452500001</v>
      </c>
      <c r="I257" s="10">
        <v>0.49567872600982799</v>
      </c>
      <c r="J257" s="10">
        <v>0.24569739941872601</v>
      </c>
      <c r="K257" s="10">
        <v>0.122924505</v>
      </c>
      <c r="L257" s="10">
        <v>-0.13226750400000001</v>
      </c>
      <c r="M257" s="10">
        <v>0.28058736299999998</v>
      </c>
      <c r="N257" s="10">
        <v>-0.111719428</v>
      </c>
      <c r="O257" s="9">
        <v>3.9881233750000002E-2</v>
      </c>
      <c r="P257" s="10">
        <v>0.197866599935726</v>
      </c>
      <c r="Q257" s="10">
        <v>3.9151191370124898E-2</v>
      </c>
    </row>
    <row r="258" spans="1:17" x14ac:dyDescent="0.2">
      <c r="A258" s="10">
        <v>1708</v>
      </c>
      <c r="B258" s="10" t="s">
        <v>2830</v>
      </c>
      <c r="C258" s="9" t="s">
        <v>31</v>
      </c>
      <c r="D258" s="10">
        <v>-0.22333582599999999</v>
      </c>
      <c r="E258" s="10">
        <v>-0.17768439499999999</v>
      </c>
      <c r="F258" s="10">
        <v>0.30139038499999998</v>
      </c>
      <c r="G258" s="10">
        <v>0.39751933</v>
      </c>
      <c r="H258" s="9">
        <v>7.4472373250000001E-2</v>
      </c>
      <c r="I258" s="10">
        <v>0.32048082607067202</v>
      </c>
      <c r="J258" s="10">
        <v>0.10270795987894001</v>
      </c>
      <c r="K258" s="10">
        <v>0.19565866700000001</v>
      </c>
      <c r="L258" s="10">
        <v>-0.79098485699999999</v>
      </c>
      <c r="M258" s="10">
        <v>0.34835016400000002</v>
      </c>
      <c r="N258" s="10">
        <v>0.64457255899999999</v>
      </c>
      <c r="O258" s="9">
        <v>9.9399133249999994E-2</v>
      </c>
      <c r="P258" s="10">
        <v>0.62215759734083398</v>
      </c>
      <c r="Q258" s="10">
        <v>0.38708007592891902</v>
      </c>
    </row>
    <row r="259" spans="1:17" x14ac:dyDescent="0.2">
      <c r="A259" s="10">
        <v>1708</v>
      </c>
      <c r="B259" s="10" t="s">
        <v>2832</v>
      </c>
      <c r="C259" s="9" t="s">
        <v>2416</v>
      </c>
      <c r="D259" s="10">
        <v>-1.5022655970000001</v>
      </c>
      <c r="E259" s="10">
        <v>-1.410248148</v>
      </c>
      <c r="F259" s="10">
        <v>-1.1381982230000001</v>
      </c>
      <c r="G259" s="10">
        <v>-0.85451815900000005</v>
      </c>
      <c r="H259" s="9">
        <v>-1.2263075320000001</v>
      </c>
      <c r="I259" s="10">
        <v>0.29210591233386202</v>
      </c>
      <c r="J259" s="10">
        <v>8.5325864020398004E-2</v>
      </c>
      <c r="K259" s="10">
        <v>2.2128838000000001E-2</v>
      </c>
      <c r="L259" s="10">
        <v>1.9947007999999999E-2</v>
      </c>
      <c r="M259" s="10">
        <v>-5.4157150000000001E-2</v>
      </c>
      <c r="N259" s="10">
        <v>-0.25064677099999999</v>
      </c>
      <c r="O259" s="9">
        <v>-6.5682018750000001E-2</v>
      </c>
      <c r="P259" s="10">
        <v>0.128306740482758</v>
      </c>
      <c r="Q259" s="10">
        <v>1.64626196533099E-2</v>
      </c>
    </row>
    <row r="260" spans="1:17" x14ac:dyDescent="0.2">
      <c r="A260" s="10">
        <v>1709</v>
      </c>
      <c r="B260" s="10" t="s">
        <v>79</v>
      </c>
      <c r="C260" s="9" t="s">
        <v>2415</v>
      </c>
      <c r="D260" s="10">
        <v>-0.38431638099999998</v>
      </c>
      <c r="E260" s="10">
        <v>-0.540081017</v>
      </c>
      <c r="F260" s="10">
        <v>-0.42453984700000003</v>
      </c>
      <c r="G260" s="10">
        <v>-0.21869422799999999</v>
      </c>
      <c r="H260" s="9">
        <v>-0.39190786825000001</v>
      </c>
      <c r="I260" s="10">
        <v>0.13301719675158899</v>
      </c>
      <c r="J260" s="10">
        <v>1.76935746316511E-2</v>
      </c>
      <c r="K260" s="10">
        <v>-0.143831342</v>
      </c>
      <c r="L260" s="10">
        <v>-0.23216606400000001</v>
      </c>
      <c r="M260" s="10">
        <v>-8.3147138999999995E-2</v>
      </c>
      <c r="N260" s="10">
        <v>-6.9137100000000007E-2</v>
      </c>
      <c r="O260" s="9">
        <v>-0.13207041150000001</v>
      </c>
      <c r="P260" s="10">
        <v>7.4187931237930799E-2</v>
      </c>
      <c r="Q260" s="10">
        <v>5.5038491413638996E-3</v>
      </c>
    </row>
    <row r="261" spans="1:17" x14ac:dyDescent="0.2">
      <c r="A261" s="10">
        <v>1709</v>
      </c>
      <c r="B261" s="10" t="s">
        <v>82</v>
      </c>
      <c r="C261" s="9" t="s">
        <v>2414</v>
      </c>
      <c r="D261" s="10">
        <v>-0.597696856</v>
      </c>
      <c r="E261" s="10">
        <v>-0.54146873500000003</v>
      </c>
      <c r="F261" s="10">
        <v>-0.62274136800000002</v>
      </c>
      <c r="G261" s="10">
        <v>-1.1307291079999999</v>
      </c>
      <c r="H261" s="9">
        <v>-0.72315901675000005</v>
      </c>
      <c r="I261" s="10">
        <v>0.27383035850958498</v>
      </c>
      <c r="J261" s="10">
        <v>7.4983065241488206E-2</v>
      </c>
      <c r="K261" s="10">
        <v>-3.4002598000000002E-2</v>
      </c>
      <c r="L261" s="10">
        <v>0.176552136</v>
      </c>
      <c r="M261" s="10">
        <v>-0.99454780200000004</v>
      </c>
      <c r="N261" s="10">
        <v>-0.900059422</v>
      </c>
      <c r="O261" s="9">
        <v>-0.43801442174999999</v>
      </c>
      <c r="P261" s="10">
        <v>0.59557607776644805</v>
      </c>
      <c r="Q261" s="10">
        <v>0.35471086440766603</v>
      </c>
    </row>
    <row r="262" spans="1:17" x14ac:dyDescent="0.2">
      <c r="A262" s="10">
        <v>1709</v>
      </c>
      <c r="B262" s="10" t="s">
        <v>2814</v>
      </c>
      <c r="C262" s="9" t="s">
        <v>2413</v>
      </c>
      <c r="D262" s="10">
        <v>-1.3387437760000001</v>
      </c>
      <c r="E262" s="10">
        <v>-1.885957152</v>
      </c>
      <c r="F262" s="10">
        <v>-1.0183530629999999</v>
      </c>
      <c r="G262" s="10">
        <v>-1.805433659</v>
      </c>
      <c r="H262" s="9">
        <v>-1.5121219125000001</v>
      </c>
      <c r="I262" s="10">
        <v>0.408106285943449</v>
      </c>
      <c r="J262" s="10">
        <v>0.166550740626556</v>
      </c>
      <c r="K262" s="10">
        <v>-0.50900230199999996</v>
      </c>
      <c r="L262" s="10">
        <v>-0.93967273100000004</v>
      </c>
      <c r="M262" s="10">
        <v>-0.60295344799999995</v>
      </c>
      <c r="N262" s="10">
        <v>-0.60392670000000004</v>
      </c>
      <c r="O262" s="9">
        <v>-0.66388879499999998</v>
      </c>
      <c r="P262" s="10">
        <v>0.189169390071694</v>
      </c>
      <c r="Q262" s="10">
        <v>3.5785058140096797E-2</v>
      </c>
    </row>
    <row r="263" spans="1:17" x14ac:dyDescent="0.2">
      <c r="A263" s="10">
        <v>1709</v>
      </c>
      <c r="B263" s="10" t="s">
        <v>74</v>
      </c>
      <c r="C263" s="9" t="s">
        <v>992</v>
      </c>
      <c r="D263" s="10">
        <v>0.31057877299999997</v>
      </c>
      <c r="E263" s="10">
        <v>-0.160174654</v>
      </c>
      <c r="F263" s="10">
        <v>-0.39378044099999998</v>
      </c>
      <c r="G263" s="10">
        <v>-0.225247432</v>
      </c>
      <c r="H263" s="9">
        <v>-0.1171559385</v>
      </c>
      <c r="I263" s="10">
        <v>0.30166895744380101</v>
      </c>
      <c r="J263" s="10">
        <v>9.1004159885230404E-2</v>
      </c>
      <c r="K263" s="10">
        <v>-0.14653507900000001</v>
      </c>
      <c r="L263" s="10">
        <v>0.121948604</v>
      </c>
      <c r="M263" s="10">
        <v>-2.2567644000000001E-2</v>
      </c>
      <c r="N263" s="10">
        <v>1.9286570999999999E-2</v>
      </c>
      <c r="O263" s="9">
        <v>-6.9668869999999997E-3</v>
      </c>
      <c r="P263" s="10">
        <v>0.11110222277082001</v>
      </c>
      <c r="Q263" s="10">
        <v>1.23437039046169E-2</v>
      </c>
    </row>
    <row r="264" spans="1:17" x14ac:dyDescent="0.2">
      <c r="A264" s="10">
        <v>1709</v>
      </c>
      <c r="B264" s="10" t="s">
        <v>2818</v>
      </c>
      <c r="C264" s="9" t="s">
        <v>2412</v>
      </c>
      <c r="D264" s="10">
        <v>-0.606790194</v>
      </c>
      <c r="E264" s="10">
        <v>0.11545702100000001</v>
      </c>
      <c r="F264" s="10">
        <v>-1.0338016910000001</v>
      </c>
      <c r="G264" s="10">
        <v>-1.7392283150000001</v>
      </c>
      <c r="H264" s="9">
        <v>-0.81609079475000001</v>
      </c>
      <c r="I264" s="10">
        <v>0.77699613687203595</v>
      </c>
      <c r="J264" s="10">
        <v>0.60372299671406804</v>
      </c>
      <c r="K264" s="10">
        <v>-0.552771715</v>
      </c>
      <c r="L264" s="10">
        <v>-0.94572329600000005</v>
      </c>
      <c r="M264" s="10">
        <v>-0.71571268700000001</v>
      </c>
      <c r="N264" s="10">
        <v>-1.2584713860000001</v>
      </c>
      <c r="O264" s="9">
        <v>-0.86816977100000003</v>
      </c>
      <c r="P264" s="10">
        <v>0.306087675948083</v>
      </c>
      <c r="Q264" s="10">
        <v>9.36896653672986E-2</v>
      </c>
    </row>
    <row r="265" spans="1:17" x14ac:dyDescent="0.2">
      <c r="A265" s="10">
        <v>1710</v>
      </c>
      <c r="B265" s="10" t="s">
        <v>2831</v>
      </c>
      <c r="C265" s="9" t="s">
        <v>994</v>
      </c>
      <c r="D265" s="10">
        <v>-1.5417390980000001</v>
      </c>
      <c r="E265" s="10">
        <v>-1.922533386</v>
      </c>
      <c r="F265" s="10">
        <v>-0.82492784299999999</v>
      </c>
      <c r="G265" s="10">
        <v>-0.91692972100000003</v>
      </c>
      <c r="H265" s="9">
        <v>-1.3015325120000001</v>
      </c>
      <c r="I265" s="10">
        <v>0.52230661710791004</v>
      </c>
      <c r="J265" s="10">
        <v>0.27280420227470897</v>
      </c>
      <c r="K265" s="10">
        <v>-0.30505601900000001</v>
      </c>
      <c r="L265" s="10">
        <v>-0.169263408</v>
      </c>
      <c r="M265" s="10">
        <v>-1.6903309010000001</v>
      </c>
      <c r="N265" s="10">
        <v>-0.35163511400000003</v>
      </c>
      <c r="O265" s="9">
        <v>-0.62907136024999999</v>
      </c>
      <c r="P265" s="10">
        <v>0.71172372399311501</v>
      </c>
      <c r="Q265" s="10">
        <v>0.50655065929462795</v>
      </c>
    </row>
    <row r="266" spans="1:17" x14ac:dyDescent="0.2">
      <c r="A266" s="10">
        <v>1710</v>
      </c>
      <c r="B266" s="10" t="s">
        <v>2826</v>
      </c>
      <c r="C266" s="9" t="s">
        <v>2411</v>
      </c>
      <c r="D266" s="10">
        <v>0.41064374799999998</v>
      </c>
      <c r="E266" s="10">
        <v>-0.18634731199999999</v>
      </c>
      <c r="F266" s="10">
        <v>-0.92492348199999996</v>
      </c>
      <c r="G266" s="10">
        <v>-0.24025698700000001</v>
      </c>
      <c r="H266" s="9">
        <v>-0.23522100825</v>
      </c>
      <c r="I266" s="10">
        <v>0.54627367528551996</v>
      </c>
      <c r="J266" s="10">
        <v>0.29841492830994898</v>
      </c>
      <c r="K266" s="10">
        <v>0.32019741299999999</v>
      </c>
      <c r="L266" s="10">
        <v>-0.488742758</v>
      </c>
      <c r="M266" s="10">
        <v>-0.268423356</v>
      </c>
      <c r="N266" s="10">
        <v>-0.62842236100000004</v>
      </c>
      <c r="O266" s="9">
        <v>-0.2663477655</v>
      </c>
      <c r="P266" s="10">
        <v>0.41816946321361298</v>
      </c>
      <c r="Q266" s="10">
        <v>0.17486569996436099</v>
      </c>
    </row>
    <row r="267" spans="1:17" x14ac:dyDescent="0.2">
      <c r="A267" s="10">
        <v>1710</v>
      </c>
      <c r="B267" s="10" t="s">
        <v>2820</v>
      </c>
      <c r="C267" s="9" t="s">
        <v>995</v>
      </c>
      <c r="D267" s="10">
        <v>0.225091548</v>
      </c>
      <c r="E267" s="10">
        <v>-0.14027130500000001</v>
      </c>
      <c r="F267" s="10">
        <v>6.8419880000000002E-2</v>
      </c>
      <c r="G267" s="10">
        <v>0.19396269299999999</v>
      </c>
      <c r="H267" s="9">
        <v>8.6800704000000006E-2</v>
      </c>
      <c r="I267" s="10">
        <v>0.16583887901904801</v>
      </c>
      <c r="J267" s="10">
        <v>2.7502533794294501E-2</v>
      </c>
      <c r="K267" s="10">
        <v>-6.9444124999999995E-2</v>
      </c>
      <c r="L267" s="10">
        <v>0.42399746500000002</v>
      </c>
      <c r="M267" s="10">
        <v>6.2262695E-2</v>
      </c>
      <c r="N267" s="10">
        <v>-1.5522612999999999E-2</v>
      </c>
      <c r="O267" s="9">
        <v>0.1003233555</v>
      </c>
      <c r="P267" s="10">
        <v>0.222452113866734</v>
      </c>
      <c r="Q267" s="10">
        <v>4.9484942963778297E-2</v>
      </c>
    </row>
    <row r="268" spans="1:17" x14ac:dyDescent="0.2">
      <c r="A268" s="10">
        <v>1710</v>
      </c>
      <c r="B268" s="10" t="s">
        <v>2824</v>
      </c>
      <c r="C268" s="9" t="s">
        <v>2410</v>
      </c>
      <c r="D268" s="10">
        <v>-0.283165153</v>
      </c>
      <c r="E268" s="10">
        <v>-0.19586732500000001</v>
      </c>
      <c r="F268" s="10">
        <v>-0.31498860099999998</v>
      </c>
      <c r="G268" s="10">
        <v>-0.24641744199999999</v>
      </c>
      <c r="H268" s="9">
        <v>-0.26010963025</v>
      </c>
      <c r="I268" s="10">
        <v>5.1178798874673102E-2</v>
      </c>
      <c r="J268" s="10">
        <v>2.6192694542541998E-3</v>
      </c>
      <c r="K268" s="10">
        <v>0.114114887</v>
      </c>
      <c r="L268" s="10">
        <v>0.196832063</v>
      </c>
      <c r="M268" s="10">
        <v>0.41475493800000002</v>
      </c>
      <c r="N268" s="10">
        <v>-4.9101206000000001E-2</v>
      </c>
      <c r="O268" s="9">
        <v>0.1691501705</v>
      </c>
      <c r="P268" s="10">
        <v>0.19300305245011001</v>
      </c>
      <c r="Q268" s="10">
        <v>3.7250178255060197E-2</v>
      </c>
    </row>
    <row r="269" spans="1:17" x14ac:dyDescent="0.2">
      <c r="A269" s="10">
        <v>1710</v>
      </c>
      <c r="B269" s="10" t="s">
        <v>2814</v>
      </c>
      <c r="C269" s="9" t="s">
        <v>2408</v>
      </c>
      <c r="D269" s="10">
        <v>-1.0755613319999999</v>
      </c>
      <c r="E269" s="10">
        <v>-1.2849240099999999</v>
      </c>
      <c r="F269" s="10">
        <v>-0.87827950899999996</v>
      </c>
      <c r="G269" s="10">
        <v>-1.1484452009999999</v>
      </c>
      <c r="H269" s="9">
        <v>-1.0968025127500001</v>
      </c>
      <c r="I269" s="10">
        <v>0.16956823199412899</v>
      </c>
      <c r="J269" s="10">
        <v>2.8753385301615E-2</v>
      </c>
      <c r="K269" s="10">
        <v>1.1187086000000001E-2</v>
      </c>
      <c r="L269" s="10">
        <v>-7.8407663000000002E-2</v>
      </c>
      <c r="M269" s="10">
        <v>-4.2840436000000003E-2</v>
      </c>
      <c r="N269" s="10">
        <v>-0.23036462999999999</v>
      </c>
      <c r="O269" s="9">
        <v>-8.5106410499999993E-2</v>
      </c>
      <c r="P269" s="10">
        <v>0.103607711455291</v>
      </c>
      <c r="Q269" s="10">
        <v>1.0734557873003E-2</v>
      </c>
    </row>
    <row r="270" spans="1:17" x14ac:dyDescent="0.2">
      <c r="A270" s="10">
        <v>1710</v>
      </c>
      <c r="B270" s="10" t="s">
        <v>74</v>
      </c>
      <c r="C270" s="9" t="s">
        <v>996</v>
      </c>
      <c r="D270" s="10">
        <v>-0.58180354599999995</v>
      </c>
      <c r="E270" s="10">
        <v>-0.54624013699999996</v>
      </c>
      <c r="F270" s="10">
        <v>-0.56883967499999999</v>
      </c>
      <c r="G270" s="10">
        <v>-0.30181944100000002</v>
      </c>
      <c r="H270" s="9">
        <v>-0.4996757</v>
      </c>
      <c r="I270" s="10">
        <v>0.13272023777480499</v>
      </c>
      <c r="J270" s="10">
        <v>1.7614661515000699E-2</v>
      </c>
      <c r="K270" s="10">
        <v>-0.84934428299999998</v>
      </c>
      <c r="L270" s="10">
        <v>-0.68194693100000003</v>
      </c>
      <c r="M270" s="10">
        <v>-0.24641743799999999</v>
      </c>
      <c r="N270" s="10">
        <v>-0.440590598</v>
      </c>
      <c r="O270" s="9">
        <v>-0.55457481249999996</v>
      </c>
      <c r="P270" s="10">
        <v>0.26524583937920898</v>
      </c>
      <c r="Q270" s="10">
        <v>7.0355355307981204E-2</v>
      </c>
    </row>
    <row r="271" spans="1:17" x14ac:dyDescent="0.2">
      <c r="A271" s="10">
        <v>1710</v>
      </c>
      <c r="B271" s="10" t="s">
        <v>2818</v>
      </c>
      <c r="C271" s="9" t="s">
        <v>2407</v>
      </c>
      <c r="D271" s="10">
        <v>-6.8195390000000003E-3</v>
      </c>
      <c r="E271" s="10">
        <v>4.9396518E-2</v>
      </c>
      <c r="F271" s="10">
        <v>-0.155699216</v>
      </c>
      <c r="G271" s="10">
        <v>0.27662255200000002</v>
      </c>
      <c r="H271" s="9">
        <v>4.0875078750000002E-2</v>
      </c>
      <c r="I271" s="10">
        <v>0.17941173873656199</v>
      </c>
      <c r="J271" s="10">
        <v>3.2188571996476401E-2</v>
      </c>
      <c r="K271" s="10">
        <v>-8.9457010000000003E-3</v>
      </c>
      <c r="L271" s="10">
        <v>0.145195089</v>
      </c>
      <c r="M271" s="10">
        <v>0.15490968899999999</v>
      </c>
      <c r="N271" s="10">
        <v>8.8764854000000004E-2</v>
      </c>
      <c r="O271" s="9">
        <v>9.4980982749999998E-2</v>
      </c>
      <c r="P271" s="10">
        <v>7.5171586279201105E-2</v>
      </c>
      <c r="Q271" s="10">
        <v>5.6507673837313003E-3</v>
      </c>
    </row>
    <row r="272" spans="1:17" x14ac:dyDescent="0.2">
      <c r="A272" s="10">
        <v>1710</v>
      </c>
      <c r="B272" s="10" t="s">
        <v>2832</v>
      </c>
      <c r="C272" s="9" t="s">
        <v>2406</v>
      </c>
      <c r="D272" s="10">
        <v>-0.30760843799999998</v>
      </c>
      <c r="E272" s="10">
        <v>-0.81569948400000003</v>
      </c>
      <c r="F272" s="10">
        <v>-0.48620815000000001</v>
      </c>
      <c r="G272" s="10">
        <v>-0.59319193999999997</v>
      </c>
      <c r="H272" s="9">
        <v>-0.55067700325000002</v>
      </c>
      <c r="I272" s="10">
        <v>0.21235426029931201</v>
      </c>
      <c r="J272" s="10">
        <v>4.5094331867268002E-2</v>
      </c>
      <c r="K272" s="10">
        <v>-6.0893062999999997E-2</v>
      </c>
      <c r="L272" s="10">
        <v>4.1916310000000003E-3</v>
      </c>
      <c r="M272" s="10">
        <v>-7.2496917999999994E-2</v>
      </c>
      <c r="N272" s="10">
        <v>-6.7690814000000002E-2</v>
      </c>
      <c r="O272" s="9">
        <v>-4.9222291000000001E-2</v>
      </c>
      <c r="P272" s="10">
        <v>3.59260749609005E-2</v>
      </c>
      <c r="Q272" s="10">
        <v>1.2906828620962E-3</v>
      </c>
    </row>
    <row r="273" spans="1:17" x14ac:dyDescent="0.2">
      <c r="A273" s="10">
        <v>1711</v>
      </c>
      <c r="B273" s="10" t="s">
        <v>2823</v>
      </c>
      <c r="C273" s="9" t="s">
        <v>997</v>
      </c>
      <c r="D273" s="10">
        <v>-1.8119373050000001</v>
      </c>
      <c r="E273" s="10">
        <v>-1.0392379140000001</v>
      </c>
      <c r="F273" s="10">
        <v>-0.84464514999999996</v>
      </c>
      <c r="G273" s="10">
        <v>-1.2421809770000001</v>
      </c>
      <c r="H273" s="9">
        <v>-1.23450033625</v>
      </c>
      <c r="I273" s="10">
        <v>0.417774630197701</v>
      </c>
      <c r="J273" s="10">
        <v>0.174535641636826</v>
      </c>
      <c r="K273" s="10">
        <v>-0.35627973099999999</v>
      </c>
      <c r="L273" s="10">
        <v>-7.1892403999999993E-2</v>
      </c>
      <c r="M273" s="10">
        <v>-0.71028970599999997</v>
      </c>
      <c r="N273" s="10">
        <v>-2.4774746350000001</v>
      </c>
      <c r="O273" s="9">
        <v>-0.90398411874999995</v>
      </c>
      <c r="P273" s="10">
        <v>1.08100981314933</v>
      </c>
      <c r="Q273" s="10">
        <v>1.16858221612515</v>
      </c>
    </row>
    <row r="274" spans="1:17" x14ac:dyDescent="0.2">
      <c r="A274" s="10">
        <v>1711</v>
      </c>
      <c r="B274" s="10" t="s">
        <v>2826</v>
      </c>
      <c r="C274" s="9" t="s">
        <v>2405</v>
      </c>
      <c r="D274" s="10">
        <v>-0.17322380200000001</v>
      </c>
      <c r="E274" s="10">
        <v>-0.73808657099999997</v>
      </c>
      <c r="F274" s="10">
        <v>-0.40471251600000002</v>
      </c>
      <c r="G274" s="10">
        <v>-0.42091760900000003</v>
      </c>
      <c r="H274" s="9">
        <v>-0.43423512450000001</v>
      </c>
      <c r="I274" s="10">
        <v>0.23202122937716799</v>
      </c>
      <c r="J274" s="10">
        <v>5.3833850881692701E-2</v>
      </c>
      <c r="K274" s="10">
        <v>-0.266059088</v>
      </c>
      <c r="L274" s="10">
        <v>9.6390190000000001E-2</v>
      </c>
      <c r="M274" s="10">
        <v>0.36882986600000001</v>
      </c>
      <c r="N274" s="10">
        <v>-0.95492269900000004</v>
      </c>
      <c r="O274" s="9">
        <v>-0.18894043275</v>
      </c>
      <c r="P274" s="10">
        <v>0.57306119209139095</v>
      </c>
      <c r="Q274" s="10">
        <v>0.32839912988120701</v>
      </c>
    </row>
    <row r="275" spans="1:17" x14ac:dyDescent="0.2">
      <c r="A275" s="10">
        <v>1711</v>
      </c>
      <c r="B275" s="10" t="s">
        <v>79</v>
      </c>
      <c r="C275" s="9" t="s">
        <v>1000</v>
      </c>
      <c r="D275" s="10">
        <v>0.43565277499999999</v>
      </c>
      <c r="E275" s="10">
        <v>0.120705569</v>
      </c>
      <c r="F275" s="10">
        <v>-0.51129840900000001</v>
      </c>
      <c r="G275" s="10">
        <v>-9.4387644000000007E-2</v>
      </c>
      <c r="H275" s="9">
        <v>-1.2331927249999999E-2</v>
      </c>
      <c r="I275" s="10">
        <v>0.39752985607784602</v>
      </c>
      <c r="J275" s="10">
        <v>0.15802998647327299</v>
      </c>
      <c r="K275" s="10">
        <v>-0.114185863</v>
      </c>
      <c r="L275" s="10">
        <v>-0.13448507600000001</v>
      </c>
      <c r="M275" s="10">
        <v>-1.4924530460000001</v>
      </c>
      <c r="N275" s="10">
        <v>-0.69182132500000004</v>
      </c>
      <c r="O275" s="9">
        <v>-0.60823632750000001</v>
      </c>
      <c r="P275" s="10">
        <v>0.64739265953321401</v>
      </c>
      <c r="Q275" s="10">
        <v>0.41911725561748803</v>
      </c>
    </row>
    <row r="276" spans="1:17" x14ac:dyDescent="0.2">
      <c r="A276" s="10">
        <v>1711</v>
      </c>
      <c r="B276" s="10" t="s">
        <v>2824</v>
      </c>
      <c r="C276" s="9" t="s">
        <v>1001</v>
      </c>
      <c r="D276" s="10">
        <v>-0.73646838000000003</v>
      </c>
      <c r="E276" s="10">
        <v>-1.1294954749999999</v>
      </c>
      <c r="F276" s="10">
        <v>-1.235294442</v>
      </c>
      <c r="G276" s="10">
        <v>-1.800589862</v>
      </c>
      <c r="H276" s="9">
        <v>-1.22546203975</v>
      </c>
      <c r="I276" s="10">
        <v>0.439390892367167</v>
      </c>
      <c r="J276" s="10">
        <v>0.19306435629521601</v>
      </c>
      <c r="K276" s="10">
        <v>-1.4707180790000001</v>
      </c>
      <c r="L276" s="10">
        <v>-0.98272530000000002</v>
      </c>
      <c r="M276" s="10">
        <v>-2.0880954940000001</v>
      </c>
      <c r="N276" s="10">
        <v>-0.641647513</v>
      </c>
      <c r="O276" s="9">
        <v>-1.29579659675</v>
      </c>
      <c r="P276" s="10">
        <v>0.62829391427786196</v>
      </c>
      <c r="Q276" s="10">
        <v>0.39475324271859802</v>
      </c>
    </row>
    <row r="277" spans="1:17" x14ac:dyDescent="0.2">
      <c r="A277" s="10">
        <v>1711</v>
      </c>
      <c r="B277" s="10" t="s">
        <v>82</v>
      </c>
      <c r="C277" s="9" t="s">
        <v>1002</v>
      </c>
      <c r="D277" s="10">
        <v>-0.69341779000000003</v>
      </c>
      <c r="E277" s="10">
        <v>-0.20591672799999999</v>
      </c>
      <c r="F277" s="10">
        <v>-0.90995920100000005</v>
      </c>
      <c r="G277" s="10">
        <v>-0.70842279500000005</v>
      </c>
      <c r="H277" s="9">
        <v>-0.62942912875000001</v>
      </c>
      <c r="I277" s="10">
        <v>0.29910668280832597</v>
      </c>
      <c r="J277" s="10">
        <v>8.9464807700600807E-2</v>
      </c>
      <c r="K277" s="10">
        <v>-0.43465737599999998</v>
      </c>
      <c r="L277" s="10">
        <v>-0.36060902900000003</v>
      </c>
      <c r="M277" s="10">
        <v>-0.99030028699999995</v>
      </c>
      <c r="N277" s="10">
        <v>-0.30563649500000001</v>
      </c>
      <c r="O277" s="9">
        <v>-0.52280079675000002</v>
      </c>
      <c r="P277" s="10">
        <v>0.31611787858642998</v>
      </c>
      <c r="Q277" s="10">
        <v>9.9930513161985396E-2</v>
      </c>
    </row>
    <row r="278" spans="1:17" x14ac:dyDescent="0.2">
      <c r="A278" s="10">
        <v>1711</v>
      </c>
      <c r="B278" s="10" t="s">
        <v>74</v>
      </c>
      <c r="C278" s="9" t="s">
        <v>1003</v>
      </c>
      <c r="D278" s="10">
        <v>-0.10077425600000001</v>
      </c>
      <c r="E278" s="10">
        <v>0.108983424</v>
      </c>
      <c r="F278" s="10">
        <v>-4.0957505999999998E-2</v>
      </c>
      <c r="G278" s="10">
        <v>-0.64306686800000001</v>
      </c>
      <c r="H278" s="9">
        <v>-0.1689538015</v>
      </c>
      <c r="I278" s="10">
        <v>0.32815839835409799</v>
      </c>
      <c r="J278" s="10">
        <v>0.10768793441032699</v>
      </c>
      <c r="K278" s="10">
        <v>-0.85883541699999999</v>
      </c>
      <c r="L278" s="10">
        <v>-0.71805232200000002</v>
      </c>
      <c r="M278" s="10">
        <v>-8.8473000000000002E-4</v>
      </c>
      <c r="N278" s="10">
        <v>-0.65948829799999997</v>
      </c>
      <c r="O278" s="9">
        <v>-0.55931519175</v>
      </c>
      <c r="P278" s="10">
        <v>0.381570908080402</v>
      </c>
      <c r="Q278" s="10">
        <v>0.145596357893302</v>
      </c>
    </row>
    <row r="279" spans="1:17" x14ac:dyDescent="0.2">
      <c r="A279" s="10">
        <v>1711</v>
      </c>
      <c r="B279" s="10" t="s">
        <v>2818</v>
      </c>
      <c r="C279" s="9" t="s">
        <v>1004</v>
      </c>
      <c r="D279" s="10">
        <v>-0.67221361800000001</v>
      </c>
      <c r="E279" s="10">
        <v>-0.11485419500000001</v>
      </c>
      <c r="F279" s="10">
        <v>-0.751935625</v>
      </c>
      <c r="G279" s="10">
        <v>0.33703894299999998</v>
      </c>
      <c r="H279" s="9">
        <v>-0.30049112374999998</v>
      </c>
      <c r="I279" s="10">
        <v>0.51084420513704298</v>
      </c>
      <c r="J279" s="10">
        <v>0.260961801922098</v>
      </c>
      <c r="K279" s="10">
        <v>-0.13568965099999999</v>
      </c>
      <c r="L279" s="10">
        <v>-0.25004319000000003</v>
      </c>
      <c r="M279" s="10">
        <v>-0.39796799500000002</v>
      </c>
      <c r="N279" s="10">
        <v>-0.24814756600000001</v>
      </c>
      <c r="O279" s="9">
        <v>-0.25796210050000001</v>
      </c>
      <c r="P279" s="10">
        <v>0.107565850579128</v>
      </c>
      <c r="Q279" s="10">
        <v>1.15704122108112E-2</v>
      </c>
    </row>
    <row r="280" spans="1:17" x14ac:dyDescent="0.2">
      <c r="A280" s="10">
        <v>1711</v>
      </c>
      <c r="B280" s="10" t="s">
        <v>2830</v>
      </c>
      <c r="C280" s="9" t="s">
        <v>2404</v>
      </c>
      <c r="D280" s="10">
        <v>-0.51734203700000003</v>
      </c>
      <c r="E280" s="10">
        <v>-0.58096857899999998</v>
      </c>
      <c r="F280" s="10">
        <v>0.108926223</v>
      </c>
      <c r="G280" s="10">
        <v>0.119579246</v>
      </c>
      <c r="H280" s="9">
        <v>-0.21745128725000001</v>
      </c>
      <c r="I280" s="10">
        <v>0.38392323135692902</v>
      </c>
      <c r="J280" s="10">
        <v>0.147397047575546</v>
      </c>
      <c r="K280" s="10">
        <v>-0.17949314299999999</v>
      </c>
      <c r="L280" s="10">
        <v>-5.9013881999999997E-2</v>
      </c>
      <c r="M280" s="10">
        <v>0.64514780500000002</v>
      </c>
      <c r="N280" s="10">
        <v>-0.184095219</v>
      </c>
      <c r="O280" s="9">
        <v>5.5636390250000001E-2</v>
      </c>
      <c r="P280" s="10">
        <v>0.39725119463948799</v>
      </c>
      <c r="Q280" s="10">
        <v>0.15780851164250101</v>
      </c>
    </row>
    <row r="281" spans="1:17" x14ac:dyDescent="0.2">
      <c r="A281" s="10">
        <v>1711</v>
      </c>
      <c r="B281" s="10" t="s">
        <v>2835</v>
      </c>
      <c r="C281" s="9" t="s">
        <v>2403</v>
      </c>
      <c r="D281" s="10">
        <v>-0.38946761400000002</v>
      </c>
      <c r="E281" s="10">
        <v>-0.37136596100000002</v>
      </c>
      <c r="F281" s="10">
        <v>-0.47747935800000002</v>
      </c>
      <c r="G281" s="10">
        <v>-0.46840779100000002</v>
      </c>
      <c r="H281" s="9">
        <v>-0.42668018099999999</v>
      </c>
      <c r="I281" s="10">
        <v>5.4056106337543097E-2</v>
      </c>
      <c r="J281" s="10">
        <v>2.9220626323757E-3</v>
      </c>
      <c r="K281" s="10">
        <v>6.2947262000000004E-2</v>
      </c>
      <c r="L281" s="10">
        <v>0.37814482900000002</v>
      </c>
      <c r="M281" s="10">
        <v>0.19495238500000001</v>
      </c>
      <c r="N281" s="10">
        <v>8.0963555000000006E-2</v>
      </c>
      <c r="O281" s="9">
        <v>0.17925200775</v>
      </c>
      <c r="P281" s="10">
        <v>0.144904876865868</v>
      </c>
      <c r="Q281" s="10">
        <v>2.09974233395126E-2</v>
      </c>
    </row>
    <row r="282" spans="1:17" x14ac:dyDescent="0.2">
      <c r="A282" s="10">
        <v>1712</v>
      </c>
      <c r="B282" s="10" t="s">
        <v>2819</v>
      </c>
      <c r="C282" s="9" t="s">
        <v>2636</v>
      </c>
      <c r="D282" s="10">
        <v>-1.2622653720000001</v>
      </c>
      <c r="E282" s="10">
        <v>-2.633042477</v>
      </c>
      <c r="F282" s="10">
        <v>-1.7195194110000001</v>
      </c>
      <c r="G282" s="10">
        <v>-1.0041986110000001</v>
      </c>
      <c r="H282" s="9">
        <v>-1.65475646775</v>
      </c>
      <c r="I282" s="10">
        <v>0.71612674388799802</v>
      </c>
      <c r="J282" s="10">
        <v>0.51283751331162697</v>
      </c>
      <c r="K282" s="10">
        <v>-0.84866804900000004</v>
      </c>
      <c r="L282" s="10">
        <v>-2.1640154659999999</v>
      </c>
      <c r="M282" s="10">
        <v>-1.1825224940000001</v>
      </c>
      <c r="N282" s="10">
        <v>-1.1150304879999999</v>
      </c>
      <c r="O282" s="9">
        <v>-1.32755912425</v>
      </c>
      <c r="P282" s="10">
        <v>0.57596293831821399</v>
      </c>
      <c r="Q282" s="10">
        <v>0.331733306316151</v>
      </c>
    </row>
    <row r="283" spans="1:17" x14ac:dyDescent="0.2">
      <c r="A283" s="10">
        <v>1712</v>
      </c>
      <c r="B283" s="10" t="s">
        <v>2821</v>
      </c>
      <c r="C283" s="9" t="s">
        <v>1005</v>
      </c>
      <c r="D283" s="10">
        <v>-1.31305491</v>
      </c>
      <c r="E283" s="10">
        <v>-1.7100685099999999</v>
      </c>
      <c r="F283" s="10">
        <v>-1.097984796</v>
      </c>
      <c r="G283" s="10">
        <v>-1.0649186960000001</v>
      </c>
      <c r="H283" s="9">
        <v>-1.296506728</v>
      </c>
      <c r="I283" s="10">
        <v>0.29684516946783601</v>
      </c>
      <c r="J283" s="10">
        <v>8.8117054636388706E-2</v>
      </c>
      <c r="K283" s="10">
        <v>-0.22850042400000001</v>
      </c>
      <c r="L283" s="10">
        <v>-5.7735368000000002E-2</v>
      </c>
      <c r="M283" s="10">
        <v>-0.50149745000000001</v>
      </c>
      <c r="N283" s="10">
        <v>-0.42913892399999998</v>
      </c>
      <c r="O283" s="9">
        <v>-0.30421804149999998</v>
      </c>
      <c r="P283" s="10">
        <v>0.20084094688606399</v>
      </c>
      <c r="Q283" s="10">
        <v>4.0337085946090798E-2</v>
      </c>
    </row>
    <row r="284" spans="1:17" x14ac:dyDescent="0.2">
      <c r="A284" s="10">
        <v>1712</v>
      </c>
      <c r="B284" s="10" t="s">
        <v>2834</v>
      </c>
      <c r="C284" s="9" t="s">
        <v>2635</v>
      </c>
      <c r="D284" s="10">
        <v>-1.166650688</v>
      </c>
      <c r="E284" s="10">
        <v>-0.52830142700000005</v>
      </c>
      <c r="F284" s="10">
        <v>-1.068569514</v>
      </c>
      <c r="G284" s="10">
        <v>-1.036117159</v>
      </c>
      <c r="H284" s="9">
        <v>-0.94990969724999996</v>
      </c>
      <c r="I284" s="10">
        <v>0.28649727700102701</v>
      </c>
      <c r="J284" s="10">
        <v>8.2080689729003301E-2</v>
      </c>
      <c r="K284" s="10">
        <v>-0.62799589499999997</v>
      </c>
      <c r="L284" s="10">
        <v>-0.80830855199999996</v>
      </c>
      <c r="M284" s="10">
        <v>-0.61702608599999997</v>
      </c>
      <c r="N284" s="10">
        <v>-0.50266847599999998</v>
      </c>
      <c r="O284" s="9">
        <v>-0.63899975225000005</v>
      </c>
      <c r="P284" s="10">
        <v>0.12630071712594501</v>
      </c>
      <c r="Q284" s="10">
        <v>1.5951871146528001E-2</v>
      </c>
    </row>
    <row r="285" spans="1:17" x14ac:dyDescent="0.2">
      <c r="A285" s="10">
        <v>1712</v>
      </c>
      <c r="B285" s="10" t="s">
        <v>79</v>
      </c>
      <c r="C285" s="9" t="s">
        <v>2402</v>
      </c>
      <c r="D285" s="10">
        <v>0.26599610800000001</v>
      </c>
      <c r="E285" s="10">
        <v>0.31296917299999999</v>
      </c>
      <c r="F285" s="10">
        <v>-1.05443157</v>
      </c>
      <c r="G285" s="10">
        <v>-0.174228988</v>
      </c>
      <c r="H285" s="9">
        <v>-0.16242381924999999</v>
      </c>
      <c r="I285" s="10">
        <v>0.63386626364257403</v>
      </c>
      <c r="J285" s="10">
        <v>0.40178644018419701</v>
      </c>
      <c r="K285" s="10">
        <v>0.11582516299999999</v>
      </c>
      <c r="L285" s="10">
        <v>-1.3767087000000001E-2</v>
      </c>
      <c r="M285" s="10">
        <v>0.14752675600000001</v>
      </c>
      <c r="N285" s="10">
        <v>6.7754157999999995E-2</v>
      </c>
      <c r="O285" s="9">
        <v>7.9334747750000004E-2</v>
      </c>
      <c r="P285" s="10">
        <v>7.01991502490346E-2</v>
      </c>
      <c r="Q285" s="10">
        <v>4.9279206956865003E-3</v>
      </c>
    </row>
    <row r="286" spans="1:17" x14ac:dyDescent="0.2">
      <c r="A286" s="10">
        <v>1712</v>
      </c>
      <c r="B286" s="10" t="s">
        <v>74</v>
      </c>
      <c r="C286" s="9" t="s">
        <v>1007</v>
      </c>
      <c r="D286" s="10">
        <v>-0.39746384800000001</v>
      </c>
      <c r="E286" s="10">
        <v>-0.677275921</v>
      </c>
      <c r="F286" s="10">
        <v>-0.436906242</v>
      </c>
      <c r="G286" s="10">
        <v>-0.55217511399999997</v>
      </c>
      <c r="H286" s="9">
        <v>-0.51595528099999999</v>
      </c>
      <c r="I286" s="10">
        <v>0.125996290228157</v>
      </c>
      <c r="J286" s="10">
        <v>1.58750651512581E-2</v>
      </c>
      <c r="K286" s="10">
        <v>-0.58430027600000001</v>
      </c>
      <c r="L286" s="10">
        <v>-0.88054890600000002</v>
      </c>
      <c r="M286" s="10">
        <v>-6.6599353E-2</v>
      </c>
      <c r="N286" s="10">
        <v>-0.29491206800000003</v>
      </c>
      <c r="O286" s="9">
        <v>-0.45659015024999999</v>
      </c>
      <c r="P286" s="10">
        <v>0.35321548051007801</v>
      </c>
      <c r="Q286" s="10">
        <v>0.124761175671965</v>
      </c>
    </row>
    <row r="287" spans="1:17" x14ac:dyDescent="0.2">
      <c r="A287" s="10">
        <v>1712</v>
      </c>
      <c r="B287" s="10" t="s">
        <v>2818</v>
      </c>
      <c r="C287" s="9" t="s">
        <v>2400</v>
      </c>
      <c r="D287" s="10">
        <v>-0.24946723900000001</v>
      </c>
      <c r="E287" s="10">
        <v>-0.23079740400000001</v>
      </c>
      <c r="F287" s="10">
        <v>-0.280412724</v>
      </c>
      <c r="G287" s="10">
        <v>-0.47323636299999999</v>
      </c>
      <c r="H287" s="9">
        <v>-0.30847843224999999</v>
      </c>
      <c r="I287" s="10">
        <v>0.11172812657422999</v>
      </c>
      <c r="J287" s="10">
        <v>1.2483174267787301E-2</v>
      </c>
      <c r="K287" s="10">
        <v>4.0835399000000001E-2</v>
      </c>
      <c r="L287" s="10">
        <v>1.7754602000000001E-2</v>
      </c>
      <c r="M287" s="10">
        <v>-0.71295085000000002</v>
      </c>
      <c r="N287" s="10">
        <v>0.14587019200000001</v>
      </c>
      <c r="O287" s="9">
        <v>-0.12712266424999999</v>
      </c>
      <c r="P287" s="10">
        <v>0.39451197534398202</v>
      </c>
      <c r="Q287" s="10">
        <v>0.15563969868981101</v>
      </c>
    </row>
    <row r="288" spans="1:17" x14ac:dyDescent="0.2">
      <c r="A288" s="10">
        <v>1713</v>
      </c>
      <c r="B288" s="10" t="s">
        <v>2831</v>
      </c>
      <c r="C288" s="9" t="s">
        <v>1008</v>
      </c>
      <c r="D288" s="10">
        <v>-1.7185711100000001</v>
      </c>
      <c r="E288" s="10">
        <v>-1.397138856</v>
      </c>
      <c r="F288" s="10">
        <v>-1.5538488429999999</v>
      </c>
      <c r="G288" s="10">
        <v>-0.69375400899999995</v>
      </c>
      <c r="H288" s="9">
        <v>-1.3408282045</v>
      </c>
      <c r="I288" s="10">
        <v>0.45090405447901899</v>
      </c>
      <c r="J288" s="10">
        <v>0.20331446634561801</v>
      </c>
      <c r="K288" s="10">
        <v>-0.23823218700000001</v>
      </c>
      <c r="L288" s="10">
        <v>0.19346032799999999</v>
      </c>
      <c r="M288" s="10">
        <v>-0.36015770800000002</v>
      </c>
      <c r="N288" s="10">
        <v>-1.2087176580000001</v>
      </c>
      <c r="O288" s="9">
        <v>-0.40341180625</v>
      </c>
      <c r="P288" s="10">
        <v>0.58706305258689695</v>
      </c>
      <c r="Q288" s="10">
        <v>0.34464302771264599</v>
      </c>
    </row>
    <row r="289" spans="1:17" x14ac:dyDescent="0.2">
      <c r="A289" s="10">
        <v>1713</v>
      </c>
      <c r="B289" s="10" t="s">
        <v>2822</v>
      </c>
      <c r="C289" s="9" t="s">
        <v>1009</v>
      </c>
      <c r="D289" s="10">
        <v>-1.6169239150000001</v>
      </c>
      <c r="E289" s="10">
        <v>-1.3761560530000001</v>
      </c>
      <c r="F289" s="10">
        <v>-1.2254934529999999</v>
      </c>
      <c r="G289" s="10">
        <v>-0.73850700599999997</v>
      </c>
      <c r="H289" s="9">
        <v>-1.23927010675</v>
      </c>
      <c r="I289" s="10">
        <v>0.37072615249344798</v>
      </c>
      <c r="J289" s="10">
        <v>0.137437880142595</v>
      </c>
      <c r="K289" s="10">
        <v>-0.48695488100000001</v>
      </c>
      <c r="L289" s="10">
        <v>-0.47575815799999999</v>
      </c>
      <c r="M289" s="10">
        <v>-0.66410889100000003</v>
      </c>
      <c r="N289" s="10">
        <v>-0.78913211699999997</v>
      </c>
      <c r="O289" s="9">
        <v>-0.60398851175000001</v>
      </c>
      <c r="P289" s="10">
        <v>0.15059051421599001</v>
      </c>
      <c r="Q289" s="10">
        <v>2.2677502971836301E-2</v>
      </c>
    </row>
    <row r="290" spans="1:17" x14ac:dyDescent="0.2">
      <c r="A290" s="10">
        <v>1713</v>
      </c>
      <c r="B290" s="10" t="s">
        <v>2823</v>
      </c>
      <c r="C290" s="9" t="s">
        <v>1010</v>
      </c>
      <c r="D290" s="10">
        <v>-1.7912274130000001</v>
      </c>
      <c r="E290" s="10">
        <v>-2.8165710640000001</v>
      </c>
      <c r="F290" s="10">
        <v>-1.7877326689999999</v>
      </c>
      <c r="G290" s="10">
        <v>-2.9484552210000001</v>
      </c>
      <c r="H290" s="9">
        <v>-2.3359965917499999</v>
      </c>
      <c r="I290" s="10">
        <v>0.63335724069604404</v>
      </c>
      <c r="J290" s="10">
        <v>0.40114139434210699</v>
      </c>
      <c r="K290" s="10">
        <v>-0.49484745000000002</v>
      </c>
      <c r="L290" s="10">
        <v>-0.380556481</v>
      </c>
      <c r="M290" s="10">
        <v>-0.44046366799999997</v>
      </c>
      <c r="N290" s="10">
        <v>-0.85543082400000003</v>
      </c>
      <c r="O290" s="9">
        <v>-0.54282460575000002</v>
      </c>
      <c r="P290" s="10">
        <v>0.213567445279289</v>
      </c>
      <c r="Q290" s="10">
        <v>4.5611053683122398E-2</v>
      </c>
    </row>
    <row r="291" spans="1:17" x14ac:dyDescent="0.2">
      <c r="A291" s="10">
        <v>1713</v>
      </c>
      <c r="B291" s="10" t="s">
        <v>2819</v>
      </c>
      <c r="C291" s="9" t="s">
        <v>1011</v>
      </c>
      <c r="D291" s="10">
        <v>-0.70928853400000003</v>
      </c>
      <c r="E291" s="10">
        <v>-1.078228156</v>
      </c>
      <c r="F291" s="10">
        <v>-1.2491465989999999</v>
      </c>
      <c r="G291" s="10">
        <v>-0.70474266799999996</v>
      </c>
      <c r="H291" s="9">
        <v>-0.93535148925</v>
      </c>
      <c r="I291" s="10">
        <v>0.27274285873894899</v>
      </c>
      <c r="J291" s="10">
        <v>7.4388666993094293E-2</v>
      </c>
      <c r="K291" s="10">
        <v>0.154314746</v>
      </c>
      <c r="L291" s="10">
        <v>-0.119787912</v>
      </c>
      <c r="M291" s="10">
        <v>-9.2348336000000003E-2</v>
      </c>
      <c r="N291" s="10">
        <v>5.3906216E-2</v>
      </c>
      <c r="O291" s="9">
        <v>-9.788214999999999E-4</v>
      </c>
      <c r="P291" s="10">
        <v>0.128572220449126</v>
      </c>
      <c r="Q291" s="10">
        <v>1.6530815871218699E-2</v>
      </c>
    </row>
    <row r="292" spans="1:17" x14ac:dyDescent="0.2">
      <c r="A292" s="10">
        <v>1713</v>
      </c>
      <c r="B292" s="10" t="s">
        <v>2834</v>
      </c>
      <c r="C292" s="9" t="s">
        <v>2398</v>
      </c>
      <c r="D292" s="10">
        <v>-2.562698572</v>
      </c>
      <c r="E292" s="10">
        <v>-4.3579912719999996</v>
      </c>
      <c r="F292" s="10">
        <v>-2.4367937230000001</v>
      </c>
      <c r="G292" s="10">
        <v>-2.3269295319999999</v>
      </c>
      <c r="H292" s="9">
        <v>-2.9211032750000001</v>
      </c>
      <c r="I292" s="10">
        <v>0.96275632536384104</v>
      </c>
      <c r="J292" s="10">
        <v>0.926899742028086</v>
      </c>
      <c r="K292" s="10">
        <v>-1.185129273</v>
      </c>
      <c r="L292" s="10">
        <v>-1.092254496</v>
      </c>
      <c r="M292" s="10">
        <v>-1.8023938420000001</v>
      </c>
      <c r="N292" s="10">
        <v>-1.2523568430000001</v>
      </c>
      <c r="O292" s="9">
        <v>-1.3330336135</v>
      </c>
      <c r="P292" s="10">
        <v>0.31971760599978399</v>
      </c>
      <c r="Q292" s="10">
        <v>0.10221934758623299</v>
      </c>
    </row>
    <row r="293" spans="1:17" x14ac:dyDescent="0.2">
      <c r="A293" s="10">
        <v>1713</v>
      </c>
      <c r="B293" s="10" t="s">
        <v>2824</v>
      </c>
      <c r="C293" s="9" t="s">
        <v>1012</v>
      </c>
      <c r="D293" s="10">
        <v>-0.32997152499999999</v>
      </c>
      <c r="E293" s="10">
        <v>4.3972490000000003E-2</v>
      </c>
      <c r="F293" s="10">
        <v>-0.19736420700000001</v>
      </c>
      <c r="G293" s="10">
        <v>0.15499211500000001</v>
      </c>
      <c r="H293" s="9">
        <v>-8.2092781749999996E-2</v>
      </c>
      <c r="I293" s="10">
        <v>0.221233717926484</v>
      </c>
      <c r="J293" s="10">
        <v>4.8944357947574998E-2</v>
      </c>
      <c r="K293" s="10">
        <v>-0.127483864</v>
      </c>
      <c r="L293" s="10">
        <v>0.109263473</v>
      </c>
      <c r="M293" s="10">
        <v>-1.5213892E-2</v>
      </c>
      <c r="N293" s="10">
        <v>0.206348689</v>
      </c>
      <c r="O293" s="9">
        <v>4.3228601249999998E-2</v>
      </c>
      <c r="P293" s="10">
        <v>0.145518656448369</v>
      </c>
      <c r="Q293" s="10">
        <v>2.11756793745384E-2</v>
      </c>
    </row>
    <row r="294" spans="1:17" x14ac:dyDescent="0.2">
      <c r="A294" s="10">
        <v>1713</v>
      </c>
      <c r="B294" s="10" t="s">
        <v>2814</v>
      </c>
      <c r="C294" s="9" t="s">
        <v>1013</v>
      </c>
      <c r="D294" s="10">
        <v>-1.9536583350000001</v>
      </c>
      <c r="E294" s="10">
        <v>-2.1185599900000001</v>
      </c>
      <c r="F294" s="10">
        <v>-1.2522382190000001</v>
      </c>
      <c r="G294" s="10">
        <v>-1.5490427440000001</v>
      </c>
      <c r="H294" s="9">
        <v>-1.7183748222499999</v>
      </c>
      <c r="I294" s="10">
        <v>0.39220028279481001</v>
      </c>
      <c r="J294" s="10">
        <v>0.153821061824329</v>
      </c>
      <c r="K294" s="10">
        <v>-8.7977330000000003E-3</v>
      </c>
      <c r="L294" s="10">
        <v>-0.246600132</v>
      </c>
      <c r="M294" s="10">
        <v>-0.69656821099999999</v>
      </c>
      <c r="N294" s="10">
        <v>-0.89123305500000005</v>
      </c>
      <c r="O294" s="9">
        <v>-0.46079978249999998</v>
      </c>
      <c r="P294" s="10">
        <v>0.40457669111428102</v>
      </c>
      <c r="Q294" s="10">
        <v>0.16368229899298001</v>
      </c>
    </row>
    <row r="295" spans="1:17" x14ac:dyDescent="0.2">
      <c r="A295" s="10">
        <v>1713</v>
      </c>
      <c r="B295" s="10" t="s">
        <v>2833</v>
      </c>
      <c r="C295" s="9" t="s">
        <v>2397</v>
      </c>
      <c r="D295" s="10">
        <v>-1.3432712609999999</v>
      </c>
      <c r="E295" s="10">
        <v>-1.38240265</v>
      </c>
      <c r="F295" s="10">
        <v>-1.349905444</v>
      </c>
      <c r="G295" s="10">
        <v>-1.0675924450000001</v>
      </c>
      <c r="H295" s="9">
        <v>-1.28579295</v>
      </c>
      <c r="I295" s="10">
        <v>0.146468497908432</v>
      </c>
      <c r="J295" s="10">
        <v>2.14530208795525E-2</v>
      </c>
      <c r="K295" s="10">
        <v>0.29000064399999997</v>
      </c>
      <c r="L295" s="10">
        <v>0.27643783</v>
      </c>
      <c r="M295" s="10">
        <v>0.13758015100000001</v>
      </c>
      <c r="N295" s="10">
        <v>0.114875928</v>
      </c>
      <c r="O295" s="9">
        <v>0.20472363800000001</v>
      </c>
      <c r="P295" s="10">
        <v>9.1279701878895503E-2</v>
      </c>
      <c r="Q295" s="10">
        <v>8.3319839751000001E-3</v>
      </c>
    </row>
    <row r="296" spans="1:17" x14ac:dyDescent="0.2">
      <c r="A296" s="10">
        <v>1713</v>
      </c>
      <c r="B296" s="10" t="s">
        <v>2825</v>
      </c>
      <c r="C296" s="9" t="s">
        <v>1014</v>
      </c>
      <c r="D296" s="10">
        <v>-1.403053077</v>
      </c>
      <c r="E296" s="10">
        <v>-1.7597321779999999</v>
      </c>
      <c r="F296" s="10">
        <v>-1.3339904950000001</v>
      </c>
      <c r="G296" s="10">
        <v>-0.94149038299999999</v>
      </c>
      <c r="H296" s="9">
        <v>-1.3595665335</v>
      </c>
      <c r="I296" s="10">
        <v>0.33539301516575498</v>
      </c>
      <c r="J296" s="10">
        <v>0.112488474621976</v>
      </c>
      <c r="K296" s="10">
        <v>-0.35982359800000002</v>
      </c>
      <c r="L296" s="10">
        <v>-0.200293044</v>
      </c>
      <c r="M296" s="10">
        <v>3.0203580000000001E-2</v>
      </c>
      <c r="N296" s="10">
        <v>-0.21780799200000001</v>
      </c>
      <c r="O296" s="9">
        <v>-0.18693026374999999</v>
      </c>
      <c r="P296" s="10">
        <v>0.16142202361885799</v>
      </c>
      <c r="Q296" s="10">
        <v>2.60570697092074E-2</v>
      </c>
    </row>
    <row r="297" spans="1:17" x14ac:dyDescent="0.2">
      <c r="A297" s="10">
        <v>1713</v>
      </c>
      <c r="B297" s="10" t="s">
        <v>74</v>
      </c>
      <c r="C297" s="9" t="s">
        <v>2396</v>
      </c>
      <c r="D297" s="10">
        <v>-1.9720773519999999</v>
      </c>
      <c r="E297" s="10">
        <v>-1.633592529</v>
      </c>
      <c r="F297" s="10">
        <v>-1.9493984559999999</v>
      </c>
      <c r="G297" s="10">
        <v>-1.1342954249999999</v>
      </c>
      <c r="H297" s="9">
        <v>-1.67234094025</v>
      </c>
      <c r="I297" s="10">
        <v>0.39055396529261799</v>
      </c>
      <c r="J297" s="10">
        <v>0.152532399805788</v>
      </c>
      <c r="K297" s="10">
        <v>-0.90781900299999996</v>
      </c>
      <c r="L297" s="10">
        <v>-1.003958956</v>
      </c>
      <c r="M297" s="10">
        <v>-0.993627751</v>
      </c>
      <c r="N297" s="10">
        <v>-0.86604634899999999</v>
      </c>
      <c r="O297" s="9">
        <v>-0.94286301449999999</v>
      </c>
      <c r="P297" s="10">
        <v>6.6929453855625404E-2</v>
      </c>
      <c r="Q297" s="10">
        <v>4.4795517934121997E-3</v>
      </c>
    </row>
    <row r="298" spans="1:17" x14ac:dyDescent="0.2">
      <c r="A298" s="10">
        <v>1713</v>
      </c>
      <c r="B298" s="10" t="s">
        <v>2818</v>
      </c>
      <c r="C298" s="9" t="s">
        <v>2395</v>
      </c>
      <c r="D298" s="10">
        <v>-0.802107193</v>
      </c>
      <c r="E298" s="10">
        <v>-0.236339417</v>
      </c>
      <c r="F298" s="10">
        <v>-0.54738969400000004</v>
      </c>
      <c r="G298" s="10">
        <v>-8.1472614999999998E-2</v>
      </c>
      <c r="H298" s="9">
        <v>-0.41682722999999999</v>
      </c>
      <c r="I298" s="10">
        <v>0.32172751169188302</v>
      </c>
      <c r="J298" s="10">
        <v>0.103508591779451</v>
      </c>
      <c r="K298" s="10">
        <v>-0.38388177099999998</v>
      </c>
      <c r="L298" s="10">
        <v>-0.37835429399999998</v>
      </c>
      <c r="M298" s="10">
        <v>-0.39086513299999998</v>
      </c>
      <c r="N298" s="10">
        <v>-0.68035258300000001</v>
      </c>
      <c r="O298" s="9">
        <v>-0.45836344525</v>
      </c>
      <c r="P298" s="10">
        <v>0.14808126543491201</v>
      </c>
      <c r="Q298" s="10">
        <v>2.1928061172805099E-2</v>
      </c>
    </row>
    <row r="299" spans="1:17" x14ac:dyDescent="0.2">
      <c r="A299" s="10">
        <v>1713</v>
      </c>
      <c r="B299" s="10" t="s">
        <v>2835</v>
      </c>
      <c r="C299" s="9" t="s">
        <v>2394</v>
      </c>
      <c r="D299" s="10">
        <v>-1.631691134</v>
      </c>
      <c r="E299" s="10">
        <v>-1.16417748</v>
      </c>
      <c r="F299" s="10">
        <v>-0.73022990499999996</v>
      </c>
      <c r="G299" s="10">
        <v>-0.96701991700000001</v>
      </c>
      <c r="H299" s="9">
        <v>-1.1232796089999999</v>
      </c>
      <c r="I299" s="10">
        <v>0.38256157489724402</v>
      </c>
      <c r="J299" s="10">
        <v>0.14635335858786</v>
      </c>
      <c r="K299" s="10">
        <v>6.0646327999999999E-2</v>
      </c>
      <c r="L299" s="10">
        <v>3.2929646999999999E-2</v>
      </c>
      <c r="M299" s="10">
        <v>-4.9665002999999999E-2</v>
      </c>
      <c r="N299" s="10">
        <v>-0.198905256</v>
      </c>
      <c r="O299" s="9">
        <v>-3.8748571000000002E-2</v>
      </c>
      <c r="P299" s="10">
        <v>0.116599664265776</v>
      </c>
      <c r="Q299" s="10">
        <v>1.35954817068918E-2</v>
      </c>
    </row>
    <row r="300" spans="1:17" x14ac:dyDescent="0.2">
      <c r="A300" s="10">
        <v>1714</v>
      </c>
      <c r="B300" s="10" t="s">
        <v>96</v>
      </c>
      <c r="C300" s="9" t="s">
        <v>2392</v>
      </c>
      <c r="D300" s="10">
        <v>-6.1540992000000003E-2</v>
      </c>
      <c r="E300" s="10">
        <v>-2.3522627000000001E-2</v>
      </c>
      <c r="F300" s="10">
        <v>-0.431314906</v>
      </c>
      <c r="G300" s="10">
        <v>-0.35599025200000001</v>
      </c>
      <c r="H300" s="9">
        <v>-0.21809219425000001</v>
      </c>
      <c r="I300" s="10">
        <v>0.20562538313076201</v>
      </c>
      <c r="J300" s="10">
        <v>4.2281798187672803E-2</v>
      </c>
      <c r="K300" s="10">
        <v>9.7845380999999995E-2</v>
      </c>
      <c r="L300" s="10">
        <v>7.2121767000000003E-2</v>
      </c>
      <c r="M300" s="10">
        <v>0.111146896</v>
      </c>
      <c r="N300" s="10">
        <v>3.1231818000000001E-2</v>
      </c>
      <c r="O300" s="9">
        <v>7.808646575E-2</v>
      </c>
      <c r="P300" s="10">
        <v>3.5186846155566998E-2</v>
      </c>
      <c r="Q300" s="10">
        <v>1.2381141423755001E-3</v>
      </c>
    </row>
    <row r="301" spans="1:17" x14ac:dyDescent="0.2">
      <c r="A301" s="10">
        <v>1714</v>
      </c>
      <c r="B301" s="10" t="s">
        <v>2819</v>
      </c>
      <c r="C301" s="9" t="s">
        <v>2634</v>
      </c>
      <c r="D301" s="10">
        <v>-2.0397564479999999</v>
      </c>
      <c r="E301" s="10">
        <v>-1.741008696</v>
      </c>
      <c r="F301" s="10">
        <v>-1.656576633</v>
      </c>
      <c r="G301" s="10">
        <v>-1.896948442</v>
      </c>
      <c r="H301" s="9">
        <v>-1.8335725549999999</v>
      </c>
      <c r="I301" s="10">
        <v>0.169729122607439</v>
      </c>
      <c r="J301" s="10">
        <v>2.8807975061091302E-2</v>
      </c>
      <c r="K301" s="10">
        <v>-1.385848465</v>
      </c>
      <c r="L301" s="10">
        <v>-2.0213926959999999</v>
      </c>
      <c r="M301" s="10">
        <v>-1.5667059480000001</v>
      </c>
      <c r="N301" s="10">
        <v>-1.3759804200000001</v>
      </c>
      <c r="O301" s="9">
        <v>-1.5874818822500001</v>
      </c>
      <c r="P301" s="10">
        <v>0.30226871997112498</v>
      </c>
      <c r="Q301" s="10">
        <v>9.1366379072982701E-2</v>
      </c>
    </row>
    <row r="302" spans="1:17" x14ac:dyDescent="0.2">
      <c r="A302" s="10">
        <v>1714</v>
      </c>
      <c r="B302" s="10" t="s">
        <v>79</v>
      </c>
      <c r="C302" s="9" t="s">
        <v>1015</v>
      </c>
      <c r="D302" s="10">
        <v>-0.24986436400000001</v>
      </c>
      <c r="E302" s="10">
        <v>0.18541956300000001</v>
      </c>
      <c r="F302" s="10">
        <v>0.35300782000000003</v>
      </c>
      <c r="G302" s="10">
        <v>0.25303764899999998</v>
      </c>
      <c r="H302" s="9">
        <v>0.13540016699999999</v>
      </c>
      <c r="I302" s="10">
        <v>0.26590873537006599</v>
      </c>
      <c r="J302" s="10">
        <v>7.07074555461078E-2</v>
      </c>
      <c r="K302" s="10">
        <v>9.1310604000000004E-2</v>
      </c>
      <c r="L302" s="10">
        <v>0.173017482</v>
      </c>
      <c r="M302" s="10">
        <v>-9.9110851E-2</v>
      </c>
      <c r="N302" s="10">
        <v>3.7347150000000003E-2</v>
      </c>
      <c r="O302" s="9">
        <v>5.0641096250000003E-2</v>
      </c>
      <c r="P302" s="10">
        <v>0.11435669833453101</v>
      </c>
      <c r="Q302" s="10">
        <v>1.30774544539749E-2</v>
      </c>
    </row>
    <row r="303" spans="1:17" x14ac:dyDescent="0.2">
      <c r="A303" s="10">
        <v>1714</v>
      </c>
      <c r="B303" s="10" t="s">
        <v>2825</v>
      </c>
      <c r="C303" s="9" t="s">
        <v>1017</v>
      </c>
      <c r="D303" s="10">
        <v>-0.625071288</v>
      </c>
      <c r="E303" s="10">
        <v>-0.52999171499999997</v>
      </c>
      <c r="F303" s="10">
        <v>-0.99852193600000005</v>
      </c>
      <c r="G303" s="10">
        <v>-0.33057392899999999</v>
      </c>
      <c r="H303" s="9">
        <v>-0.62103971675000003</v>
      </c>
      <c r="I303" s="10">
        <v>0.27998166124024598</v>
      </c>
      <c r="J303" s="10">
        <v>7.8389730630848295E-2</v>
      </c>
      <c r="K303" s="10">
        <v>0.58180582400000003</v>
      </c>
      <c r="L303" s="10">
        <v>0.27208970999999998</v>
      </c>
      <c r="M303" s="10">
        <v>9.1054966000000001E-2</v>
      </c>
      <c r="N303" s="10">
        <v>0.22663757000000001</v>
      </c>
      <c r="O303" s="9">
        <v>0.29289701750000002</v>
      </c>
      <c r="P303" s="10">
        <v>0.20738994724543</v>
      </c>
      <c r="Q303" s="10">
        <v>4.3010590218462597E-2</v>
      </c>
    </row>
    <row r="304" spans="1:17" x14ac:dyDescent="0.2">
      <c r="A304" s="10">
        <v>1714</v>
      </c>
      <c r="B304" s="10" t="s">
        <v>74</v>
      </c>
      <c r="C304" s="9" t="s">
        <v>2390</v>
      </c>
      <c r="D304" s="10">
        <v>-1.322531806</v>
      </c>
      <c r="E304" s="10">
        <v>-2.015246404</v>
      </c>
      <c r="F304" s="10">
        <v>0.22269338699999999</v>
      </c>
      <c r="G304" s="10">
        <v>0.28302903600000001</v>
      </c>
      <c r="H304" s="9">
        <v>-0.70801394674999996</v>
      </c>
      <c r="I304" s="10">
        <v>1.14526143032629</v>
      </c>
      <c r="J304" s="10">
        <v>1.31162374379304</v>
      </c>
      <c r="K304" s="10">
        <v>-0.206248759</v>
      </c>
      <c r="L304" s="10">
        <v>-0.413727505</v>
      </c>
      <c r="M304" s="10">
        <v>0.38048958599999999</v>
      </c>
      <c r="N304" s="10">
        <v>0.80837261500000002</v>
      </c>
      <c r="O304" s="9">
        <v>0.14222148425</v>
      </c>
      <c r="P304" s="10">
        <v>0.557087607230635</v>
      </c>
      <c r="Q304" s="10">
        <v>0.31034660212995402</v>
      </c>
    </row>
    <row r="305" spans="1:17" x14ac:dyDescent="0.2">
      <c r="A305" s="10">
        <v>1714</v>
      </c>
      <c r="B305" s="10" t="s">
        <v>2818</v>
      </c>
      <c r="C305" s="9" t="s">
        <v>2389</v>
      </c>
      <c r="D305" s="10">
        <v>0.44606445500000003</v>
      </c>
      <c r="E305" s="10">
        <v>-0.35383910400000002</v>
      </c>
      <c r="F305" s="10">
        <v>0.128840233</v>
      </c>
      <c r="G305" s="10">
        <v>0.30254570600000003</v>
      </c>
      <c r="H305" s="9">
        <v>0.13090282275000001</v>
      </c>
      <c r="I305" s="10">
        <v>0.34821790287052301</v>
      </c>
      <c r="J305" s="10">
        <v>0.121255707879545</v>
      </c>
      <c r="K305" s="10">
        <v>-6.6189475999999997E-2</v>
      </c>
      <c r="L305" s="10">
        <v>0.33557513999999999</v>
      </c>
      <c r="M305" s="10">
        <v>0.28840773200000003</v>
      </c>
      <c r="N305" s="10">
        <v>0.44686482799999999</v>
      </c>
      <c r="O305" s="9">
        <v>0.25116455625</v>
      </c>
      <c r="P305" s="10">
        <v>0.22175390183513399</v>
      </c>
      <c r="Q305" s="10">
        <v>4.9174792979106298E-2</v>
      </c>
    </row>
    <row r="306" spans="1:17" x14ac:dyDescent="0.2">
      <c r="A306" s="10">
        <v>1714</v>
      </c>
      <c r="B306" s="10" t="s">
        <v>2835</v>
      </c>
      <c r="C306" s="9" t="s">
        <v>2388</v>
      </c>
      <c r="D306" s="10">
        <v>-1.2460200690000001</v>
      </c>
      <c r="E306" s="10">
        <v>-1.6864255450000001</v>
      </c>
      <c r="F306" s="10">
        <v>-2.1150487259999999</v>
      </c>
      <c r="G306" s="10">
        <v>-2.008755362</v>
      </c>
      <c r="H306" s="9">
        <v>-1.7640624257499999</v>
      </c>
      <c r="I306" s="10">
        <v>0.39049600281928298</v>
      </c>
      <c r="J306" s="10">
        <v>0.152487128217837</v>
      </c>
      <c r="K306" s="10">
        <v>-0.23251297500000001</v>
      </c>
      <c r="L306" s="10">
        <v>-0.220522357</v>
      </c>
      <c r="M306" s="10">
        <v>5.8743337E-2</v>
      </c>
      <c r="N306" s="10">
        <v>-0.81422251899999998</v>
      </c>
      <c r="O306" s="9">
        <v>-0.3021286285</v>
      </c>
      <c r="P306" s="10">
        <v>0.36695805888031302</v>
      </c>
      <c r="Q306" s="10">
        <v>0.13465821697720701</v>
      </c>
    </row>
    <row r="307" spans="1:17" x14ac:dyDescent="0.2">
      <c r="A307" s="10">
        <v>1714</v>
      </c>
      <c r="B307" s="10" t="s">
        <v>2832</v>
      </c>
      <c r="C307" s="9" t="s">
        <v>1018</v>
      </c>
      <c r="D307" s="10">
        <v>-2.0512208219999999</v>
      </c>
      <c r="E307" s="10">
        <v>-3.1420772229999998</v>
      </c>
      <c r="F307" s="10">
        <v>-2.0304078940000001</v>
      </c>
      <c r="G307" s="10">
        <v>-2.0542800080000001</v>
      </c>
      <c r="H307" s="9">
        <v>-2.3194964867499999</v>
      </c>
      <c r="I307" s="10">
        <v>0.54848971275839797</v>
      </c>
      <c r="J307" s="10">
        <v>0.30084096500178997</v>
      </c>
      <c r="K307" s="10">
        <v>-0.88346776400000004</v>
      </c>
      <c r="L307" s="10">
        <v>-0.84201823200000003</v>
      </c>
      <c r="M307" s="10">
        <v>-1.3158496550000001</v>
      </c>
      <c r="N307" s="10">
        <v>-1.2778314690000001</v>
      </c>
      <c r="O307" s="9">
        <v>-1.0797917800000001</v>
      </c>
      <c r="P307" s="10">
        <v>0.25167599419068398</v>
      </c>
      <c r="Q307" s="10">
        <v>6.3340806051869605E-2</v>
      </c>
    </row>
    <row r="308" spans="1:17" x14ac:dyDescent="0.2">
      <c r="A308" s="10">
        <v>1715</v>
      </c>
      <c r="B308" s="10" t="s">
        <v>2831</v>
      </c>
      <c r="C308" s="9" t="s">
        <v>2387</v>
      </c>
      <c r="D308" s="10">
        <v>-1.9404818189999999</v>
      </c>
      <c r="E308" s="10">
        <v>-2.332610275</v>
      </c>
      <c r="F308" s="10">
        <v>-0.91897578599999996</v>
      </c>
      <c r="G308" s="10">
        <v>-1.2304702240000001</v>
      </c>
      <c r="H308" s="9">
        <v>-1.605634526</v>
      </c>
      <c r="I308" s="10">
        <v>0.64623652222620798</v>
      </c>
      <c r="J308" s="10">
        <v>0.41762164265902402</v>
      </c>
      <c r="K308" s="10">
        <v>-0.535457289</v>
      </c>
      <c r="L308" s="10">
        <v>-0.31089767899999998</v>
      </c>
      <c r="M308" s="10">
        <v>-0.73930666599999995</v>
      </c>
      <c r="N308" s="10">
        <v>-0.33147290600000001</v>
      </c>
      <c r="O308" s="9">
        <v>-0.47928363499999999</v>
      </c>
      <c r="P308" s="10">
        <v>0.20080612361154301</v>
      </c>
      <c r="Q308" s="10">
        <v>4.0323099279894602E-2</v>
      </c>
    </row>
    <row r="309" spans="1:17" x14ac:dyDescent="0.2">
      <c r="A309" s="10">
        <v>1715</v>
      </c>
      <c r="B309" s="10" t="s">
        <v>2821</v>
      </c>
      <c r="C309" s="9" t="s">
        <v>1019</v>
      </c>
      <c r="D309" s="10">
        <v>-0.26261752300000002</v>
      </c>
      <c r="E309" s="10">
        <v>-0.65267966799999999</v>
      </c>
      <c r="F309" s="10">
        <v>-0.20394511900000001</v>
      </c>
      <c r="G309" s="10">
        <v>-0.34972057099999998</v>
      </c>
      <c r="H309" s="9">
        <v>-0.36724072000000002</v>
      </c>
      <c r="I309" s="10">
        <v>0.199494206526389</v>
      </c>
      <c r="J309" s="10">
        <v>3.9797938437593598E-2</v>
      </c>
      <c r="K309" s="10">
        <v>6.4622700000000005E-2</v>
      </c>
      <c r="L309" s="10">
        <v>8.4628893999999996E-2</v>
      </c>
      <c r="M309" s="10">
        <v>0.116785338</v>
      </c>
      <c r="N309" s="10">
        <v>-0.115625195</v>
      </c>
      <c r="O309" s="9">
        <v>3.7602934499999997E-2</v>
      </c>
      <c r="P309" s="10">
        <v>0.10438745341064</v>
      </c>
      <c r="Q309" s="10">
        <v>1.08967404295587E-2</v>
      </c>
    </row>
    <row r="310" spans="1:17" x14ac:dyDescent="0.2">
      <c r="A310" s="10">
        <v>1715</v>
      </c>
      <c r="B310" s="10" t="s">
        <v>79</v>
      </c>
      <c r="C310" s="9" t="s">
        <v>1020</v>
      </c>
      <c r="D310" s="10">
        <v>-1.675480906</v>
      </c>
      <c r="E310" s="10">
        <v>-2.2922101590000001</v>
      </c>
      <c r="F310" s="10">
        <v>-1.8260038810000001</v>
      </c>
      <c r="G310" s="10">
        <v>-1.961752742</v>
      </c>
      <c r="H310" s="9">
        <v>-1.9388619217500001</v>
      </c>
      <c r="I310" s="10">
        <v>0.26298635150822902</v>
      </c>
      <c r="J310" s="10">
        <v>6.9161821079610206E-2</v>
      </c>
      <c r="K310" s="10">
        <v>-0.76797051500000002</v>
      </c>
      <c r="L310" s="10">
        <v>-0.42469476</v>
      </c>
      <c r="M310" s="10">
        <v>-1.449883129</v>
      </c>
      <c r="N310" s="10">
        <v>-1.452545749</v>
      </c>
      <c r="O310" s="9">
        <v>-1.0237735385</v>
      </c>
      <c r="P310" s="10">
        <v>0.51307749943971304</v>
      </c>
      <c r="Q310" s="10">
        <v>0.26324852043130897</v>
      </c>
    </row>
    <row r="311" spans="1:17" x14ac:dyDescent="0.2">
      <c r="A311" s="10">
        <v>1715</v>
      </c>
      <c r="B311" s="10" t="s">
        <v>2820</v>
      </c>
      <c r="C311" s="9" t="s">
        <v>1021</v>
      </c>
      <c r="D311" s="10">
        <v>-1.696844968</v>
      </c>
      <c r="E311" s="10">
        <v>-1.7388101650000001</v>
      </c>
      <c r="F311" s="10">
        <v>-0.87532232300000001</v>
      </c>
      <c r="G311" s="10">
        <v>-1.0658879059999999</v>
      </c>
      <c r="H311" s="9">
        <v>-1.34421634025</v>
      </c>
      <c r="I311" s="10">
        <v>0.43870246271042701</v>
      </c>
      <c r="J311" s="10">
        <v>0.192459850788193</v>
      </c>
      <c r="K311" s="10">
        <v>-1.0808995969999999</v>
      </c>
      <c r="L311" s="10">
        <v>-1.359046237</v>
      </c>
      <c r="M311" s="10">
        <v>-0.68783185800000002</v>
      </c>
      <c r="N311" s="10">
        <v>-0.30712867999999999</v>
      </c>
      <c r="O311" s="9">
        <v>-0.85872659299999998</v>
      </c>
      <c r="P311" s="10">
        <v>0.45940028223592599</v>
      </c>
      <c r="Q311" s="10">
        <v>0.21104861931844801</v>
      </c>
    </row>
    <row r="312" spans="1:17" x14ac:dyDescent="0.2">
      <c r="A312" s="10">
        <v>1715</v>
      </c>
      <c r="B312" s="10" t="s">
        <v>2824</v>
      </c>
      <c r="C312" s="9" t="s">
        <v>2386</v>
      </c>
      <c r="D312" s="10">
        <v>-1.3585669279999999</v>
      </c>
      <c r="E312" s="10">
        <v>-1.099874499</v>
      </c>
      <c r="F312" s="10">
        <v>-0.49228640499999998</v>
      </c>
      <c r="G312" s="10">
        <v>0.165672392</v>
      </c>
      <c r="H312" s="9">
        <v>-0.69626385999999996</v>
      </c>
      <c r="I312" s="10">
        <v>0.67972734888244801</v>
      </c>
      <c r="J312" s="10">
        <v>0.462029268818761</v>
      </c>
      <c r="K312" s="10">
        <v>5.047284E-3</v>
      </c>
      <c r="L312" s="10">
        <v>-0.22373517900000001</v>
      </c>
      <c r="M312" s="10">
        <v>0.20622332400000001</v>
      </c>
      <c r="N312" s="10">
        <v>0.33413303700000002</v>
      </c>
      <c r="O312" s="9">
        <v>8.0417116499999997E-2</v>
      </c>
      <c r="P312" s="10">
        <v>0.24384981762667801</v>
      </c>
      <c r="Q312" s="10">
        <v>5.9462733556564201E-2</v>
      </c>
    </row>
    <row r="313" spans="1:17" x14ac:dyDescent="0.2">
      <c r="A313" s="10">
        <v>1715</v>
      </c>
      <c r="B313" s="10" t="s">
        <v>2825</v>
      </c>
      <c r="C313" s="9" t="s">
        <v>32</v>
      </c>
      <c r="D313" s="10">
        <v>-1.2808454199999999</v>
      </c>
      <c r="E313" s="10">
        <v>-1.623906171</v>
      </c>
      <c r="F313" s="10">
        <v>-1.279935117</v>
      </c>
      <c r="G313" s="10">
        <v>-1.07194134</v>
      </c>
      <c r="H313" s="9">
        <v>-1.3141570119999999</v>
      </c>
      <c r="I313" s="10">
        <v>0.22868739472810501</v>
      </c>
      <c r="J313" s="10">
        <v>5.2297924507528099E-2</v>
      </c>
      <c r="K313" s="10">
        <v>-6.7136960999999995E-2</v>
      </c>
      <c r="L313" s="10">
        <v>-4.3356200000000002E-4</v>
      </c>
      <c r="M313" s="10">
        <v>-0.26908100200000001</v>
      </c>
      <c r="N313" s="10">
        <v>-0.204773975</v>
      </c>
      <c r="O313" s="9">
        <v>-0.135356375</v>
      </c>
      <c r="P313" s="10">
        <v>0.12323302177904701</v>
      </c>
      <c r="Q313" s="10">
        <v>1.51863776567951E-2</v>
      </c>
    </row>
    <row r="314" spans="1:17" x14ac:dyDescent="0.2">
      <c r="A314" s="10">
        <v>1715</v>
      </c>
      <c r="B314" s="10" t="s">
        <v>2818</v>
      </c>
      <c r="C314" s="9" t="s">
        <v>2633</v>
      </c>
      <c r="D314" s="10">
        <v>-0.16291470899999999</v>
      </c>
      <c r="E314" s="10">
        <v>-0.48158667399999999</v>
      </c>
      <c r="F314" s="10">
        <v>-2.215034825</v>
      </c>
      <c r="G314" s="10">
        <v>-3.6693883519999999</v>
      </c>
      <c r="H314" s="9">
        <v>-1.63223114</v>
      </c>
      <c r="I314" s="10">
        <v>1.63018844546637</v>
      </c>
      <c r="J314" s="10">
        <v>2.6575143677320598</v>
      </c>
      <c r="K314" s="10">
        <v>-0.481566037</v>
      </c>
      <c r="L314" s="10">
        <v>-0.63923947199999998</v>
      </c>
      <c r="M314" s="10">
        <v>-0.23092116700000001</v>
      </c>
      <c r="N314" s="10">
        <v>-0.48253890599999999</v>
      </c>
      <c r="O314" s="9">
        <v>-0.45856639575000002</v>
      </c>
      <c r="P314" s="10">
        <v>0.16888731489723399</v>
      </c>
      <c r="Q314" s="10">
        <v>2.85229251331977E-2</v>
      </c>
    </row>
    <row r="315" spans="1:17" x14ac:dyDescent="0.2">
      <c r="A315" s="10">
        <v>1715</v>
      </c>
      <c r="B315" s="10" t="s">
        <v>2830</v>
      </c>
      <c r="C315" s="9" t="s">
        <v>1023</v>
      </c>
      <c r="D315" s="10">
        <v>-1.9586362719999999</v>
      </c>
      <c r="E315" s="10">
        <v>-1.600695107</v>
      </c>
      <c r="F315" s="10">
        <v>-1.3899015690000001</v>
      </c>
      <c r="G315" s="10">
        <v>-1.3911973040000001</v>
      </c>
      <c r="H315" s="9">
        <v>-1.58510756325</v>
      </c>
      <c r="I315" s="10">
        <v>0.268000769037536</v>
      </c>
      <c r="J315" s="10">
        <v>7.1824412204711197E-2</v>
      </c>
      <c r="K315" s="10">
        <v>-0.75604276800000003</v>
      </c>
      <c r="L315" s="10">
        <v>6.7864445999999995E-2</v>
      </c>
      <c r="M315" s="10">
        <v>-0.95707510699999998</v>
      </c>
      <c r="N315" s="10">
        <v>-1.022946847</v>
      </c>
      <c r="O315" s="9">
        <v>-0.66705006899999997</v>
      </c>
      <c r="P315" s="10">
        <v>0.50292348128738595</v>
      </c>
      <c r="Q315" s="10">
        <v>0.25293202803022402</v>
      </c>
    </row>
    <row r="316" spans="1:17" x14ac:dyDescent="0.2">
      <c r="A316" s="10">
        <v>1715</v>
      </c>
      <c r="B316" s="10" t="s">
        <v>2832</v>
      </c>
      <c r="C316" s="9" t="s">
        <v>2384</v>
      </c>
      <c r="D316" s="10">
        <v>-0.85287173800000005</v>
      </c>
      <c r="E316" s="10">
        <v>-1.0287380589999999</v>
      </c>
      <c r="F316" s="10">
        <v>-0.274040589</v>
      </c>
      <c r="G316" s="10">
        <v>-0.11542938599999999</v>
      </c>
      <c r="H316" s="9">
        <v>-0.56776994275000003</v>
      </c>
      <c r="I316" s="10">
        <v>0.44146104033052902</v>
      </c>
      <c r="J316" s="10">
        <v>0.19488785012971299</v>
      </c>
      <c r="K316" s="10">
        <v>0.13917801199999999</v>
      </c>
      <c r="L316" s="10">
        <v>0.56301989399999997</v>
      </c>
      <c r="M316" s="10">
        <v>0.59862350900000005</v>
      </c>
      <c r="N316" s="10">
        <v>0.57028699100000002</v>
      </c>
      <c r="O316" s="9">
        <v>0.46777710174999998</v>
      </c>
      <c r="P316" s="10">
        <v>0.21960389412484199</v>
      </c>
      <c r="Q316" s="10">
        <v>4.8225870314795097E-2</v>
      </c>
    </row>
    <row r="317" spans="1:17" x14ac:dyDescent="0.2">
      <c r="A317" s="10">
        <v>1716</v>
      </c>
      <c r="B317" s="10" t="s">
        <v>2831</v>
      </c>
      <c r="C317" s="9" t="s">
        <v>2383</v>
      </c>
      <c r="D317" s="10">
        <v>-2.6044692249999999</v>
      </c>
      <c r="E317" s="10">
        <v>-1.6167214649999999</v>
      </c>
      <c r="F317" s="10">
        <v>-2.0386736860000001</v>
      </c>
      <c r="G317" s="10">
        <v>-1.8904482929999999</v>
      </c>
      <c r="H317" s="9">
        <v>-2.03757816725</v>
      </c>
      <c r="I317" s="10">
        <v>0.41638693353010398</v>
      </c>
      <c r="J317" s="10">
        <v>0.17337807841460301</v>
      </c>
      <c r="K317" s="10">
        <v>-1.608247298</v>
      </c>
      <c r="L317" s="10">
        <v>-0.36161162400000002</v>
      </c>
      <c r="M317" s="10">
        <v>-1.166551117</v>
      </c>
      <c r="N317" s="10">
        <v>-0.62488207900000003</v>
      </c>
      <c r="O317" s="9">
        <v>-0.94032302975000004</v>
      </c>
      <c r="P317" s="10">
        <v>0.55728863261727501</v>
      </c>
      <c r="Q317" s="10">
        <v>0.31057062004443198</v>
      </c>
    </row>
    <row r="318" spans="1:17" x14ac:dyDescent="0.2">
      <c r="A318" s="10">
        <v>1716</v>
      </c>
      <c r="B318" s="10" t="s">
        <v>2824</v>
      </c>
      <c r="C318" s="9" t="s">
        <v>1026</v>
      </c>
      <c r="D318" s="10">
        <v>-0.137570102</v>
      </c>
      <c r="E318" s="10">
        <v>-0.180703742</v>
      </c>
      <c r="F318" s="10">
        <v>-0.19750389099999999</v>
      </c>
      <c r="G318" s="10">
        <v>-0.407187566</v>
      </c>
      <c r="H318" s="9">
        <v>-0.23074132550000001</v>
      </c>
      <c r="I318" s="10">
        <v>0.120308824128756</v>
      </c>
      <c r="J318" s="10">
        <v>1.4474213163244E-2</v>
      </c>
      <c r="K318" s="10">
        <v>-0.260750431</v>
      </c>
      <c r="L318" s="10">
        <v>-0.544918138</v>
      </c>
      <c r="M318" s="10">
        <v>-0.20360381299999999</v>
      </c>
      <c r="N318" s="10">
        <v>0.14647287000000001</v>
      </c>
      <c r="O318" s="9">
        <v>-0.21569987800000001</v>
      </c>
      <c r="P318" s="10">
        <v>0.28386007657846002</v>
      </c>
      <c r="Q318" s="10">
        <v>8.0576543075129695E-2</v>
      </c>
    </row>
    <row r="319" spans="1:17" x14ac:dyDescent="0.2">
      <c r="A319" s="10">
        <v>1716</v>
      </c>
      <c r="B319" s="10" t="s">
        <v>2814</v>
      </c>
      <c r="C319" s="9" t="s">
        <v>2381</v>
      </c>
      <c r="D319" s="10">
        <v>-1.4018122930000001</v>
      </c>
      <c r="E319" s="10">
        <v>-1.942512332</v>
      </c>
      <c r="F319" s="10">
        <v>-0.97544050900000001</v>
      </c>
      <c r="G319" s="10">
        <v>-1.3184012919999999</v>
      </c>
      <c r="H319" s="9">
        <v>-1.4095416062499999</v>
      </c>
      <c r="I319" s="10">
        <v>0.40036144349201902</v>
      </c>
      <c r="J319" s="10">
        <v>0.160289285435013</v>
      </c>
      <c r="K319" s="10">
        <v>-0.224594822</v>
      </c>
      <c r="L319" s="10">
        <v>-0.20851609400000001</v>
      </c>
      <c r="M319" s="10">
        <v>-0.285390376</v>
      </c>
      <c r="N319" s="10">
        <v>5.4568731000000002E-2</v>
      </c>
      <c r="O319" s="9">
        <v>-0.16598314024999999</v>
      </c>
      <c r="P319" s="10">
        <v>0.15071562322643201</v>
      </c>
      <c r="Q319" s="10">
        <v>2.27151990845318E-2</v>
      </c>
    </row>
    <row r="320" spans="1:17" x14ac:dyDescent="0.2">
      <c r="A320" s="10">
        <v>1716</v>
      </c>
      <c r="B320" s="10" t="s">
        <v>2825</v>
      </c>
      <c r="C320" s="9" t="s">
        <v>2380</v>
      </c>
      <c r="D320" s="10">
        <v>-1.5021910060000001</v>
      </c>
      <c r="E320" s="10">
        <v>-0.77898364600000003</v>
      </c>
      <c r="F320" s="10">
        <v>-0.28784354600000001</v>
      </c>
      <c r="G320" s="10">
        <v>-0.80001132200000002</v>
      </c>
      <c r="H320" s="9">
        <v>-0.84225738000000006</v>
      </c>
      <c r="I320" s="10">
        <v>0.49955826650049101</v>
      </c>
      <c r="J320" s="10">
        <v>0.24955846162897599</v>
      </c>
      <c r="K320" s="10">
        <v>0.16300615299999999</v>
      </c>
      <c r="L320" s="10">
        <v>0.22988560699999999</v>
      </c>
      <c r="M320" s="10">
        <v>0.297962169</v>
      </c>
      <c r="N320" s="10">
        <v>0.88172715800000001</v>
      </c>
      <c r="O320" s="9">
        <v>0.39314527175000002</v>
      </c>
      <c r="P320" s="10">
        <v>0.33034820756994798</v>
      </c>
      <c r="Q320" s="10">
        <v>0.109129938244678</v>
      </c>
    </row>
    <row r="321" spans="1:17" x14ac:dyDescent="0.2">
      <c r="A321" s="10">
        <v>1716</v>
      </c>
      <c r="B321" s="10" t="s">
        <v>2830</v>
      </c>
      <c r="C321" s="9" t="s">
        <v>2379</v>
      </c>
      <c r="D321" s="10">
        <v>0.14836334900000001</v>
      </c>
      <c r="E321" s="10">
        <v>-0.49488572400000003</v>
      </c>
      <c r="F321" s="10">
        <v>7.8024646000000003E-2</v>
      </c>
      <c r="G321" s="10">
        <v>0.31034027600000003</v>
      </c>
      <c r="H321" s="9">
        <v>1.04606365E-2</v>
      </c>
      <c r="I321" s="10">
        <v>0.35065880651131498</v>
      </c>
      <c r="J321" s="10">
        <v>0.122961598583939</v>
      </c>
      <c r="K321" s="10">
        <v>-0.47409621400000002</v>
      </c>
      <c r="L321" s="10">
        <v>0.21381846400000001</v>
      </c>
      <c r="M321" s="10">
        <v>0.100879074</v>
      </c>
      <c r="N321" s="10">
        <v>0.28814604599999999</v>
      </c>
      <c r="O321" s="9">
        <v>3.21868425E-2</v>
      </c>
      <c r="P321" s="10">
        <v>0.34619181376442398</v>
      </c>
      <c r="Q321" s="10">
        <v>0.119848771917501</v>
      </c>
    </row>
    <row r="322" spans="1:17" x14ac:dyDescent="0.2">
      <c r="A322" s="10">
        <v>1717</v>
      </c>
      <c r="B322" s="10" t="s">
        <v>2821</v>
      </c>
      <c r="C322" s="9" t="s">
        <v>2632</v>
      </c>
      <c r="D322" s="10">
        <v>0.36009598700000001</v>
      </c>
      <c r="E322" s="10">
        <v>-0.49331893399999999</v>
      </c>
      <c r="F322" s="10">
        <v>-1.1760781279999999</v>
      </c>
      <c r="G322" s="10">
        <v>-0.52780181999999998</v>
      </c>
      <c r="H322" s="9">
        <v>-0.459275724</v>
      </c>
      <c r="I322" s="10">
        <v>0.63008741540290802</v>
      </c>
      <c r="J322" s="10">
        <v>0.39701015104911702</v>
      </c>
      <c r="K322" s="10">
        <v>-0.240814847</v>
      </c>
      <c r="L322" s="10">
        <v>-1.2237709349999999</v>
      </c>
      <c r="M322" s="10">
        <v>8.4362242000000004E-2</v>
      </c>
      <c r="N322" s="10">
        <v>-0.87348519800000002</v>
      </c>
      <c r="O322" s="9">
        <v>-0.56342718449999996</v>
      </c>
      <c r="P322" s="10">
        <v>0.59326770291113995</v>
      </c>
      <c r="Q322" s="10">
        <v>0.35196656731746101</v>
      </c>
    </row>
    <row r="323" spans="1:17" x14ac:dyDescent="0.2">
      <c r="A323" s="10">
        <v>1717</v>
      </c>
      <c r="B323" s="10" t="s">
        <v>2820</v>
      </c>
      <c r="C323" s="9" t="s">
        <v>2378</v>
      </c>
      <c r="D323" s="10">
        <v>1.3234190999999999E-2</v>
      </c>
      <c r="E323" s="10">
        <v>-5.9089702000000001E-2</v>
      </c>
      <c r="F323" s="10">
        <v>-0.72372653300000001</v>
      </c>
      <c r="G323" s="10">
        <v>-0.53423464399999998</v>
      </c>
      <c r="H323" s="9">
        <v>-0.32595417199999999</v>
      </c>
      <c r="I323" s="10">
        <v>0.35956872182057997</v>
      </c>
      <c r="J323" s="10">
        <v>0.12928966571168499</v>
      </c>
      <c r="K323" s="10">
        <v>-0.16303891200000001</v>
      </c>
      <c r="L323" s="10">
        <v>-1.9872442000000001E-2</v>
      </c>
      <c r="M323" s="10">
        <v>-0.50179384999999999</v>
      </c>
      <c r="N323" s="10">
        <v>-0.11584947700000001</v>
      </c>
      <c r="O323" s="9">
        <v>-0.20013867025000001</v>
      </c>
      <c r="P323" s="10">
        <v>0.20974017313367299</v>
      </c>
      <c r="Q323" s="10">
        <v>4.3990940226143298E-2</v>
      </c>
    </row>
    <row r="324" spans="1:17" x14ac:dyDescent="0.2">
      <c r="A324" s="10">
        <v>1717</v>
      </c>
      <c r="B324" s="10" t="s">
        <v>2824</v>
      </c>
      <c r="C324" s="9" t="s">
        <v>1030</v>
      </c>
      <c r="D324" s="10">
        <v>-0.49711659800000002</v>
      </c>
      <c r="E324" s="10">
        <v>0.15379114299999999</v>
      </c>
      <c r="F324" s="10">
        <v>1.1935992790000001</v>
      </c>
      <c r="G324" s="10">
        <v>1.274197375</v>
      </c>
      <c r="H324" s="9">
        <v>0.53111779974999995</v>
      </c>
      <c r="I324" s="10">
        <v>0.85453502914614798</v>
      </c>
      <c r="J324" s="10">
        <v>0.73023011603780796</v>
      </c>
      <c r="K324" s="10">
        <v>0.47924546000000001</v>
      </c>
      <c r="L324" s="10">
        <v>0.16110412900000001</v>
      </c>
      <c r="M324" s="10">
        <v>0.87635850500000001</v>
      </c>
      <c r="N324" s="10">
        <v>1.1737070869999999</v>
      </c>
      <c r="O324" s="9">
        <v>0.672603795</v>
      </c>
      <c r="P324" s="10">
        <v>0.44408702042599102</v>
      </c>
      <c r="Q324" s="10">
        <v>0.19721328171083499</v>
      </c>
    </row>
    <row r="325" spans="1:17" x14ac:dyDescent="0.2">
      <c r="A325" s="10">
        <v>1717</v>
      </c>
      <c r="B325" s="10" t="s">
        <v>2814</v>
      </c>
      <c r="C325" s="9" t="s">
        <v>2631</v>
      </c>
      <c r="D325" s="10">
        <v>-0.55893510999999996</v>
      </c>
      <c r="E325" s="10">
        <v>-0.67022674699999996</v>
      </c>
      <c r="F325" s="10">
        <v>-1.913818808</v>
      </c>
      <c r="G325" s="10">
        <v>-9.4176659999999999E-3</v>
      </c>
      <c r="H325" s="9">
        <v>-0.78809958300000005</v>
      </c>
      <c r="I325" s="10">
        <v>0.80415580218210703</v>
      </c>
      <c r="J325" s="10">
        <v>0.646666554183148</v>
      </c>
      <c r="K325" s="10">
        <v>-0.256166648</v>
      </c>
      <c r="L325" s="10">
        <v>-0.83705528699999998</v>
      </c>
      <c r="M325" s="10">
        <v>-1.6624728529999999</v>
      </c>
      <c r="N325" s="10">
        <v>5.3961439999999999E-2</v>
      </c>
      <c r="O325" s="9">
        <v>-0.67543333724999999</v>
      </c>
      <c r="P325" s="10">
        <v>0.75457934375986802</v>
      </c>
      <c r="Q325" s="10">
        <v>0.56938998602907298</v>
      </c>
    </row>
    <row r="326" spans="1:17" x14ac:dyDescent="0.2">
      <c r="A326" s="10">
        <v>1717</v>
      </c>
      <c r="B326" s="10" t="s">
        <v>2835</v>
      </c>
      <c r="C326" s="9" t="s">
        <v>2376</v>
      </c>
      <c r="D326" s="10">
        <v>-0.16902441600000001</v>
      </c>
      <c r="E326" s="10">
        <v>-9.9886371000000002E-2</v>
      </c>
      <c r="F326" s="10">
        <v>-0.334775616</v>
      </c>
      <c r="G326" s="10">
        <v>-0.52495821899999995</v>
      </c>
      <c r="H326" s="9">
        <v>-0.28216115549999998</v>
      </c>
      <c r="I326" s="10">
        <v>0.18951052247579001</v>
      </c>
      <c r="J326" s="10">
        <v>3.5914238129047101E-2</v>
      </c>
      <c r="K326" s="10">
        <v>-0.51936279699999999</v>
      </c>
      <c r="L326" s="10">
        <v>-0.405963452</v>
      </c>
      <c r="M326" s="10">
        <v>0.25200666500000002</v>
      </c>
      <c r="N326" s="10">
        <v>-0.98072233200000003</v>
      </c>
      <c r="O326" s="9">
        <v>-0.41351047899999999</v>
      </c>
      <c r="P326" s="10">
        <v>0.50856137813251201</v>
      </c>
      <c r="Q326" s="10">
        <v>0.25863467532804002</v>
      </c>
    </row>
    <row r="327" spans="1:17" x14ac:dyDescent="0.2">
      <c r="A327" s="10">
        <v>1717</v>
      </c>
      <c r="B327" s="10" t="s">
        <v>2832</v>
      </c>
      <c r="C327" s="9" t="s">
        <v>1032</v>
      </c>
      <c r="D327" s="10">
        <v>0.26994200899999998</v>
      </c>
      <c r="E327" s="10">
        <v>9.7483395E-2</v>
      </c>
      <c r="F327" s="10">
        <v>-0.122644244</v>
      </c>
      <c r="G327" s="10">
        <v>-4.2504442000000003E-2</v>
      </c>
      <c r="H327" s="9">
        <v>5.0569179249999999E-2</v>
      </c>
      <c r="I327" s="10">
        <v>0.172231405419697</v>
      </c>
      <c r="J327" s="10">
        <v>2.9663657012844E-2</v>
      </c>
      <c r="K327" s="10">
        <v>-9.3350218999999998E-2</v>
      </c>
      <c r="L327" s="10">
        <v>-0.14647674799999999</v>
      </c>
      <c r="M327" s="10">
        <v>-0.45407034699999999</v>
      </c>
      <c r="N327" s="10">
        <v>-0.19859469699999999</v>
      </c>
      <c r="O327" s="9">
        <v>-0.22312300299999999</v>
      </c>
      <c r="P327" s="10">
        <v>0.159847779015453</v>
      </c>
      <c r="Q327" s="10">
        <v>2.55513124561732E-2</v>
      </c>
    </row>
    <row r="328" spans="1:17" x14ac:dyDescent="0.2">
      <c r="A328" s="10">
        <v>1718</v>
      </c>
      <c r="B328" s="10" t="s">
        <v>2824</v>
      </c>
      <c r="C328" s="9" t="s">
        <v>1034</v>
      </c>
      <c r="D328" s="10">
        <v>-0.37009521099999998</v>
      </c>
      <c r="E328" s="10">
        <v>-0.64966516799999996</v>
      </c>
      <c r="F328" s="10">
        <v>-0.56560584899999999</v>
      </c>
      <c r="G328" s="10">
        <v>-0.73646719800000005</v>
      </c>
      <c r="H328" s="9">
        <v>-0.58045835649999999</v>
      </c>
      <c r="I328" s="10">
        <v>0.15663289495703001</v>
      </c>
      <c r="J328" s="10">
        <v>2.45338637826201E-2</v>
      </c>
      <c r="K328" s="10">
        <v>7.8848000000000001E-2</v>
      </c>
      <c r="L328" s="10">
        <v>0.12410788</v>
      </c>
      <c r="M328" s="10">
        <v>3.6013752000000003E-2</v>
      </c>
      <c r="N328" s="10">
        <v>0.113210465</v>
      </c>
      <c r="O328" s="9">
        <v>8.8045024250000006E-2</v>
      </c>
      <c r="P328" s="10">
        <v>3.9689072887449203E-2</v>
      </c>
      <c r="Q328" s="10">
        <v>1.5752225066652001E-3</v>
      </c>
    </row>
    <row r="329" spans="1:17" x14ac:dyDescent="0.2">
      <c r="A329" s="10">
        <v>1718</v>
      </c>
      <c r="B329" s="10" t="s">
        <v>82</v>
      </c>
      <c r="C329" s="9" t="s">
        <v>2630</v>
      </c>
      <c r="D329" s="10">
        <v>-1.9058920850000001</v>
      </c>
      <c r="E329" s="10">
        <v>-1.119607486</v>
      </c>
      <c r="F329" s="10">
        <v>-1.1659033729999999</v>
      </c>
      <c r="G329" s="10">
        <v>-2.0670267440000001</v>
      </c>
      <c r="H329" s="9">
        <v>-1.5646074219999999</v>
      </c>
      <c r="I329" s="10">
        <v>0.49189777327101902</v>
      </c>
      <c r="J329" s="10">
        <v>0.24196341934898699</v>
      </c>
      <c r="K329" s="10">
        <v>0.16382396799999999</v>
      </c>
      <c r="L329" s="10">
        <v>-0.22150271899999999</v>
      </c>
      <c r="M329" s="10">
        <v>-0.103426325</v>
      </c>
      <c r="N329" s="10">
        <v>-3.4574016999999999E-2</v>
      </c>
      <c r="O329" s="9">
        <v>-4.891977325E-2</v>
      </c>
      <c r="P329" s="10">
        <v>0.161473978823064</v>
      </c>
      <c r="Q329" s="10">
        <v>2.6073845836951399E-2</v>
      </c>
    </row>
    <row r="330" spans="1:17" x14ac:dyDescent="0.2">
      <c r="A330" s="10">
        <v>1718</v>
      </c>
      <c r="B330" s="10" t="s">
        <v>2814</v>
      </c>
      <c r="C330" s="9" t="s">
        <v>2375</v>
      </c>
      <c r="D330" s="10">
        <v>-1.3828330559999999</v>
      </c>
      <c r="E330" s="10">
        <v>-1.1770618939999999</v>
      </c>
      <c r="F330" s="10">
        <v>-0.51322097300000002</v>
      </c>
      <c r="G330" s="10">
        <v>-0.72259999900000005</v>
      </c>
      <c r="H330" s="9">
        <v>-0.94892898074999998</v>
      </c>
      <c r="I330" s="10">
        <v>0.40057610538820798</v>
      </c>
      <c r="J330" s="10">
        <v>0.16046121620798501</v>
      </c>
      <c r="K330" s="10">
        <v>0.18134286899999999</v>
      </c>
      <c r="L330" s="10">
        <v>0.17950576400000001</v>
      </c>
      <c r="M330" s="10">
        <v>0.31981093799999999</v>
      </c>
      <c r="N330" s="10">
        <v>0.104027011</v>
      </c>
      <c r="O330" s="9">
        <v>0.19617164549999999</v>
      </c>
      <c r="P330" s="10">
        <v>8.9953603847943195E-2</v>
      </c>
      <c r="Q330" s="10">
        <v>8.0916508452327004E-3</v>
      </c>
    </row>
    <row r="331" spans="1:17" x14ac:dyDescent="0.2">
      <c r="A331" s="10">
        <v>1718</v>
      </c>
      <c r="B331" s="10" t="s">
        <v>2818</v>
      </c>
      <c r="C331" s="9" t="s">
        <v>1035</v>
      </c>
      <c r="D331" s="10">
        <v>-1.3815761689999999</v>
      </c>
      <c r="E331" s="10">
        <v>-2.4481156780000002</v>
      </c>
      <c r="F331" s="10">
        <v>-2.7261879489999998</v>
      </c>
      <c r="G331" s="10">
        <v>-0.90543573899999996</v>
      </c>
      <c r="H331" s="9">
        <v>-1.8653288837499999</v>
      </c>
      <c r="I331" s="10">
        <v>0.86335205568013296</v>
      </c>
      <c r="J331" s="10">
        <v>0.74537677204711095</v>
      </c>
      <c r="K331" s="10">
        <v>0.25784193599999999</v>
      </c>
      <c r="L331" s="10">
        <v>0.15486641900000001</v>
      </c>
      <c r="M331" s="10">
        <v>-0.15087672799999999</v>
      </c>
      <c r="N331" s="10">
        <v>-1.090460459</v>
      </c>
      <c r="O331" s="9">
        <v>-0.20715720800000001</v>
      </c>
      <c r="P331" s="10">
        <v>0.61391569347459196</v>
      </c>
      <c r="Q331" s="10">
        <v>0.37689247869438902</v>
      </c>
    </row>
    <row r="332" spans="1:17" x14ac:dyDescent="0.2">
      <c r="A332" s="10">
        <v>1719</v>
      </c>
      <c r="B332" s="10" t="s">
        <v>2822</v>
      </c>
      <c r="C332" s="9" t="s">
        <v>1036</v>
      </c>
      <c r="D332" s="10">
        <v>-0.33426947000000001</v>
      </c>
      <c r="E332" s="10">
        <v>-0.194157462</v>
      </c>
      <c r="F332" s="10">
        <v>0.290750858</v>
      </c>
      <c r="G332" s="10">
        <v>0.32343250099999998</v>
      </c>
      <c r="H332" s="9">
        <v>2.1439106499999999E-2</v>
      </c>
      <c r="I332" s="10">
        <v>0.33503198929965899</v>
      </c>
      <c r="J332" s="10">
        <v>0.112246433854087</v>
      </c>
      <c r="K332" s="10">
        <v>3.1294514000000002E-2</v>
      </c>
      <c r="L332" s="10">
        <v>-5.6322035999999999E-2</v>
      </c>
      <c r="M332" s="10">
        <v>0.51915161899999995</v>
      </c>
      <c r="N332" s="10">
        <v>0.36469419800000002</v>
      </c>
      <c r="O332" s="9">
        <v>0.21470457374999999</v>
      </c>
      <c r="P332" s="10">
        <v>0.27220063920705501</v>
      </c>
      <c r="Q332" s="10">
        <v>7.4093187984729594E-2</v>
      </c>
    </row>
    <row r="333" spans="1:17" x14ac:dyDescent="0.2">
      <c r="A333" s="10">
        <v>1719</v>
      </c>
      <c r="B333" s="10" t="s">
        <v>2834</v>
      </c>
      <c r="C333" s="9" t="s">
        <v>2374</v>
      </c>
      <c r="D333" s="10">
        <v>-1.2386371469999999</v>
      </c>
      <c r="E333" s="10">
        <v>-1.9633989009999999</v>
      </c>
      <c r="F333" s="10">
        <v>-1.1752092999999999</v>
      </c>
      <c r="G333" s="10">
        <v>-1.3032457639999999</v>
      </c>
      <c r="H333" s="9">
        <v>-1.4201227780000001</v>
      </c>
      <c r="I333" s="10">
        <v>0.36593661937052702</v>
      </c>
      <c r="J333" s="10">
        <v>0.13390960939633001</v>
      </c>
      <c r="K333" s="10">
        <v>-0.31678118799999999</v>
      </c>
      <c r="L333" s="10">
        <v>-0.31410608000000001</v>
      </c>
      <c r="M333" s="10">
        <v>-0.397263859</v>
      </c>
      <c r="N333" s="10">
        <v>-0.52671805800000004</v>
      </c>
      <c r="O333" s="9">
        <v>-0.38871729599999999</v>
      </c>
      <c r="P333" s="10">
        <v>9.9764541528006401E-2</v>
      </c>
      <c r="Q333" s="10">
        <v>9.9529637462933002E-3</v>
      </c>
    </row>
    <row r="334" spans="1:17" x14ac:dyDescent="0.2">
      <c r="A334" s="10">
        <v>1719</v>
      </c>
      <c r="B334" s="10" t="s">
        <v>2824</v>
      </c>
      <c r="C334" s="9" t="s">
        <v>1037</v>
      </c>
      <c r="D334" s="10">
        <v>8.1105205E-2</v>
      </c>
      <c r="E334" s="10">
        <v>3.8309575999999998E-2</v>
      </c>
      <c r="F334" s="10">
        <v>0.168182516</v>
      </c>
      <c r="G334" s="10">
        <v>0.16787268799999999</v>
      </c>
      <c r="H334" s="9">
        <v>0.1138674965</v>
      </c>
      <c r="I334" s="10">
        <v>6.4933425257084995E-2</v>
      </c>
      <c r="J334" s="10">
        <v>4.2163497156173999E-3</v>
      </c>
      <c r="K334" s="10">
        <v>0.26407833600000002</v>
      </c>
      <c r="L334" s="10">
        <v>0.107169273</v>
      </c>
      <c r="M334" s="10">
        <v>0.163907678</v>
      </c>
      <c r="N334" s="10">
        <v>0.650959132</v>
      </c>
      <c r="O334" s="9">
        <v>0.29652860474999998</v>
      </c>
      <c r="P334" s="10">
        <v>0.24503012421706799</v>
      </c>
      <c r="Q334" s="10">
        <v>6.0039761773831801E-2</v>
      </c>
    </row>
    <row r="335" spans="1:17" x14ac:dyDescent="0.2">
      <c r="A335" s="10">
        <v>1719</v>
      </c>
      <c r="B335" s="10" t="s">
        <v>82</v>
      </c>
      <c r="C335" s="9" t="s">
        <v>2373</v>
      </c>
      <c r="D335" s="10">
        <v>-1.793319879</v>
      </c>
      <c r="E335" s="10">
        <v>-1.5519275610000001</v>
      </c>
      <c r="F335" s="10">
        <v>-0.75681104499999996</v>
      </c>
      <c r="G335" s="10">
        <v>-1.1830654249999999</v>
      </c>
      <c r="H335" s="9">
        <v>-1.3212809775000001</v>
      </c>
      <c r="I335" s="10">
        <v>0.45230830733729399</v>
      </c>
      <c r="J335" s="10">
        <v>0.20458280488632799</v>
      </c>
      <c r="K335" s="10">
        <v>-0.71198585199999997</v>
      </c>
      <c r="L335" s="10">
        <v>-0.95417168100000005</v>
      </c>
      <c r="M335" s="10">
        <v>-0.17403523300000001</v>
      </c>
      <c r="N335" s="10">
        <v>-0.98549431300000001</v>
      </c>
      <c r="O335" s="9">
        <v>-0.70642176950000002</v>
      </c>
      <c r="P335" s="10">
        <v>0.37537886925271902</v>
      </c>
      <c r="Q335" s="10">
        <v>0.14090929548144901</v>
      </c>
    </row>
    <row r="336" spans="1:17" x14ac:dyDescent="0.2">
      <c r="A336" s="10">
        <v>1719</v>
      </c>
      <c r="B336" s="10" t="s">
        <v>2818</v>
      </c>
      <c r="C336" s="9" t="s">
        <v>1038</v>
      </c>
      <c r="D336" s="10">
        <v>-0.235637026</v>
      </c>
      <c r="E336" s="10">
        <v>-0.356864083</v>
      </c>
      <c r="F336" s="10">
        <v>-7.9858078999999998E-2</v>
      </c>
      <c r="G336" s="10">
        <v>0.22640823299999999</v>
      </c>
      <c r="H336" s="9">
        <v>-0.1114877385</v>
      </c>
      <c r="I336" s="10">
        <v>0.25218823587613698</v>
      </c>
      <c r="J336" s="10">
        <v>6.3598906314318304E-2</v>
      </c>
      <c r="K336" s="10">
        <v>-2.5164270999999998E-2</v>
      </c>
      <c r="L336" s="10">
        <v>0.19865568</v>
      </c>
      <c r="M336" s="10">
        <v>-0.17509335100000001</v>
      </c>
      <c r="N336" s="10">
        <v>-0.146574021</v>
      </c>
      <c r="O336" s="9">
        <v>-3.7043990499999999E-2</v>
      </c>
      <c r="P336" s="10">
        <v>0.170048930139726</v>
      </c>
      <c r="Q336" s="10">
        <v>2.8916638641665701E-2</v>
      </c>
    </row>
    <row r="337" spans="1:17" x14ac:dyDescent="0.2">
      <c r="A337" s="10">
        <v>1720</v>
      </c>
      <c r="B337" s="10" t="s">
        <v>2825</v>
      </c>
      <c r="C337" s="9" t="s">
        <v>1039</v>
      </c>
      <c r="D337" s="10">
        <v>6.2281098999999999E-2</v>
      </c>
      <c r="E337" s="10">
        <v>-9.9099885999999998E-2</v>
      </c>
      <c r="F337" s="10">
        <v>-0.59221182900000002</v>
      </c>
      <c r="G337" s="10">
        <v>-0.10964172</v>
      </c>
      <c r="H337" s="9">
        <v>-0.18466808425</v>
      </c>
      <c r="I337" s="10">
        <v>0.28285843035991198</v>
      </c>
      <c r="J337" s="10">
        <v>8.0008891625673401E-2</v>
      </c>
      <c r="K337" s="10">
        <v>0.16495695299999999</v>
      </c>
      <c r="L337" s="10">
        <v>0.15943379499999999</v>
      </c>
      <c r="M337" s="10">
        <v>-0.59479428300000003</v>
      </c>
      <c r="N337" s="10">
        <v>0.19222977899999999</v>
      </c>
      <c r="O337" s="9">
        <v>-1.9543439249999999E-2</v>
      </c>
      <c r="P337" s="10">
        <v>0.38376845203118298</v>
      </c>
      <c r="Q337" s="10">
        <v>0.14727822477440999</v>
      </c>
    </row>
    <row r="338" spans="1:17" x14ac:dyDescent="0.2">
      <c r="A338" s="10">
        <v>1721</v>
      </c>
      <c r="B338" s="10" t="s">
        <v>96</v>
      </c>
      <c r="C338" s="9" t="s">
        <v>2372</v>
      </c>
      <c r="D338" s="10">
        <v>0.33464568900000002</v>
      </c>
      <c r="E338" s="10">
        <v>0.23857498899999999</v>
      </c>
      <c r="F338" s="10">
        <v>0.10052710500000001</v>
      </c>
      <c r="G338" s="10">
        <v>-0.840237079</v>
      </c>
      <c r="H338" s="9">
        <v>-4.1622324000000002E-2</v>
      </c>
      <c r="I338" s="10">
        <v>0.54101144131097101</v>
      </c>
      <c r="J338" s="10">
        <v>0.29269337962937397</v>
      </c>
      <c r="K338" s="10">
        <v>0.46180995800000002</v>
      </c>
      <c r="L338" s="10">
        <v>0.59870261800000002</v>
      </c>
      <c r="M338" s="10">
        <v>-0.420536254</v>
      </c>
      <c r="N338" s="10">
        <v>-0.38784540499999998</v>
      </c>
      <c r="O338" s="9">
        <v>6.3032729499999995E-2</v>
      </c>
      <c r="P338" s="10">
        <v>0.542554317216002</v>
      </c>
      <c r="Q338" s="10">
        <v>0.29436518712972198</v>
      </c>
    </row>
    <row r="339" spans="1:17" x14ac:dyDescent="0.2">
      <c r="A339" s="10">
        <v>1721</v>
      </c>
      <c r="B339" s="10" t="s">
        <v>2821</v>
      </c>
      <c r="C339" s="9" t="s">
        <v>2370</v>
      </c>
      <c r="D339" s="10">
        <v>-0.92321563500000003</v>
      </c>
      <c r="E339" s="10">
        <v>-1.0709427250000001</v>
      </c>
      <c r="F339" s="10">
        <v>-1.1247400270000001</v>
      </c>
      <c r="G339" s="10">
        <v>-1.261848756</v>
      </c>
      <c r="H339" s="9">
        <v>-1.0951867857499999</v>
      </c>
      <c r="I339" s="10">
        <v>0.140013639297416</v>
      </c>
      <c r="J339" s="10">
        <v>1.9603819189307099E-2</v>
      </c>
      <c r="K339" s="10">
        <v>-0.33096053399999997</v>
      </c>
      <c r="L339" s="10">
        <v>-0.60507751099999996</v>
      </c>
      <c r="M339" s="10">
        <v>-1.215226041</v>
      </c>
      <c r="N339" s="10">
        <v>-0.47049966700000001</v>
      </c>
      <c r="O339" s="9">
        <v>-0.65544093849999996</v>
      </c>
      <c r="P339" s="10">
        <v>0.38960948081337499</v>
      </c>
      <c r="Q339" s="10">
        <v>0.15179554753966701</v>
      </c>
    </row>
    <row r="340" spans="1:17" x14ac:dyDescent="0.2">
      <c r="A340" s="10">
        <v>1721</v>
      </c>
      <c r="B340" s="10" t="s">
        <v>2820</v>
      </c>
      <c r="C340" s="9" t="s">
        <v>1040</v>
      </c>
      <c r="D340" s="10">
        <v>0.40969647799999998</v>
      </c>
      <c r="E340" s="10">
        <v>0.21515667699999999</v>
      </c>
      <c r="F340" s="10">
        <v>0.56721583499999995</v>
      </c>
      <c r="G340" s="10">
        <v>0.116363735</v>
      </c>
      <c r="H340" s="9">
        <v>0.32710818149999998</v>
      </c>
      <c r="I340" s="10">
        <v>0.20117891960346501</v>
      </c>
      <c r="J340" s="10">
        <v>4.0472957692817599E-2</v>
      </c>
      <c r="K340" s="10">
        <v>0.12583049599999999</v>
      </c>
      <c r="L340" s="10">
        <v>0.33707541899999999</v>
      </c>
      <c r="M340" s="10">
        <v>0.49474860999999998</v>
      </c>
      <c r="N340" s="10">
        <v>0.30466673999999999</v>
      </c>
      <c r="O340" s="9">
        <v>0.31558031650000001</v>
      </c>
      <c r="P340" s="10">
        <v>0.15131360079758299</v>
      </c>
      <c r="Q340" s="10">
        <v>2.2895805786330398E-2</v>
      </c>
    </row>
    <row r="341" spans="1:17" x14ac:dyDescent="0.2">
      <c r="A341" s="10">
        <v>1721</v>
      </c>
      <c r="B341" s="10" t="s">
        <v>2824</v>
      </c>
      <c r="C341" s="9" t="s">
        <v>2369</v>
      </c>
      <c r="D341" s="10">
        <v>0.52969975199999997</v>
      </c>
      <c r="E341" s="10">
        <v>0.348574037</v>
      </c>
      <c r="F341" s="10">
        <v>-0.13140943699999999</v>
      </c>
      <c r="G341" s="10">
        <v>-0.20698076500000001</v>
      </c>
      <c r="H341" s="9">
        <v>0.13497089675000001</v>
      </c>
      <c r="I341" s="10">
        <v>0.36024371004177302</v>
      </c>
      <c r="J341" s="10">
        <v>0.12977553062466099</v>
      </c>
      <c r="K341" s="10">
        <v>5.1719076000000003E-2</v>
      </c>
      <c r="L341" s="10">
        <v>0.262694437</v>
      </c>
      <c r="M341" s="10">
        <v>-0.44933950099999997</v>
      </c>
      <c r="N341" s="10">
        <v>-0.44481146900000001</v>
      </c>
      <c r="O341" s="9">
        <v>-0.14493436425</v>
      </c>
      <c r="P341" s="10">
        <v>0.35936173994259102</v>
      </c>
      <c r="Q341" s="10">
        <v>0.12914086013456699</v>
      </c>
    </row>
    <row r="342" spans="1:17" x14ac:dyDescent="0.2">
      <c r="A342" s="10">
        <v>1721</v>
      </c>
      <c r="B342" s="10" t="s">
        <v>82</v>
      </c>
      <c r="C342" s="9" t="s">
        <v>1041</v>
      </c>
      <c r="D342" s="10">
        <v>-1.6462923000000001E-2</v>
      </c>
      <c r="E342" s="10">
        <v>-0.38312279399999999</v>
      </c>
      <c r="F342" s="10">
        <v>-0.11359148099999999</v>
      </c>
      <c r="G342" s="10">
        <v>-0.163938845</v>
      </c>
      <c r="H342" s="9">
        <v>-0.16927901100000001</v>
      </c>
      <c r="I342" s="10">
        <v>0.15514674628641401</v>
      </c>
      <c r="J342" s="10">
        <v>2.4070512883261001E-2</v>
      </c>
      <c r="K342" s="10">
        <v>-0.48831980699999999</v>
      </c>
      <c r="L342" s="10">
        <v>-0.33936242100000003</v>
      </c>
      <c r="M342" s="10">
        <v>-0.18613832399999999</v>
      </c>
      <c r="N342" s="10">
        <v>0.26918085800000002</v>
      </c>
      <c r="O342" s="9">
        <v>-0.18615992349999999</v>
      </c>
      <c r="P342" s="10">
        <v>0.32767200480589298</v>
      </c>
      <c r="Q342" s="10">
        <v>0.107368942733513</v>
      </c>
    </row>
    <row r="343" spans="1:17" x14ac:dyDescent="0.2">
      <c r="A343" s="10">
        <v>1721</v>
      </c>
      <c r="B343" s="10" t="s">
        <v>74</v>
      </c>
      <c r="C343" s="9" t="s">
        <v>1042</v>
      </c>
      <c r="D343" s="10">
        <v>0.25556266500000002</v>
      </c>
      <c r="E343" s="10">
        <v>0.10070077</v>
      </c>
      <c r="F343" s="10">
        <v>-0.47936216599999998</v>
      </c>
      <c r="G343" s="10">
        <v>-0.17779050599999999</v>
      </c>
      <c r="H343" s="9">
        <v>-7.5222309249999994E-2</v>
      </c>
      <c r="I343" s="10">
        <v>0.32363399481555899</v>
      </c>
      <c r="J343" s="10">
        <v>0.104738962600277</v>
      </c>
      <c r="K343" s="10">
        <v>-0.114652407</v>
      </c>
      <c r="L343" s="10">
        <v>9.0054942999999998E-2</v>
      </c>
      <c r="M343" s="10">
        <v>-0.32565866799999998</v>
      </c>
      <c r="N343" s="10">
        <v>-0.44490039999999997</v>
      </c>
      <c r="O343" s="9">
        <v>-0.19878913325</v>
      </c>
      <c r="P343" s="10">
        <v>0.23606250835866499</v>
      </c>
      <c r="Q343" s="10">
        <v>5.5725507852584698E-2</v>
      </c>
    </row>
    <row r="344" spans="1:17" x14ac:dyDescent="0.2">
      <c r="A344" s="10">
        <v>1721</v>
      </c>
      <c r="B344" s="10" t="s">
        <v>2818</v>
      </c>
      <c r="C344" s="9" t="s">
        <v>2368</v>
      </c>
      <c r="D344" s="10">
        <v>0.18944824699999999</v>
      </c>
      <c r="E344" s="10">
        <v>-2.1046509999999999E-3</v>
      </c>
      <c r="F344" s="10">
        <v>-3.2254857999999997E-2</v>
      </c>
      <c r="G344" s="10">
        <v>9.1893370000000002E-2</v>
      </c>
      <c r="H344" s="9">
        <v>6.1745527000000001E-2</v>
      </c>
      <c r="I344" s="10">
        <v>0.100216091096075</v>
      </c>
      <c r="J344" s="10">
        <v>1.00432649145769E-2</v>
      </c>
      <c r="K344" s="10">
        <v>0.21470751800000001</v>
      </c>
      <c r="L344" s="10">
        <v>9.3606218000000005E-2</v>
      </c>
      <c r="M344" s="10">
        <v>5.8309603000000002E-2</v>
      </c>
      <c r="N344" s="10">
        <v>-0.24534800900000001</v>
      </c>
      <c r="O344" s="9">
        <v>3.031883225E-2</v>
      </c>
      <c r="P344" s="10">
        <v>0.195601781893394</v>
      </c>
      <c r="Q344" s="10">
        <v>3.8260057079871103E-2</v>
      </c>
    </row>
    <row r="345" spans="1:17" x14ac:dyDescent="0.2">
      <c r="A345" s="10">
        <v>1721</v>
      </c>
      <c r="B345" s="10" t="s">
        <v>2830</v>
      </c>
      <c r="C345" s="9" t="s">
        <v>1043</v>
      </c>
      <c r="D345" s="10">
        <v>-0.117210435</v>
      </c>
      <c r="E345" s="10">
        <v>-0.53656017499999997</v>
      </c>
      <c r="F345" s="10">
        <v>-6.1560030000000002E-3</v>
      </c>
      <c r="G345" s="10">
        <v>-3.7760475000000002E-2</v>
      </c>
      <c r="H345" s="9">
        <v>-0.17442177225</v>
      </c>
      <c r="I345" s="10">
        <v>0.24590447950617</v>
      </c>
      <c r="J345" s="10">
        <v>6.0469013041200503E-2</v>
      </c>
      <c r="K345" s="10">
        <v>-0.62207059099999995</v>
      </c>
      <c r="L345" s="10">
        <v>-0.32548680800000002</v>
      </c>
      <c r="M345" s="10">
        <v>-0.35204739000000002</v>
      </c>
      <c r="N345" s="10">
        <v>-9.7552657000000001E-2</v>
      </c>
      <c r="O345" s="9">
        <v>-0.34928936124999999</v>
      </c>
      <c r="P345" s="10">
        <v>0.21475190013468901</v>
      </c>
      <c r="Q345" s="10">
        <v>4.6118378611459697E-2</v>
      </c>
    </row>
    <row r="346" spans="1:17" x14ac:dyDescent="0.2">
      <c r="A346" s="10">
        <v>1722</v>
      </c>
      <c r="B346" s="10" t="s">
        <v>2834</v>
      </c>
      <c r="C346" s="9" t="s">
        <v>2367</v>
      </c>
      <c r="D346" s="10">
        <v>-1.15093175</v>
      </c>
      <c r="E346" s="10">
        <v>-1.61692517</v>
      </c>
      <c r="F346" s="10">
        <v>-0.192040248</v>
      </c>
      <c r="G346" s="10">
        <v>-0.49156490000000003</v>
      </c>
      <c r="H346" s="9">
        <v>-0.86286551700000003</v>
      </c>
      <c r="I346" s="10">
        <v>0.64276973704709905</v>
      </c>
      <c r="J346" s="10">
        <v>0.413152934863597</v>
      </c>
      <c r="K346" s="10">
        <v>0.63251078699999996</v>
      </c>
      <c r="L346" s="10">
        <v>0.27240223499999999</v>
      </c>
      <c r="M346" s="10">
        <v>-0.55937844699999995</v>
      </c>
      <c r="N346" s="10">
        <v>0.40731579499999998</v>
      </c>
      <c r="O346" s="9">
        <v>0.18821259225</v>
      </c>
      <c r="P346" s="10">
        <v>0.52006004692621199</v>
      </c>
      <c r="Q346" s="10">
        <v>0.27046245240889399</v>
      </c>
    </row>
    <row r="347" spans="1:17" x14ac:dyDescent="0.2">
      <c r="A347" s="10">
        <v>1723</v>
      </c>
      <c r="B347" s="10" t="s">
        <v>2831</v>
      </c>
      <c r="C347" s="9" t="s">
        <v>2366</v>
      </c>
      <c r="D347" s="10">
        <v>-1.5939024850000001</v>
      </c>
      <c r="E347" s="10">
        <v>-1.5243281930000001</v>
      </c>
      <c r="F347" s="10">
        <v>-1.274857377</v>
      </c>
      <c r="G347" s="10">
        <v>-0.96047917299999996</v>
      </c>
      <c r="H347" s="9">
        <v>-1.338391807</v>
      </c>
      <c r="I347" s="10">
        <v>0.28677088935420397</v>
      </c>
      <c r="J347" s="10">
        <v>8.2237542981001194E-2</v>
      </c>
      <c r="K347" s="10">
        <v>5.5634550999999997E-2</v>
      </c>
      <c r="L347" s="10">
        <v>-2.5086647E-2</v>
      </c>
      <c r="M347" s="10">
        <v>-0.21925267600000001</v>
      </c>
      <c r="N347" s="10">
        <v>-0.31570960999999997</v>
      </c>
      <c r="O347" s="9">
        <v>-0.1261035955</v>
      </c>
      <c r="P347" s="10">
        <v>0.17113383623164299</v>
      </c>
      <c r="Q347" s="10">
        <v>2.9286789903358899E-2</v>
      </c>
    </row>
    <row r="348" spans="1:17" x14ac:dyDescent="0.2">
      <c r="A348" s="10">
        <v>1723</v>
      </c>
      <c r="B348" s="10" t="s">
        <v>96</v>
      </c>
      <c r="C348" s="9" t="s">
        <v>2365</v>
      </c>
      <c r="D348" s="10">
        <v>-0.26764398299999997</v>
      </c>
      <c r="E348" s="10">
        <v>-0.49277441999999999</v>
      </c>
      <c r="F348" s="10">
        <v>-0.58151836000000001</v>
      </c>
      <c r="G348" s="10">
        <v>-0.48887250799999998</v>
      </c>
      <c r="H348" s="9">
        <v>-0.45770231750000001</v>
      </c>
      <c r="I348" s="10">
        <v>0.13373383521364601</v>
      </c>
      <c r="J348" s="10">
        <v>1.78847386809508E-2</v>
      </c>
      <c r="K348" s="10">
        <v>-0.25405383799999998</v>
      </c>
      <c r="L348" s="10">
        <v>-0.58193756100000005</v>
      </c>
      <c r="M348" s="10">
        <v>-0.51259097499999995</v>
      </c>
      <c r="N348" s="10">
        <v>-0.42824303499999999</v>
      </c>
      <c r="O348" s="9">
        <v>-0.44420635224999999</v>
      </c>
      <c r="P348" s="10">
        <v>0.14149104643712301</v>
      </c>
      <c r="Q348" s="10">
        <v>2.00197162218721E-2</v>
      </c>
    </row>
    <row r="349" spans="1:17" x14ac:dyDescent="0.2">
      <c r="A349" s="10">
        <v>1723</v>
      </c>
      <c r="B349" s="10" t="s">
        <v>2826</v>
      </c>
      <c r="C349" s="9" t="s">
        <v>1044</v>
      </c>
      <c r="D349" s="10">
        <v>0.358078006</v>
      </c>
      <c r="E349" s="10">
        <v>-0.54836435100000003</v>
      </c>
      <c r="F349" s="10">
        <v>-0.13874752300000001</v>
      </c>
      <c r="G349" s="10">
        <v>-8.1543872000000003E-2</v>
      </c>
      <c r="H349" s="9">
        <v>-0.10264443500000001</v>
      </c>
      <c r="I349" s="10">
        <v>0.37089085451207798</v>
      </c>
      <c r="J349" s="10">
        <v>0.137560025960699</v>
      </c>
      <c r="K349" s="10">
        <v>-0.120446969</v>
      </c>
      <c r="L349" s="10">
        <v>6.2139673999999999E-2</v>
      </c>
      <c r="M349" s="10">
        <v>2.0909767999999999E-2</v>
      </c>
      <c r="N349" s="10">
        <v>-0.42181220200000002</v>
      </c>
      <c r="O349" s="9">
        <v>-0.114802432</v>
      </c>
      <c r="P349" s="10">
        <v>0.21909904136253999</v>
      </c>
      <c r="Q349" s="10">
        <v>4.8004389925984103E-2</v>
      </c>
    </row>
    <row r="350" spans="1:17" x14ac:dyDescent="0.2">
      <c r="A350" s="10">
        <v>1723</v>
      </c>
      <c r="B350" s="10" t="s">
        <v>2821</v>
      </c>
      <c r="C350" s="9" t="s">
        <v>1045</v>
      </c>
      <c r="D350" s="10">
        <v>9.8333196999999997E-2</v>
      </c>
      <c r="E350" s="10">
        <v>-0.19165346699999999</v>
      </c>
      <c r="F350" s="10">
        <v>-0.627620811</v>
      </c>
      <c r="G350" s="10">
        <v>-0.26836105199999999</v>
      </c>
      <c r="H350" s="9">
        <v>-0.24732553299999999</v>
      </c>
      <c r="I350" s="10">
        <v>0.29868954232704398</v>
      </c>
      <c r="J350" s="10">
        <v>8.9215442695539299E-2</v>
      </c>
      <c r="K350" s="10">
        <v>0.49071081100000002</v>
      </c>
      <c r="L350" s="10">
        <v>0.48426442400000003</v>
      </c>
      <c r="M350" s="10">
        <v>5.8712581E-2</v>
      </c>
      <c r="N350" s="10">
        <v>-0.63418656399999995</v>
      </c>
      <c r="O350" s="9">
        <v>9.9875312999999993E-2</v>
      </c>
      <c r="P350" s="10">
        <v>0.52948043241236198</v>
      </c>
      <c r="Q350" s="10">
        <v>0.28034952830758098</v>
      </c>
    </row>
    <row r="351" spans="1:17" x14ac:dyDescent="0.2">
      <c r="A351" s="10">
        <v>1723</v>
      </c>
      <c r="B351" s="10" t="s">
        <v>2824</v>
      </c>
      <c r="C351" s="9" t="s">
        <v>1046</v>
      </c>
      <c r="D351" s="10">
        <v>-0.23097477899999999</v>
      </c>
      <c r="E351" s="10">
        <v>5.5634312999999998E-2</v>
      </c>
      <c r="F351" s="10">
        <v>0.37751168000000002</v>
      </c>
      <c r="G351" s="10">
        <v>-5.6317048000000001E-2</v>
      </c>
      <c r="H351" s="9">
        <v>3.6463541250000002E-2</v>
      </c>
      <c r="I351" s="10">
        <v>0.25613332746445899</v>
      </c>
      <c r="J351" s="10">
        <v>6.5604281438016193E-2</v>
      </c>
      <c r="K351" s="10">
        <v>0.31268247100000002</v>
      </c>
      <c r="L351" s="10">
        <v>0.37341308699999998</v>
      </c>
      <c r="M351" s="10">
        <v>0.46585512099999998</v>
      </c>
      <c r="N351" s="10">
        <v>0.40126528099999997</v>
      </c>
      <c r="O351" s="9">
        <v>0.38830398999999999</v>
      </c>
      <c r="P351" s="10">
        <v>6.3567617835363799E-2</v>
      </c>
      <c r="Q351" s="10">
        <v>4.0408420372627998E-3</v>
      </c>
    </row>
    <row r="352" spans="1:17" x14ac:dyDescent="0.2">
      <c r="A352" s="10">
        <v>1723</v>
      </c>
      <c r="B352" s="10" t="s">
        <v>82</v>
      </c>
      <c r="C352" s="9" t="s">
        <v>1047</v>
      </c>
      <c r="D352" s="10">
        <v>0.53695054399999997</v>
      </c>
      <c r="E352" s="10">
        <v>0.36667933000000003</v>
      </c>
      <c r="F352" s="10">
        <v>-1.1783778069999999</v>
      </c>
      <c r="G352" s="10">
        <v>-1.4453517000000001E-2</v>
      </c>
      <c r="H352" s="9">
        <v>-7.2300362500000007E-2</v>
      </c>
      <c r="I352" s="10">
        <v>0.77258082819090101</v>
      </c>
      <c r="J352" s="10">
        <v>0.59688113608813897</v>
      </c>
      <c r="K352" s="10">
        <v>6.0559331000000001E-2</v>
      </c>
      <c r="L352" s="10">
        <v>0.45476529100000002</v>
      </c>
      <c r="M352" s="10">
        <v>-0.73973548499999997</v>
      </c>
      <c r="N352" s="10">
        <v>-1.2208819310000001</v>
      </c>
      <c r="O352" s="9">
        <v>-0.3613231985</v>
      </c>
      <c r="P352" s="10">
        <v>0.75851222020102704</v>
      </c>
      <c r="Q352" s="10">
        <v>0.57534078819429102</v>
      </c>
    </row>
    <row r="353" spans="1:17" x14ac:dyDescent="0.2">
      <c r="A353" s="10">
        <v>1723</v>
      </c>
      <c r="B353" s="10" t="s">
        <v>74</v>
      </c>
      <c r="C353" s="9" t="s">
        <v>2363</v>
      </c>
      <c r="D353" s="10">
        <v>0.31763615299999998</v>
      </c>
      <c r="E353" s="10">
        <v>-0.4467718</v>
      </c>
      <c r="F353" s="10">
        <v>-0.21984774900000001</v>
      </c>
      <c r="G353" s="10">
        <v>-0.82983029900000005</v>
      </c>
      <c r="H353" s="9">
        <v>-0.29470342399999999</v>
      </c>
      <c r="I353" s="10">
        <v>0.47960007400846899</v>
      </c>
      <c r="J353" s="10">
        <v>0.23001623098892901</v>
      </c>
      <c r="K353" s="10">
        <v>6.1033824E-2</v>
      </c>
      <c r="L353" s="10">
        <v>0.17699119399999999</v>
      </c>
      <c r="M353" s="10">
        <v>-7.2808465000000003E-2</v>
      </c>
      <c r="N353" s="10">
        <v>-0.167099003</v>
      </c>
      <c r="O353" s="9">
        <v>-4.7061249999999998E-4</v>
      </c>
      <c r="P353" s="10">
        <v>0.15085674650736</v>
      </c>
      <c r="Q353" s="10">
        <v>2.2757757966785998E-2</v>
      </c>
    </row>
    <row r="354" spans="1:17" x14ac:dyDescent="0.2">
      <c r="A354" s="10">
        <v>1723</v>
      </c>
      <c r="B354" s="10" t="s">
        <v>2818</v>
      </c>
      <c r="C354" s="9" t="s">
        <v>1048</v>
      </c>
      <c r="D354" s="10">
        <v>1.3535381000000001E-2</v>
      </c>
      <c r="E354" s="10">
        <v>0.108034978</v>
      </c>
      <c r="F354" s="10">
        <v>5.2619994000000003E-2</v>
      </c>
      <c r="G354" s="10">
        <v>-0.32241778500000001</v>
      </c>
      <c r="H354" s="9">
        <v>-3.7056858249999998E-2</v>
      </c>
      <c r="I354" s="10">
        <v>0.19415115414182901</v>
      </c>
      <c r="J354" s="10">
        <v>3.7694670654604398E-2</v>
      </c>
      <c r="K354" s="10">
        <v>-0.17567348999999999</v>
      </c>
      <c r="L354" s="10">
        <v>0.145294283</v>
      </c>
      <c r="M354" s="10">
        <v>-0.25611497100000002</v>
      </c>
      <c r="N354" s="10">
        <v>-0.13170802500000001</v>
      </c>
      <c r="O354" s="9">
        <v>-0.10455055075</v>
      </c>
      <c r="P354" s="10">
        <v>0.17434660433791299</v>
      </c>
      <c r="Q354" s="10">
        <v>3.0396738444160701E-2</v>
      </c>
    </row>
    <row r="355" spans="1:17" x14ac:dyDescent="0.2">
      <c r="A355" s="10">
        <v>1723</v>
      </c>
      <c r="B355" s="10" t="s">
        <v>2835</v>
      </c>
      <c r="C355" s="9" t="s">
        <v>2362</v>
      </c>
      <c r="D355" s="10">
        <v>0.113596948</v>
      </c>
      <c r="E355" s="10">
        <v>1.6297000999999998E-2</v>
      </c>
      <c r="F355" s="10">
        <v>-0.35540416400000002</v>
      </c>
      <c r="G355" s="10">
        <v>-0.381183351</v>
      </c>
      <c r="H355" s="9">
        <v>-0.1516733915</v>
      </c>
      <c r="I355" s="10">
        <v>0.25348468392139401</v>
      </c>
      <c r="J355" s="10">
        <v>6.4254484982729204E-2</v>
      </c>
      <c r="K355" s="10">
        <v>-0.135923182</v>
      </c>
      <c r="L355" s="10">
        <v>4.7813113999999997E-2</v>
      </c>
      <c r="M355" s="10">
        <v>-0.29674802900000002</v>
      </c>
      <c r="N355" s="10">
        <v>-0.12342394499999999</v>
      </c>
      <c r="O355" s="9">
        <v>-0.12707051050000001</v>
      </c>
      <c r="P355" s="10">
        <v>0.14079110960948199</v>
      </c>
      <c r="Q355" s="10">
        <v>1.9822136545069102E-2</v>
      </c>
    </row>
    <row r="356" spans="1:17" x14ac:dyDescent="0.2">
      <c r="A356" s="10">
        <v>1723</v>
      </c>
      <c r="B356" s="10" t="s">
        <v>2832</v>
      </c>
      <c r="C356" s="9" t="s">
        <v>2361</v>
      </c>
      <c r="D356" s="10">
        <v>0.197947445</v>
      </c>
      <c r="E356" s="10">
        <v>-0.44375621900000001</v>
      </c>
      <c r="F356" s="10">
        <v>0.15322550700000001</v>
      </c>
      <c r="G356" s="10">
        <v>-0.221393162</v>
      </c>
      <c r="H356" s="9">
        <v>-7.849410725E-2</v>
      </c>
      <c r="I356" s="10">
        <v>0.30765265130612801</v>
      </c>
      <c r="J356" s="10">
        <v>9.4650153855690394E-2</v>
      </c>
      <c r="K356" s="10">
        <v>-9.0292941000000002E-2</v>
      </c>
      <c r="L356" s="10">
        <v>-3.038923E-2</v>
      </c>
      <c r="M356" s="10">
        <v>-3.4117203999999998E-2</v>
      </c>
      <c r="N356" s="10">
        <v>-0.23757830999999999</v>
      </c>
      <c r="O356" s="9">
        <v>-9.8094421249999994E-2</v>
      </c>
      <c r="P356" s="10">
        <v>9.6942758994103095E-2</v>
      </c>
      <c r="Q356" s="10">
        <v>9.3978985213886996E-3</v>
      </c>
    </row>
    <row r="357" spans="1:17" x14ac:dyDescent="0.2">
      <c r="A357" s="10">
        <v>1724</v>
      </c>
      <c r="B357" s="10" t="s">
        <v>2822</v>
      </c>
      <c r="C357" s="9" t="s">
        <v>2360</v>
      </c>
      <c r="D357" s="10">
        <v>2.9741429999999998E-3</v>
      </c>
      <c r="E357" s="10">
        <v>-0.40497496500000002</v>
      </c>
      <c r="F357" s="10">
        <v>-0.36227617899999998</v>
      </c>
      <c r="G357" s="10">
        <v>-1.0429026459999999</v>
      </c>
      <c r="H357" s="9">
        <v>-0.45179491150000001</v>
      </c>
      <c r="I357" s="10">
        <v>0.434522326843019</v>
      </c>
      <c r="J357" s="10">
        <v>0.18880965252507101</v>
      </c>
      <c r="K357" s="10">
        <v>-0.103688873</v>
      </c>
      <c r="L357" s="10">
        <v>0.34727870700000002</v>
      </c>
      <c r="M357" s="10">
        <v>-0.93483161000000004</v>
      </c>
      <c r="N357" s="10">
        <v>-0.82212328300000004</v>
      </c>
      <c r="O357" s="9">
        <v>-0.37834126475000002</v>
      </c>
      <c r="P357" s="10">
        <v>0.60788767157948198</v>
      </c>
      <c r="Q357" s="10">
        <v>0.369527421258324</v>
      </c>
    </row>
    <row r="358" spans="1:17" x14ac:dyDescent="0.2">
      <c r="A358" s="10">
        <v>1724</v>
      </c>
      <c r="B358" s="10" t="s">
        <v>79</v>
      </c>
      <c r="C358" s="9" t="s">
        <v>2629</v>
      </c>
      <c r="D358" s="10">
        <v>0.26971040600000001</v>
      </c>
      <c r="E358" s="10">
        <v>-0.66840713799999996</v>
      </c>
      <c r="F358" s="10">
        <v>-0.33807029999999999</v>
      </c>
      <c r="G358" s="10">
        <v>-0.24717188800000001</v>
      </c>
      <c r="H358" s="9">
        <v>-0.24598472974999999</v>
      </c>
      <c r="I358" s="10">
        <v>0.38852855992016799</v>
      </c>
      <c r="J358" s="10">
        <v>0.15095444187363899</v>
      </c>
      <c r="K358" s="10">
        <v>0.28688924700000001</v>
      </c>
      <c r="L358" s="10">
        <v>0.55350436700000005</v>
      </c>
      <c r="M358" s="10">
        <v>-0.20933918800000001</v>
      </c>
      <c r="N358" s="10">
        <v>-1.0115525940000001</v>
      </c>
      <c r="O358" s="9">
        <v>-9.5124542249999999E-2</v>
      </c>
      <c r="P358" s="10">
        <v>0.68788064769747304</v>
      </c>
      <c r="Q358" s="10">
        <v>0.47317978547669498</v>
      </c>
    </row>
    <row r="359" spans="1:17" x14ac:dyDescent="0.2">
      <c r="A359" s="10">
        <v>1724</v>
      </c>
      <c r="B359" s="10" t="s">
        <v>2824</v>
      </c>
      <c r="C359" s="9" t="s">
        <v>1049</v>
      </c>
      <c r="D359" s="10">
        <v>5.4935197999999998E-2</v>
      </c>
      <c r="E359" s="10">
        <v>5.9230626000000001E-2</v>
      </c>
      <c r="F359" s="10">
        <v>-0.44283015599999997</v>
      </c>
      <c r="G359" s="10">
        <v>-0.14571263700000001</v>
      </c>
      <c r="H359" s="9">
        <v>-0.11859424225</v>
      </c>
      <c r="I359" s="10">
        <v>0.236360237420709</v>
      </c>
      <c r="J359" s="10">
        <v>5.5866161833574103E-2</v>
      </c>
      <c r="K359" s="10">
        <v>-4.4328550000000001E-2</v>
      </c>
      <c r="L359" s="10">
        <v>5.7452564999999997E-2</v>
      </c>
      <c r="M359" s="10">
        <v>-0.28148548400000001</v>
      </c>
      <c r="N359" s="10">
        <v>-0.33906127200000002</v>
      </c>
      <c r="O359" s="9">
        <v>-0.15185568525000001</v>
      </c>
      <c r="P359" s="10">
        <v>0.18905188430002101</v>
      </c>
      <c r="Q359" s="10">
        <v>3.5740614957388499E-2</v>
      </c>
    </row>
    <row r="360" spans="1:17" x14ac:dyDescent="0.2">
      <c r="A360" s="10">
        <v>1724</v>
      </c>
      <c r="B360" s="10" t="s">
        <v>82</v>
      </c>
      <c r="C360" s="9" t="s">
        <v>1050</v>
      </c>
      <c r="D360" s="10">
        <v>-6.2719076999999998E-2</v>
      </c>
      <c r="E360" s="10">
        <v>-5.9589036999999997E-2</v>
      </c>
      <c r="F360" s="10">
        <v>2.3750470999999999E-2</v>
      </c>
      <c r="G360" s="10">
        <v>-0.10851485900000001</v>
      </c>
      <c r="H360" s="9">
        <v>-5.1768125749999998E-2</v>
      </c>
      <c r="I360" s="10">
        <v>5.50888378763369E-2</v>
      </c>
      <c r="J360" s="10">
        <v>3.0347800585653001E-3</v>
      </c>
      <c r="K360" s="10">
        <v>-0.108595077</v>
      </c>
      <c r="L360" s="10">
        <v>4.8955556999999997E-2</v>
      </c>
      <c r="M360" s="10">
        <v>-0.29877606800000001</v>
      </c>
      <c r="N360" s="10">
        <v>-9.8620007999999995E-2</v>
      </c>
      <c r="O360" s="9">
        <v>-0.11425889875</v>
      </c>
      <c r="P360" s="10">
        <v>0.14255080742727899</v>
      </c>
      <c r="Q360" s="10">
        <v>2.0320732698169301E-2</v>
      </c>
    </row>
    <row r="361" spans="1:17" x14ac:dyDescent="0.2">
      <c r="A361" s="10">
        <v>1725</v>
      </c>
      <c r="B361" s="10" t="s">
        <v>2824</v>
      </c>
      <c r="C361" s="9" t="s">
        <v>1053</v>
      </c>
      <c r="D361" s="10">
        <v>-0.53114700999999997</v>
      </c>
      <c r="E361" s="10">
        <v>-0.52369722299999999</v>
      </c>
      <c r="F361" s="10">
        <v>-1.034970983</v>
      </c>
      <c r="G361" s="10">
        <v>-1.1621565140000001</v>
      </c>
      <c r="H361" s="9">
        <v>-0.81299293250000004</v>
      </c>
      <c r="I361" s="10">
        <v>0.33382559973468701</v>
      </c>
      <c r="J361" s="10">
        <v>0.111439531038224</v>
      </c>
      <c r="K361" s="10">
        <v>-0.34488227999999999</v>
      </c>
      <c r="L361" s="10">
        <v>-5.2662273000000002E-2</v>
      </c>
      <c r="M361" s="10">
        <v>-1.132695088</v>
      </c>
      <c r="N361" s="10">
        <v>-1.027866218</v>
      </c>
      <c r="O361" s="9">
        <v>-0.63952646474999997</v>
      </c>
      <c r="P361" s="10">
        <v>0.52448318373993696</v>
      </c>
      <c r="Q361" s="10">
        <v>0.275082610025981</v>
      </c>
    </row>
    <row r="362" spans="1:17" x14ac:dyDescent="0.2">
      <c r="A362" s="10">
        <v>1725</v>
      </c>
      <c r="B362" s="10" t="s">
        <v>2825</v>
      </c>
      <c r="C362" s="9" t="s">
        <v>2356</v>
      </c>
      <c r="D362" s="10">
        <v>-1.3100158070000001</v>
      </c>
      <c r="E362" s="10">
        <v>-1.8815245899999999</v>
      </c>
      <c r="F362" s="10">
        <v>-1.2154702559999999</v>
      </c>
      <c r="G362" s="10">
        <v>-2.4329662380000001</v>
      </c>
      <c r="H362" s="9">
        <v>-1.7099942225</v>
      </c>
      <c r="I362" s="10">
        <v>0.56469693596937498</v>
      </c>
      <c r="J362" s="10">
        <v>0.31888262949320001</v>
      </c>
      <c r="K362" s="10">
        <v>-2.2104713899999999</v>
      </c>
      <c r="L362" s="10">
        <v>-1.1968531760000001</v>
      </c>
      <c r="M362" s="10">
        <v>-1.5624842350000001</v>
      </c>
      <c r="N362" s="10">
        <v>-1.9213659649999999</v>
      </c>
      <c r="O362" s="9">
        <v>-1.72279369175</v>
      </c>
      <c r="P362" s="10">
        <v>0.43953499409601299</v>
      </c>
      <c r="Q362" s="10">
        <v>0.19319101103498201</v>
      </c>
    </row>
    <row r="363" spans="1:17" x14ac:dyDescent="0.2">
      <c r="A363" s="10">
        <v>1725</v>
      </c>
      <c r="B363" s="10" t="s">
        <v>74</v>
      </c>
      <c r="C363" s="9" t="s">
        <v>2355</v>
      </c>
      <c r="D363" s="10">
        <v>-0.17569206500000001</v>
      </c>
      <c r="E363" s="10">
        <v>-1.1881551269999999</v>
      </c>
      <c r="F363" s="10">
        <v>0.30102731799999999</v>
      </c>
      <c r="G363" s="10">
        <v>0.58229646000000002</v>
      </c>
      <c r="H363" s="9">
        <v>-0.12013085325</v>
      </c>
      <c r="I363" s="10">
        <v>0.77771915093230604</v>
      </c>
      <c r="J363" s="10">
        <v>0.60484707772686697</v>
      </c>
      <c r="K363" s="10">
        <v>-0.23985991400000001</v>
      </c>
      <c r="L363" s="10">
        <v>-0.41438901099999997</v>
      </c>
      <c r="M363" s="10">
        <v>4.6742210999999999E-2</v>
      </c>
      <c r="N363" s="10">
        <v>6.8790177999999993E-2</v>
      </c>
      <c r="O363" s="9">
        <v>-0.13467913425</v>
      </c>
      <c r="P363" s="10">
        <v>0.23353377851332</v>
      </c>
      <c r="Q363" s="10">
        <v>5.4538025706708598E-2</v>
      </c>
    </row>
    <row r="364" spans="1:17" x14ac:dyDescent="0.2">
      <c r="A364" s="10">
        <v>1725</v>
      </c>
      <c r="B364" s="10" t="s">
        <v>2818</v>
      </c>
      <c r="C364" s="9" t="s">
        <v>1054</v>
      </c>
      <c r="D364" s="10">
        <v>0.21654182999999999</v>
      </c>
      <c r="E364" s="10">
        <v>0.18471346799999999</v>
      </c>
      <c r="F364" s="10">
        <v>-6.4541650000000006E-2</v>
      </c>
      <c r="G364" s="10">
        <v>-9.3437573999999995E-2</v>
      </c>
      <c r="H364" s="9">
        <v>6.0819018500000002E-2</v>
      </c>
      <c r="I364" s="10">
        <v>0.16238824072250399</v>
      </c>
      <c r="J364" s="10">
        <v>2.6369940724950101E-2</v>
      </c>
      <c r="K364" s="10">
        <v>4.6931593000000001E-2</v>
      </c>
      <c r="L364" s="10">
        <v>0.29702106099999998</v>
      </c>
      <c r="M364" s="10">
        <v>-0.121925855</v>
      </c>
      <c r="N364" s="10">
        <v>2.1146543E-2</v>
      </c>
      <c r="O364" s="9">
        <v>6.0793335499999997E-2</v>
      </c>
      <c r="P364" s="10">
        <v>0.174120510884993</v>
      </c>
      <c r="Q364" s="10">
        <v>3.0317952310850899E-2</v>
      </c>
    </row>
    <row r="365" spans="1:17" x14ac:dyDescent="0.2">
      <c r="A365" s="10">
        <v>1725</v>
      </c>
      <c r="B365" s="10" t="s">
        <v>2830</v>
      </c>
      <c r="C365" s="9" t="s">
        <v>1055</v>
      </c>
      <c r="D365" s="10">
        <v>0.111814815</v>
      </c>
      <c r="E365" s="10">
        <v>7.3789695000000002E-2</v>
      </c>
      <c r="F365" s="10">
        <v>-0.45226190700000002</v>
      </c>
      <c r="G365" s="10">
        <v>-0.44835431799999997</v>
      </c>
      <c r="H365" s="9">
        <v>-0.17875292875000001</v>
      </c>
      <c r="I365" s="10">
        <v>0.31395300114687402</v>
      </c>
      <c r="J365" s="10">
        <v>9.8566486929129504E-2</v>
      </c>
      <c r="K365" s="10">
        <v>6.9452143999999993E-2</v>
      </c>
      <c r="L365" s="10">
        <v>-1.1627495999999999E-2</v>
      </c>
      <c r="M365" s="10">
        <v>-0.249203491</v>
      </c>
      <c r="N365" s="10">
        <v>-0.43864899299999999</v>
      </c>
      <c r="O365" s="9">
        <v>-0.15750695924999999</v>
      </c>
      <c r="P365" s="10">
        <v>0.231113499838078</v>
      </c>
      <c r="Q365" s="10">
        <v>5.34134498074057E-2</v>
      </c>
    </row>
    <row r="366" spans="1:17" x14ac:dyDescent="0.2">
      <c r="A366" s="10">
        <v>1726</v>
      </c>
      <c r="B366" s="10" t="s">
        <v>2826</v>
      </c>
      <c r="C366" s="9" t="s">
        <v>2354</v>
      </c>
      <c r="D366" s="10">
        <v>-0.50485169699999999</v>
      </c>
      <c r="E366" s="10">
        <v>-0.45924197700000002</v>
      </c>
      <c r="F366" s="10">
        <v>-0.64287153799999996</v>
      </c>
      <c r="G366" s="10">
        <v>-0.60898565599999999</v>
      </c>
      <c r="H366" s="9">
        <v>-0.55398771724999996</v>
      </c>
      <c r="I366" s="10">
        <v>8.6248112326001505E-2</v>
      </c>
      <c r="J366" s="10">
        <v>7.4387368797985002E-3</v>
      </c>
      <c r="K366" s="10">
        <v>-0.29060892999999999</v>
      </c>
      <c r="L366" s="10">
        <v>-0.31829817300000002</v>
      </c>
      <c r="M366" s="10">
        <v>-3.3540952999999998E-2</v>
      </c>
      <c r="N366" s="10">
        <v>-0.46679035200000002</v>
      </c>
      <c r="O366" s="9">
        <v>-0.27730960199999999</v>
      </c>
      <c r="P366" s="10">
        <v>0.17998429925387099</v>
      </c>
      <c r="Q366" s="10">
        <v>3.2394347977907099E-2</v>
      </c>
    </row>
    <row r="367" spans="1:17" x14ac:dyDescent="0.2">
      <c r="A367" s="10">
        <v>1726</v>
      </c>
      <c r="B367" s="10" t="s">
        <v>2824</v>
      </c>
      <c r="C367" s="9" t="s">
        <v>2353</v>
      </c>
      <c r="D367" s="10">
        <v>3.3313690999999999E-2</v>
      </c>
      <c r="E367" s="10">
        <v>-7.1804379999999999E-3</v>
      </c>
      <c r="F367" s="10">
        <v>7.6727276999999997E-2</v>
      </c>
      <c r="G367" s="10">
        <v>-4.5487187999999998E-2</v>
      </c>
      <c r="H367" s="9">
        <v>1.43433355E-2</v>
      </c>
      <c r="I367" s="10">
        <v>5.2581983330272399E-2</v>
      </c>
      <c r="J367" s="10">
        <v>2.7648649709449999E-3</v>
      </c>
      <c r="K367" s="10">
        <v>0.352468579</v>
      </c>
      <c r="L367" s="10">
        <v>-0.13533495800000001</v>
      </c>
      <c r="M367" s="10">
        <v>0.11693605899999999</v>
      </c>
      <c r="N367" s="10">
        <v>0.117075239</v>
      </c>
      <c r="O367" s="9">
        <v>0.11278623</v>
      </c>
      <c r="P367" s="10">
        <v>0.19920455904724299</v>
      </c>
      <c r="Q367" s="10">
        <v>3.9682456345206799E-2</v>
      </c>
    </row>
    <row r="368" spans="1:17" x14ac:dyDescent="0.2">
      <c r="A368" s="10">
        <v>1726</v>
      </c>
      <c r="B368" s="10" t="s">
        <v>74</v>
      </c>
      <c r="C368" s="9" t="s">
        <v>1057</v>
      </c>
      <c r="D368" s="10">
        <v>-0.413137747</v>
      </c>
      <c r="E368" s="10">
        <v>0.16907554799999999</v>
      </c>
      <c r="F368" s="10">
        <v>-0.297792169</v>
      </c>
      <c r="G368" s="10">
        <v>0.16851423300000001</v>
      </c>
      <c r="H368" s="9">
        <v>-9.3335033750000004E-2</v>
      </c>
      <c r="I368" s="10">
        <v>0.30632273148243699</v>
      </c>
      <c r="J368" s="10">
        <v>9.3833615822861496E-2</v>
      </c>
      <c r="K368" s="10">
        <v>1.0416652E-2</v>
      </c>
      <c r="L368" s="10">
        <v>-0.25054758900000001</v>
      </c>
      <c r="M368" s="10">
        <v>0.13923080299999999</v>
      </c>
      <c r="N368" s="10">
        <v>-0.65817759099999995</v>
      </c>
      <c r="O368" s="9">
        <v>-0.18976943125000001</v>
      </c>
      <c r="P368" s="10">
        <v>0.35185973087931699</v>
      </c>
      <c r="Q368" s="10">
        <v>0.123805270214465</v>
      </c>
    </row>
    <row r="369" spans="1:17" x14ac:dyDescent="0.2">
      <c r="A369" s="10">
        <v>1726</v>
      </c>
      <c r="B369" s="10" t="s">
        <v>2818</v>
      </c>
      <c r="C369" s="9" t="s">
        <v>1058</v>
      </c>
      <c r="D369" s="10">
        <v>0.45375079200000001</v>
      </c>
      <c r="E369" s="10">
        <v>9.2288459000000003E-2</v>
      </c>
      <c r="F369" s="10">
        <v>-7.9011495000000001E-2</v>
      </c>
      <c r="G369" s="10">
        <v>6.5696329999999997E-2</v>
      </c>
      <c r="H369" s="9">
        <v>0.1331810215</v>
      </c>
      <c r="I369" s="10">
        <v>0.22658113121771001</v>
      </c>
      <c r="J369" s="10">
        <v>5.1339009023897299E-2</v>
      </c>
      <c r="K369" s="10">
        <v>0.107392747</v>
      </c>
      <c r="L369" s="10">
        <v>0.29535419899999998</v>
      </c>
      <c r="M369" s="10">
        <v>-0.198849738</v>
      </c>
      <c r="N369" s="10">
        <v>-3.5820774E-2</v>
      </c>
      <c r="O369" s="9">
        <v>4.2019108749999999E-2</v>
      </c>
      <c r="P369" s="10">
        <v>0.21018184920938199</v>
      </c>
      <c r="Q369" s="10">
        <v>4.4176409737075401E-2</v>
      </c>
    </row>
    <row r="370" spans="1:17" x14ac:dyDescent="0.2">
      <c r="A370" s="10">
        <v>1727</v>
      </c>
      <c r="B370" s="10" t="s">
        <v>2822</v>
      </c>
      <c r="C370" s="9" t="s">
        <v>1059</v>
      </c>
      <c r="D370" s="10">
        <v>-1.8977865E-2</v>
      </c>
      <c r="E370" s="10">
        <v>-8.5607969000000006E-2</v>
      </c>
      <c r="F370" s="10">
        <v>-0.24701172599999999</v>
      </c>
      <c r="G370" s="10">
        <v>-0.21110736899999999</v>
      </c>
      <c r="H370" s="9">
        <v>-0.1406762325</v>
      </c>
      <c r="I370" s="10">
        <v>0.106631434489148</v>
      </c>
      <c r="J370" s="10">
        <v>1.1370262821213501E-2</v>
      </c>
      <c r="K370" s="10">
        <v>-4.2012457000000003E-2</v>
      </c>
      <c r="L370" s="10">
        <v>-4.3634668000000001E-2</v>
      </c>
      <c r="M370" s="10">
        <v>-8.4243561999999994E-2</v>
      </c>
      <c r="N370" s="10">
        <v>-6.2858876999999994E-2</v>
      </c>
      <c r="O370" s="9">
        <v>-5.8187391249999998E-2</v>
      </c>
      <c r="P370" s="10">
        <v>1.9783470080250599E-2</v>
      </c>
      <c r="Q370" s="10">
        <v>3.9138568841610001E-4</v>
      </c>
    </row>
    <row r="371" spans="1:17" x14ac:dyDescent="0.2">
      <c r="A371" s="10">
        <v>1727</v>
      </c>
      <c r="B371" s="10" t="s">
        <v>2824</v>
      </c>
      <c r="C371" s="9" t="s">
        <v>2352</v>
      </c>
      <c r="D371" s="10">
        <v>0.17970607899999999</v>
      </c>
      <c r="E371" s="10">
        <v>0.13426675800000001</v>
      </c>
      <c r="F371" s="10">
        <v>0.53982697300000004</v>
      </c>
      <c r="G371" s="10">
        <v>0.62929230700000005</v>
      </c>
      <c r="H371" s="9">
        <v>0.37077302925</v>
      </c>
      <c r="I371" s="10">
        <v>0.25023538830750502</v>
      </c>
      <c r="J371" s="10">
        <v>6.2617749561408101E-2</v>
      </c>
      <c r="K371" s="10">
        <v>0.33580650699999998</v>
      </c>
      <c r="L371" s="10">
        <v>0.23325559100000001</v>
      </c>
      <c r="M371" s="10">
        <v>0.24232625799999999</v>
      </c>
      <c r="N371" s="10">
        <v>0.40450124399999998</v>
      </c>
      <c r="O371" s="9">
        <v>0.30397239999999998</v>
      </c>
      <c r="P371" s="10">
        <v>8.1487366593622795E-2</v>
      </c>
      <c r="Q371" s="10">
        <v>6.6401909143633999E-3</v>
      </c>
    </row>
    <row r="372" spans="1:17" x14ac:dyDescent="0.2">
      <c r="A372" s="10">
        <v>1727</v>
      </c>
      <c r="B372" s="10" t="s">
        <v>82</v>
      </c>
      <c r="C372" s="9" t="s">
        <v>1060</v>
      </c>
      <c r="D372" s="10">
        <v>8.1128116E-2</v>
      </c>
      <c r="E372" s="10">
        <v>0.169301803</v>
      </c>
      <c r="F372" s="10">
        <v>-0.51307930000000002</v>
      </c>
      <c r="G372" s="10">
        <v>-0.40036925600000001</v>
      </c>
      <c r="H372" s="9">
        <v>-0.16575465950000001</v>
      </c>
      <c r="I372" s="10">
        <v>0.341024120696718</v>
      </c>
      <c r="J372" s="10">
        <v>0.116297450896969</v>
      </c>
      <c r="K372" s="10">
        <v>0.47388346799999997</v>
      </c>
      <c r="L372" s="10">
        <v>-0.26334965500000002</v>
      </c>
      <c r="M372" s="10">
        <v>-0.76864636900000005</v>
      </c>
      <c r="N372" s="10">
        <v>-0.82060534799999996</v>
      </c>
      <c r="O372" s="9">
        <v>-0.34467947575000002</v>
      </c>
      <c r="P372" s="10">
        <v>0.60080867588966302</v>
      </c>
      <c r="Q372" s="10">
        <v>0.36097106502429099</v>
      </c>
    </row>
    <row r="373" spans="1:17" x14ac:dyDescent="0.2">
      <c r="A373" s="10">
        <v>1727</v>
      </c>
      <c r="B373" s="10" t="s">
        <v>2825</v>
      </c>
      <c r="C373" s="9" t="s">
        <v>2350</v>
      </c>
      <c r="D373" s="10">
        <v>-0.53751865799999998</v>
      </c>
      <c r="E373" s="10">
        <v>-0.38607835600000001</v>
      </c>
      <c r="F373" s="10">
        <v>-1.238665122</v>
      </c>
      <c r="G373" s="10">
        <v>-1.3437739959999999</v>
      </c>
      <c r="H373" s="9">
        <v>-0.87650903300000005</v>
      </c>
      <c r="I373" s="10">
        <v>0.48474402239136599</v>
      </c>
      <c r="J373" s="10">
        <v>0.234976767244162</v>
      </c>
      <c r="K373" s="10">
        <v>-0.62835861500000001</v>
      </c>
      <c r="L373" s="10">
        <v>-0.46408290699999999</v>
      </c>
      <c r="M373" s="10">
        <v>-1.1084294729999999</v>
      </c>
      <c r="N373" s="10">
        <v>-1.239760744</v>
      </c>
      <c r="O373" s="9">
        <v>-0.86015793475000002</v>
      </c>
      <c r="P373" s="10">
        <v>0.37253339972823801</v>
      </c>
      <c r="Q373" s="10">
        <v>0.138781133913079</v>
      </c>
    </row>
    <row r="374" spans="1:17" x14ac:dyDescent="0.2">
      <c r="A374" s="10">
        <v>1727</v>
      </c>
      <c r="B374" s="10" t="s">
        <v>74</v>
      </c>
      <c r="C374" s="9" t="s">
        <v>1061</v>
      </c>
      <c r="D374" s="10">
        <v>0.31022704299999998</v>
      </c>
      <c r="E374" s="10">
        <v>0.14298261800000001</v>
      </c>
      <c r="F374" s="10">
        <v>-0.150548925</v>
      </c>
      <c r="G374" s="10">
        <v>-0.27462089899999997</v>
      </c>
      <c r="H374" s="9">
        <v>7.0099595000000002E-3</v>
      </c>
      <c r="I374" s="10">
        <v>0.26743840794354501</v>
      </c>
      <c r="J374" s="10">
        <v>7.1523302043378298E-2</v>
      </c>
      <c r="K374" s="10">
        <v>5.9209689000000003E-2</v>
      </c>
      <c r="L374" s="10">
        <v>6.3619491E-2</v>
      </c>
      <c r="M374" s="10">
        <v>8.2270472999999997E-2</v>
      </c>
      <c r="N374" s="10">
        <v>3.7390090000000001E-2</v>
      </c>
      <c r="O374" s="9">
        <v>6.0622435750000002E-2</v>
      </c>
      <c r="P374" s="10">
        <v>1.8433281489162599E-2</v>
      </c>
      <c r="Q374" s="10">
        <v>3.3978586645869998E-4</v>
      </c>
    </row>
    <row r="375" spans="1:17" x14ac:dyDescent="0.2">
      <c r="A375" s="10">
        <v>1727</v>
      </c>
      <c r="B375" s="10" t="s">
        <v>2832</v>
      </c>
      <c r="C375" s="9" t="s">
        <v>1062</v>
      </c>
      <c r="D375" s="10">
        <v>0.18573332400000001</v>
      </c>
      <c r="E375" s="10">
        <v>0.129360698</v>
      </c>
      <c r="F375" s="10">
        <v>0.19836456399999999</v>
      </c>
      <c r="G375" s="10">
        <v>0.150365955</v>
      </c>
      <c r="H375" s="9">
        <v>0.16595613525</v>
      </c>
      <c r="I375" s="10">
        <v>3.1747562618481003E-2</v>
      </c>
      <c r="J375" s="10">
        <v>1.0079077322143E-3</v>
      </c>
      <c r="K375" s="10">
        <v>-7.9818002999999998E-2</v>
      </c>
      <c r="L375" s="10">
        <v>1.5556669E-2</v>
      </c>
      <c r="M375" s="10">
        <v>0.15891066000000001</v>
      </c>
      <c r="N375" s="10">
        <v>5.4837075999999998E-2</v>
      </c>
      <c r="O375" s="9">
        <v>3.7371600499999998E-2</v>
      </c>
      <c r="P375" s="10">
        <v>9.8802969293138296E-2</v>
      </c>
      <c r="Q375" s="10">
        <v>9.7620267411407998E-3</v>
      </c>
    </row>
    <row r="376" spans="1:17" x14ac:dyDescent="0.2">
      <c r="A376" s="10">
        <v>1728</v>
      </c>
      <c r="B376" s="10" t="s">
        <v>96</v>
      </c>
      <c r="C376" s="9" t="s">
        <v>2348</v>
      </c>
      <c r="D376" s="10">
        <v>-0.15944683800000001</v>
      </c>
      <c r="E376" s="10">
        <v>-0.39526565000000002</v>
      </c>
      <c r="F376" s="10">
        <v>-0.33179534100000002</v>
      </c>
      <c r="G376" s="10">
        <v>-3.5212946000000002E-2</v>
      </c>
      <c r="H376" s="9">
        <v>-0.23043019375000001</v>
      </c>
      <c r="I376" s="10">
        <v>0.16390447556099599</v>
      </c>
      <c r="J376" s="10">
        <v>2.6864677108925199E-2</v>
      </c>
      <c r="K376" s="10">
        <v>-0.134269201</v>
      </c>
      <c r="L376" s="10">
        <v>-0.172048111</v>
      </c>
      <c r="M376" s="10">
        <v>0.60066887599999996</v>
      </c>
      <c r="N376" s="10">
        <v>-0.100179827</v>
      </c>
      <c r="O376" s="9">
        <v>4.8542934250000003E-2</v>
      </c>
      <c r="P376" s="10">
        <v>0.36925248873289002</v>
      </c>
      <c r="Q376" s="10">
        <v>0.136347400435433</v>
      </c>
    </row>
    <row r="377" spans="1:17" x14ac:dyDescent="0.2">
      <c r="A377" s="10">
        <v>1728</v>
      </c>
      <c r="B377" s="10" t="s">
        <v>2821</v>
      </c>
      <c r="C377" s="9" t="s">
        <v>2347</v>
      </c>
      <c r="D377" s="10">
        <v>-0.42820837899999997</v>
      </c>
      <c r="E377" s="10">
        <v>-0.67161295200000004</v>
      </c>
      <c r="F377" s="10">
        <v>-0.68228597199999996</v>
      </c>
      <c r="G377" s="10">
        <v>-1.3134200970000001</v>
      </c>
      <c r="H377" s="9">
        <v>-0.77388184999999998</v>
      </c>
      <c r="I377" s="10">
        <v>0.378347459748199</v>
      </c>
      <c r="J377" s="10">
        <v>0.14314680029791499</v>
      </c>
      <c r="K377" s="10">
        <v>-1.0778635999999999E-2</v>
      </c>
      <c r="L377" s="10">
        <v>-9.4497504999999996E-2</v>
      </c>
      <c r="M377" s="10">
        <v>-0.125961921</v>
      </c>
      <c r="N377" s="10">
        <v>-9.7044228999999996E-2</v>
      </c>
      <c r="O377" s="9">
        <v>-8.2070572750000001E-2</v>
      </c>
      <c r="P377" s="10">
        <v>4.9624018792677499E-2</v>
      </c>
      <c r="Q377" s="10">
        <v>2.4625432411359998E-3</v>
      </c>
    </row>
    <row r="378" spans="1:17" x14ac:dyDescent="0.2">
      <c r="A378" s="10">
        <v>1728</v>
      </c>
      <c r="B378" s="10" t="s">
        <v>2820</v>
      </c>
      <c r="C378" s="9" t="s">
        <v>1063</v>
      </c>
      <c r="D378" s="10">
        <v>-0.49070298400000001</v>
      </c>
      <c r="E378" s="10">
        <v>-1.1056550970000001</v>
      </c>
      <c r="F378" s="10">
        <v>-0.157769297</v>
      </c>
      <c r="G378" s="10">
        <v>-0.35174860800000002</v>
      </c>
      <c r="H378" s="9">
        <v>-0.52646899650000001</v>
      </c>
      <c r="I378" s="10">
        <v>0.40955358999424701</v>
      </c>
      <c r="J378" s="10">
        <v>0.16773414307717499</v>
      </c>
      <c r="K378" s="10">
        <v>-0.36412144499999999</v>
      </c>
      <c r="L378" s="10">
        <v>-0.68146606300000001</v>
      </c>
      <c r="M378" s="10">
        <v>0.17070379699999999</v>
      </c>
      <c r="N378" s="10">
        <v>0.23863734</v>
      </c>
      <c r="O378" s="9">
        <v>-0.15906159275000001</v>
      </c>
      <c r="P378" s="10">
        <v>0.44040346158548499</v>
      </c>
      <c r="Q378" s="10">
        <v>0.193955208976477</v>
      </c>
    </row>
    <row r="379" spans="1:17" x14ac:dyDescent="0.2">
      <c r="A379" s="10">
        <v>1728</v>
      </c>
      <c r="B379" s="10" t="s">
        <v>2814</v>
      </c>
      <c r="C379" s="9" t="s">
        <v>2346</v>
      </c>
      <c r="D379" s="10">
        <v>-0.44406098799999999</v>
      </c>
      <c r="E379" s="10">
        <v>-0.14251497499999999</v>
      </c>
      <c r="F379" s="10">
        <v>-0.26371947099999998</v>
      </c>
      <c r="G379" s="10">
        <v>-0.59766308099999998</v>
      </c>
      <c r="H379" s="9">
        <v>-0.36198962875000001</v>
      </c>
      <c r="I379" s="10">
        <v>0.20008650766395</v>
      </c>
      <c r="J379" s="10">
        <v>4.00346105491559E-2</v>
      </c>
      <c r="K379" s="10">
        <v>-0.121953688</v>
      </c>
      <c r="L379" s="10">
        <v>0.28180726099999998</v>
      </c>
      <c r="M379" s="10">
        <v>-0.30102927000000002</v>
      </c>
      <c r="N379" s="10">
        <v>-0.50205819600000001</v>
      </c>
      <c r="O379" s="9">
        <v>-0.16080847325</v>
      </c>
      <c r="P379" s="10">
        <v>0.333432465756134</v>
      </c>
      <c r="Q379" s="10">
        <v>0.111177209220215</v>
      </c>
    </row>
    <row r="380" spans="1:17" x14ac:dyDescent="0.2">
      <c r="A380" s="10">
        <v>1728</v>
      </c>
      <c r="B380" s="10" t="s">
        <v>2833</v>
      </c>
      <c r="C380" s="9" t="s">
        <v>1064</v>
      </c>
      <c r="D380" s="10">
        <v>0.56613170199999996</v>
      </c>
      <c r="E380" s="10">
        <v>0.81450171900000001</v>
      </c>
      <c r="F380" s="10">
        <v>-8.8890210000000004E-3</v>
      </c>
      <c r="G380" s="10">
        <v>7.3610912000000001E-2</v>
      </c>
      <c r="H380" s="9">
        <v>0.361338828</v>
      </c>
      <c r="I380" s="10">
        <v>0.39461066924312699</v>
      </c>
      <c r="J380" s="10">
        <v>0.155717580280509</v>
      </c>
      <c r="K380" s="10">
        <v>0.361169823</v>
      </c>
      <c r="L380" s="10">
        <v>0.65005922000000005</v>
      </c>
      <c r="M380" s="10">
        <v>0.43710450000000001</v>
      </c>
      <c r="N380" s="10">
        <v>0.26729716399999998</v>
      </c>
      <c r="O380" s="9">
        <v>0.4289076765</v>
      </c>
      <c r="P380" s="10">
        <v>0.16297399348282801</v>
      </c>
      <c r="Q380" s="10">
        <v>2.6560522551740798E-2</v>
      </c>
    </row>
    <row r="381" spans="1:17" x14ac:dyDescent="0.2">
      <c r="A381" s="10">
        <v>1728</v>
      </c>
      <c r="B381" s="10" t="s">
        <v>74</v>
      </c>
      <c r="C381" s="9" t="s">
        <v>1065</v>
      </c>
      <c r="D381" s="10">
        <v>-0.32836443599999998</v>
      </c>
      <c r="E381" s="10">
        <v>-0.35929316300000003</v>
      </c>
      <c r="F381" s="10">
        <v>-0.56930832300000001</v>
      </c>
      <c r="G381" s="10">
        <v>-0.81040151299999996</v>
      </c>
      <c r="H381" s="9">
        <v>-0.51684185900000001</v>
      </c>
      <c r="I381" s="10">
        <v>0.223066007341089</v>
      </c>
      <c r="J381" s="10">
        <v>4.9758443631094697E-2</v>
      </c>
      <c r="K381" s="10">
        <v>-6.7519938000000002E-2</v>
      </c>
      <c r="L381" s="10">
        <v>-0.125247253</v>
      </c>
      <c r="M381" s="10">
        <v>-0.414314505</v>
      </c>
      <c r="N381" s="10">
        <v>-0.51617383699999997</v>
      </c>
      <c r="O381" s="9">
        <v>-0.28081388325000001</v>
      </c>
      <c r="P381" s="10">
        <v>0.218259789673139</v>
      </c>
      <c r="Q381" s="10">
        <v>4.7637335788162899E-2</v>
      </c>
    </row>
    <row r="382" spans="1:17" x14ac:dyDescent="0.2">
      <c r="A382" s="10">
        <v>1728</v>
      </c>
      <c r="B382" s="10" t="s">
        <v>2818</v>
      </c>
      <c r="C382" s="9" t="s">
        <v>47</v>
      </c>
      <c r="D382" s="10">
        <v>-0.35244415899999998</v>
      </c>
      <c r="E382" s="10">
        <v>-0.34320270800000002</v>
      </c>
      <c r="F382" s="10">
        <v>-0.64574299099999999</v>
      </c>
      <c r="G382" s="10">
        <v>-0.63168224900000003</v>
      </c>
      <c r="H382" s="9">
        <v>-0.49326802674999998</v>
      </c>
      <c r="I382" s="10">
        <v>0.16808536845277899</v>
      </c>
      <c r="J382" s="10">
        <v>2.8252691087906501E-2</v>
      </c>
      <c r="K382" s="10">
        <v>-0.43371009199999999</v>
      </c>
      <c r="L382" s="10">
        <v>-7.7745036000000003E-2</v>
      </c>
      <c r="M382" s="10">
        <v>-0.26479230399999998</v>
      </c>
      <c r="N382" s="10">
        <v>-0.73994236800000002</v>
      </c>
      <c r="O382" s="9">
        <v>-0.37904745000000001</v>
      </c>
      <c r="P382" s="10">
        <v>0.28111120536088802</v>
      </c>
      <c r="Q382" s="10">
        <v>7.90235097794518E-2</v>
      </c>
    </row>
    <row r="383" spans="1:17" x14ac:dyDescent="0.2">
      <c r="A383" s="10">
        <v>1728</v>
      </c>
      <c r="B383" s="10" t="s">
        <v>2830</v>
      </c>
      <c r="C383" s="9" t="s">
        <v>1066</v>
      </c>
      <c r="D383" s="10">
        <v>-0.26193155699999998</v>
      </c>
      <c r="E383" s="10">
        <v>-0.36847292500000001</v>
      </c>
      <c r="F383" s="10">
        <v>-0.73298092400000003</v>
      </c>
      <c r="G383" s="10">
        <v>-0.26520978000000001</v>
      </c>
      <c r="H383" s="9">
        <v>-0.40714879674999999</v>
      </c>
      <c r="I383" s="10">
        <v>0.222783249969148</v>
      </c>
      <c r="J383" s="10">
        <v>4.9632376466816099E-2</v>
      </c>
      <c r="K383" s="10">
        <v>-5.0521293000000002E-2</v>
      </c>
      <c r="L383" s="10">
        <v>-1.6399822000000001E-2</v>
      </c>
      <c r="M383" s="10">
        <v>-0.29702029400000002</v>
      </c>
      <c r="N383" s="10">
        <v>-0.43568088999999999</v>
      </c>
      <c r="O383" s="9">
        <v>-0.19990557475000001</v>
      </c>
      <c r="P383" s="10">
        <v>0.20084097598394501</v>
      </c>
      <c r="Q383" s="10">
        <v>4.03370976341835E-2</v>
      </c>
    </row>
    <row r="384" spans="1:17" x14ac:dyDescent="0.2">
      <c r="A384" s="10">
        <v>1729</v>
      </c>
      <c r="B384" s="10" t="s">
        <v>2821</v>
      </c>
      <c r="C384" s="9" t="s">
        <v>2345</v>
      </c>
      <c r="D384" s="10">
        <v>-0.116209146</v>
      </c>
      <c r="E384" s="10">
        <v>-0.94820610500000002</v>
      </c>
      <c r="F384" s="10">
        <v>0.20599200200000001</v>
      </c>
      <c r="G384" s="10">
        <v>0.218615114</v>
      </c>
      <c r="H384" s="9">
        <v>-0.15995203375</v>
      </c>
      <c r="I384" s="10">
        <v>0.54787043593884999</v>
      </c>
      <c r="J384" s="10">
        <v>0.30016201457582498</v>
      </c>
      <c r="K384" s="10">
        <v>0.15893563499999999</v>
      </c>
      <c r="L384" s="10">
        <v>-0.25043355899999997</v>
      </c>
      <c r="M384" s="10">
        <v>-4.9218259E-2</v>
      </c>
      <c r="N384" s="10">
        <v>0.38010756899999998</v>
      </c>
      <c r="O384" s="9">
        <v>5.9847846250000003E-2</v>
      </c>
      <c r="P384" s="10">
        <v>0.27114242607504901</v>
      </c>
      <c r="Q384" s="10">
        <v>7.3518215217863406E-2</v>
      </c>
    </row>
    <row r="385" spans="1:17" x14ac:dyDescent="0.2">
      <c r="A385" s="10">
        <v>1729</v>
      </c>
      <c r="B385" s="10" t="s">
        <v>79</v>
      </c>
      <c r="C385" s="9" t="s">
        <v>1067</v>
      </c>
      <c r="D385" s="10">
        <v>-0.93043373500000004</v>
      </c>
      <c r="E385" s="10">
        <v>-0.91033254699999999</v>
      </c>
      <c r="F385" s="10">
        <v>-0.77115161799999998</v>
      </c>
      <c r="G385" s="10">
        <v>-1.59619887</v>
      </c>
      <c r="H385" s="9">
        <v>-1.05202919225</v>
      </c>
      <c r="I385" s="10">
        <v>0.36962875266860401</v>
      </c>
      <c r="J385" s="10">
        <v>0.13662541479934801</v>
      </c>
      <c r="K385" s="10">
        <v>-8.0799799000000005E-2</v>
      </c>
      <c r="L385" s="10">
        <v>-0.38102907899999999</v>
      </c>
      <c r="M385" s="10">
        <v>-0.66996151000000004</v>
      </c>
      <c r="N385" s="10">
        <v>-1.599966725</v>
      </c>
      <c r="O385" s="9">
        <v>-0.68293927825</v>
      </c>
      <c r="P385" s="10">
        <v>0.65697018741193203</v>
      </c>
      <c r="Q385" s="10">
        <v>0.43160982714807</v>
      </c>
    </row>
    <row r="386" spans="1:17" x14ac:dyDescent="0.2">
      <c r="A386" s="10">
        <v>1729</v>
      </c>
      <c r="B386" s="10" t="s">
        <v>2817</v>
      </c>
      <c r="C386" s="9" t="s">
        <v>2628</v>
      </c>
      <c r="D386" s="10">
        <v>-0.111196059</v>
      </c>
      <c r="E386" s="10">
        <v>-0.629981295</v>
      </c>
      <c r="F386" s="10">
        <v>-0.27120254900000001</v>
      </c>
      <c r="G386" s="10">
        <v>-0.36514800400000003</v>
      </c>
      <c r="H386" s="9">
        <v>-0.34438197674999999</v>
      </c>
      <c r="I386" s="10">
        <v>0.21735462525202101</v>
      </c>
      <c r="J386" s="10">
        <v>4.7243033118446499E-2</v>
      </c>
      <c r="K386" s="10">
        <v>-0.22670568299999999</v>
      </c>
      <c r="L386" s="10">
        <v>-0.22488206699999999</v>
      </c>
      <c r="M386" s="10">
        <v>-0.542985579</v>
      </c>
      <c r="N386" s="10">
        <v>-0.25847004000000001</v>
      </c>
      <c r="O386" s="9">
        <v>-0.31326084225</v>
      </c>
      <c r="P386" s="10">
        <v>0.15392432144134799</v>
      </c>
      <c r="Q386" s="10">
        <v>2.3692696731179401E-2</v>
      </c>
    </row>
    <row r="387" spans="1:17" x14ac:dyDescent="0.2">
      <c r="A387" s="10">
        <v>1729</v>
      </c>
      <c r="B387" s="10" t="s">
        <v>2818</v>
      </c>
      <c r="C387" s="9" t="s">
        <v>1069</v>
      </c>
      <c r="D387" s="10">
        <v>0.21700762000000001</v>
      </c>
      <c r="E387" s="10">
        <v>0.706370728</v>
      </c>
      <c r="F387" s="10">
        <v>0.41829400900000002</v>
      </c>
      <c r="G387" s="10">
        <v>0.82837450199999996</v>
      </c>
      <c r="H387" s="9">
        <v>0.54251171499999995</v>
      </c>
      <c r="I387" s="10">
        <v>0.27685752261070601</v>
      </c>
      <c r="J387" s="10">
        <v>7.6650087826137595E-2</v>
      </c>
      <c r="K387" s="10">
        <v>0.77121066900000002</v>
      </c>
      <c r="L387" s="10">
        <v>0.95650600600000002</v>
      </c>
      <c r="M387" s="10">
        <v>1.2338144870000001</v>
      </c>
      <c r="N387" s="10">
        <v>1.1480016740000001</v>
      </c>
      <c r="O387" s="9">
        <v>1.0273832092499999</v>
      </c>
      <c r="P387" s="10">
        <v>0.20640626184850699</v>
      </c>
      <c r="Q387" s="10">
        <v>4.2603544930274698E-2</v>
      </c>
    </row>
    <row r="388" spans="1:17" x14ac:dyDescent="0.2">
      <c r="A388" s="10">
        <v>1729</v>
      </c>
      <c r="B388" s="10" t="s">
        <v>2832</v>
      </c>
      <c r="C388" s="9" t="s">
        <v>2344</v>
      </c>
      <c r="D388" s="10">
        <v>-0.40841223599999998</v>
      </c>
      <c r="E388" s="10">
        <v>-0.30174406799999998</v>
      </c>
      <c r="F388" s="10">
        <v>-0.30115333700000002</v>
      </c>
      <c r="G388" s="10">
        <v>-0.55554552300000004</v>
      </c>
      <c r="H388" s="9">
        <v>-0.39171379125</v>
      </c>
      <c r="I388" s="10">
        <v>0.120298824268181</v>
      </c>
      <c r="J388" s="10">
        <v>1.44718071203069E-2</v>
      </c>
      <c r="K388" s="10">
        <v>5.8799517000000003E-2</v>
      </c>
      <c r="L388" s="10">
        <v>-1.7690767E-2</v>
      </c>
      <c r="M388" s="10">
        <v>-2.1853948000000002E-2</v>
      </c>
      <c r="N388" s="10">
        <v>2.9531153000000001E-2</v>
      </c>
      <c r="O388" s="9">
        <v>1.2196489E-2</v>
      </c>
      <c r="P388" s="10">
        <v>3.8837323654195399E-2</v>
      </c>
      <c r="Q388" s="10">
        <v>1.5083377086207001E-3</v>
      </c>
    </row>
    <row r="389" spans="1:17" x14ac:dyDescent="0.2">
      <c r="A389" s="10">
        <v>1730</v>
      </c>
      <c r="B389" s="10" t="s">
        <v>2822</v>
      </c>
      <c r="C389" s="9" t="s">
        <v>2343</v>
      </c>
      <c r="D389" s="10">
        <v>-0.23105441800000001</v>
      </c>
      <c r="E389" s="10">
        <v>-0.457020749</v>
      </c>
      <c r="F389" s="10">
        <v>-0.59128224399999996</v>
      </c>
      <c r="G389" s="10">
        <v>3.2587156999999999E-2</v>
      </c>
      <c r="H389" s="9">
        <v>-0.31169256374999998</v>
      </c>
      <c r="I389" s="10">
        <v>0.27344817144512701</v>
      </c>
      <c r="J389" s="10">
        <v>7.4773902466683903E-2</v>
      </c>
      <c r="K389" s="10">
        <v>0.13954328599999999</v>
      </c>
      <c r="L389" s="10">
        <v>0.37294027000000002</v>
      </c>
      <c r="M389" s="10">
        <v>-0.21497330100000001</v>
      </c>
      <c r="N389" s="10">
        <v>-9.8388194999999998E-2</v>
      </c>
      <c r="O389" s="9">
        <v>4.9780514999999997E-2</v>
      </c>
      <c r="P389" s="10">
        <v>0.26111181003475897</v>
      </c>
      <c r="Q389" s="10">
        <v>6.8179377339628103E-2</v>
      </c>
    </row>
    <row r="390" spans="1:17" x14ac:dyDescent="0.2">
      <c r="A390" s="10">
        <v>1730</v>
      </c>
      <c r="B390" s="10" t="s">
        <v>2824</v>
      </c>
      <c r="C390" s="9" t="s">
        <v>2342</v>
      </c>
      <c r="D390" s="10">
        <v>0.156709714</v>
      </c>
      <c r="E390" s="10">
        <v>2.8519242E-2</v>
      </c>
      <c r="F390" s="10">
        <v>5.0500806000000002E-2</v>
      </c>
      <c r="G390" s="10">
        <v>-3.4281157999999999E-2</v>
      </c>
      <c r="H390" s="9">
        <v>5.0362151000000001E-2</v>
      </c>
      <c r="I390" s="10">
        <v>7.94804500350028E-2</v>
      </c>
      <c r="J390" s="10">
        <v>6.3171419377664999E-3</v>
      </c>
      <c r="K390" s="10">
        <v>0.11737911299999999</v>
      </c>
      <c r="L390" s="10">
        <v>0.28745098200000002</v>
      </c>
      <c r="M390" s="10">
        <v>0.133162316</v>
      </c>
      <c r="N390" s="10">
        <v>-3.4955924999999999E-2</v>
      </c>
      <c r="O390" s="9">
        <v>0.12575912124999999</v>
      </c>
      <c r="P390" s="10">
        <v>0.13178089865974901</v>
      </c>
      <c r="Q390" s="10">
        <v>1.73662052515711E-2</v>
      </c>
    </row>
    <row r="391" spans="1:17" x14ac:dyDescent="0.2">
      <c r="A391" s="10">
        <v>1730</v>
      </c>
      <c r="B391" s="10" t="s">
        <v>2830</v>
      </c>
      <c r="C391" s="9" t="s">
        <v>2341</v>
      </c>
      <c r="D391" s="10">
        <v>-0.10440065499999999</v>
      </c>
      <c r="E391" s="10">
        <v>0.355060449</v>
      </c>
      <c r="F391" s="10">
        <v>-0.254814755</v>
      </c>
      <c r="G391" s="10">
        <v>0.35126497899999998</v>
      </c>
      <c r="H391" s="9">
        <v>8.6777504500000005E-2</v>
      </c>
      <c r="I391" s="10">
        <v>0.313668467704943</v>
      </c>
      <c r="J391" s="10">
        <v>9.8387907632367003E-2</v>
      </c>
      <c r="K391" s="10">
        <v>0.111839472</v>
      </c>
      <c r="L391" s="10">
        <v>0.19841613399999999</v>
      </c>
      <c r="M391" s="10">
        <v>1.6574253000000001E-2</v>
      </c>
      <c r="N391" s="10">
        <v>1.8147320000000001E-3</v>
      </c>
      <c r="O391" s="9">
        <v>8.2161147749999996E-2</v>
      </c>
      <c r="P391" s="10">
        <v>9.1566391296325197E-2</v>
      </c>
      <c r="Q391" s="10">
        <v>8.3844040150316997E-3</v>
      </c>
    </row>
    <row r="392" spans="1:17" x14ac:dyDescent="0.2">
      <c r="A392" s="10">
        <v>1731</v>
      </c>
      <c r="B392" s="10" t="s">
        <v>2826</v>
      </c>
      <c r="C392" s="9" t="s">
        <v>2340</v>
      </c>
      <c r="D392" s="10">
        <v>-4.7570234000000003E-2</v>
      </c>
      <c r="E392" s="10">
        <v>0.108231327</v>
      </c>
      <c r="F392" s="10">
        <v>-0.45134649399999999</v>
      </c>
      <c r="G392" s="10">
        <v>-3.5727513000000002E-2</v>
      </c>
      <c r="H392" s="9">
        <v>-0.10660322875</v>
      </c>
      <c r="I392" s="10">
        <v>0.24049259644304999</v>
      </c>
      <c r="J392" s="10">
        <v>5.7836688943920002E-2</v>
      </c>
      <c r="K392" s="10">
        <v>0.15775526400000001</v>
      </c>
      <c r="L392" s="10">
        <v>0.37341022200000001</v>
      </c>
      <c r="M392" s="10">
        <v>0.115412056</v>
      </c>
      <c r="N392" s="10">
        <v>0.17889244400000001</v>
      </c>
      <c r="O392" s="9">
        <v>0.2063674965</v>
      </c>
      <c r="P392" s="10">
        <v>0.114446773592981</v>
      </c>
      <c r="Q392" s="10">
        <v>1.3098063985842999E-2</v>
      </c>
    </row>
    <row r="393" spans="1:17" x14ac:dyDescent="0.2">
      <c r="A393" s="10">
        <v>1731</v>
      </c>
      <c r="B393" s="10" t="s">
        <v>2821</v>
      </c>
      <c r="C393" s="9" t="s">
        <v>1071</v>
      </c>
      <c r="D393" s="10">
        <v>-0.665404039</v>
      </c>
      <c r="E393" s="10">
        <v>-0.33821954100000001</v>
      </c>
      <c r="F393" s="10">
        <v>-0.455230458</v>
      </c>
      <c r="G393" s="10">
        <v>0.221929338</v>
      </c>
      <c r="H393" s="9">
        <v>-0.30923117500000002</v>
      </c>
      <c r="I393" s="10">
        <v>0.37909836701496902</v>
      </c>
      <c r="J393" s="10">
        <v>0.14371557187341599</v>
      </c>
      <c r="K393" s="10">
        <v>-1.1710494E-2</v>
      </c>
      <c r="L393" s="10">
        <v>0.38077262299999998</v>
      </c>
      <c r="M393" s="10">
        <v>-0.57880868699999999</v>
      </c>
      <c r="N393" s="10">
        <v>-0.87141143799999998</v>
      </c>
      <c r="O393" s="9">
        <v>-0.27028949925000001</v>
      </c>
      <c r="P393" s="10">
        <v>0.561924272312332</v>
      </c>
      <c r="Q393" s="10">
        <v>0.31575888781374301</v>
      </c>
    </row>
    <row r="394" spans="1:17" x14ac:dyDescent="0.2">
      <c r="A394" s="10">
        <v>1731</v>
      </c>
      <c r="B394" s="10" t="s">
        <v>79</v>
      </c>
      <c r="C394" s="9" t="s">
        <v>2339</v>
      </c>
      <c r="D394" s="10">
        <v>-9.0115293999999999E-2</v>
      </c>
      <c r="E394" s="10">
        <v>-0.29331867700000003</v>
      </c>
      <c r="F394" s="10">
        <v>0.46372201200000002</v>
      </c>
      <c r="G394" s="10">
        <v>0.27728171200000001</v>
      </c>
      <c r="H394" s="9">
        <v>8.9392438000000005E-2</v>
      </c>
      <c r="I394" s="10">
        <v>0.34356747646209401</v>
      </c>
      <c r="J394" s="10">
        <v>0.11803861088253099</v>
      </c>
      <c r="K394" s="10">
        <v>-0.33182859300000001</v>
      </c>
      <c r="L394" s="10">
        <v>0.33029823699999999</v>
      </c>
      <c r="M394" s="10">
        <v>8.8085454999999993E-2</v>
      </c>
      <c r="N394" s="10">
        <v>0.27022565900000001</v>
      </c>
      <c r="O394" s="9">
        <v>8.9195189250000001E-2</v>
      </c>
      <c r="P394" s="10">
        <v>0.29897879932778099</v>
      </c>
      <c r="Q394" s="10">
        <v>8.9388322447481794E-2</v>
      </c>
    </row>
    <row r="395" spans="1:17" x14ac:dyDescent="0.2">
      <c r="A395" s="10">
        <v>1731</v>
      </c>
      <c r="B395" s="10" t="s">
        <v>2824</v>
      </c>
      <c r="C395" s="9" t="s">
        <v>1073</v>
      </c>
      <c r="D395" s="10">
        <v>-0.90729073999999998</v>
      </c>
      <c r="E395" s="10">
        <v>-0.51215552600000003</v>
      </c>
      <c r="F395" s="10">
        <v>-0.41337647599999999</v>
      </c>
      <c r="G395" s="10">
        <v>-0.19235142799999999</v>
      </c>
      <c r="H395" s="9">
        <v>-0.50629354250000003</v>
      </c>
      <c r="I395" s="10">
        <v>0.298901515417762</v>
      </c>
      <c r="J395" s="10">
        <v>8.9342115919034903E-2</v>
      </c>
      <c r="K395" s="10">
        <v>-0.135591358</v>
      </c>
      <c r="L395" s="10">
        <v>-0.39114132299999999</v>
      </c>
      <c r="M395" s="10">
        <v>-0.19442105800000001</v>
      </c>
      <c r="N395" s="10">
        <v>-9.8356074000000002E-2</v>
      </c>
      <c r="O395" s="9">
        <v>-0.20487745325000001</v>
      </c>
      <c r="P395" s="10">
        <v>0.13032131139122199</v>
      </c>
      <c r="Q395" s="10">
        <v>1.6983644202727799E-2</v>
      </c>
    </row>
    <row r="396" spans="1:17" x14ac:dyDescent="0.2">
      <c r="A396" s="10">
        <v>1731</v>
      </c>
      <c r="B396" s="10" t="s">
        <v>2814</v>
      </c>
      <c r="C396" s="9" t="s">
        <v>1074</v>
      </c>
      <c r="D396" s="10">
        <v>-0.117651675</v>
      </c>
      <c r="E396" s="10">
        <v>-0.135001704</v>
      </c>
      <c r="F396" s="10">
        <v>-0.167851212</v>
      </c>
      <c r="G396" s="10">
        <v>-0.38535198900000001</v>
      </c>
      <c r="H396" s="9">
        <v>-0.20146414500000001</v>
      </c>
      <c r="I396" s="10">
        <v>0.12434676597725899</v>
      </c>
      <c r="J396" s="10">
        <v>1.54621182090034E-2</v>
      </c>
      <c r="K396" s="10">
        <v>-0.19730398399999999</v>
      </c>
      <c r="L396" s="10">
        <v>-2.8332538000000001E-2</v>
      </c>
      <c r="M396" s="10">
        <v>-0.21379103099999999</v>
      </c>
      <c r="N396" s="10">
        <v>-0.178810161</v>
      </c>
      <c r="O396" s="9">
        <v>-0.15455942850000001</v>
      </c>
      <c r="P396" s="10">
        <v>8.5355737303156001E-2</v>
      </c>
      <c r="Q396" s="10">
        <v>7.2856018905653004E-3</v>
      </c>
    </row>
    <row r="397" spans="1:17" x14ac:dyDescent="0.2">
      <c r="A397" s="10">
        <v>1731</v>
      </c>
      <c r="B397" s="10" t="s">
        <v>2833</v>
      </c>
      <c r="C397" s="9" t="s">
        <v>1075</v>
      </c>
      <c r="D397" s="10">
        <v>-0.46235224699999999</v>
      </c>
      <c r="E397" s="10">
        <v>-0.14333759099999999</v>
      </c>
      <c r="F397" s="10">
        <v>-0.247996034</v>
      </c>
      <c r="G397" s="10">
        <v>-0.17287277400000001</v>
      </c>
      <c r="H397" s="9">
        <v>-0.2566396615</v>
      </c>
      <c r="I397" s="10">
        <v>0.144044704577523</v>
      </c>
      <c r="J397" s="10">
        <v>2.0748876916826E-2</v>
      </c>
      <c r="K397" s="10">
        <v>-0.138264837</v>
      </c>
      <c r="L397" s="10">
        <v>-0.226811544</v>
      </c>
      <c r="M397" s="10">
        <v>-5.9956994E-2</v>
      </c>
      <c r="N397" s="10">
        <v>-0.18171172299999999</v>
      </c>
      <c r="O397" s="9">
        <v>-0.15168627474999999</v>
      </c>
      <c r="P397" s="10">
        <v>7.1039260414430594E-2</v>
      </c>
      <c r="Q397" s="10">
        <v>5.0465765202291997E-3</v>
      </c>
    </row>
    <row r="398" spans="1:17" x14ac:dyDescent="0.2">
      <c r="A398" s="10">
        <v>1731</v>
      </c>
      <c r="B398" s="10" t="s">
        <v>2825</v>
      </c>
      <c r="C398" s="9" t="s">
        <v>2338</v>
      </c>
      <c r="D398" s="10">
        <v>-1.7565258290000001</v>
      </c>
      <c r="E398" s="10">
        <v>-1.33084691</v>
      </c>
      <c r="F398" s="10">
        <v>-1.71616174</v>
      </c>
      <c r="G398" s="10">
        <v>-0.91554480800000004</v>
      </c>
      <c r="H398" s="9">
        <v>-1.4297698217499999</v>
      </c>
      <c r="I398" s="10">
        <v>0.39285405532171902</v>
      </c>
      <c r="J398" s="10">
        <v>0.15433430878272</v>
      </c>
      <c r="K398" s="10">
        <v>-0.26659458800000002</v>
      </c>
      <c r="L398" s="10">
        <v>-0.81138315400000005</v>
      </c>
      <c r="M398" s="10">
        <v>-1.130691527</v>
      </c>
      <c r="N398" s="10">
        <v>-1.832261176</v>
      </c>
      <c r="O398" s="9">
        <v>-1.01023261125</v>
      </c>
      <c r="P398" s="10">
        <v>0.65390619304820696</v>
      </c>
      <c r="Q398" s="10">
        <v>0.42759330930679901</v>
      </c>
    </row>
    <row r="399" spans="1:17" x14ac:dyDescent="0.2">
      <c r="A399" s="10">
        <v>1731</v>
      </c>
      <c r="B399" s="10" t="s">
        <v>74</v>
      </c>
      <c r="C399" s="9" t="s">
        <v>2337</v>
      </c>
      <c r="D399" s="10">
        <v>-0.36855616899999999</v>
      </c>
      <c r="E399" s="10">
        <v>-0.109331171</v>
      </c>
      <c r="F399" s="10">
        <v>-0.66140558000000005</v>
      </c>
      <c r="G399" s="10">
        <v>-0.54402900799999998</v>
      </c>
      <c r="H399" s="9">
        <v>-0.42083048174999999</v>
      </c>
      <c r="I399" s="10">
        <v>0.24001297127403901</v>
      </c>
      <c r="J399" s="10">
        <v>5.7606226379792902E-2</v>
      </c>
      <c r="K399" s="10">
        <v>0.15883576499999999</v>
      </c>
      <c r="L399" s="10">
        <v>5.9306998E-2</v>
      </c>
      <c r="M399" s="10">
        <v>0.193273479</v>
      </c>
      <c r="N399" s="10">
        <v>-0.16732163</v>
      </c>
      <c r="O399" s="9">
        <v>6.1023652999999997E-2</v>
      </c>
      <c r="P399" s="10">
        <v>0.162482553836475</v>
      </c>
      <c r="Q399" s="10">
        <v>2.64005803012233E-2</v>
      </c>
    </row>
    <row r="400" spans="1:17" x14ac:dyDescent="0.2">
      <c r="A400" s="10">
        <v>1731</v>
      </c>
      <c r="B400" s="10" t="s">
        <v>2832</v>
      </c>
      <c r="C400" s="9" t="s">
        <v>1076</v>
      </c>
      <c r="D400" s="10">
        <v>0.293103948</v>
      </c>
      <c r="E400" s="10">
        <v>9.7084320000000002E-2</v>
      </c>
      <c r="F400" s="10">
        <v>0.40152229499999997</v>
      </c>
      <c r="G400" s="10">
        <v>0.42208746400000002</v>
      </c>
      <c r="H400" s="9">
        <v>0.30344950674999999</v>
      </c>
      <c r="I400" s="10">
        <v>0.14875803349040101</v>
      </c>
      <c r="J400" s="10">
        <v>2.21289525279314E-2</v>
      </c>
      <c r="K400" s="10">
        <v>0.187365377</v>
      </c>
      <c r="L400" s="10">
        <v>0.138840402</v>
      </c>
      <c r="M400" s="10">
        <v>0.65925258399999997</v>
      </c>
      <c r="N400" s="10">
        <v>0.67204546200000004</v>
      </c>
      <c r="O400" s="9">
        <v>0.41437595649999998</v>
      </c>
      <c r="P400" s="10">
        <v>0.29086754245356899</v>
      </c>
      <c r="Q400" s="10">
        <v>8.46039272529788E-2</v>
      </c>
    </row>
    <row r="401" spans="1:17" x14ac:dyDescent="0.2">
      <c r="A401" s="10">
        <v>1732</v>
      </c>
      <c r="B401" s="10" t="s">
        <v>2814</v>
      </c>
      <c r="C401" s="9" t="s">
        <v>1077</v>
      </c>
      <c r="D401" s="10">
        <v>0.28628776299999997</v>
      </c>
      <c r="E401" s="10">
        <v>-4.1288522000000001E-2</v>
      </c>
      <c r="F401" s="10">
        <v>-8.1172288999999995E-2</v>
      </c>
      <c r="G401" s="10">
        <v>7.1055124999999997E-2</v>
      </c>
      <c r="H401" s="9">
        <v>5.8720519249999999E-2</v>
      </c>
      <c r="I401" s="10">
        <v>0.164834057017752</v>
      </c>
      <c r="J401" s="10">
        <v>2.71702663529317E-2</v>
      </c>
      <c r="K401" s="10">
        <v>0.130421438</v>
      </c>
      <c r="L401" s="10">
        <v>0.32729066499999998</v>
      </c>
      <c r="M401" s="10">
        <v>0.10926187599999999</v>
      </c>
      <c r="N401" s="10">
        <v>-0.18547445400000001</v>
      </c>
      <c r="O401" s="9">
        <v>9.5374881250000001E-2</v>
      </c>
      <c r="P401" s="10">
        <v>0.21140986229436001</v>
      </c>
      <c r="Q401" s="10">
        <v>4.4694129875320301E-2</v>
      </c>
    </row>
    <row r="402" spans="1:17" x14ac:dyDescent="0.2">
      <c r="A402" s="10">
        <v>1733</v>
      </c>
      <c r="B402" s="10" t="s">
        <v>2822</v>
      </c>
      <c r="C402" s="9" t="s">
        <v>1078</v>
      </c>
      <c r="D402" s="10">
        <v>0.26031895900000002</v>
      </c>
      <c r="E402" s="10">
        <v>3.6519795000000001E-2</v>
      </c>
      <c r="F402" s="10">
        <v>0.65081654799999999</v>
      </c>
      <c r="G402" s="10">
        <v>0.49363944700000001</v>
      </c>
      <c r="H402" s="9">
        <v>0.36032368749999999</v>
      </c>
      <c r="I402" s="10">
        <v>0.268954209394489</v>
      </c>
      <c r="J402" s="10">
        <v>7.2336366751014805E-2</v>
      </c>
      <c r="K402" s="10">
        <v>0.333894625</v>
      </c>
      <c r="L402" s="10">
        <v>5.6602599000000003E-2</v>
      </c>
      <c r="M402" s="10">
        <v>0.83362763399999995</v>
      </c>
      <c r="N402" s="10">
        <v>0.71841472900000003</v>
      </c>
      <c r="O402" s="9">
        <v>0.48563489674999999</v>
      </c>
      <c r="P402" s="10">
        <v>0.35701504079636598</v>
      </c>
      <c r="Q402" s="10">
        <v>0.12745973935483099</v>
      </c>
    </row>
    <row r="403" spans="1:17" x14ac:dyDescent="0.2">
      <c r="A403" s="10">
        <v>1733</v>
      </c>
      <c r="B403" s="10" t="s">
        <v>2821</v>
      </c>
      <c r="C403" s="9" t="s">
        <v>1079</v>
      </c>
      <c r="D403" s="10">
        <v>0.34353789000000001</v>
      </c>
      <c r="E403" s="10">
        <v>-0.39655474299999999</v>
      </c>
      <c r="F403" s="10">
        <v>-0.41330683699999998</v>
      </c>
      <c r="G403" s="10">
        <v>-0.282413953</v>
      </c>
      <c r="H403" s="9">
        <v>-0.18718441075</v>
      </c>
      <c r="I403" s="10">
        <v>0.35856292516571298</v>
      </c>
      <c r="J403" s="10">
        <v>0.12856737130339299</v>
      </c>
      <c r="K403" s="10">
        <v>-0.39231142800000002</v>
      </c>
      <c r="L403" s="10">
        <v>-0.37821521299999999</v>
      </c>
      <c r="M403" s="10">
        <v>-0.436590431</v>
      </c>
      <c r="N403" s="10">
        <v>-0.59901107200000003</v>
      </c>
      <c r="O403" s="9">
        <v>-0.45153203624999999</v>
      </c>
      <c r="P403" s="10">
        <v>0.10141622908615799</v>
      </c>
      <c r="Q403" s="10">
        <v>1.02852515220561E-2</v>
      </c>
    </row>
    <row r="404" spans="1:17" x14ac:dyDescent="0.2">
      <c r="A404" s="10">
        <v>1733</v>
      </c>
      <c r="B404" s="10" t="s">
        <v>79</v>
      </c>
      <c r="C404" s="9" t="s">
        <v>2335</v>
      </c>
      <c r="D404" s="10">
        <v>-0.94024764699999996</v>
      </c>
      <c r="E404" s="10">
        <v>-0.79263799000000001</v>
      </c>
      <c r="F404" s="10">
        <v>-1.2277443219999999</v>
      </c>
      <c r="G404" s="10">
        <v>-0.93127106900000001</v>
      </c>
      <c r="H404" s="9">
        <v>-0.97297525699999998</v>
      </c>
      <c r="I404" s="10">
        <v>0.18279236134938701</v>
      </c>
      <c r="J404" s="10">
        <v>3.3413047367684898E-2</v>
      </c>
      <c r="K404" s="10">
        <v>-0.65935033799999998</v>
      </c>
      <c r="L404" s="10">
        <v>-1.966478468</v>
      </c>
      <c r="M404" s="10">
        <v>-1.5049342489999999</v>
      </c>
      <c r="N404" s="10">
        <v>-1.389716669</v>
      </c>
      <c r="O404" s="9">
        <v>-1.3801199307500001</v>
      </c>
      <c r="P404" s="10">
        <v>0.54129346675785495</v>
      </c>
      <c r="Q404" s="10">
        <v>0.29299861715473702</v>
      </c>
    </row>
    <row r="405" spans="1:17" x14ac:dyDescent="0.2">
      <c r="A405" s="10">
        <v>1733</v>
      </c>
      <c r="B405" s="10" t="s">
        <v>2824</v>
      </c>
      <c r="C405" s="9" t="s">
        <v>2334</v>
      </c>
      <c r="D405" s="10">
        <v>-0.47351186699999998</v>
      </c>
      <c r="E405" s="10">
        <v>-0.33957664199999998</v>
      </c>
      <c r="F405" s="10">
        <v>0.13022404700000001</v>
      </c>
      <c r="G405" s="10">
        <v>0.12626680700000001</v>
      </c>
      <c r="H405" s="9">
        <v>-0.139149414</v>
      </c>
      <c r="I405" s="10">
        <v>0.31356932011969302</v>
      </c>
      <c r="J405" s="10">
        <v>9.8325718520326802E-2</v>
      </c>
      <c r="K405" s="10">
        <v>-0.36968884600000002</v>
      </c>
      <c r="L405" s="10">
        <v>-0.61139604800000003</v>
      </c>
      <c r="M405" s="10">
        <v>0.69386842800000004</v>
      </c>
      <c r="N405" s="10">
        <v>0.383470384</v>
      </c>
      <c r="O405" s="9">
        <v>2.4063479249999999E-2</v>
      </c>
      <c r="P405" s="10">
        <v>0.61553816479688195</v>
      </c>
      <c r="Q405" s="10">
        <v>0.378887232321513</v>
      </c>
    </row>
    <row r="406" spans="1:17" x14ac:dyDescent="0.2">
      <c r="A406" s="10">
        <v>1733</v>
      </c>
      <c r="B406" s="10" t="s">
        <v>2817</v>
      </c>
      <c r="C406" s="9" t="s">
        <v>2333</v>
      </c>
      <c r="D406" s="10">
        <v>-0.19055654299999999</v>
      </c>
      <c r="E406" s="10">
        <v>-5.8122536000000002E-2</v>
      </c>
      <c r="F406" s="10">
        <v>-0.45067213299999997</v>
      </c>
      <c r="G406" s="10">
        <v>-7.3868933999999997E-2</v>
      </c>
      <c r="H406" s="9">
        <v>-0.1933050365</v>
      </c>
      <c r="I406" s="10">
        <v>0.181461352725755</v>
      </c>
      <c r="J406" s="10">
        <v>3.2928222533060901E-2</v>
      </c>
      <c r="K406" s="10">
        <v>0.16570849800000001</v>
      </c>
      <c r="L406" s="10">
        <v>0.35341883899999998</v>
      </c>
      <c r="M406" s="10">
        <v>-0.43510890099999999</v>
      </c>
      <c r="N406" s="10">
        <v>-0.152302193</v>
      </c>
      <c r="O406" s="9">
        <v>-1.70709395E-2</v>
      </c>
      <c r="P406" s="10">
        <v>0.34819258460611102</v>
      </c>
      <c r="Q406" s="10">
        <v>0.121238075974684</v>
      </c>
    </row>
    <row r="407" spans="1:17" x14ac:dyDescent="0.2">
      <c r="A407" s="10">
        <v>1733</v>
      </c>
      <c r="B407" s="10" t="s">
        <v>2814</v>
      </c>
      <c r="C407" s="9" t="s">
        <v>2332</v>
      </c>
      <c r="D407" s="10">
        <v>0.232483682</v>
      </c>
      <c r="E407" s="10">
        <v>7.7135047999999998E-2</v>
      </c>
      <c r="F407" s="10">
        <v>0.15594835000000001</v>
      </c>
      <c r="G407" s="10">
        <v>7.5486873999999995E-2</v>
      </c>
      <c r="H407" s="9">
        <v>0.1352634885</v>
      </c>
      <c r="I407" s="10">
        <v>7.4903913461392302E-2</v>
      </c>
      <c r="J407" s="10">
        <v>5.6105962518317003E-3</v>
      </c>
      <c r="K407" s="10">
        <v>9.6339819999999993E-3</v>
      </c>
      <c r="L407" s="10">
        <v>-3.0294216999999998E-2</v>
      </c>
      <c r="M407" s="10">
        <v>-5.7529920000000002E-3</v>
      </c>
      <c r="N407" s="10">
        <v>0.114682936</v>
      </c>
      <c r="O407" s="9">
        <v>2.206742725E-2</v>
      </c>
      <c r="P407" s="10">
        <v>6.3895593321228294E-2</v>
      </c>
      <c r="Q407" s="10">
        <v>4.0826468458718002E-3</v>
      </c>
    </row>
    <row r="408" spans="1:17" x14ac:dyDescent="0.2">
      <c r="A408" s="10">
        <v>1733</v>
      </c>
      <c r="B408" s="10" t="s">
        <v>2833</v>
      </c>
      <c r="C408" s="9" t="s">
        <v>1080</v>
      </c>
      <c r="D408" s="10">
        <v>-0.24587547200000001</v>
      </c>
      <c r="E408" s="10">
        <v>5.1662448E-2</v>
      </c>
      <c r="F408" s="10">
        <v>6.0133555999999998E-2</v>
      </c>
      <c r="G408" s="10">
        <v>9.3744799000000004E-2</v>
      </c>
      <c r="H408" s="9">
        <v>-1.0083667249999999E-2</v>
      </c>
      <c r="I408" s="10">
        <v>0.15824155246594299</v>
      </c>
      <c r="J408" s="10">
        <v>2.5040388926832E-2</v>
      </c>
      <c r="K408" s="10">
        <v>-0.20030004300000001</v>
      </c>
      <c r="L408" s="10">
        <v>2.7536224000000002E-2</v>
      </c>
      <c r="M408" s="10">
        <v>0.26104716100000003</v>
      </c>
      <c r="N408" s="10">
        <v>-0.36689038600000001</v>
      </c>
      <c r="O408" s="9">
        <v>-6.9651761000000006E-2</v>
      </c>
      <c r="P408" s="10">
        <v>0.27339047485343698</v>
      </c>
      <c r="Q408" s="10">
        <v>7.4742351740588103E-2</v>
      </c>
    </row>
    <row r="409" spans="1:17" x14ac:dyDescent="0.2">
      <c r="A409" s="10">
        <v>1733</v>
      </c>
      <c r="B409" s="10" t="s">
        <v>2825</v>
      </c>
      <c r="C409" s="9" t="s">
        <v>2331</v>
      </c>
      <c r="D409" s="10">
        <v>-0.24892539499999999</v>
      </c>
      <c r="E409" s="10">
        <v>-0.21955846600000001</v>
      </c>
      <c r="F409" s="10">
        <v>-0.56485160999999995</v>
      </c>
      <c r="G409" s="10">
        <v>-0.223707131</v>
      </c>
      <c r="H409" s="9">
        <v>-0.31426065050000002</v>
      </c>
      <c r="I409" s="10">
        <v>0.167563886560012</v>
      </c>
      <c r="J409" s="10">
        <v>2.80776560790966E-2</v>
      </c>
      <c r="K409" s="10">
        <v>-0.19191280599999999</v>
      </c>
      <c r="L409" s="10">
        <v>0.12254122000000001</v>
      </c>
      <c r="M409" s="10">
        <v>-0.43165669299999998</v>
      </c>
      <c r="N409" s="10">
        <v>-0.777132763</v>
      </c>
      <c r="O409" s="9">
        <v>-0.31954026050000001</v>
      </c>
      <c r="P409" s="10">
        <v>0.38021300842376898</v>
      </c>
      <c r="Q409" s="10">
        <v>0.14456193177465301</v>
      </c>
    </row>
    <row r="410" spans="1:17" x14ac:dyDescent="0.2">
      <c r="A410" s="10">
        <v>1733</v>
      </c>
      <c r="B410" s="10" t="s">
        <v>74</v>
      </c>
      <c r="C410" s="9" t="s">
        <v>2330</v>
      </c>
      <c r="D410" s="10">
        <v>-0.21745614199999999</v>
      </c>
      <c r="E410" s="10">
        <v>0.20450489599999999</v>
      </c>
      <c r="F410" s="10">
        <v>-0.48194684999999998</v>
      </c>
      <c r="G410" s="10">
        <v>-0.61341485600000001</v>
      </c>
      <c r="H410" s="9">
        <v>-0.27707823775000001</v>
      </c>
      <c r="I410" s="10">
        <v>0.36081878095759701</v>
      </c>
      <c r="J410" s="10">
        <v>0.13019019269172599</v>
      </c>
      <c r="K410" s="10">
        <v>-0.45077577899999999</v>
      </c>
      <c r="L410" s="10">
        <v>-1.6800263999999999E-2</v>
      </c>
      <c r="M410" s="10">
        <v>-0.1682901</v>
      </c>
      <c r="N410" s="10">
        <v>-1.0444859049999999</v>
      </c>
      <c r="O410" s="9">
        <v>-0.42008801174999999</v>
      </c>
      <c r="P410" s="10">
        <v>0.45345255687181302</v>
      </c>
      <c r="Q410" s="10">
        <v>0.20561922133358501</v>
      </c>
    </row>
    <row r="411" spans="1:17" x14ac:dyDescent="0.2">
      <c r="A411" s="10">
        <v>1733</v>
      </c>
      <c r="B411" s="10" t="s">
        <v>2818</v>
      </c>
      <c r="C411" s="9" t="s">
        <v>1081</v>
      </c>
      <c r="D411" s="10">
        <v>0.12086677899999999</v>
      </c>
      <c r="E411" s="10">
        <v>-4.6530606000000002E-2</v>
      </c>
      <c r="F411" s="10">
        <v>-0.160221963</v>
      </c>
      <c r="G411" s="10">
        <v>0.30989337500000003</v>
      </c>
      <c r="H411" s="9">
        <v>5.6001896250000002E-2</v>
      </c>
      <c r="I411" s="10">
        <v>0.20488533974123399</v>
      </c>
      <c r="J411" s="10">
        <v>4.1978002440880999E-2</v>
      </c>
      <c r="K411" s="10">
        <v>5.3772834999999998E-2</v>
      </c>
      <c r="L411" s="10">
        <v>-3.6045735000000002E-2</v>
      </c>
      <c r="M411" s="10">
        <v>0.14314458199999999</v>
      </c>
      <c r="N411" s="10">
        <v>0.50791282599999998</v>
      </c>
      <c r="O411" s="9">
        <v>0.16719612675000001</v>
      </c>
      <c r="P411" s="10">
        <v>0.238633920075421</v>
      </c>
      <c r="Q411" s="10">
        <v>5.6946147810562599E-2</v>
      </c>
    </row>
    <row r="412" spans="1:17" x14ac:dyDescent="0.2">
      <c r="A412" s="10">
        <v>1733</v>
      </c>
      <c r="B412" s="10" t="s">
        <v>2830</v>
      </c>
      <c r="C412" s="9" t="s">
        <v>1082</v>
      </c>
      <c r="D412" s="10">
        <v>-7.2124412999999998E-2</v>
      </c>
      <c r="E412" s="10">
        <v>6.2618447999999993E-2</v>
      </c>
      <c r="F412" s="10">
        <v>-0.40285989500000002</v>
      </c>
      <c r="G412" s="10">
        <v>-0.91933573099999999</v>
      </c>
      <c r="H412" s="9">
        <v>-0.33292539799999998</v>
      </c>
      <c r="I412" s="10">
        <v>0.43712698399330702</v>
      </c>
      <c r="J412" s="10">
        <v>0.191080000135085</v>
      </c>
      <c r="K412" s="10">
        <v>-7.6302481000000005E-2</v>
      </c>
      <c r="L412" s="10">
        <v>-7.2549434999999995E-2</v>
      </c>
      <c r="M412" s="10">
        <v>-0.18748066699999999</v>
      </c>
      <c r="N412" s="10">
        <v>-0.421212009</v>
      </c>
      <c r="O412" s="9">
        <v>-0.18938614775000001</v>
      </c>
      <c r="P412" s="10">
        <v>0.16348862746691101</v>
      </c>
      <c r="Q412" s="10">
        <v>2.6728531311014599E-2</v>
      </c>
    </row>
    <row r="413" spans="1:17" x14ac:dyDescent="0.2">
      <c r="A413" s="10">
        <v>1734</v>
      </c>
      <c r="B413" s="10" t="s">
        <v>2823</v>
      </c>
      <c r="C413" s="9" t="s">
        <v>2627</v>
      </c>
      <c r="D413" s="10">
        <v>-1.301510806</v>
      </c>
      <c r="E413" s="10">
        <v>-1.861433557</v>
      </c>
      <c r="F413" s="10">
        <v>-0.96190755999999999</v>
      </c>
      <c r="G413" s="10">
        <v>-0.80357340499999996</v>
      </c>
      <c r="H413" s="9">
        <v>-1.2321063320000001</v>
      </c>
      <c r="I413" s="10">
        <v>0.46815865652964</v>
      </c>
      <c r="J413" s="10">
        <v>0.21917252768363699</v>
      </c>
      <c r="K413" s="10">
        <v>-3.7229941000000003E-2</v>
      </c>
      <c r="L413" s="10">
        <v>-0.303774708</v>
      </c>
      <c r="M413" s="10">
        <v>-8.9641866000000001E-2</v>
      </c>
      <c r="N413" s="10">
        <v>-5.6672764E-2</v>
      </c>
      <c r="O413" s="9">
        <v>-0.12182982000000001</v>
      </c>
      <c r="P413" s="10">
        <v>0.12321064364932099</v>
      </c>
      <c r="Q413" s="10">
        <v>1.5180862708480101E-2</v>
      </c>
    </row>
    <row r="414" spans="1:17" x14ac:dyDescent="0.2">
      <c r="A414" s="10">
        <v>1734</v>
      </c>
      <c r="B414" s="10" t="s">
        <v>79</v>
      </c>
      <c r="C414" s="9" t="s">
        <v>1083</v>
      </c>
      <c r="D414" s="10">
        <v>-1.574949535</v>
      </c>
      <c r="E414" s="10">
        <v>-1.878741158</v>
      </c>
      <c r="F414" s="10">
        <v>-1.036855364</v>
      </c>
      <c r="G414" s="10">
        <v>-1.656365431</v>
      </c>
      <c r="H414" s="9">
        <v>-1.5367278719999999</v>
      </c>
      <c r="I414" s="10">
        <v>0.35712726634478198</v>
      </c>
      <c r="J414" s="10">
        <v>0.12753988436689701</v>
      </c>
      <c r="K414" s="10">
        <v>-0.14318967199999999</v>
      </c>
      <c r="L414" s="10">
        <v>-0.37154166199999999</v>
      </c>
      <c r="M414" s="10">
        <v>-0.65961194999999995</v>
      </c>
      <c r="N414" s="10">
        <v>-0.65627317200000002</v>
      </c>
      <c r="O414" s="9">
        <v>-0.457654114</v>
      </c>
      <c r="P414" s="10">
        <v>0.24935900317576501</v>
      </c>
      <c r="Q414" s="10">
        <v>6.2179912464811297E-2</v>
      </c>
    </row>
    <row r="415" spans="1:17" x14ac:dyDescent="0.2">
      <c r="A415" s="10">
        <v>1734</v>
      </c>
      <c r="B415" s="10" t="s">
        <v>2824</v>
      </c>
      <c r="C415" s="9" t="s">
        <v>1084</v>
      </c>
      <c r="D415" s="10">
        <v>-1.291180966</v>
      </c>
      <c r="E415" s="10">
        <v>-1.3915049049999999</v>
      </c>
      <c r="F415" s="10">
        <v>-0.88199364700000005</v>
      </c>
      <c r="G415" s="10">
        <v>-0.804599179</v>
      </c>
      <c r="H415" s="9">
        <v>-1.0923196742500001</v>
      </c>
      <c r="I415" s="10">
        <v>0.29216304624933997</v>
      </c>
      <c r="J415" s="10">
        <v>8.5359245593694094E-2</v>
      </c>
      <c r="K415" s="10">
        <v>-0.61645886999999999</v>
      </c>
      <c r="L415" s="10">
        <v>-0.37028913699999999</v>
      </c>
      <c r="M415" s="10">
        <v>-0.104185482</v>
      </c>
      <c r="N415" s="10">
        <v>-0.46478056800000001</v>
      </c>
      <c r="O415" s="9">
        <v>-0.38892851449999999</v>
      </c>
      <c r="P415" s="10">
        <v>0.21521277660724999</v>
      </c>
      <c r="Q415" s="10">
        <v>4.63165392150022E-2</v>
      </c>
    </row>
    <row r="416" spans="1:17" x14ac:dyDescent="0.2">
      <c r="A416" s="10">
        <v>1734</v>
      </c>
      <c r="B416" s="10" t="s">
        <v>2817</v>
      </c>
      <c r="C416" s="9" t="s">
        <v>1085</v>
      </c>
      <c r="D416" s="10">
        <v>-0.638226289</v>
      </c>
      <c r="E416" s="10">
        <v>-0.65167792000000002</v>
      </c>
      <c r="F416" s="10">
        <v>-0.73058896600000001</v>
      </c>
      <c r="G416" s="10">
        <v>-0.77612561800000002</v>
      </c>
      <c r="H416" s="9">
        <v>-0.69915469824999998</v>
      </c>
      <c r="I416" s="10">
        <v>6.5520864877469304E-2</v>
      </c>
      <c r="J416" s="10">
        <v>4.2929837342915002E-3</v>
      </c>
      <c r="K416" s="10">
        <v>-6.3960568999999995E-2</v>
      </c>
      <c r="L416" s="10">
        <v>-9.0828829E-2</v>
      </c>
      <c r="M416" s="10">
        <v>-0.62877155200000001</v>
      </c>
      <c r="N416" s="10">
        <v>-0.26233435900000002</v>
      </c>
      <c r="O416" s="9">
        <v>-0.26147382749999998</v>
      </c>
      <c r="P416" s="10">
        <v>0.26015351989014301</v>
      </c>
      <c r="Q416" s="10">
        <v>6.7679853911231005E-2</v>
      </c>
    </row>
    <row r="417" spans="1:17" x14ac:dyDescent="0.2">
      <c r="A417" s="10">
        <v>1734</v>
      </c>
      <c r="B417" s="10" t="s">
        <v>2814</v>
      </c>
      <c r="C417" s="9" t="s">
        <v>1086</v>
      </c>
      <c r="D417" s="10">
        <v>-2.041705866</v>
      </c>
      <c r="E417" s="10">
        <v>-2.0183002440000002</v>
      </c>
      <c r="F417" s="10">
        <v>-1.0830695020000001</v>
      </c>
      <c r="G417" s="10">
        <v>-1.4327784079999999</v>
      </c>
      <c r="H417" s="9">
        <v>-1.6439635047500001</v>
      </c>
      <c r="I417" s="10">
        <v>0.468162438937338</v>
      </c>
      <c r="J417" s="10">
        <v>0.219176069231757</v>
      </c>
      <c r="K417" s="10">
        <v>-0.46302799900000002</v>
      </c>
      <c r="L417" s="10">
        <v>-0.32165556899999997</v>
      </c>
      <c r="M417" s="10">
        <v>-0.45850218100000001</v>
      </c>
      <c r="N417" s="10">
        <v>-0.58686271400000001</v>
      </c>
      <c r="O417" s="9">
        <v>-0.45751211600000002</v>
      </c>
      <c r="P417" s="10">
        <v>0.108351255583702</v>
      </c>
      <c r="Q417" s="10">
        <v>1.1739994586564899E-2</v>
      </c>
    </row>
    <row r="418" spans="1:17" x14ac:dyDescent="0.2">
      <c r="A418" s="10">
        <v>1734</v>
      </c>
      <c r="B418" s="10" t="s">
        <v>2833</v>
      </c>
      <c r="C418" s="9" t="s">
        <v>2326</v>
      </c>
      <c r="D418" s="10">
        <v>-1.2451719619999999</v>
      </c>
      <c r="E418" s="10">
        <v>-1.653333524</v>
      </c>
      <c r="F418" s="10">
        <v>-0.82155378499999998</v>
      </c>
      <c r="G418" s="10">
        <v>-0.60214048499999995</v>
      </c>
      <c r="H418" s="9">
        <v>-1.08054993925</v>
      </c>
      <c r="I418" s="10">
        <v>0.46588126497547</v>
      </c>
      <c r="J418" s="10">
        <v>0.217045353055144</v>
      </c>
      <c r="K418" s="10">
        <v>5.5651300000000001E-2</v>
      </c>
      <c r="L418" s="10">
        <v>-9.1560523000000005E-2</v>
      </c>
      <c r="M418" s="10">
        <v>0.104196437</v>
      </c>
      <c r="N418" s="10">
        <v>6.4527426999999998E-2</v>
      </c>
      <c r="O418" s="9">
        <v>3.3203660250000003E-2</v>
      </c>
      <c r="P418" s="10">
        <v>8.5812102228199905E-2</v>
      </c>
      <c r="Q418" s="10">
        <v>7.3637168888229998E-3</v>
      </c>
    </row>
    <row r="419" spans="1:17" x14ac:dyDescent="0.2">
      <c r="A419" s="10">
        <v>1734</v>
      </c>
      <c r="B419" s="10" t="s">
        <v>2825</v>
      </c>
      <c r="C419" s="9" t="s">
        <v>2325</v>
      </c>
      <c r="D419" s="10">
        <v>-1.278913427</v>
      </c>
      <c r="E419" s="10">
        <v>-2.06372095</v>
      </c>
      <c r="F419" s="10">
        <v>-0.75319102599999999</v>
      </c>
      <c r="G419" s="10">
        <v>-0.778577309</v>
      </c>
      <c r="H419" s="9">
        <v>-1.218600678</v>
      </c>
      <c r="I419" s="10">
        <v>0.61321356021051399</v>
      </c>
      <c r="J419" s="10">
        <v>0.37603087042605399</v>
      </c>
      <c r="K419" s="10">
        <v>-1.3204922560000001</v>
      </c>
      <c r="L419" s="10">
        <v>-1.664279995</v>
      </c>
      <c r="M419" s="10">
        <v>-1.3093460370000001</v>
      </c>
      <c r="N419" s="10">
        <v>-1.1382946199999999</v>
      </c>
      <c r="O419" s="9">
        <v>-1.358103227</v>
      </c>
      <c r="P419" s="10">
        <v>0.22049329973982201</v>
      </c>
      <c r="Q419" s="10">
        <v>4.8617295230154997E-2</v>
      </c>
    </row>
    <row r="420" spans="1:17" x14ac:dyDescent="0.2">
      <c r="A420" s="10">
        <v>1734</v>
      </c>
      <c r="B420" s="10" t="s">
        <v>74</v>
      </c>
      <c r="C420" s="9" t="s">
        <v>48</v>
      </c>
      <c r="D420" s="10">
        <v>-1.182307928</v>
      </c>
      <c r="E420" s="10">
        <v>-1.277710702</v>
      </c>
      <c r="F420" s="10">
        <v>-0.98996810199999996</v>
      </c>
      <c r="G420" s="10">
        <v>-1.2543406989999999</v>
      </c>
      <c r="H420" s="9">
        <v>-1.1760818580000001</v>
      </c>
      <c r="I420" s="10">
        <v>0.13055006989339599</v>
      </c>
      <c r="J420" s="10">
        <v>1.7043320749170601E-2</v>
      </c>
      <c r="K420" s="10">
        <v>-0.108994732</v>
      </c>
      <c r="L420" s="10">
        <v>0.35922632199999999</v>
      </c>
      <c r="M420" s="10">
        <v>0.256197903</v>
      </c>
      <c r="N420" s="10">
        <v>0.21625241000000001</v>
      </c>
      <c r="O420" s="9">
        <v>0.18067047575</v>
      </c>
      <c r="P420" s="10">
        <v>0.20228576249362301</v>
      </c>
      <c r="Q420" s="10">
        <v>4.0919529707626502E-2</v>
      </c>
    </row>
    <row r="421" spans="1:17" x14ac:dyDescent="0.2">
      <c r="A421" s="10">
        <v>1734</v>
      </c>
      <c r="B421" s="10" t="s">
        <v>2818</v>
      </c>
      <c r="C421" s="9" t="s">
        <v>1087</v>
      </c>
      <c r="D421" s="10">
        <v>-1.34892547</v>
      </c>
      <c r="E421" s="10">
        <v>-1.320973084</v>
      </c>
      <c r="F421" s="10">
        <v>-1.3469595569999999</v>
      </c>
      <c r="G421" s="10">
        <v>-0.96264011000000005</v>
      </c>
      <c r="H421" s="9">
        <v>-1.2448745555</v>
      </c>
      <c r="I421" s="10">
        <v>0.18858703437767399</v>
      </c>
      <c r="J421" s="10">
        <v>3.5565069535366298E-2</v>
      </c>
      <c r="K421" s="10">
        <v>-0.27842035399999998</v>
      </c>
      <c r="L421" s="10">
        <v>-0.31427766699999998</v>
      </c>
      <c r="M421" s="10">
        <v>0.16267724</v>
      </c>
      <c r="N421" s="10">
        <v>-0.44652140600000001</v>
      </c>
      <c r="O421" s="9">
        <v>-0.21913554674999999</v>
      </c>
      <c r="P421" s="10">
        <v>0.26460791404705197</v>
      </c>
      <c r="Q421" s="10">
        <v>7.0017348176332303E-2</v>
      </c>
    </row>
    <row r="422" spans="1:17" x14ac:dyDescent="0.2">
      <c r="A422" s="10">
        <v>1734</v>
      </c>
      <c r="B422" s="10" t="s">
        <v>2830</v>
      </c>
      <c r="C422" s="9" t="s">
        <v>1088</v>
      </c>
      <c r="D422" s="10">
        <v>-1.371734853</v>
      </c>
      <c r="E422" s="10">
        <v>-0.76994672500000005</v>
      </c>
      <c r="F422" s="10">
        <v>-0.635232244</v>
      </c>
      <c r="G422" s="10">
        <v>-0.18346003799999999</v>
      </c>
      <c r="H422" s="9">
        <v>-0.74009346499999995</v>
      </c>
      <c r="I422" s="10">
        <v>0.49013559616721297</v>
      </c>
      <c r="J422" s="10">
        <v>0.24023290263018901</v>
      </c>
      <c r="K422" s="10">
        <v>-0.17043841700000001</v>
      </c>
      <c r="L422" s="10">
        <v>-0.40222982899999998</v>
      </c>
      <c r="M422" s="10">
        <v>0.22170258100000001</v>
      </c>
      <c r="N422" s="10">
        <v>0.43947107499999999</v>
      </c>
      <c r="O422" s="9">
        <v>2.2126352249999998E-2</v>
      </c>
      <c r="P422" s="10">
        <v>0.379107129806661</v>
      </c>
      <c r="Q422" s="10">
        <v>0.143722215870245</v>
      </c>
    </row>
    <row r="423" spans="1:17" x14ac:dyDescent="0.2">
      <c r="A423" s="10">
        <v>1735</v>
      </c>
      <c r="B423" s="10" t="s">
        <v>2831</v>
      </c>
      <c r="C423" s="9" t="s">
        <v>1089</v>
      </c>
      <c r="D423" s="10">
        <v>-3.5694540099999998</v>
      </c>
      <c r="E423" s="10">
        <v>-2.8569052840000002</v>
      </c>
      <c r="F423" s="10">
        <v>-0.58653824600000004</v>
      </c>
      <c r="G423" s="10">
        <v>-1.52195137</v>
      </c>
      <c r="H423" s="9">
        <v>-2.1337122277499998</v>
      </c>
      <c r="I423" s="10">
        <v>1.33570971631635</v>
      </c>
      <c r="J423" s="10">
        <v>1.78412044626192</v>
      </c>
      <c r="K423" s="10">
        <v>-9.1718428000000005E-2</v>
      </c>
      <c r="L423" s="10">
        <v>-1.0253839000000001E-2</v>
      </c>
      <c r="M423" s="10">
        <v>0.48566862700000002</v>
      </c>
      <c r="N423" s="10">
        <v>-0.143169464</v>
      </c>
      <c r="O423" s="9">
        <v>6.0131723999999998E-2</v>
      </c>
      <c r="P423" s="10">
        <v>0.28892076480025503</v>
      </c>
      <c r="Q423" s="10">
        <v>8.34752083327642E-2</v>
      </c>
    </row>
    <row r="424" spans="1:17" x14ac:dyDescent="0.2">
      <c r="A424" s="10">
        <v>1735</v>
      </c>
      <c r="B424" s="10" t="s">
        <v>2822</v>
      </c>
      <c r="C424" s="9" t="s">
        <v>1090</v>
      </c>
      <c r="D424" s="10">
        <v>-0.104538515</v>
      </c>
      <c r="E424" s="10">
        <v>-8.095397E-2</v>
      </c>
      <c r="F424" s="10">
        <v>0.32683127699999998</v>
      </c>
      <c r="G424" s="10">
        <v>-0.14794454100000001</v>
      </c>
      <c r="H424" s="9">
        <v>-1.6514374999999999E-3</v>
      </c>
      <c r="I424" s="10">
        <v>0.22073906785641301</v>
      </c>
      <c r="J424" s="10">
        <v>4.8725736078118198E-2</v>
      </c>
      <c r="K424" s="10">
        <v>0.136212209</v>
      </c>
      <c r="L424" s="10">
        <v>0.30367190900000002</v>
      </c>
      <c r="M424" s="10">
        <v>0.15166982300000001</v>
      </c>
      <c r="N424" s="10">
        <v>-0.21531561399999999</v>
      </c>
      <c r="O424" s="9">
        <v>9.4059581749999996E-2</v>
      </c>
      <c r="P424" s="10">
        <v>0.21965588493631899</v>
      </c>
      <c r="Q424" s="10">
        <v>4.8248707787157501E-2</v>
      </c>
    </row>
    <row r="425" spans="1:17" x14ac:dyDescent="0.2">
      <c r="A425" s="10">
        <v>1735</v>
      </c>
      <c r="B425" s="10" t="s">
        <v>2825</v>
      </c>
      <c r="C425" s="9" t="s">
        <v>1091</v>
      </c>
      <c r="D425" s="10">
        <v>-0.37681194800000001</v>
      </c>
      <c r="E425" s="10">
        <v>-0.50517203200000005</v>
      </c>
      <c r="F425" s="10">
        <v>0.162682732</v>
      </c>
      <c r="G425" s="10">
        <v>-0.40323709299999999</v>
      </c>
      <c r="H425" s="9">
        <v>-0.28063458525000001</v>
      </c>
      <c r="I425" s="10">
        <v>0.30068187440043598</v>
      </c>
      <c r="J425" s="10">
        <v>9.0409589592959999E-2</v>
      </c>
      <c r="K425" s="10">
        <v>-0.23148429500000001</v>
      </c>
      <c r="L425" s="10">
        <v>0.33066024300000002</v>
      </c>
      <c r="M425" s="10">
        <v>0.45283973100000002</v>
      </c>
      <c r="N425" s="10">
        <v>0.54368325799999995</v>
      </c>
      <c r="O425" s="9">
        <v>0.27392473425000002</v>
      </c>
      <c r="P425" s="10">
        <v>0.348060072400527</v>
      </c>
      <c r="Q425" s="10">
        <v>0.12114581399946001</v>
      </c>
    </row>
    <row r="426" spans="1:17" x14ac:dyDescent="0.2">
      <c r="A426" s="10">
        <v>1735</v>
      </c>
      <c r="B426" s="10" t="s">
        <v>2818</v>
      </c>
      <c r="C426" s="9" t="s">
        <v>2323</v>
      </c>
      <c r="D426" s="10">
        <v>0.49954269400000001</v>
      </c>
      <c r="E426" s="10">
        <v>0.69280445800000001</v>
      </c>
      <c r="F426" s="10">
        <v>-0.432461708</v>
      </c>
      <c r="G426" s="10">
        <v>-1.108206781</v>
      </c>
      <c r="H426" s="9">
        <v>-8.7080334499999995E-2</v>
      </c>
      <c r="I426" s="10">
        <v>0.83951064715141099</v>
      </c>
      <c r="J426" s="10">
        <v>0.70477812668058104</v>
      </c>
      <c r="K426" s="10">
        <v>-0.171180847</v>
      </c>
      <c r="L426" s="10">
        <v>0.16121201299999999</v>
      </c>
      <c r="M426" s="10">
        <v>0.15303287700000001</v>
      </c>
      <c r="N426" s="10">
        <v>-0.51038289299999995</v>
      </c>
      <c r="O426" s="9">
        <v>-9.1829712499999994E-2</v>
      </c>
      <c r="P426" s="10">
        <v>0.319098297307567</v>
      </c>
      <c r="Q426" s="10">
        <v>0.101823723344588</v>
      </c>
    </row>
    <row r="427" spans="1:17" x14ac:dyDescent="0.2">
      <c r="A427" s="10">
        <v>1736</v>
      </c>
      <c r="B427" s="10" t="s">
        <v>2822</v>
      </c>
      <c r="C427" s="9" t="s">
        <v>49</v>
      </c>
      <c r="D427" s="10">
        <v>-0.50345287800000005</v>
      </c>
      <c r="E427" s="10">
        <v>-0.19763246100000001</v>
      </c>
      <c r="F427" s="10">
        <v>-0.259319621</v>
      </c>
      <c r="G427" s="10">
        <v>-1.2499126629999999</v>
      </c>
      <c r="H427" s="9">
        <v>-0.55257940574999997</v>
      </c>
      <c r="I427" s="10">
        <v>0.48327898165712402</v>
      </c>
      <c r="J427" s="10">
        <v>0.23355857411154701</v>
      </c>
      <c r="K427" s="10">
        <v>-0.191661675</v>
      </c>
      <c r="L427" s="10">
        <v>-0.48208172100000002</v>
      </c>
      <c r="M427" s="10">
        <v>-0.35438815299999998</v>
      </c>
      <c r="N427" s="10">
        <v>-0.28617123500000002</v>
      </c>
      <c r="O427" s="9">
        <v>-0.32857569624999999</v>
      </c>
      <c r="P427" s="10">
        <v>0.122166512196491</v>
      </c>
      <c r="Q427" s="10">
        <v>1.4924656702255399E-2</v>
      </c>
    </row>
    <row r="428" spans="1:17" x14ac:dyDescent="0.2">
      <c r="A428" s="10">
        <v>1736</v>
      </c>
      <c r="B428" s="10" t="s">
        <v>2819</v>
      </c>
      <c r="C428" s="9" t="s">
        <v>1092</v>
      </c>
      <c r="D428" s="10">
        <v>-1.6231466830000001</v>
      </c>
      <c r="E428" s="10">
        <v>-1.3896752139999999</v>
      </c>
      <c r="F428" s="10">
        <v>-0.10694181799999999</v>
      </c>
      <c r="G428" s="10">
        <v>-0.49046551500000002</v>
      </c>
      <c r="H428" s="9">
        <v>-0.90255730774999998</v>
      </c>
      <c r="I428" s="10">
        <v>0.72096152359068599</v>
      </c>
      <c r="J428" s="10">
        <v>0.51978551849820298</v>
      </c>
      <c r="K428" s="10">
        <v>-0.69020608699999997</v>
      </c>
      <c r="L428" s="10">
        <v>-0.37804222799999998</v>
      </c>
      <c r="M428" s="10">
        <v>0.66676025000000005</v>
      </c>
      <c r="N428" s="10">
        <v>0.40526115400000001</v>
      </c>
      <c r="O428" s="9">
        <v>9.4327224999999997E-4</v>
      </c>
      <c r="P428" s="10">
        <v>0.63981837098621896</v>
      </c>
      <c r="Q428" s="10">
        <v>0.40936754785145901</v>
      </c>
    </row>
    <row r="429" spans="1:17" x14ac:dyDescent="0.2">
      <c r="A429" s="10">
        <v>1736</v>
      </c>
      <c r="B429" s="10" t="s">
        <v>2826</v>
      </c>
      <c r="C429" s="9" t="s">
        <v>1093</v>
      </c>
      <c r="D429" s="10">
        <v>-1.5477654830000001</v>
      </c>
      <c r="E429" s="10">
        <v>-1.986998671</v>
      </c>
      <c r="F429" s="10">
        <v>-1.0938237340000001</v>
      </c>
      <c r="G429" s="10">
        <v>-0.93301721800000004</v>
      </c>
      <c r="H429" s="9">
        <v>-1.39040127675</v>
      </c>
      <c r="I429" s="10">
        <v>0.47534210848497799</v>
      </c>
      <c r="J429" s="10">
        <v>0.225950120098944</v>
      </c>
      <c r="K429" s="10">
        <v>0.311453857</v>
      </c>
      <c r="L429" s="10">
        <v>0.225176286</v>
      </c>
      <c r="M429" s="10">
        <v>0.192103567</v>
      </c>
      <c r="N429" s="10">
        <v>2.1085811999999999E-2</v>
      </c>
      <c r="O429" s="9">
        <v>0.1874548805</v>
      </c>
      <c r="P429" s="10">
        <v>0.121790705509733</v>
      </c>
      <c r="Q429" s="10">
        <v>1.48329759485586E-2</v>
      </c>
    </row>
    <row r="430" spans="1:17" x14ac:dyDescent="0.2">
      <c r="A430" s="10">
        <v>1736</v>
      </c>
      <c r="B430" s="10" t="s">
        <v>82</v>
      </c>
      <c r="C430" s="9" t="s">
        <v>1095</v>
      </c>
      <c r="D430" s="10">
        <v>-2.3374091369999999</v>
      </c>
      <c r="E430" s="10">
        <v>-2.0731603409999999</v>
      </c>
      <c r="F430" s="10">
        <v>-1.051867656</v>
      </c>
      <c r="G430" s="10">
        <v>-1.1615593479999999</v>
      </c>
      <c r="H430" s="9">
        <v>-1.65599912025</v>
      </c>
      <c r="I430" s="10">
        <v>0.64492599304218501</v>
      </c>
      <c r="J430" s="10">
        <v>0.41592953650144798</v>
      </c>
      <c r="K430" s="10">
        <v>-0.33768769799999998</v>
      </c>
      <c r="L430" s="10">
        <v>0.22158418599999999</v>
      </c>
      <c r="M430" s="10">
        <v>-6.7319002000000003E-2</v>
      </c>
      <c r="N430" s="10">
        <v>-0.22558929</v>
      </c>
      <c r="O430" s="9">
        <v>-0.10225295099999999</v>
      </c>
      <c r="P430" s="10">
        <v>0.242715364646168</v>
      </c>
      <c r="Q430" s="10">
        <v>5.8910748235322698E-2</v>
      </c>
    </row>
    <row r="431" spans="1:17" x14ac:dyDescent="0.2">
      <c r="A431" s="10">
        <v>1736</v>
      </c>
      <c r="B431" s="10" t="s">
        <v>2814</v>
      </c>
      <c r="C431" s="9" t="s">
        <v>2626</v>
      </c>
      <c r="D431" s="10">
        <v>-1.39978885</v>
      </c>
      <c r="E431" s="10">
        <v>-1.8158518509999999</v>
      </c>
      <c r="F431" s="10">
        <v>-1.305403348</v>
      </c>
      <c r="G431" s="10">
        <v>-1.1234970310000001</v>
      </c>
      <c r="H431" s="9">
        <v>-1.41113527025</v>
      </c>
      <c r="I431" s="10">
        <v>0.29316619180252201</v>
      </c>
      <c r="J431" s="10">
        <v>8.5946416015993607E-2</v>
      </c>
      <c r="K431" s="10">
        <v>0.102185066</v>
      </c>
      <c r="L431" s="10">
        <v>-0.67496725800000001</v>
      </c>
      <c r="M431" s="10">
        <v>-0.11696994099999999</v>
      </c>
      <c r="N431" s="10">
        <v>0.15092871199999999</v>
      </c>
      <c r="O431" s="9">
        <v>-0.1347058555</v>
      </c>
      <c r="P431" s="10">
        <v>0.37855046362603101</v>
      </c>
      <c r="Q431" s="10">
        <v>0.14330045351148299</v>
      </c>
    </row>
    <row r="432" spans="1:17" x14ac:dyDescent="0.2">
      <c r="A432" s="10">
        <v>1736</v>
      </c>
      <c r="B432" s="10" t="s">
        <v>74</v>
      </c>
      <c r="C432" s="9" t="s">
        <v>1096</v>
      </c>
      <c r="D432" s="10">
        <v>-1.4223115479999999</v>
      </c>
      <c r="E432" s="10">
        <v>-1.370769431</v>
      </c>
      <c r="F432" s="10">
        <v>-0.35687044299999998</v>
      </c>
      <c r="G432" s="10">
        <v>-0.40468875399999998</v>
      </c>
      <c r="H432" s="9">
        <v>-0.88866004425</v>
      </c>
      <c r="I432" s="10">
        <v>0.58715181967159003</v>
      </c>
      <c r="J432" s="10">
        <v>0.34474725934366002</v>
      </c>
      <c r="K432" s="10">
        <v>1.8989181000000001E-2</v>
      </c>
      <c r="L432" s="10">
        <v>-0.14372815799999999</v>
      </c>
      <c r="M432" s="10">
        <v>0.43882170100000001</v>
      </c>
      <c r="N432" s="10">
        <v>6.0546093000000002E-2</v>
      </c>
      <c r="O432" s="9">
        <v>9.3657203999999994E-2</v>
      </c>
      <c r="P432" s="10">
        <v>0.24641563763386701</v>
      </c>
      <c r="Q432" s="10">
        <v>6.0720666470505599E-2</v>
      </c>
    </row>
    <row r="433" spans="1:17" x14ac:dyDescent="0.2">
      <c r="A433" s="10">
        <v>1736</v>
      </c>
      <c r="B433" s="10" t="s">
        <v>2818</v>
      </c>
      <c r="C433" s="9" t="s">
        <v>1097</v>
      </c>
      <c r="D433" s="10">
        <v>-0.67941496000000001</v>
      </c>
      <c r="E433" s="10">
        <v>-0.42006912299999999</v>
      </c>
      <c r="F433" s="10">
        <v>-0.78773231099999996</v>
      </c>
      <c r="G433" s="10">
        <v>-1.081402741</v>
      </c>
      <c r="H433" s="9">
        <v>-0.74215478400000001</v>
      </c>
      <c r="I433" s="10">
        <v>0.27376507315182202</v>
      </c>
      <c r="J433" s="10">
        <v>7.4947315277822404E-2</v>
      </c>
      <c r="K433" s="10">
        <v>0.110824753</v>
      </c>
      <c r="L433" s="10">
        <v>6.4626672999999996E-2</v>
      </c>
      <c r="M433" s="10">
        <v>-0.30454050199999999</v>
      </c>
      <c r="N433" s="10">
        <v>-0.55824417199999998</v>
      </c>
      <c r="O433" s="9">
        <v>-0.17183331199999999</v>
      </c>
      <c r="P433" s="10">
        <v>0.31766515768409298</v>
      </c>
      <c r="Q433" s="10">
        <v>0.10091115240645999</v>
      </c>
    </row>
    <row r="434" spans="1:17" x14ac:dyDescent="0.2">
      <c r="A434" s="10">
        <v>1736</v>
      </c>
      <c r="B434" s="10" t="s">
        <v>2832</v>
      </c>
      <c r="C434" s="9" t="s">
        <v>1098</v>
      </c>
      <c r="D434" s="10">
        <v>-1.1645128709999999</v>
      </c>
      <c r="E434" s="10">
        <v>-1.4169823720000001</v>
      </c>
      <c r="F434" s="10">
        <v>-1.1883729540000001</v>
      </c>
      <c r="G434" s="10">
        <v>-1.1786121650000001</v>
      </c>
      <c r="H434" s="9">
        <v>-1.2371200904999999</v>
      </c>
      <c r="I434" s="10">
        <v>0.120307535498501</v>
      </c>
      <c r="J434" s="10">
        <v>1.4473903097723201E-2</v>
      </c>
      <c r="K434" s="10">
        <v>-1.9847422E-2</v>
      </c>
      <c r="L434" s="10">
        <v>7.4001910000000004E-3</v>
      </c>
      <c r="M434" s="10">
        <v>-0.28353418699999999</v>
      </c>
      <c r="N434" s="10">
        <v>-0.134036131</v>
      </c>
      <c r="O434" s="9">
        <v>-0.10750438725</v>
      </c>
      <c r="P434" s="10">
        <v>0.13238482980322999</v>
      </c>
      <c r="Q434" s="10">
        <v>1.7525743162030202E-2</v>
      </c>
    </row>
    <row r="435" spans="1:17" x14ac:dyDescent="0.2">
      <c r="A435" s="10">
        <v>1737</v>
      </c>
      <c r="B435" s="10" t="s">
        <v>2822</v>
      </c>
      <c r="C435" s="9" t="s">
        <v>2320</v>
      </c>
      <c r="D435" s="10">
        <v>0.77241080600000001</v>
      </c>
      <c r="E435" s="10">
        <v>-0.58151640199999999</v>
      </c>
      <c r="F435" s="10">
        <v>0.285735093</v>
      </c>
      <c r="G435" s="10">
        <v>0.51928725499999995</v>
      </c>
      <c r="H435" s="9">
        <v>0.24897918799999999</v>
      </c>
      <c r="I435" s="10">
        <v>0.58825193904459805</v>
      </c>
      <c r="J435" s="10">
        <v>0.34604034378972998</v>
      </c>
      <c r="K435" s="10">
        <v>0.44096266099999998</v>
      </c>
      <c r="L435" s="10">
        <v>0.60032121400000005</v>
      </c>
      <c r="M435" s="10">
        <v>-1.8203957E-2</v>
      </c>
      <c r="N435" s="10">
        <v>7.5401718000000006E-2</v>
      </c>
      <c r="O435" s="9">
        <v>0.27462040874999999</v>
      </c>
      <c r="P435" s="10">
        <v>0.29393023851765399</v>
      </c>
      <c r="Q435" s="10">
        <v>8.6394985115044995E-2</v>
      </c>
    </row>
    <row r="436" spans="1:17" x14ac:dyDescent="0.2">
      <c r="A436" s="10">
        <v>1737</v>
      </c>
      <c r="B436" s="10" t="s">
        <v>2823</v>
      </c>
      <c r="C436" s="9" t="s">
        <v>2319</v>
      </c>
      <c r="D436" s="10">
        <v>-0.51394045600000005</v>
      </c>
      <c r="E436" s="10">
        <v>-0.86730578000000003</v>
      </c>
      <c r="F436" s="10">
        <v>-0.46976588499999999</v>
      </c>
      <c r="G436" s="10">
        <v>-0.21481006499999999</v>
      </c>
      <c r="H436" s="9">
        <v>-0.51645554675000005</v>
      </c>
      <c r="I436" s="10">
        <v>0.268497134080036</v>
      </c>
      <c r="J436" s="10">
        <v>7.2090711009192995E-2</v>
      </c>
      <c r="K436" s="10">
        <v>0.14482144699999999</v>
      </c>
      <c r="L436" s="10">
        <v>0.13214469000000001</v>
      </c>
      <c r="M436" s="10">
        <v>0.15261013600000001</v>
      </c>
      <c r="N436" s="10">
        <v>-0.15537114499999999</v>
      </c>
      <c r="O436" s="9">
        <v>6.8551282000000005E-2</v>
      </c>
      <c r="P436" s="10">
        <v>0.14951967970755001</v>
      </c>
      <c r="Q436" s="10">
        <v>2.2356134619848402E-2</v>
      </c>
    </row>
    <row r="437" spans="1:17" x14ac:dyDescent="0.2">
      <c r="A437" s="10">
        <v>1737</v>
      </c>
      <c r="B437" s="10" t="s">
        <v>74</v>
      </c>
      <c r="C437" s="9" t="s">
        <v>2316</v>
      </c>
      <c r="D437" s="10">
        <v>0.19672568600000001</v>
      </c>
      <c r="E437" s="10">
        <v>7.0689663999999999E-2</v>
      </c>
      <c r="F437" s="10">
        <v>0.311939517</v>
      </c>
      <c r="G437" s="10">
        <v>-0.284072412</v>
      </c>
      <c r="H437" s="9">
        <v>7.3820614000000007E-2</v>
      </c>
      <c r="I437" s="10">
        <v>0.25813658503241199</v>
      </c>
      <c r="J437" s="10">
        <v>6.66344965321959E-2</v>
      </c>
      <c r="K437" s="10">
        <v>0.37917990400000001</v>
      </c>
      <c r="L437" s="10">
        <v>0.240860774</v>
      </c>
      <c r="M437" s="10">
        <v>-0.22820596300000001</v>
      </c>
      <c r="N437" s="10">
        <v>9.3140705000000004E-2</v>
      </c>
      <c r="O437" s="9">
        <v>0.12124385525</v>
      </c>
      <c r="P437" s="10">
        <v>0.26060453758197</v>
      </c>
      <c r="Q437" s="10">
        <v>6.7914725008312804E-2</v>
      </c>
    </row>
    <row r="438" spans="1:17" x14ac:dyDescent="0.2">
      <c r="A438" s="10">
        <v>1737</v>
      </c>
      <c r="B438" s="10" t="s">
        <v>2818</v>
      </c>
      <c r="C438" s="9" t="s">
        <v>1101</v>
      </c>
      <c r="D438" s="10">
        <v>8.9728648999999994E-2</v>
      </c>
      <c r="E438" s="10">
        <v>-0.18561475999999999</v>
      </c>
      <c r="F438" s="10">
        <v>-0.84768337500000002</v>
      </c>
      <c r="G438" s="10">
        <v>-0.42722503099999998</v>
      </c>
      <c r="H438" s="9">
        <v>-0.34269862950000002</v>
      </c>
      <c r="I438" s="10">
        <v>0.39741791562797302</v>
      </c>
      <c r="J438" s="10">
        <v>0.157940999662082</v>
      </c>
      <c r="K438" s="10">
        <v>-1.5284694E-2</v>
      </c>
      <c r="L438" s="10">
        <v>-1.171512334</v>
      </c>
      <c r="M438" s="10">
        <v>-0.325514309</v>
      </c>
      <c r="N438" s="10">
        <v>-0.232462376</v>
      </c>
      <c r="O438" s="9">
        <v>-0.43619342825000001</v>
      </c>
      <c r="P438" s="10">
        <v>0.50715358121255605</v>
      </c>
      <c r="Q438" s="10">
        <v>0.25720475493672001</v>
      </c>
    </row>
    <row r="439" spans="1:17" x14ac:dyDescent="0.2">
      <c r="A439" s="10">
        <v>1737</v>
      </c>
      <c r="B439" s="10" t="s">
        <v>2830</v>
      </c>
      <c r="C439" s="9" t="s">
        <v>2315</v>
      </c>
      <c r="D439" s="10">
        <v>-9.0716066999999997E-2</v>
      </c>
      <c r="E439" s="10">
        <v>0.14702749000000001</v>
      </c>
      <c r="F439" s="10">
        <v>-0.798753665</v>
      </c>
      <c r="G439" s="10">
        <v>-0.128784502</v>
      </c>
      <c r="H439" s="9">
        <v>-0.217806686</v>
      </c>
      <c r="I439" s="10">
        <v>0.406070742223059</v>
      </c>
      <c r="J439" s="10">
        <v>0.164893447689586</v>
      </c>
      <c r="K439" s="10">
        <v>6.1014588000000002E-2</v>
      </c>
      <c r="L439" s="10">
        <v>-6.6403736000000005E-2</v>
      </c>
      <c r="M439" s="10">
        <v>-0.44018789899999999</v>
      </c>
      <c r="N439" s="10">
        <v>-0.44206864000000001</v>
      </c>
      <c r="O439" s="9">
        <v>-0.22191142175</v>
      </c>
      <c r="P439" s="10">
        <v>0.25842058005547502</v>
      </c>
      <c r="Q439" s="10">
        <v>6.6781196196208495E-2</v>
      </c>
    </row>
    <row r="440" spans="1:17" x14ac:dyDescent="0.2">
      <c r="A440" s="10">
        <v>1738</v>
      </c>
      <c r="B440" s="10" t="s">
        <v>2819</v>
      </c>
      <c r="C440" s="9" t="s">
        <v>1102</v>
      </c>
      <c r="D440" s="10">
        <v>-2.7339214059999999</v>
      </c>
      <c r="E440" s="10">
        <v>-1.5106442950000001</v>
      </c>
      <c r="F440" s="10">
        <v>-2.2100316630000001</v>
      </c>
      <c r="G440" s="10">
        <v>-0.78621857399999995</v>
      </c>
      <c r="H440" s="9">
        <v>-1.81020398425</v>
      </c>
      <c r="I440" s="10">
        <v>0.84683689412769003</v>
      </c>
      <c r="J440" s="10">
        <v>0.71713272525583205</v>
      </c>
      <c r="K440" s="10">
        <v>0.271622319</v>
      </c>
      <c r="L440" s="10">
        <v>0.52619175699999998</v>
      </c>
      <c r="M440" s="10">
        <v>-0.25385152</v>
      </c>
      <c r="N440" s="10">
        <v>6.2529109999999999E-3</v>
      </c>
      <c r="O440" s="9">
        <v>0.13755386675</v>
      </c>
      <c r="P440" s="10">
        <v>0.33637869402627202</v>
      </c>
      <c r="Q440" s="10">
        <v>0.11315062579482001</v>
      </c>
    </row>
    <row r="441" spans="1:17" x14ac:dyDescent="0.2">
      <c r="A441" s="10">
        <v>1738</v>
      </c>
      <c r="B441" s="10" t="s">
        <v>2826</v>
      </c>
      <c r="C441" s="9" t="s">
        <v>2313</v>
      </c>
      <c r="D441" s="10">
        <v>-1.632011401</v>
      </c>
      <c r="E441" s="10">
        <v>-2.1959827559999998</v>
      </c>
      <c r="F441" s="10">
        <v>-1.307984861</v>
      </c>
      <c r="G441" s="10">
        <v>-2.1142584160000002</v>
      </c>
      <c r="H441" s="9">
        <v>-1.8125593584999999</v>
      </c>
      <c r="I441" s="10">
        <v>0.41842116403277602</v>
      </c>
      <c r="J441" s="10">
        <v>0.175076270510543</v>
      </c>
      <c r="K441" s="10">
        <v>-0.64287103599999995</v>
      </c>
      <c r="L441" s="10">
        <v>-0.43123567600000001</v>
      </c>
      <c r="M441" s="10">
        <v>-0.70402982199999997</v>
      </c>
      <c r="N441" s="10">
        <v>-0.76575834600000003</v>
      </c>
      <c r="O441" s="9">
        <v>-0.63597372024999999</v>
      </c>
      <c r="P441" s="10">
        <v>0.14541999151233601</v>
      </c>
      <c r="Q441" s="10">
        <v>2.1146973931448002E-2</v>
      </c>
    </row>
    <row r="442" spans="1:17" x14ac:dyDescent="0.2">
      <c r="A442" s="10">
        <v>1738</v>
      </c>
      <c r="B442" s="10" t="s">
        <v>79</v>
      </c>
      <c r="C442" s="9" t="s">
        <v>2625</v>
      </c>
      <c r="D442" s="10">
        <v>-2.0700384839999999</v>
      </c>
      <c r="E442" s="10">
        <v>-3.9355945540000001</v>
      </c>
      <c r="F442" s="10">
        <v>-1.8614460269999999</v>
      </c>
      <c r="G442" s="10">
        <v>-1.4739336169999999</v>
      </c>
      <c r="H442" s="9">
        <v>-2.3352531705000001</v>
      </c>
      <c r="I442" s="10">
        <v>1.0951097290760401</v>
      </c>
      <c r="J442" s="10">
        <v>1.1992653187170099</v>
      </c>
      <c r="K442" s="10">
        <v>-4.1161422000000003E-2</v>
      </c>
      <c r="L442" s="10">
        <v>-1.6472057259999999</v>
      </c>
      <c r="M442" s="10">
        <v>-3.1065284950000001</v>
      </c>
      <c r="N442" s="10">
        <v>-0.66349650400000004</v>
      </c>
      <c r="O442" s="9">
        <v>-1.3645980367499999</v>
      </c>
      <c r="P442" s="10">
        <v>1.3363154143499201</v>
      </c>
      <c r="Q442" s="10">
        <v>1.7857388866292001</v>
      </c>
    </row>
    <row r="443" spans="1:17" x14ac:dyDescent="0.2">
      <c r="A443" s="10">
        <v>1738</v>
      </c>
      <c r="B443" s="10" t="s">
        <v>2824</v>
      </c>
      <c r="C443" s="9" t="s">
        <v>1103</v>
      </c>
      <c r="D443" s="10">
        <v>-1.8995350609999999</v>
      </c>
      <c r="E443" s="10">
        <v>-2.0421960100000001</v>
      </c>
      <c r="F443" s="10">
        <v>-1.349460627</v>
      </c>
      <c r="G443" s="10">
        <v>-1.2707554210000001</v>
      </c>
      <c r="H443" s="9">
        <v>-1.64048677975</v>
      </c>
      <c r="I443" s="10">
        <v>0.38724403025922099</v>
      </c>
      <c r="J443" s="10">
        <v>0.149957938971404</v>
      </c>
      <c r="K443" s="10">
        <v>-0.43616628600000001</v>
      </c>
      <c r="L443" s="10">
        <v>-0.369078558</v>
      </c>
      <c r="M443" s="10">
        <v>-0.332164073</v>
      </c>
      <c r="N443" s="10">
        <v>-0.72116740499999998</v>
      </c>
      <c r="O443" s="9">
        <v>-0.46464408024999998</v>
      </c>
      <c r="P443" s="10">
        <v>0.176350902341529</v>
      </c>
      <c r="Q443" s="10">
        <v>3.1099640756671501E-2</v>
      </c>
    </row>
    <row r="444" spans="1:17" x14ac:dyDescent="0.2">
      <c r="A444" s="10">
        <v>1738</v>
      </c>
      <c r="B444" s="10" t="s">
        <v>2833</v>
      </c>
      <c r="C444" s="9" t="s">
        <v>2624</v>
      </c>
      <c r="D444" s="10">
        <v>-1.260811178</v>
      </c>
      <c r="E444" s="10">
        <v>-2.2041853730000001</v>
      </c>
      <c r="F444" s="10">
        <v>-0.46463769999999999</v>
      </c>
      <c r="G444" s="10">
        <v>-1.018948041</v>
      </c>
      <c r="H444" s="9">
        <v>-1.2371455732500001</v>
      </c>
      <c r="I444" s="10">
        <v>0.72574205988581797</v>
      </c>
      <c r="J444" s="10">
        <v>0.52670153748730997</v>
      </c>
      <c r="K444" s="10">
        <v>0.24220172700000001</v>
      </c>
      <c r="L444" s="10">
        <v>0.47728316199999998</v>
      </c>
      <c r="M444" s="10">
        <v>-0.29516210799999998</v>
      </c>
      <c r="N444" s="10">
        <v>0.110668843</v>
      </c>
      <c r="O444" s="9">
        <v>0.13374790624999999</v>
      </c>
      <c r="P444" s="10">
        <v>0.32366399586758798</v>
      </c>
      <c r="Q444" s="10">
        <v>0.104758382220974</v>
      </c>
    </row>
    <row r="445" spans="1:17" x14ac:dyDescent="0.2">
      <c r="A445" s="10">
        <v>1738</v>
      </c>
      <c r="B445" s="10" t="s">
        <v>74</v>
      </c>
      <c r="C445" s="9" t="s">
        <v>1104</v>
      </c>
      <c r="D445" s="10">
        <v>-1.247511571</v>
      </c>
      <c r="E445" s="10">
        <v>-1.8450396389999999</v>
      </c>
      <c r="F445" s="10">
        <v>-1.113473022</v>
      </c>
      <c r="G445" s="10">
        <v>-0.68108066899999997</v>
      </c>
      <c r="H445" s="9">
        <v>-1.2217762249999999</v>
      </c>
      <c r="I445" s="10">
        <v>0.48069424076810802</v>
      </c>
      <c r="J445" s="10">
        <v>0.23106695310762701</v>
      </c>
      <c r="K445" s="10">
        <v>-0.25169311999999999</v>
      </c>
      <c r="L445" s="10">
        <v>-0.36557151700000001</v>
      </c>
      <c r="M445" s="10">
        <v>-0.525438972</v>
      </c>
      <c r="N445" s="10">
        <v>-0.64490043600000002</v>
      </c>
      <c r="O445" s="9">
        <v>-0.44690101124999998</v>
      </c>
      <c r="P445" s="10">
        <v>0.173294153509124</v>
      </c>
      <c r="Q445" s="10">
        <v>3.0030863640444001E-2</v>
      </c>
    </row>
    <row r="446" spans="1:17" x14ac:dyDescent="0.2">
      <c r="A446" s="10">
        <v>1738</v>
      </c>
      <c r="B446" s="10" t="s">
        <v>2830</v>
      </c>
      <c r="C446" s="9" t="s">
        <v>1105</v>
      </c>
      <c r="D446" s="10">
        <v>-2.077970858</v>
      </c>
      <c r="E446" s="10">
        <v>-2.9455364089999998</v>
      </c>
      <c r="F446" s="10">
        <v>-0.80884400099999998</v>
      </c>
      <c r="G446" s="10">
        <v>-1.162407588</v>
      </c>
      <c r="H446" s="9">
        <v>-1.748689714</v>
      </c>
      <c r="I446" s="10">
        <v>0.96053887282745698</v>
      </c>
      <c r="J446" s="10">
        <v>0.92263492621264298</v>
      </c>
      <c r="K446" s="10">
        <v>-0.435744364</v>
      </c>
      <c r="L446" s="10">
        <v>-7.6962632000000003E-2</v>
      </c>
      <c r="M446" s="10">
        <v>0.13673685599999999</v>
      </c>
      <c r="N446" s="10">
        <v>-0.83009558299999997</v>
      </c>
      <c r="O446" s="9">
        <v>-0.30151643075000001</v>
      </c>
      <c r="P446" s="10">
        <v>0.42422612293371997</v>
      </c>
      <c r="Q446" s="10">
        <v>0.17996780337937601</v>
      </c>
    </row>
    <row r="447" spans="1:17" x14ac:dyDescent="0.2">
      <c r="A447" s="10">
        <v>1738</v>
      </c>
      <c r="B447" s="10" t="s">
        <v>2832</v>
      </c>
      <c r="C447" s="9" t="s">
        <v>2312</v>
      </c>
      <c r="D447" s="10">
        <v>-1.714212201</v>
      </c>
      <c r="E447" s="10">
        <v>-1.70834934</v>
      </c>
      <c r="F447" s="10">
        <v>-1.386557273</v>
      </c>
      <c r="G447" s="10">
        <v>-1.048476752</v>
      </c>
      <c r="H447" s="9">
        <v>-1.4643988914999999</v>
      </c>
      <c r="I447" s="10">
        <v>0.31673809086985899</v>
      </c>
      <c r="J447" s="10">
        <v>0.100323018207883</v>
      </c>
      <c r="K447" s="10">
        <v>-3.8190032999999998E-2</v>
      </c>
      <c r="L447" s="10">
        <v>6.8762602000000006E-2</v>
      </c>
      <c r="M447" s="10">
        <v>-0.17877353500000001</v>
      </c>
      <c r="N447" s="10">
        <v>-0.63464194799999996</v>
      </c>
      <c r="O447" s="9">
        <v>-0.19571072875000001</v>
      </c>
      <c r="P447" s="10">
        <v>0.30968069363565398</v>
      </c>
      <c r="Q447" s="10">
        <v>9.5902132010659794E-2</v>
      </c>
    </row>
    <row r="448" spans="1:17" x14ac:dyDescent="0.2">
      <c r="A448" s="10">
        <v>1739</v>
      </c>
      <c r="B448" s="10" t="s">
        <v>2831</v>
      </c>
      <c r="C448" s="9" t="s">
        <v>2311</v>
      </c>
      <c r="D448" s="10">
        <v>-2.3552216929999998</v>
      </c>
      <c r="E448" s="10">
        <v>-2.6282813140000001</v>
      </c>
      <c r="F448" s="10">
        <v>-0.62479832499999999</v>
      </c>
      <c r="G448" s="10">
        <v>-0.16253775600000001</v>
      </c>
      <c r="H448" s="9">
        <v>-1.4427097719999999</v>
      </c>
      <c r="I448" s="10">
        <v>1.23099924354844</v>
      </c>
      <c r="J448" s="10">
        <v>1.5153591376168301</v>
      </c>
      <c r="K448" s="10">
        <v>1.6417683999999998E-2</v>
      </c>
      <c r="L448" s="10">
        <v>0.42723562999999998</v>
      </c>
      <c r="M448" s="10">
        <v>0.29215101199999999</v>
      </c>
      <c r="N448" s="10">
        <v>-3.8832698999999998E-2</v>
      </c>
      <c r="O448" s="9">
        <v>0.174242907</v>
      </c>
      <c r="P448" s="10">
        <v>0.222274345500414</v>
      </c>
      <c r="Q448" s="10">
        <v>4.9405884667637498E-2</v>
      </c>
    </row>
    <row r="449" spans="1:17" x14ac:dyDescent="0.2">
      <c r="A449" s="10">
        <v>1739</v>
      </c>
      <c r="B449" s="10" t="s">
        <v>2822</v>
      </c>
      <c r="C449" s="9" t="s">
        <v>1106</v>
      </c>
      <c r="D449" s="10">
        <v>-1.6690411089999999</v>
      </c>
      <c r="E449" s="10">
        <v>-1.727523632</v>
      </c>
      <c r="F449" s="10">
        <v>-1.615364113</v>
      </c>
      <c r="G449" s="10">
        <v>-1.4195285129999999</v>
      </c>
      <c r="H449" s="9">
        <v>-1.60786434175</v>
      </c>
      <c r="I449" s="10">
        <v>0.13365075577046001</v>
      </c>
      <c r="J449" s="10">
        <v>1.7862524518015298E-2</v>
      </c>
      <c r="K449" s="10">
        <v>-0.117949014</v>
      </c>
      <c r="L449" s="10">
        <v>-0.31385132700000001</v>
      </c>
      <c r="M449" s="10">
        <v>-0.74909241400000004</v>
      </c>
      <c r="N449" s="10">
        <v>-0.81383109499999995</v>
      </c>
      <c r="O449" s="9">
        <v>-0.49868096249999999</v>
      </c>
      <c r="P449" s="10">
        <v>0.33721620751123099</v>
      </c>
      <c r="Q449" s="10">
        <v>0.11371477060825699</v>
      </c>
    </row>
    <row r="450" spans="1:17" x14ac:dyDescent="0.2">
      <c r="A450" s="10">
        <v>1739</v>
      </c>
      <c r="B450" s="10" t="s">
        <v>2826</v>
      </c>
      <c r="C450" s="9" t="s">
        <v>2310</v>
      </c>
      <c r="D450" s="10">
        <v>-1.204642048</v>
      </c>
      <c r="E450" s="10">
        <v>-2.069817864</v>
      </c>
      <c r="F450" s="10">
        <v>-1.0947900770000001</v>
      </c>
      <c r="G450" s="10">
        <v>-1.3981682280000001</v>
      </c>
      <c r="H450" s="9">
        <v>-1.4418545540000001</v>
      </c>
      <c r="I450" s="10">
        <v>0.43702400314842199</v>
      </c>
      <c r="J450" s="10">
        <v>0.19098997932787201</v>
      </c>
      <c r="K450" s="10">
        <v>0.11374585500000001</v>
      </c>
      <c r="L450" s="10">
        <v>-0.202757414</v>
      </c>
      <c r="M450" s="10">
        <v>-0.47540650299999998</v>
      </c>
      <c r="N450" s="10">
        <v>-0.68540644500000003</v>
      </c>
      <c r="O450" s="9">
        <v>-0.31245612675000001</v>
      </c>
      <c r="P450" s="10">
        <v>0.34608606917423801</v>
      </c>
      <c r="Q450" s="10">
        <v>0.119775567276475</v>
      </c>
    </row>
    <row r="451" spans="1:17" x14ac:dyDescent="0.2">
      <c r="A451" s="10">
        <v>1739</v>
      </c>
      <c r="B451" s="10" t="s">
        <v>2821</v>
      </c>
      <c r="C451" s="9" t="s">
        <v>50</v>
      </c>
      <c r="D451" s="10">
        <v>-2.3476520430000001</v>
      </c>
      <c r="E451" s="10">
        <v>-2.3529805989999999</v>
      </c>
      <c r="F451" s="10">
        <v>-2.2340248919999999</v>
      </c>
      <c r="G451" s="10">
        <v>-1.2711346349999999</v>
      </c>
      <c r="H451" s="9">
        <v>-2.0514480425000001</v>
      </c>
      <c r="I451" s="10">
        <v>0.523094004438729</v>
      </c>
      <c r="J451" s="10">
        <v>0.27362733747974499</v>
      </c>
      <c r="K451" s="10">
        <v>-0.89857936299999996</v>
      </c>
      <c r="L451" s="10">
        <v>-0.68712774200000004</v>
      </c>
      <c r="M451" s="10">
        <v>-1.6399375629999999</v>
      </c>
      <c r="N451" s="10">
        <v>-0.97007945900000003</v>
      </c>
      <c r="O451" s="9">
        <v>-1.0489310315</v>
      </c>
      <c r="P451" s="10">
        <v>0.41191161482173</v>
      </c>
      <c r="Q451" s="10">
        <v>0.16967117842504501</v>
      </c>
    </row>
    <row r="452" spans="1:17" x14ac:dyDescent="0.2">
      <c r="A452" s="10">
        <v>1739</v>
      </c>
      <c r="B452" s="10" t="s">
        <v>2824</v>
      </c>
      <c r="C452" s="9" t="s">
        <v>1108</v>
      </c>
      <c r="D452" s="10">
        <v>-1.6497962850000001</v>
      </c>
      <c r="E452" s="10">
        <v>-1.745344875</v>
      </c>
      <c r="F452" s="10">
        <v>-1.613946127</v>
      </c>
      <c r="G452" s="10">
        <v>-1.175895549</v>
      </c>
      <c r="H452" s="9">
        <v>-1.5462457089999999</v>
      </c>
      <c r="I452" s="10">
        <v>0.25305189672030198</v>
      </c>
      <c r="J452" s="10">
        <v>6.4035262433742496E-2</v>
      </c>
      <c r="K452" s="10">
        <v>-0.230660899</v>
      </c>
      <c r="L452" s="10">
        <v>-0.19737480600000001</v>
      </c>
      <c r="M452" s="10">
        <v>-0.72209183099999996</v>
      </c>
      <c r="N452" s="10">
        <v>-0.73579818100000005</v>
      </c>
      <c r="O452" s="9">
        <v>-0.47148142924999997</v>
      </c>
      <c r="P452" s="10">
        <v>0.29765633842871803</v>
      </c>
      <c r="Q452" s="10">
        <v>8.8599295806792003E-2</v>
      </c>
    </row>
    <row r="453" spans="1:17" x14ac:dyDescent="0.2">
      <c r="A453" s="10">
        <v>1739</v>
      </c>
      <c r="B453" s="10" t="s">
        <v>2817</v>
      </c>
      <c r="C453" s="9" t="s">
        <v>2309</v>
      </c>
      <c r="D453" s="10">
        <v>-1.1574548490000001</v>
      </c>
      <c r="E453" s="10">
        <v>-1.33581576</v>
      </c>
      <c r="F453" s="10">
        <v>-0.91668657499999995</v>
      </c>
      <c r="G453" s="10">
        <v>-0.80148587699999996</v>
      </c>
      <c r="H453" s="9">
        <v>-1.0528607652499999</v>
      </c>
      <c r="I453" s="10">
        <v>0.239955687535857</v>
      </c>
      <c r="J453" s="10">
        <v>5.7578731980805903E-2</v>
      </c>
      <c r="K453" s="10">
        <v>0.135380379</v>
      </c>
      <c r="L453" s="10">
        <v>4.0878471E-2</v>
      </c>
      <c r="M453" s="10">
        <v>-5.3681420000000002E-3</v>
      </c>
      <c r="N453" s="10">
        <v>0.63541118500000004</v>
      </c>
      <c r="O453" s="9">
        <v>0.20157547325</v>
      </c>
      <c r="P453" s="10">
        <v>0.29509569166473798</v>
      </c>
      <c r="Q453" s="10">
        <v>8.7081467239090604E-2</v>
      </c>
    </row>
    <row r="454" spans="1:17" x14ac:dyDescent="0.2">
      <c r="A454" s="10">
        <v>1739</v>
      </c>
      <c r="B454" s="10" t="s">
        <v>74</v>
      </c>
      <c r="C454" s="9" t="s">
        <v>2307</v>
      </c>
      <c r="D454" s="10">
        <v>-1.794263457</v>
      </c>
      <c r="E454" s="10">
        <v>-1.595147691</v>
      </c>
      <c r="F454" s="10">
        <v>-1.462793301</v>
      </c>
      <c r="G454" s="10">
        <v>-1.352152826</v>
      </c>
      <c r="H454" s="9">
        <v>-1.5510893189999999</v>
      </c>
      <c r="I454" s="10">
        <v>0.19012865519355401</v>
      </c>
      <c r="J454" s="10">
        <v>3.6148905525709603E-2</v>
      </c>
      <c r="K454" s="10">
        <v>-0.36596169899999997</v>
      </c>
      <c r="L454" s="10">
        <v>-0.49449173800000001</v>
      </c>
      <c r="M454" s="10">
        <v>-0.83920799700000004</v>
      </c>
      <c r="N454" s="10">
        <v>-0.65507147799999998</v>
      </c>
      <c r="O454" s="9">
        <v>-0.58868322824999997</v>
      </c>
      <c r="P454" s="10">
        <v>0.20465171706184401</v>
      </c>
      <c r="Q454" s="10">
        <v>4.1882325296361197E-2</v>
      </c>
    </row>
    <row r="455" spans="1:17" x14ac:dyDescent="0.2">
      <c r="A455" s="10">
        <v>1739</v>
      </c>
      <c r="B455" s="10" t="s">
        <v>2830</v>
      </c>
      <c r="C455" s="9" t="s">
        <v>51</v>
      </c>
      <c r="D455" s="10">
        <v>-2.7993942839999999</v>
      </c>
      <c r="E455" s="10">
        <v>-1.8239917960000001</v>
      </c>
      <c r="F455" s="10">
        <v>-2.3563786370000002</v>
      </c>
      <c r="G455" s="10">
        <v>-1.0636114059999999</v>
      </c>
      <c r="H455" s="9">
        <v>-2.0108440304999999</v>
      </c>
      <c r="I455" s="10">
        <v>0.74685319151732099</v>
      </c>
      <c r="J455" s="10">
        <v>0.55778968967960796</v>
      </c>
      <c r="K455" s="10">
        <v>-1.146003697</v>
      </c>
      <c r="L455" s="10">
        <v>-1.0630354280000001</v>
      </c>
      <c r="M455" s="10">
        <v>-1.4846236530000001</v>
      </c>
      <c r="N455" s="10">
        <v>-1.1872863709999999</v>
      </c>
      <c r="O455" s="9">
        <v>-1.22023728725</v>
      </c>
      <c r="P455" s="10">
        <v>0.18367449809311101</v>
      </c>
      <c r="Q455" s="10">
        <v>3.3736321249756299E-2</v>
      </c>
    </row>
    <row r="456" spans="1:17" x14ac:dyDescent="0.2">
      <c r="A456" s="10">
        <v>1740</v>
      </c>
      <c r="B456" s="10" t="s">
        <v>2831</v>
      </c>
      <c r="C456" s="9" t="s">
        <v>1109</v>
      </c>
      <c r="D456" s="10">
        <v>-1.5351242650000001</v>
      </c>
      <c r="E456" s="10">
        <v>-2.0624593610000002</v>
      </c>
      <c r="F456" s="10">
        <v>-0.84854373400000005</v>
      </c>
      <c r="G456" s="10">
        <v>-1.1882953460000001</v>
      </c>
      <c r="H456" s="9">
        <v>-1.4086056764999999</v>
      </c>
      <c r="I456" s="10">
        <v>0.51824627836970505</v>
      </c>
      <c r="J456" s="10">
        <v>0.26857920504404997</v>
      </c>
      <c r="K456" s="10">
        <v>7.1222982000000004E-2</v>
      </c>
      <c r="L456" s="10">
        <v>2.9926668E-2</v>
      </c>
      <c r="M456" s="10">
        <v>-0.327462647</v>
      </c>
      <c r="N456" s="10">
        <v>-9.5122851999999994E-2</v>
      </c>
      <c r="O456" s="9">
        <v>-8.0358962500000006E-2</v>
      </c>
      <c r="P456" s="10">
        <v>0.179274658480432</v>
      </c>
      <c r="Q456" s="10">
        <v>3.2139403173275703E-2</v>
      </c>
    </row>
    <row r="457" spans="1:17" x14ac:dyDescent="0.2">
      <c r="A457" s="10">
        <v>1740</v>
      </c>
      <c r="B457" s="10" t="s">
        <v>96</v>
      </c>
      <c r="C457" s="9" t="s">
        <v>2623</v>
      </c>
      <c r="D457" s="10">
        <v>-1.8702111320000001</v>
      </c>
      <c r="E457" s="10">
        <v>-1.117426128</v>
      </c>
      <c r="F457" s="10">
        <v>-1.583960834</v>
      </c>
      <c r="G457" s="10">
        <v>-2.0359082850000001</v>
      </c>
      <c r="H457" s="9">
        <v>-1.65187659475</v>
      </c>
      <c r="I457" s="10">
        <v>0.40224377403095002</v>
      </c>
      <c r="J457" s="10">
        <v>0.16180005374666201</v>
      </c>
      <c r="K457" s="10">
        <v>-1.201196106</v>
      </c>
      <c r="L457" s="10">
        <v>-0.53699311199999999</v>
      </c>
      <c r="M457" s="10">
        <v>-6.4461715550000003</v>
      </c>
      <c r="N457" s="10">
        <v>-0.91899687399999996</v>
      </c>
      <c r="O457" s="9">
        <v>-2.2758394119999998</v>
      </c>
      <c r="P457" s="10">
        <v>2.7935125168873798</v>
      </c>
      <c r="Q457" s="10">
        <v>7.8037121820065103</v>
      </c>
    </row>
    <row r="458" spans="1:17" x14ac:dyDescent="0.2">
      <c r="A458" s="10">
        <v>1740</v>
      </c>
      <c r="B458" s="10" t="s">
        <v>2823</v>
      </c>
      <c r="C458" s="9" t="s">
        <v>1110</v>
      </c>
      <c r="D458" s="10">
        <v>-0.42592691300000002</v>
      </c>
      <c r="E458" s="10">
        <v>1.5400755E-2</v>
      </c>
      <c r="F458" s="10">
        <v>0.20113399300000001</v>
      </c>
      <c r="G458" s="10">
        <v>0.12828492399999999</v>
      </c>
      <c r="H458" s="9">
        <v>-2.0276810249999999E-2</v>
      </c>
      <c r="I458" s="10">
        <v>0.28102089317488499</v>
      </c>
      <c r="J458" s="10">
        <v>7.8972742400810397E-2</v>
      </c>
      <c r="K458" s="10">
        <v>-4.1213062000000002E-2</v>
      </c>
      <c r="L458" s="10">
        <v>1.8084261000000001E-2</v>
      </c>
      <c r="M458" s="10">
        <v>0.56275882600000005</v>
      </c>
      <c r="N458" s="10">
        <v>0.46101133100000002</v>
      </c>
      <c r="O458" s="9">
        <v>0.25016033900000001</v>
      </c>
      <c r="P458" s="10">
        <v>0.30601400822633401</v>
      </c>
      <c r="Q458" s="10">
        <v>9.3644573230747305E-2</v>
      </c>
    </row>
    <row r="459" spans="1:17" x14ac:dyDescent="0.2">
      <c r="A459" s="10">
        <v>1740</v>
      </c>
      <c r="B459" s="10" t="s">
        <v>2820</v>
      </c>
      <c r="C459" s="9" t="s">
        <v>1111</v>
      </c>
      <c r="D459" s="10">
        <v>-0.17384165800000001</v>
      </c>
      <c r="E459" s="10">
        <v>-3.3767303999999998E-2</v>
      </c>
      <c r="F459" s="10">
        <v>8.4338827000000005E-2</v>
      </c>
      <c r="G459" s="10">
        <v>-0.293454681</v>
      </c>
      <c r="H459" s="9">
        <v>-0.104181204</v>
      </c>
      <c r="I459" s="10">
        <v>0.16449412081551301</v>
      </c>
      <c r="J459" s="10">
        <v>2.70583157828688E-2</v>
      </c>
      <c r="K459" s="10">
        <v>-6.1589366E-2</v>
      </c>
      <c r="L459" s="10">
        <v>-0.398313578</v>
      </c>
      <c r="M459" s="10">
        <v>-0.87637374099999998</v>
      </c>
      <c r="N459" s="10">
        <v>0.29045594200000002</v>
      </c>
      <c r="O459" s="9">
        <v>-0.26145518574999999</v>
      </c>
      <c r="P459" s="10">
        <v>0.49712751146247403</v>
      </c>
      <c r="Q459" s="10">
        <v>0.24713576265287199</v>
      </c>
    </row>
    <row r="460" spans="1:17" x14ac:dyDescent="0.2">
      <c r="A460" s="10">
        <v>1740</v>
      </c>
      <c r="B460" s="10" t="s">
        <v>2824</v>
      </c>
      <c r="C460" s="9" t="s">
        <v>1112</v>
      </c>
      <c r="D460" s="10">
        <v>0.32547577300000002</v>
      </c>
      <c r="E460" s="10">
        <v>0.255978757</v>
      </c>
      <c r="F460" s="10">
        <v>0.11000987</v>
      </c>
      <c r="G460" s="10">
        <v>9.6285829000000003E-2</v>
      </c>
      <c r="H460" s="9">
        <v>0.1969375575</v>
      </c>
      <c r="I460" s="10">
        <v>0.112093903174167</v>
      </c>
      <c r="J460" s="10">
        <v>1.25650431288195E-2</v>
      </c>
      <c r="K460" s="10">
        <v>0.173237522</v>
      </c>
      <c r="L460" s="10">
        <v>0.101612226</v>
      </c>
      <c r="M460" s="10">
        <v>0.136472332</v>
      </c>
      <c r="N460" s="10">
        <v>5.3875966999999997E-2</v>
      </c>
      <c r="O460" s="9">
        <v>0.11629951175</v>
      </c>
      <c r="P460" s="10">
        <v>5.0863526519256401E-2</v>
      </c>
      <c r="Q460" s="10">
        <v>2.5870983299751001E-3</v>
      </c>
    </row>
    <row r="461" spans="1:17" x14ac:dyDescent="0.2">
      <c r="A461" s="10">
        <v>1740</v>
      </c>
      <c r="B461" s="10" t="s">
        <v>82</v>
      </c>
      <c r="C461" s="9" t="s">
        <v>2306</v>
      </c>
      <c r="D461" s="10">
        <v>-0.165968592</v>
      </c>
      <c r="E461" s="10">
        <v>-0.475034544</v>
      </c>
      <c r="F461" s="10">
        <v>-1.175929649</v>
      </c>
      <c r="G461" s="10">
        <v>-0.54983551799999997</v>
      </c>
      <c r="H461" s="9">
        <v>-0.59169207575000005</v>
      </c>
      <c r="I461" s="10">
        <v>0.42345207432638898</v>
      </c>
      <c r="J461" s="10">
        <v>0.179311659251322</v>
      </c>
      <c r="K461" s="10">
        <v>9.7844330000000004E-3</v>
      </c>
      <c r="L461" s="10">
        <v>-0.39811434000000001</v>
      </c>
      <c r="M461" s="10">
        <v>-0.53204873699999999</v>
      </c>
      <c r="N461" s="10">
        <v>-0.48233309499999999</v>
      </c>
      <c r="O461" s="9">
        <v>-0.35067793474999998</v>
      </c>
      <c r="P461" s="10">
        <v>0.246584522517966</v>
      </c>
      <c r="Q461" s="10">
        <v>6.0803926745413399E-2</v>
      </c>
    </row>
    <row r="462" spans="1:17" x14ac:dyDescent="0.2">
      <c r="A462" s="10">
        <v>1740</v>
      </c>
      <c r="B462" s="10" t="s">
        <v>2814</v>
      </c>
      <c r="C462" s="9" t="s">
        <v>1113</v>
      </c>
      <c r="D462" s="10">
        <v>-0.20949664500000001</v>
      </c>
      <c r="E462" s="10">
        <v>-0.22926930500000001</v>
      </c>
      <c r="F462" s="10">
        <v>-0.194905735</v>
      </c>
      <c r="G462" s="10">
        <v>-8.8141907000000005E-2</v>
      </c>
      <c r="H462" s="9">
        <v>-0.18045339774999999</v>
      </c>
      <c r="I462" s="10">
        <v>6.3131567349307097E-2</v>
      </c>
      <c r="J462" s="10">
        <v>3.9855947959800998E-3</v>
      </c>
      <c r="K462" s="10">
        <v>0.277908828</v>
      </c>
      <c r="L462" s="10">
        <v>0.25607323700000001</v>
      </c>
      <c r="M462" s="10">
        <v>-2.2825991E-2</v>
      </c>
      <c r="N462" s="10">
        <v>3.9329910000000003E-2</v>
      </c>
      <c r="O462" s="9">
        <v>0.13762149600000001</v>
      </c>
      <c r="P462" s="10">
        <v>0.15178491627806701</v>
      </c>
      <c r="Q462" s="10">
        <v>2.3038660809539899E-2</v>
      </c>
    </row>
    <row r="463" spans="1:17" x14ac:dyDescent="0.2">
      <c r="A463" s="10">
        <v>1740</v>
      </c>
      <c r="B463" s="10" t="s">
        <v>2833</v>
      </c>
      <c r="C463" s="9" t="s">
        <v>1114</v>
      </c>
      <c r="D463" s="10">
        <v>-6.5433766000000004E-2</v>
      </c>
      <c r="E463" s="10">
        <v>-0.41431358299999999</v>
      </c>
      <c r="F463" s="10">
        <v>-0.458837614</v>
      </c>
      <c r="G463" s="10">
        <v>-0.49199984000000002</v>
      </c>
      <c r="H463" s="9">
        <v>-0.35764620074999998</v>
      </c>
      <c r="I463" s="10">
        <v>0.19739123733408401</v>
      </c>
      <c r="J463" s="10">
        <v>3.8963300576280599E-2</v>
      </c>
      <c r="K463" s="10">
        <v>-0.28412074900000001</v>
      </c>
      <c r="L463" s="10">
        <v>-0.397517167</v>
      </c>
      <c r="M463" s="10">
        <v>-0.59344684299999995</v>
      </c>
      <c r="N463" s="10">
        <v>-0.79324465499999997</v>
      </c>
      <c r="O463" s="9">
        <v>-0.51708235324999996</v>
      </c>
      <c r="P463" s="10">
        <v>0.224101238298205</v>
      </c>
      <c r="Q463" s="10">
        <v>5.0221365006788803E-2</v>
      </c>
    </row>
    <row r="464" spans="1:17" x14ac:dyDescent="0.2">
      <c r="A464" s="10">
        <v>1740</v>
      </c>
      <c r="B464" s="10" t="s">
        <v>2825</v>
      </c>
      <c r="C464" s="9" t="s">
        <v>2305</v>
      </c>
      <c r="D464" s="10">
        <v>-0.87698953800000001</v>
      </c>
      <c r="E464" s="10">
        <v>-0.54352288100000001</v>
      </c>
      <c r="F464" s="10">
        <v>-0.50975379899999995</v>
      </c>
      <c r="G464" s="10">
        <v>-0.34265701700000001</v>
      </c>
      <c r="H464" s="9">
        <v>-0.56823080849999996</v>
      </c>
      <c r="I464" s="10">
        <v>0.22378973075601399</v>
      </c>
      <c r="J464" s="10">
        <v>5.00818435918493E-2</v>
      </c>
      <c r="K464" s="10">
        <v>0.21282425299999999</v>
      </c>
      <c r="L464" s="10">
        <v>-5.2112691000000003E-2</v>
      </c>
      <c r="M464" s="10">
        <v>-0.96997940699999996</v>
      </c>
      <c r="N464" s="10">
        <v>-1.1463687950000001</v>
      </c>
      <c r="O464" s="9">
        <v>-0.48890915974999999</v>
      </c>
      <c r="P464" s="10">
        <v>0.67005041911149499</v>
      </c>
      <c r="Q464" s="10">
        <v>0.44896756415148997</v>
      </c>
    </row>
    <row r="465" spans="1:17" x14ac:dyDescent="0.2">
      <c r="A465" s="10">
        <v>1740</v>
      </c>
      <c r="B465" s="10" t="s">
        <v>74</v>
      </c>
      <c r="C465" s="9" t="s">
        <v>2304</v>
      </c>
      <c r="D465" s="10">
        <v>7.5271604000000006E-2</v>
      </c>
      <c r="E465" s="10">
        <v>0.21179418799999999</v>
      </c>
      <c r="F465" s="10">
        <v>-0.148693819</v>
      </c>
      <c r="G465" s="10">
        <v>-0.23901965999999999</v>
      </c>
      <c r="H465" s="9">
        <v>-2.5161922E-2</v>
      </c>
      <c r="I465" s="10">
        <v>0.20593716913176799</v>
      </c>
      <c r="J465" s="10">
        <v>4.24101176300066E-2</v>
      </c>
      <c r="K465" s="10">
        <v>-0.10315097300000001</v>
      </c>
      <c r="L465" s="10">
        <v>7.3497729999999997E-2</v>
      </c>
      <c r="M465" s="10">
        <v>-0.51291278699999998</v>
      </c>
      <c r="N465" s="10">
        <v>-0.10576459100000001</v>
      </c>
      <c r="O465" s="9">
        <v>-0.16208265525000001</v>
      </c>
      <c r="P465" s="10">
        <v>0.248478414080541</v>
      </c>
      <c r="Q465" s="10">
        <v>6.17415222639809E-2</v>
      </c>
    </row>
    <row r="466" spans="1:17" x14ac:dyDescent="0.2">
      <c r="A466" s="10">
        <v>1741</v>
      </c>
      <c r="B466" s="10" t="s">
        <v>2822</v>
      </c>
      <c r="C466" s="9" t="s">
        <v>1116</v>
      </c>
      <c r="D466" s="10">
        <v>-6.4241408E-2</v>
      </c>
      <c r="E466" s="10">
        <v>0.58488356600000002</v>
      </c>
      <c r="F466" s="10">
        <v>-1.0663689350000001</v>
      </c>
      <c r="G466" s="10">
        <v>-0.16600094600000001</v>
      </c>
      <c r="H466" s="9">
        <v>-0.17793193074999999</v>
      </c>
      <c r="I466" s="10">
        <v>0.67928287577487101</v>
      </c>
      <c r="J466" s="10">
        <v>0.46142522532097802</v>
      </c>
      <c r="K466" s="10">
        <v>0.109732079</v>
      </c>
      <c r="L466" s="10">
        <v>-5.2289299999999997E-3</v>
      </c>
      <c r="M466" s="10">
        <v>-1.229055166</v>
      </c>
      <c r="N466" s="10">
        <v>-0.51712460299999996</v>
      </c>
      <c r="O466" s="9">
        <v>-0.41041915499999998</v>
      </c>
      <c r="P466" s="10">
        <v>0.60999655622146598</v>
      </c>
      <c r="Q466" s="10">
        <v>0.372095798602048</v>
      </c>
    </row>
    <row r="467" spans="1:17" x14ac:dyDescent="0.2">
      <c r="A467" s="10">
        <v>1741</v>
      </c>
      <c r="B467" s="10" t="s">
        <v>2823</v>
      </c>
      <c r="C467" s="9" t="s">
        <v>52</v>
      </c>
      <c r="D467" s="10">
        <v>6.7581179999999996E-3</v>
      </c>
      <c r="E467" s="10">
        <v>-0.61898422900000005</v>
      </c>
      <c r="F467" s="10">
        <v>2.0031443999999999E-2</v>
      </c>
      <c r="G467" s="10">
        <v>-0.25418515899999999</v>
      </c>
      <c r="H467" s="9">
        <v>-0.21159495675000001</v>
      </c>
      <c r="I467" s="10">
        <v>0.299504479237099</v>
      </c>
      <c r="J467" s="10">
        <v>8.9702933083086397E-2</v>
      </c>
      <c r="K467" s="10">
        <v>0.28185361599999997</v>
      </c>
      <c r="L467" s="10">
        <v>0.42701022599999999</v>
      </c>
      <c r="M467" s="10">
        <v>-2.7343487E-2</v>
      </c>
      <c r="N467" s="10">
        <v>0.323563879</v>
      </c>
      <c r="O467" s="9">
        <v>0.25127105849999998</v>
      </c>
      <c r="P467" s="10">
        <v>0.19550947519822001</v>
      </c>
      <c r="Q467" s="10">
        <v>3.8223954892283502E-2</v>
      </c>
    </row>
    <row r="468" spans="1:17" x14ac:dyDescent="0.2">
      <c r="A468" s="10">
        <v>1741</v>
      </c>
      <c r="B468" s="10" t="s">
        <v>2819</v>
      </c>
      <c r="C468" s="9" t="s">
        <v>2303</v>
      </c>
      <c r="D468" s="10">
        <v>-0.44297045400000001</v>
      </c>
      <c r="E468" s="10">
        <v>-0.51523835600000001</v>
      </c>
      <c r="F468" s="10">
        <v>-1.01133403</v>
      </c>
      <c r="G468" s="10">
        <v>-0.415090866</v>
      </c>
      <c r="H468" s="9">
        <v>-0.59615842649999995</v>
      </c>
      <c r="I468" s="10">
        <v>0.27998265180506898</v>
      </c>
      <c r="J468" s="10">
        <v>7.8390285311798702E-2</v>
      </c>
      <c r="K468" s="10">
        <v>-0.179801396</v>
      </c>
      <c r="L468" s="10">
        <v>2.7644525999999999E-2</v>
      </c>
      <c r="M468" s="10">
        <v>-0.39950447</v>
      </c>
      <c r="N468" s="10">
        <v>7.5095357000000001E-2</v>
      </c>
      <c r="O468" s="9">
        <v>-0.11914149575000001</v>
      </c>
      <c r="P468" s="10">
        <v>0.21722270597711599</v>
      </c>
      <c r="Q468" s="10">
        <v>4.7185703992020898E-2</v>
      </c>
    </row>
    <row r="469" spans="1:17" x14ac:dyDescent="0.2">
      <c r="A469" s="10">
        <v>1741</v>
      </c>
      <c r="B469" s="10" t="s">
        <v>2826</v>
      </c>
      <c r="C469" s="9" t="s">
        <v>53</v>
      </c>
      <c r="D469" s="10">
        <v>-1.8867422709999999</v>
      </c>
      <c r="E469" s="10">
        <v>-1.7280731009999999</v>
      </c>
      <c r="F469" s="10">
        <v>-1.707028741</v>
      </c>
      <c r="G469" s="10">
        <v>-2.0251502339999998</v>
      </c>
      <c r="H469" s="9">
        <v>-1.83674858675</v>
      </c>
      <c r="I469" s="10">
        <v>0.14903260128330301</v>
      </c>
      <c r="J469" s="10">
        <v>2.2210716245268099E-2</v>
      </c>
      <c r="K469" s="10">
        <v>-1.7038186900000001</v>
      </c>
      <c r="L469" s="10">
        <v>-1.4446873039999999</v>
      </c>
      <c r="M469" s="10">
        <v>-1.1126845400000001</v>
      </c>
      <c r="N469" s="10">
        <v>-1.514157878</v>
      </c>
      <c r="O469" s="9">
        <v>-1.4438371032499999</v>
      </c>
      <c r="P469" s="10">
        <v>0.24644010753044199</v>
      </c>
      <c r="Q469" s="10">
        <v>6.0732726599616101E-2</v>
      </c>
    </row>
    <row r="470" spans="1:17" x14ac:dyDescent="0.2">
      <c r="A470" s="10">
        <v>1741</v>
      </c>
      <c r="B470" s="10" t="s">
        <v>2834</v>
      </c>
      <c r="C470" s="9" t="s">
        <v>2302</v>
      </c>
      <c r="D470" s="10">
        <v>-0.29794712800000001</v>
      </c>
      <c r="E470" s="10">
        <v>-0.29915736900000001</v>
      </c>
      <c r="F470" s="10">
        <v>-0.19752191599999999</v>
      </c>
      <c r="G470" s="10">
        <v>-0.30105621500000002</v>
      </c>
      <c r="H470" s="9">
        <v>-0.27392065700000001</v>
      </c>
      <c r="I470" s="10">
        <v>5.09485658144277E-2</v>
      </c>
      <c r="J470" s="10">
        <v>2.5957563585470001E-3</v>
      </c>
      <c r="K470" s="10">
        <v>-0.176645473</v>
      </c>
      <c r="L470" s="10">
        <v>-0.28123067899999998</v>
      </c>
      <c r="M470" s="10">
        <v>-0.21403813599999999</v>
      </c>
      <c r="N470" s="10">
        <v>-0.27347744899999998</v>
      </c>
      <c r="O470" s="9">
        <v>-0.23634793425</v>
      </c>
      <c r="P470" s="10">
        <v>4.9850351450207303E-2</v>
      </c>
      <c r="Q470" s="10">
        <v>2.4850575397091E-3</v>
      </c>
    </row>
    <row r="471" spans="1:17" x14ac:dyDescent="0.2">
      <c r="A471" s="10">
        <v>1741</v>
      </c>
      <c r="B471" s="10" t="s">
        <v>79</v>
      </c>
      <c r="C471" s="9" t="s">
        <v>1117</v>
      </c>
      <c r="D471" s="10">
        <v>-0.18895944000000001</v>
      </c>
      <c r="E471" s="10">
        <v>-0.52897503899999998</v>
      </c>
      <c r="F471" s="10">
        <v>-0.61668172899999996</v>
      </c>
      <c r="G471" s="10">
        <v>-0.61884681500000005</v>
      </c>
      <c r="H471" s="9">
        <v>-0.48836575575000002</v>
      </c>
      <c r="I471" s="10">
        <v>0.20394733929061501</v>
      </c>
      <c r="J471" s="10">
        <v>4.1594517203721301E-2</v>
      </c>
      <c r="K471" s="10">
        <v>-0.25312970499999998</v>
      </c>
      <c r="L471" s="10">
        <v>-0.66106953400000001</v>
      </c>
      <c r="M471" s="10">
        <v>-0.57492970499999996</v>
      </c>
      <c r="N471" s="10">
        <v>-0.97534501500000004</v>
      </c>
      <c r="O471" s="9">
        <v>-0.61611848975000005</v>
      </c>
      <c r="P471" s="10">
        <v>0.29694088450162198</v>
      </c>
      <c r="Q471" s="10">
        <v>8.8173888888606E-2</v>
      </c>
    </row>
    <row r="472" spans="1:17" x14ac:dyDescent="0.2">
      <c r="A472" s="10">
        <v>1741</v>
      </c>
      <c r="B472" s="10" t="s">
        <v>2824</v>
      </c>
      <c r="C472" s="9" t="s">
        <v>1118</v>
      </c>
      <c r="D472" s="10">
        <v>-0.11044904699999999</v>
      </c>
      <c r="E472" s="10">
        <v>1.9038291999999998E-2</v>
      </c>
      <c r="F472" s="10">
        <v>-0.18998509599999999</v>
      </c>
      <c r="G472" s="10">
        <v>-0.451212948</v>
      </c>
      <c r="H472" s="9">
        <v>-0.1831521995</v>
      </c>
      <c r="I472" s="10">
        <v>0.19838514443493399</v>
      </c>
      <c r="J472" s="10">
        <v>3.9356665532469901E-2</v>
      </c>
      <c r="K472" s="10">
        <v>0.52955896400000002</v>
      </c>
      <c r="L472" s="10">
        <v>-1.3130018560000001</v>
      </c>
      <c r="M472" s="10">
        <v>-1.643994688</v>
      </c>
      <c r="N472" s="10">
        <v>-0.78322911100000003</v>
      </c>
      <c r="O472" s="9">
        <v>-0.80266667275000003</v>
      </c>
      <c r="P472" s="10">
        <v>0.956291063524079</v>
      </c>
      <c r="Q472" s="10">
        <v>0.91449259817601403</v>
      </c>
    </row>
    <row r="473" spans="1:17" x14ac:dyDescent="0.2">
      <c r="A473" s="10">
        <v>1741</v>
      </c>
      <c r="B473" s="10" t="s">
        <v>82</v>
      </c>
      <c r="C473" s="9" t="s">
        <v>1119</v>
      </c>
      <c r="D473" s="10">
        <v>-0.65670042100000003</v>
      </c>
      <c r="E473" s="10">
        <v>-0.42669954900000001</v>
      </c>
      <c r="F473" s="10">
        <v>-0.37282893900000003</v>
      </c>
      <c r="G473" s="10">
        <v>-0.61003589300000005</v>
      </c>
      <c r="H473" s="9">
        <v>-0.51656620050000002</v>
      </c>
      <c r="I473" s="10">
        <v>0.137974150437112</v>
      </c>
      <c r="J473" s="10">
        <v>1.9036866188843E-2</v>
      </c>
      <c r="K473" s="10">
        <v>0.112533454</v>
      </c>
      <c r="L473" s="10">
        <v>-0.287574622</v>
      </c>
      <c r="M473" s="10">
        <v>8.7894524000000002E-2</v>
      </c>
      <c r="N473" s="10">
        <v>8.6425527000000002E-2</v>
      </c>
      <c r="O473" s="9">
        <v>-1.8027924999999999E-4</v>
      </c>
      <c r="P473" s="10">
        <v>0.19197016309103401</v>
      </c>
      <c r="Q473" s="10">
        <v>3.6852543517198397E-2</v>
      </c>
    </row>
    <row r="474" spans="1:17" x14ac:dyDescent="0.2">
      <c r="A474" s="10">
        <v>1741</v>
      </c>
      <c r="B474" s="10" t="s">
        <v>2814</v>
      </c>
      <c r="C474" s="9" t="s">
        <v>1120</v>
      </c>
      <c r="D474" s="10">
        <v>-1.258546854</v>
      </c>
      <c r="E474" s="10">
        <v>-1.800677606</v>
      </c>
      <c r="F474" s="10">
        <v>-0.62485120599999999</v>
      </c>
      <c r="G474" s="10">
        <v>-0.95278945599999998</v>
      </c>
      <c r="H474" s="9">
        <v>-1.1592162802499999</v>
      </c>
      <c r="I474" s="10">
        <v>0.49983239246191302</v>
      </c>
      <c r="J474" s="10">
        <v>0.24983242055419999</v>
      </c>
      <c r="K474" s="10">
        <v>-0.154334164</v>
      </c>
      <c r="L474" s="10">
        <v>-0.57670214600000003</v>
      </c>
      <c r="M474" s="10">
        <v>-0.67876443799999997</v>
      </c>
      <c r="N474" s="10">
        <v>-0.63939264600000001</v>
      </c>
      <c r="O474" s="9">
        <v>-0.51229834875000002</v>
      </c>
      <c r="P474" s="10">
        <v>0.242315308312407</v>
      </c>
      <c r="Q474" s="10">
        <v>5.8716708642537099E-2</v>
      </c>
    </row>
    <row r="475" spans="1:17" x14ac:dyDescent="0.2">
      <c r="A475" s="10">
        <v>1741</v>
      </c>
      <c r="B475" s="10" t="s">
        <v>2833</v>
      </c>
      <c r="C475" s="9" t="s">
        <v>2301</v>
      </c>
      <c r="D475" s="10">
        <v>-0.38683109700000001</v>
      </c>
      <c r="E475" s="10">
        <v>-0.16367167699999999</v>
      </c>
      <c r="F475" s="10">
        <v>-0.25319493399999998</v>
      </c>
      <c r="G475" s="10">
        <v>-0.65647882000000002</v>
      </c>
      <c r="H475" s="9">
        <v>-0.36504413200000002</v>
      </c>
      <c r="I475" s="10">
        <v>0.214840993868751</v>
      </c>
      <c r="J475" s="10">
        <v>4.6156652646512898E-2</v>
      </c>
      <c r="K475" s="10">
        <v>-0.209617628</v>
      </c>
      <c r="L475" s="10">
        <v>-8.2727781E-2</v>
      </c>
      <c r="M475" s="10">
        <v>-0.62232022499999995</v>
      </c>
      <c r="N475" s="10">
        <v>-0.45512797100000002</v>
      </c>
      <c r="O475" s="9">
        <v>-0.34244840124999998</v>
      </c>
      <c r="P475" s="10">
        <v>0.24229715782721101</v>
      </c>
      <c r="Q475" s="10">
        <v>5.8707912691144497E-2</v>
      </c>
    </row>
    <row r="476" spans="1:17" x14ac:dyDescent="0.2">
      <c r="A476" s="10">
        <v>1741</v>
      </c>
      <c r="B476" s="10" t="s">
        <v>2825</v>
      </c>
      <c r="C476" s="9" t="s">
        <v>1121</v>
      </c>
      <c r="D476" s="3">
        <v>4.8000000000000001E-5</v>
      </c>
      <c r="E476" s="10">
        <v>-0.195195064</v>
      </c>
      <c r="F476" s="10">
        <v>3.2425053000000002E-2</v>
      </c>
      <c r="G476" s="10">
        <v>0.300388881</v>
      </c>
      <c r="H476" s="9">
        <v>3.4416722750000003E-2</v>
      </c>
      <c r="I476" s="10">
        <v>0.20383648465583801</v>
      </c>
      <c r="J476" s="10">
        <v>4.1549312476849898E-2</v>
      </c>
      <c r="K476" s="10">
        <v>0.50112600799999996</v>
      </c>
      <c r="L476" s="10">
        <v>0.89272798900000006</v>
      </c>
      <c r="M476" s="10">
        <v>0.17083250899999999</v>
      </c>
      <c r="N476" s="10">
        <v>0.118580484</v>
      </c>
      <c r="O476" s="9">
        <v>0.42081674775</v>
      </c>
      <c r="P476" s="10">
        <v>0.35729944288089499</v>
      </c>
      <c r="Q476" s="10">
        <v>0.12766289188299801</v>
      </c>
    </row>
    <row r="477" spans="1:17" x14ac:dyDescent="0.2">
      <c r="A477" s="10">
        <v>1741</v>
      </c>
      <c r="B477" s="10" t="s">
        <v>74</v>
      </c>
      <c r="C477" s="9" t="s">
        <v>1122</v>
      </c>
      <c r="D477" s="10">
        <v>-0.44589731700000002</v>
      </c>
      <c r="E477" s="10">
        <v>-0.34547964399999997</v>
      </c>
      <c r="F477" s="10">
        <v>-0.69817430700000005</v>
      </c>
      <c r="G477" s="10">
        <v>-0.475288614</v>
      </c>
      <c r="H477" s="9">
        <v>-0.49120997049999998</v>
      </c>
      <c r="I477" s="10">
        <v>0.14874843506705401</v>
      </c>
      <c r="J477" s="10">
        <v>2.2126096934897602E-2</v>
      </c>
      <c r="K477" s="10">
        <v>-0.36386639999999998</v>
      </c>
      <c r="L477" s="10">
        <v>5.7529846000000003E-2</v>
      </c>
      <c r="M477" s="10">
        <v>-0.35041192500000001</v>
      </c>
      <c r="N477" s="10">
        <v>-0.40789245699999999</v>
      </c>
      <c r="O477" s="9">
        <v>-0.266160234</v>
      </c>
      <c r="P477" s="10">
        <v>0.21718512321497099</v>
      </c>
      <c r="Q477" s="10">
        <v>4.7169377745902297E-2</v>
      </c>
    </row>
    <row r="478" spans="1:17" x14ac:dyDescent="0.2">
      <c r="A478" s="10">
        <v>1741</v>
      </c>
      <c r="B478" s="10" t="s">
        <v>2818</v>
      </c>
      <c r="C478" s="9" t="s">
        <v>1123</v>
      </c>
      <c r="D478" s="10">
        <v>0.120934947</v>
      </c>
      <c r="E478" s="10">
        <v>-2.6076348999999999E-2</v>
      </c>
      <c r="F478" s="10">
        <v>0.143780769</v>
      </c>
      <c r="G478" s="10">
        <v>9.8910910000000005E-2</v>
      </c>
      <c r="H478" s="9">
        <v>8.4387569250000002E-2</v>
      </c>
      <c r="I478" s="10">
        <v>7.5886906333543197E-2</v>
      </c>
      <c r="J478" s="10">
        <v>5.7588225528758998E-3</v>
      </c>
      <c r="K478" s="10">
        <v>0.19778374600000001</v>
      </c>
      <c r="L478" s="10">
        <v>-0.44867926600000002</v>
      </c>
      <c r="M478" s="10">
        <v>-3.1127070999999999E-2</v>
      </c>
      <c r="N478" s="10">
        <v>0.10683986099999999</v>
      </c>
      <c r="O478" s="9">
        <v>-4.3795682500000002E-2</v>
      </c>
      <c r="P478" s="10">
        <v>0.28585713048366501</v>
      </c>
      <c r="Q478" s="10">
        <v>8.1714299048355393E-2</v>
      </c>
    </row>
    <row r="479" spans="1:17" x14ac:dyDescent="0.2">
      <c r="A479" s="10">
        <v>1741</v>
      </c>
      <c r="B479" s="10" t="s">
        <v>2832</v>
      </c>
      <c r="C479" s="9" t="s">
        <v>2300</v>
      </c>
      <c r="D479" s="10">
        <v>-0.62192324899999996</v>
      </c>
      <c r="E479" s="10">
        <v>-0.63176789200000005</v>
      </c>
      <c r="F479" s="10">
        <v>-0.47081225599999998</v>
      </c>
      <c r="G479" s="10">
        <v>-0.543810723</v>
      </c>
      <c r="H479" s="9">
        <v>-0.56707852999999997</v>
      </c>
      <c r="I479" s="10">
        <v>7.5280017513698602E-2</v>
      </c>
      <c r="J479" s="10">
        <v>5.6670810368627004E-3</v>
      </c>
      <c r="K479" s="10">
        <v>-0.25201050200000003</v>
      </c>
      <c r="L479" s="10">
        <v>-7.5211923999999999E-2</v>
      </c>
      <c r="M479" s="10">
        <v>-2.7833729000000001E-2</v>
      </c>
      <c r="N479" s="10">
        <v>-0.81053185400000005</v>
      </c>
      <c r="O479" s="9">
        <v>-0.2913970025</v>
      </c>
      <c r="P479" s="10">
        <v>0.35928348963256002</v>
      </c>
      <c r="Q479" s="10">
        <v>0.12908462592254999</v>
      </c>
    </row>
    <row r="480" spans="1:17" x14ac:dyDescent="0.2">
      <c r="A480" s="10">
        <v>1742</v>
      </c>
      <c r="B480" s="10" t="s">
        <v>2831</v>
      </c>
      <c r="C480" s="9" t="s">
        <v>1124</v>
      </c>
      <c r="D480" s="10">
        <v>-1.7603760449999999</v>
      </c>
      <c r="E480" s="10">
        <v>-1.7947495389999999</v>
      </c>
      <c r="F480" s="10">
        <v>-0.97190884399999999</v>
      </c>
      <c r="G480" s="10">
        <v>-1.03978532</v>
      </c>
      <c r="H480" s="9">
        <v>-1.3917049370000001</v>
      </c>
      <c r="I480" s="10">
        <v>0.44663165793256498</v>
      </c>
      <c r="J480" s="10">
        <v>0.19947983786759199</v>
      </c>
      <c r="K480" s="10">
        <v>-6.6467894E-2</v>
      </c>
      <c r="L480" s="10">
        <v>-1.8023199E-2</v>
      </c>
      <c r="M480" s="10">
        <v>-0.48917084700000002</v>
      </c>
      <c r="N480" s="10">
        <v>-0.218204483</v>
      </c>
      <c r="O480" s="9">
        <v>-0.19796660575</v>
      </c>
      <c r="P480" s="10">
        <v>0.212038536294922</v>
      </c>
      <c r="Q480" s="10">
        <v>4.4960340874093202E-2</v>
      </c>
    </row>
    <row r="481" spans="1:17" x14ac:dyDescent="0.2">
      <c r="A481" s="10">
        <v>1742</v>
      </c>
      <c r="B481" s="10" t="s">
        <v>2822</v>
      </c>
      <c r="C481" s="9" t="s">
        <v>1125</v>
      </c>
      <c r="D481" s="10">
        <v>-0.226759297</v>
      </c>
      <c r="E481" s="10">
        <v>-0.20928460800000001</v>
      </c>
      <c r="F481" s="10">
        <v>-0.44137137100000001</v>
      </c>
      <c r="G481" s="10">
        <v>-0.15765306900000001</v>
      </c>
      <c r="H481" s="9">
        <v>-0.25876708599999998</v>
      </c>
      <c r="I481" s="10">
        <v>0.125221648181569</v>
      </c>
      <c r="J481" s="10">
        <v>1.5680461173308801E-2</v>
      </c>
      <c r="K481" s="10">
        <v>0.235195088</v>
      </c>
      <c r="L481" s="10">
        <v>-0.212617902</v>
      </c>
      <c r="M481" s="10">
        <v>-0.24161877900000001</v>
      </c>
      <c r="N481" s="10">
        <v>-0.454730527</v>
      </c>
      <c r="O481" s="9">
        <v>-0.16844303024999999</v>
      </c>
      <c r="P481" s="10">
        <v>0.28993698786634903</v>
      </c>
      <c r="Q481" s="10">
        <v>8.4063456933011399E-2</v>
      </c>
    </row>
    <row r="482" spans="1:17" x14ac:dyDescent="0.2">
      <c r="A482" s="10">
        <v>1742</v>
      </c>
      <c r="B482" s="10" t="s">
        <v>96</v>
      </c>
      <c r="C482" s="9" t="s">
        <v>1126</v>
      </c>
      <c r="D482" s="10">
        <v>0.55490778600000001</v>
      </c>
      <c r="E482" s="10">
        <v>0.60555618200000005</v>
      </c>
      <c r="F482" s="10">
        <v>1.009719373</v>
      </c>
      <c r="G482" s="10">
        <v>0.49082175</v>
      </c>
      <c r="H482" s="9">
        <v>0.66525127274999996</v>
      </c>
      <c r="I482" s="10">
        <v>0.23439505073304101</v>
      </c>
      <c r="J482" s="10">
        <v>5.4941039808144999E-2</v>
      </c>
      <c r="K482" s="10">
        <v>-0.245193782</v>
      </c>
      <c r="L482" s="10">
        <v>0.20008847399999999</v>
      </c>
      <c r="M482" s="10">
        <v>0.21530982400000001</v>
      </c>
      <c r="N482" s="10">
        <v>0.62463774699999997</v>
      </c>
      <c r="O482" s="9">
        <v>0.19871056549999999</v>
      </c>
      <c r="P482" s="10">
        <v>0.35531322692544498</v>
      </c>
      <c r="Q482" s="10">
        <v>0.126247489228172</v>
      </c>
    </row>
    <row r="483" spans="1:17" x14ac:dyDescent="0.2">
      <c r="A483" s="10">
        <v>1742</v>
      </c>
      <c r="B483" s="10" t="s">
        <v>2821</v>
      </c>
      <c r="C483" s="9" t="s">
        <v>1127</v>
      </c>
      <c r="D483" s="10">
        <v>-4.7595067999999997E-2</v>
      </c>
      <c r="E483" s="10">
        <v>4.9079906E-2</v>
      </c>
      <c r="F483" s="10">
        <v>0.11029707800000001</v>
      </c>
      <c r="G483" s="10">
        <v>0.33472602600000001</v>
      </c>
      <c r="H483" s="9">
        <v>0.11162698575</v>
      </c>
      <c r="I483" s="10">
        <v>0.162315279626529</v>
      </c>
      <c r="J483" s="10">
        <v>2.6346250000238401E-2</v>
      </c>
      <c r="K483" s="10">
        <v>-0.36609461399999998</v>
      </c>
      <c r="L483" s="10">
        <v>7.5839304999999996E-2</v>
      </c>
      <c r="M483" s="10">
        <v>0.39370961599999998</v>
      </c>
      <c r="N483" s="10">
        <v>0.62376990099999996</v>
      </c>
      <c r="O483" s="9">
        <v>0.18180605175</v>
      </c>
      <c r="P483" s="10">
        <v>0.42881979724658298</v>
      </c>
      <c r="Q483" s="10">
        <v>0.1838864185106</v>
      </c>
    </row>
    <row r="484" spans="1:17" x14ac:dyDescent="0.2">
      <c r="A484" s="10">
        <v>1742</v>
      </c>
      <c r="B484" s="10" t="s">
        <v>79</v>
      </c>
      <c r="C484" s="9" t="s">
        <v>1128</v>
      </c>
      <c r="D484" s="10">
        <v>-0.38682594799999998</v>
      </c>
      <c r="E484" s="10">
        <v>-0.73973444799999999</v>
      </c>
      <c r="F484" s="10">
        <v>-1.147412211</v>
      </c>
      <c r="G484" s="10">
        <v>-1.036760436</v>
      </c>
      <c r="H484" s="9">
        <v>-0.82768326074999998</v>
      </c>
      <c r="I484" s="10">
        <v>0.34060242253384498</v>
      </c>
      <c r="J484" s="10">
        <v>0.116010010235924</v>
      </c>
      <c r="K484" s="10">
        <v>-0.42427312099999998</v>
      </c>
      <c r="L484" s="10">
        <v>-0.31540120599999999</v>
      </c>
      <c r="M484" s="10">
        <v>-1.0791802930000001</v>
      </c>
      <c r="N484" s="10">
        <v>-0.88500318</v>
      </c>
      <c r="O484" s="9">
        <v>-0.67596444975000003</v>
      </c>
      <c r="P484" s="10">
        <v>0.36498154506029601</v>
      </c>
      <c r="Q484" s="10">
        <v>0.133211528234601</v>
      </c>
    </row>
    <row r="485" spans="1:17" x14ac:dyDescent="0.2">
      <c r="A485" s="10">
        <v>1742</v>
      </c>
      <c r="B485" s="10" t="s">
        <v>2820</v>
      </c>
      <c r="C485" s="9" t="s">
        <v>1129</v>
      </c>
      <c r="D485" s="10">
        <v>0.2853869</v>
      </c>
      <c r="E485" s="10">
        <v>0.329288415</v>
      </c>
      <c r="F485" s="10">
        <v>-0.16402006799999999</v>
      </c>
      <c r="G485" s="10">
        <v>0.17185066199999999</v>
      </c>
      <c r="H485" s="9">
        <v>0.15562647700000001</v>
      </c>
      <c r="I485" s="10">
        <v>0.22318406006135</v>
      </c>
      <c r="J485" s="10">
        <v>4.9811124665468602E-2</v>
      </c>
      <c r="K485" s="10">
        <v>0.131073997</v>
      </c>
      <c r="L485" s="10">
        <v>0.13302288000000001</v>
      </c>
      <c r="M485" s="10">
        <v>0.160403766</v>
      </c>
      <c r="N485" s="10">
        <v>-0.21927903100000001</v>
      </c>
      <c r="O485" s="9">
        <v>5.130540275E-2</v>
      </c>
      <c r="P485" s="10">
        <v>0.18088593401032399</v>
      </c>
      <c r="Q485" s="10">
        <v>3.2719721122787399E-2</v>
      </c>
    </row>
    <row r="486" spans="1:17" x14ac:dyDescent="0.2">
      <c r="A486" s="10">
        <v>1742</v>
      </c>
      <c r="B486" s="10" t="s">
        <v>2824</v>
      </c>
      <c r="C486" s="9" t="s">
        <v>1130</v>
      </c>
      <c r="D486" s="10">
        <v>-0.33871617100000001</v>
      </c>
      <c r="E486" s="10">
        <v>-0.47199190299999999</v>
      </c>
      <c r="F486" s="10">
        <v>-4.3866977000000001E-2</v>
      </c>
      <c r="G486" s="10">
        <v>0.21233371700000001</v>
      </c>
      <c r="H486" s="9">
        <v>-0.16056033324999999</v>
      </c>
      <c r="I486" s="10">
        <v>0.30626591782637302</v>
      </c>
      <c r="J486" s="10">
        <v>9.3798812422030795E-2</v>
      </c>
      <c r="K486" s="10">
        <v>-1.6539444E-2</v>
      </c>
      <c r="L486" s="10">
        <v>0.477610323</v>
      </c>
      <c r="M486" s="10">
        <v>-8.2710666000000002E-2</v>
      </c>
      <c r="N486" s="10">
        <v>0.23656075200000001</v>
      </c>
      <c r="O486" s="9">
        <v>0.15373024125000001</v>
      </c>
      <c r="P486" s="10">
        <v>0.25603077237045102</v>
      </c>
      <c r="Q486" s="10">
        <v>6.5551756400609895E-2</v>
      </c>
    </row>
    <row r="487" spans="1:17" x14ac:dyDescent="0.2">
      <c r="A487" s="10">
        <v>1742</v>
      </c>
      <c r="B487" s="10" t="s">
        <v>2817</v>
      </c>
      <c r="C487" s="9" t="s">
        <v>1131</v>
      </c>
      <c r="D487" s="10">
        <v>0.34842742100000001</v>
      </c>
      <c r="E487" s="10">
        <v>0.46418557399999999</v>
      </c>
      <c r="F487" s="10">
        <v>-0.41512170500000001</v>
      </c>
      <c r="G487" s="10">
        <v>-9.0505957999999997E-2</v>
      </c>
      <c r="H487" s="9">
        <v>7.6746332749999993E-2</v>
      </c>
      <c r="I487" s="10">
        <v>0.40572045987939198</v>
      </c>
      <c r="J487" s="10">
        <v>0.16460909156474501</v>
      </c>
      <c r="K487" s="10">
        <v>-0.82240554899999996</v>
      </c>
      <c r="L487" s="10">
        <v>-0.59861294300000001</v>
      </c>
      <c r="M487" s="10">
        <v>-0.44067072099999999</v>
      </c>
      <c r="N487" s="10">
        <v>-0.24534219199999999</v>
      </c>
      <c r="O487" s="9">
        <v>-0.52675785149999999</v>
      </c>
      <c r="P487" s="10">
        <v>0.24438799933784799</v>
      </c>
      <c r="Q487" s="10">
        <v>5.9725494220356203E-2</v>
      </c>
    </row>
    <row r="488" spans="1:17" x14ac:dyDescent="0.2">
      <c r="A488" s="10">
        <v>1742</v>
      </c>
      <c r="B488" s="10" t="s">
        <v>2814</v>
      </c>
      <c r="C488" s="9" t="s">
        <v>2622</v>
      </c>
      <c r="D488" s="10">
        <v>-2.2144578930000001</v>
      </c>
      <c r="E488" s="10">
        <v>-2.5120997900000002</v>
      </c>
      <c r="F488" s="10">
        <v>-1.0038191409999999</v>
      </c>
      <c r="G488" s="10">
        <v>-1.6247254200000001</v>
      </c>
      <c r="H488" s="9">
        <v>-1.83877556075</v>
      </c>
      <c r="I488" s="10">
        <v>0.66770063603802199</v>
      </c>
      <c r="J488" s="10">
        <v>0.44582413936557902</v>
      </c>
      <c r="K488" s="10">
        <v>-0.54039414600000002</v>
      </c>
      <c r="L488" s="10">
        <v>-0.14395946900000001</v>
      </c>
      <c r="M488" s="10">
        <v>-0.471251849</v>
      </c>
      <c r="N488" s="10">
        <v>-0.135615719</v>
      </c>
      <c r="O488" s="9">
        <v>-0.32280529600000002</v>
      </c>
      <c r="P488" s="10">
        <v>0.213234655027942</v>
      </c>
      <c r="Q488" s="10">
        <v>4.5469018104885697E-2</v>
      </c>
    </row>
    <row r="489" spans="1:17" x14ac:dyDescent="0.2">
      <c r="A489" s="10">
        <v>1742</v>
      </c>
      <c r="B489" s="10" t="s">
        <v>2833</v>
      </c>
      <c r="C489" s="9" t="s">
        <v>1132</v>
      </c>
      <c r="D489" s="10">
        <v>-0.67104392700000004</v>
      </c>
      <c r="E489" s="10">
        <v>-0.323434791</v>
      </c>
      <c r="F489" s="10">
        <v>-0.675777776</v>
      </c>
      <c r="G489" s="10">
        <v>-2.2773166269999998</v>
      </c>
      <c r="H489" s="9">
        <v>-0.98689327999999998</v>
      </c>
      <c r="I489" s="10">
        <v>0.87596104398322305</v>
      </c>
      <c r="J489" s="10">
        <v>0.76730775057617895</v>
      </c>
      <c r="K489" s="10">
        <v>-0.56759622300000001</v>
      </c>
      <c r="L489" s="10">
        <v>-0.43628788899999998</v>
      </c>
      <c r="M489" s="10">
        <v>-4.1570277000000003E-2</v>
      </c>
      <c r="N489" s="10">
        <v>-1.2661192649999999</v>
      </c>
      <c r="O489" s="9">
        <v>-0.57789341350000001</v>
      </c>
      <c r="P489" s="10">
        <v>0.51037747015296098</v>
      </c>
      <c r="Q489" s="10">
        <v>0.26048516203973698</v>
      </c>
    </row>
    <row r="490" spans="1:17" x14ac:dyDescent="0.2">
      <c r="A490" s="10">
        <v>1742</v>
      </c>
      <c r="B490" s="10" t="s">
        <v>2825</v>
      </c>
      <c r="C490" s="9" t="s">
        <v>1133</v>
      </c>
      <c r="D490" s="10">
        <v>0.106124655</v>
      </c>
      <c r="E490" s="10">
        <v>-9.7610517999999993E-2</v>
      </c>
      <c r="F490" s="10">
        <v>0.125970041</v>
      </c>
      <c r="G490" s="10">
        <v>9.7617767999999994E-2</v>
      </c>
      <c r="H490" s="9">
        <v>5.8025486500000001E-2</v>
      </c>
      <c r="I490" s="10">
        <v>0.10443515874725599</v>
      </c>
      <c r="J490" s="10">
        <v>1.0906702382564699E-2</v>
      </c>
      <c r="K490" s="10">
        <v>8.9310941000000005E-2</v>
      </c>
      <c r="L490" s="10">
        <v>0.43959278000000002</v>
      </c>
      <c r="M490" s="10">
        <v>9.9772614999999995E-2</v>
      </c>
      <c r="N490" s="10">
        <v>0.16858519599999999</v>
      </c>
      <c r="O490" s="9">
        <v>0.19931538325000001</v>
      </c>
      <c r="P490" s="10">
        <v>0.16399930063162199</v>
      </c>
      <c r="Q490" s="10">
        <v>2.6895770607661199E-2</v>
      </c>
    </row>
    <row r="491" spans="1:17" x14ac:dyDescent="0.2">
      <c r="A491" s="10">
        <v>1742</v>
      </c>
      <c r="B491" s="10" t="s">
        <v>74</v>
      </c>
      <c r="C491" s="9" t="s">
        <v>1134</v>
      </c>
      <c r="D491" s="10">
        <v>0.26214888400000003</v>
      </c>
      <c r="E491" s="10">
        <v>0.31389938000000001</v>
      </c>
      <c r="F491" s="10">
        <v>0.100516888</v>
      </c>
      <c r="G491" s="10">
        <v>0.28746601199999999</v>
      </c>
      <c r="H491" s="9">
        <v>0.241007791</v>
      </c>
      <c r="I491" s="10">
        <v>9.6014217149371195E-2</v>
      </c>
      <c r="J491" s="10">
        <v>9.2187298948066005E-3</v>
      </c>
      <c r="K491" s="10">
        <v>0.15032978</v>
      </c>
      <c r="L491" s="10">
        <v>0.325217429</v>
      </c>
      <c r="M491" s="10">
        <v>0.38904216400000002</v>
      </c>
      <c r="N491" s="10">
        <v>0.222425874</v>
      </c>
      <c r="O491" s="9">
        <v>0.27175381175000002</v>
      </c>
      <c r="P491" s="10">
        <v>0.106131925564471</v>
      </c>
      <c r="Q491" s="10">
        <v>1.12639856240224E-2</v>
      </c>
    </row>
    <row r="492" spans="1:17" x14ac:dyDescent="0.2">
      <c r="A492" s="10">
        <v>1742</v>
      </c>
      <c r="B492" s="10" t="s">
        <v>2818</v>
      </c>
      <c r="C492" s="9" t="s">
        <v>1135</v>
      </c>
      <c r="D492" s="10">
        <v>-0.22218684399999999</v>
      </c>
      <c r="E492" s="10">
        <v>-0.12820561699999999</v>
      </c>
      <c r="F492" s="10">
        <v>-0.49335614700000002</v>
      </c>
      <c r="G492" s="10">
        <v>-0.36128509399999997</v>
      </c>
      <c r="H492" s="9">
        <v>-0.30125842549999998</v>
      </c>
      <c r="I492" s="10">
        <v>0.15990030755374701</v>
      </c>
      <c r="J492" s="10">
        <v>2.5568108355782999E-2</v>
      </c>
      <c r="K492" s="10">
        <v>-0.21243018799999999</v>
      </c>
      <c r="L492" s="10">
        <v>-0.20495011799999999</v>
      </c>
      <c r="M492" s="10">
        <v>-0.50537591199999998</v>
      </c>
      <c r="N492" s="10">
        <v>-0.30753163300000003</v>
      </c>
      <c r="O492" s="9">
        <v>-0.307571963</v>
      </c>
      <c r="P492" s="10">
        <v>0.13989234466529099</v>
      </c>
      <c r="Q492" s="10">
        <v>1.9569868095952701E-2</v>
      </c>
    </row>
    <row r="493" spans="1:17" x14ac:dyDescent="0.2">
      <c r="A493" s="10">
        <v>1742</v>
      </c>
      <c r="B493" s="10" t="s">
        <v>2830</v>
      </c>
      <c r="C493" s="9" t="s">
        <v>2299</v>
      </c>
      <c r="D493" s="10">
        <v>-0.281668207</v>
      </c>
      <c r="E493" s="10">
        <v>7.2605365000000005E-2</v>
      </c>
      <c r="F493" s="10">
        <v>-0.384409893</v>
      </c>
      <c r="G493" s="10">
        <v>3.4966297E-2</v>
      </c>
      <c r="H493" s="9">
        <v>-0.1396266095</v>
      </c>
      <c r="I493" s="10">
        <v>0.227757008894479</v>
      </c>
      <c r="J493" s="10">
        <v>5.1873255100559901E-2</v>
      </c>
      <c r="K493" s="10">
        <v>-0.15007221100000001</v>
      </c>
      <c r="L493" s="10">
        <v>-0.37235636100000002</v>
      </c>
      <c r="M493" s="10">
        <v>0.25729474099999999</v>
      </c>
      <c r="N493" s="10">
        <v>6.0183148999999998E-2</v>
      </c>
      <c r="O493" s="9">
        <v>-5.1237670499999999E-2</v>
      </c>
      <c r="P493" s="10">
        <v>0.271104117605725</v>
      </c>
      <c r="Q493" s="10">
        <v>7.3497442582779293E-2</v>
      </c>
    </row>
    <row r="494" spans="1:17" x14ac:dyDescent="0.2">
      <c r="A494" s="10">
        <v>1743</v>
      </c>
      <c r="B494" s="10" t="s">
        <v>2822</v>
      </c>
      <c r="C494" s="9" t="s">
        <v>1137</v>
      </c>
      <c r="D494" s="10">
        <v>-0.29220675099999999</v>
      </c>
      <c r="E494" s="10">
        <v>-9.8679086999999999E-2</v>
      </c>
      <c r="F494" s="10">
        <v>-0.76628245699999997</v>
      </c>
      <c r="G494" s="10">
        <v>-0.55595811299999998</v>
      </c>
      <c r="H494" s="9">
        <v>-0.42828160199999998</v>
      </c>
      <c r="I494" s="10">
        <v>0.29308704759898002</v>
      </c>
      <c r="J494" s="10">
        <v>8.5900017470287193E-2</v>
      </c>
      <c r="K494" s="10">
        <v>8.7811600000000004E-2</v>
      </c>
      <c r="L494" s="10">
        <v>-0.461024194</v>
      </c>
      <c r="M494" s="10">
        <v>5.0548138999999999E-2</v>
      </c>
      <c r="N494" s="10">
        <v>-0.247104711</v>
      </c>
      <c r="O494" s="9">
        <v>-0.14244229175000001</v>
      </c>
      <c r="P494" s="10">
        <v>0.259942821579145</v>
      </c>
      <c r="Q494" s="10">
        <v>6.7570270490527495E-2</v>
      </c>
    </row>
    <row r="495" spans="1:17" x14ac:dyDescent="0.2">
      <c r="A495" s="10">
        <v>1743</v>
      </c>
      <c r="B495" s="10" t="s">
        <v>96</v>
      </c>
      <c r="C495" s="9" t="s">
        <v>1138</v>
      </c>
      <c r="D495" s="10">
        <v>-0.20301951600000001</v>
      </c>
      <c r="E495" s="10">
        <v>-8.0461478000000003E-2</v>
      </c>
      <c r="F495" s="10">
        <v>0.238981791</v>
      </c>
      <c r="G495" s="10">
        <v>0.26743096300000002</v>
      </c>
      <c r="H495" s="9">
        <v>5.5732940000000002E-2</v>
      </c>
      <c r="I495" s="10">
        <v>0.23373628110566499</v>
      </c>
      <c r="J495" s="10">
        <v>5.4632649105106401E-2</v>
      </c>
      <c r="K495" s="10">
        <v>0.22350550299999999</v>
      </c>
      <c r="L495" s="10">
        <v>-0.143779464</v>
      </c>
      <c r="M495" s="10">
        <v>0.66048077900000002</v>
      </c>
      <c r="N495" s="10">
        <v>0.42897094299999999</v>
      </c>
      <c r="O495" s="9">
        <v>0.29229444025000001</v>
      </c>
      <c r="P495" s="10">
        <v>0.34114220607732998</v>
      </c>
      <c r="Q495" s="10">
        <v>0.116378004767307</v>
      </c>
    </row>
    <row r="496" spans="1:17" x14ac:dyDescent="0.2">
      <c r="A496" s="10">
        <v>1743</v>
      </c>
      <c r="B496" s="10" t="s">
        <v>2823</v>
      </c>
      <c r="C496" s="9" t="s">
        <v>1139</v>
      </c>
      <c r="D496" s="10">
        <v>-0.73965700400000001</v>
      </c>
      <c r="E496" s="10">
        <v>4.0185053999999998E-2</v>
      </c>
      <c r="F496" s="10">
        <v>-1.979966025</v>
      </c>
      <c r="G496" s="10">
        <v>-1.8927408100000001</v>
      </c>
      <c r="H496" s="9">
        <v>-1.14304469625</v>
      </c>
      <c r="I496" s="10">
        <v>0.97043561449209903</v>
      </c>
      <c r="J496" s="10">
        <v>0.941745281874658</v>
      </c>
      <c r="K496" s="10">
        <v>0.21458339100000001</v>
      </c>
      <c r="L496" s="10">
        <v>-0.51819501400000001</v>
      </c>
      <c r="M496" s="10">
        <v>-1.2546669999999999E-2</v>
      </c>
      <c r="N496" s="10">
        <v>-1.339528638</v>
      </c>
      <c r="O496" s="9">
        <v>-0.41392173274999999</v>
      </c>
      <c r="P496" s="10">
        <v>0.68889807949766002</v>
      </c>
      <c r="Q496" s="10">
        <v>0.47458056393556403</v>
      </c>
    </row>
    <row r="497" spans="1:17" x14ac:dyDescent="0.2">
      <c r="A497" s="10">
        <v>1743</v>
      </c>
      <c r="B497" s="10" t="s">
        <v>2826</v>
      </c>
      <c r="C497" s="9" t="s">
        <v>2298</v>
      </c>
      <c r="D497" s="10">
        <v>-0.89870609199999996</v>
      </c>
      <c r="E497" s="10">
        <v>-1.0796943450000001</v>
      </c>
      <c r="F497" s="10">
        <v>-0.99733540399999998</v>
      </c>
      <c r="G497" s="10">
        <v>-0.62295827999999998</v>
      </c>
      <c r="H497" s="9">
        <v>-0.89967353049999998</v>
      </c>
      <c r="I497" s="10">
        <v>0.198760828623501</v>
      </c>
      <c r="J497" s="10">
        <v>3.9505866995100801E-2</v>
      </c>
      <c r="K497" s="10">
        <v>-0.20174771899999999</v>
      </c>
      <c r="L497" s="10">
        <v>-0.31125629500000002</v>
      </c>
      <c r="M497" s="10">
        <v>-0.367771287</v>
      </c>
      <c r="N497" s="10">
        <v>-0.17958422299999999</v>
      </c>
      <c r="O497" s="9">
        <v>-0.26508988100000003</v>
      </c>
      <c r="P497" s="10">
        <v>8.9439469207957298E-2</v>
      </c>
      <c r="Q497" s="10">
        <v>7.9994186522010999E-3</v>
      </c>
    </row>
    <row r="498" spans="1:17" x14ac:dyDescent="0.2">
      <c r="A498" s="10">
        <v>1743</v>
      </c>
      <c r="B498" s="10" t="s">
        <v>2834</v>
      </c>
      <c r="C498" s="9" t="s">
        <v>2297</v>
      </c>
      <c r="D498" s="10">
        <v>-0.72051554699999998</v>
      </c>
      <c r="E498" s="10">
        <v>-0.42804099400000001</v>
      </c>
      <c r="F498" s="10">
        <v>-1.5257325269999999</v>
      </c>
      <c r="G498" s="10">
        <v>-0.43404161200000002</v>
      </c>
      <c r="H498" s="9">
        <v>-0.77708266999999998</v>
      </c>
      <c r="I498" s="10">
        <v>0.51742429618552699</v>
      </c>
      <c r="J498" s="10">
        <v>0.26772790228308802</v>
      </c>
      <c r="K498" s="10">
        <v>0.34012674900000001</v>
      </c>
      <c r="L498" s="10">
        <v>-0.16111985500000001</v>
      </c>
      <c r="M498" s="10">
        <v>-0.15350311799999999</v>
      </c>
      <c r="N498" s="10">
        <v>-0.18028154099999999</v>
      </c>
      <c r="O498" s="9">
        <v>-3.8694441000000003E-2</v>
      </c>
      <c r="P498" s="10">
        <v>0.252798612329384</v>
      </c>
      <c r="Q498" s="10">
        <v>6.3907138395662602E-2</v>
      </c>
    </row>
    <row r="499" spans="1:17" x14ac:dyDescent="0.2">
      <c r="A499" s="10">
        <v>1743</v>
      </c>
      <c r="B499" s="10" t="s">
        <v>2824</v>
      </c>
      <c r="C499" s="9" t="s">
        <v>1140</v>
      </c>
      <c r="D499" s="10">
        <v>-1.015720945</v>
      </c>
      <c r="E499" s="10">
        <v>-0.94627789100000004</v>
      </c>
      <c r="F499" s="10">
        <v>-1.1417971549999999</v>
      </c>
      <c r="G499" s="10">
        <v>-0.98434012599999998</v>
      </c>
      <c r="H499" s="9">
        <v>-1.0220340292500001</v>
      </c>
      <c r="I499" s="10">
        <v>8.4740553351452905E-2</v>
      </c>
      <c r="J499" s="10">
        <v>7.1809613823103999E-3</v>
      </c>
      <c r="K499" s="10">
        <v>-0.17517370700000001</v>
      </c>
      <c r="L499" s="10">
        <v>-0.88951924900000001</v>
      </c>
      <c r="M499" s="10">
        <v>-0.80762431800000001</v>
      </c>
      <c r="N499" s="10">
        <v>-1.094703516</v>
      </c>
      <c r="O499" s="9">
        <v>-0.74175519749999996</v>
      </c>
      <c r="P499" s="10">
        <v>0.39655182799575101</v>
      </c>
      <c r="Q499" s="10">
        <v>0.15725335228677201</v>
      </c>
    </row>
    <row r="500" spans="1:17" x14ac:dyDescent="0.2">
      <c r="A500" s="10">
        <v>1743</v>
      </c>
      <c r="B500" s="10" t="s">
        <v>2814</v>
      </c>
      <c r="C500" s="9" t="s">
        <v>1141</v>
      </c>
      <c r="D500" s="10">
        <v>3.4294529999999998E-3</v>
      </c>
      <c r="E500" s="10">
        <v>-0.94627348200000005</v>
      </c>
      <c r="F500" s="10">
        <v>-0.197694914</v>
      </c>
      <c r="G500" s="10">
        <v>-0.25984183</v>
      </c>
      <c r="H500" s="9">
        <v>-0.35009519324999999</v>
      </c>
      <c r="I500" s="10">
        <v>0.41302935415314002</v>
      </c>
      <c r="J500" s="10">
        <v>0.17059324739216</v>
      </c>
      <c r="K500" s="10">
        <v>-0.48258021000000001</v>
      </c>
      <c r="L500" s="10">
        <v>-1.0178799999999999</v>
      </c>
      <c r="M500" s="10">
        <v>0.49311450699999998</v>
      </c>
      <c r="N500" s="10">
        <v>-0.24759049599999999</v>
      </c>
      <c r="O500" s="9">
        <v>-0.31373404999999999</v>
      </c>
      <c r="P500" s="10">
        <v>0.62708588149653999</v>
      </c>
      <c r="Q500" s="10">
        <v>0.393236702772293</v>
      </c>
    </row>
    <row r="501" spans="1:17" x14ac:dyDescent="0.2">
      <c r="A501" s="10">
        <v>1743</v>
      </c>
      <c r="B501" s="10" t="s">
        <v>2833</v>
      </c>
      <c r="C501" s="9" t="s">
        <v>1142</v>
      </c>
      <c r="D501" s="10">
        <v>-1.052958442</v>
      </c>
      <c r="E501" s="10">
        <v>-1.2822257619999999</v>
      </c>
      <c r="F501" s="10">
        <v>7.3758036999999999E-2</v>
      </c>
      <c r="G501" s="10">
        <v>0.17559681099999999</v>
      </c>
      <c r="H501" s="9">
        <v>-0.52145733875</v>
      </c>
      <c r="I501" s="10">
        <v>0.75308871716931303</v>
      </c>
      <c r="J501" s="10">
        <v>0.56714261592772197</v>
      </c>
      <c r="K501" s="10">
        <v>2.5230654000000002E-2</v>
      </c>
      <c r="L501" s="10">
        <v>-0.88285063600000002</v>
      </c>
      <c r="M501" s="10">
        <v>0.81476728899999995</v>
      </c>
      <c r="N501" s="10">
        <v>0.76599869300000001</v>
      </c>
      <c r="O501" s="9">
        <v>0.18078649999999999</v>
      </c>
      <c r="P501" s="10">
        <v>0.79580703899877403</v>
      </c>
      <c r="Q501" s="10">
        <v>0.63330884331999604</v>
      </c>
    </row>
    <row r="502" spans="1:17" x14ac:dyDescent="0.2">
      <c r="A502" s="10">
        <v>1743</v>
      </c>
      <c r="B502" s="10" t="s">
        <v>2825</v>
      </c>
      <c r="C502" s="9" t="s">
        <v>1143</v>
      </c>
      <c r="D502" s="10">
        <v>-0.61817107699999996</v>
      </c>
      <c r="E502" s="10">
        <v>-0.91258268399999998</v>
      </c>
      <c r="F502" s="10">
        <v>-0.55837593200000002</v>
      </c>
      <c r="G502" s="10">
        <v>-0.292653571</v>
      </c>
      <c r="H502" s="9">
        <v>-0.59544581600000002</v>
      </c>
      <c r="I502" s="10">
        <v>0.254394411930425</v>
      </c>
      <c r="J502" s="10">
        <v>6.4716516821426998E-2</v>
      </c>
      <c r="K502" s="10">
        <v>0.111926257</v>
      </c>
      <c r="L502" s="10">
        <v>-0.168398512</v>
      </c>
      <c r="M502" s="10">
        <v>4.4736260999999999E-2</v>
      </c>
      <c r="N502" s="10">
        <v>-2.5625089E-2</v>
      </c>
      <c r="O502" s="9">
        <v>-9.3402704999999992E-3</v>
      </c>
      <c r="P502" s="10">
        <v>0.11999244622562499</v>
      </c>
      <c r="Q502" s="10">
        <v>1.43981871512096E-2</v>
      </c>
    </row>
    <row r="503" spans="1:17" x14ac:dyDescent="0.2">
      <c r="A503" s="10">
        <v>1743</v>
      </c>
      <c r="B503" s="10" t="s">
        <v>74</v>
      </c>
      <c r="C503" s="9" t="s">
        <v>1144</v>
      </c>
      <c r="D503" s="10">
        <v>-0.211679543</v>
      </c>
      <c r="E503" s="10">
        <v>-0.76331351700000005</v>
      </c>
      <c r="F503" s="10">
        <v>-0.69258333299999997</v>
      </c>
      <c r="G503" s="10">
        <v>-0.17439295399999999</v>
      </c>
      <c r="H503" s="9">
        <v>-0.46049233675000001</v>
      </c>
      <c r="I503" s="10">
        <v>0.31055196070433999</v>
      </c>
      <c r="J503" s="10">
        <v>9.6442520297310499E-2</v>
      </c>
      <c r="K503" s="10">
        <v>-1.0852044199999999</v>
      </c>
      <c r="L503" s="10">
        <v>-0.67577721899999998</v>
      </c>
      <c r="M503" s="10">
        <v>0.24738236399999999</v>
      </c>
      <c r="N503" s="10">
        <v>-5.2116264000000002E-2</v>
      </c>
      <c r="O503" s="9">
        <v>-0.391428885</v>
      </c>
      <c r="P503" s="10">
        <v>0.60149572861657097</v>
      </c>
      <c r="Q503" s="10">
        <v>0.36179711154397998</v>
      </c>
    </row>
    <row r="504" spans="1:17" x14ac:dyDescent="0.2">
      <c r="A504" s="10">
        <v>1743</v>
      </c>
      <c r="B504" s="10" t="s">
        <v>2818</v>
      </c>
      <c r="C504" s="9" t="s">
        <v>1145</v>
      </c>
      <c r="D504" s="10">
        <v>-0.539582809</v>
      </c>
      <c r="E504" s="10">
        <v>-1.1259815289999999</v>
      </c>
      <c r="F504" s="10">
        <v>-0.43526305599999998</v>
      </c>
      <c r="G504" s="10">
        <v>-1.814691353</v>
      </c>
      <c r="H504" s="9">
        <v>-0.97887968675000003</v>
      </c>
      <c r="I504" s="10">
        <v>0.63474952578735699</v>
      </c>
      <c r="J504" s="10">
        <v>0.40290696048727498</v>
      </c>
      <c r="K504" s="10">
        <v>-0.44799882099999999</v>
      </c>
      <c r="L504" s="10">
        <v>-0.431041809</v>
      </c>
      <c r="M504" s="10">
        <v>-0.13213209300000001</v>
      </c>
      <c r="N504" s="10">
        <v>5.5975143999999998E-2</v>
      </c>
      <c r="O504" s="9">
        <v>-0.23879939475</v>
      </c>
      <c r="P504" s="10">
        <v>0.24426180472183101</v>
      </c>
      <c r="Q504" s="10">
        <v>5.9663829245966103E-2</v>
      </c>
    </row>
    <row r="505" spans="1:17" x14ac:dyDescent="0.2">
      <c r="A505" s="10">
        <v>1743</v>
      </c>
      <c r="B505" s="10" t="s">
        <v>2830</v>
      </c>
      <c r="C505" s="9" t="s">
        <v>1146</v>
      </c>
      <c r="D505" s="10">
        <v>-0.86152936599999996</v>
      </c>
      <c r="E505" s="10">
        <v>-0.89712548400000003</v>
      </c>
      <c r="F505" s="10">
        <v>-0.81238001999999998</v>
      </c>
      <c r="G505" s="10">
        <v>-0.82271023799999998</v>
      </c>
      <c r="H505" s="9">
        <v>-0.84843627700000002</v>
      </c>
      <c r="I505" s="10">
        <v>3.87468304481383E-2</v>
      </c>
      <c r="J505" s="10">
        <v>1.5013168697767E-3</v>
      </c>
      <c r="K505" s="10">
        <v>6.4467419999999998E-2</v>
      </c>
      <c r="L505" s="10">
        <v>-5.1121475999999999E-2</v>
      </c>
      <c r="M505" s="10">
        <v>-0.205808618</v>
      </c>
      <c r="N505" s="10">
        <v>-0.439828367</v>
      </c>
      <c r="O505" s="9">
        <v>-0.15807276025</v>
      </c>
      <c r="P505" s="10">
        <v>0.21804253643009999</v>
      </c>
      <c r="Q505" s="10">
        <v>4.7542547692871799E-2</v>
      </c>
    </row>
    <row r="506" spans="1:17" x14ac:dyDescent="0.2">
      <c r="A506" s="10">
        <v>1744</v>
      </c>
      <c r="B506" s="10" t="s">
        <v>2822</v>
      </c>
      <c r="C506" s="9" t="s">
        <v>2296</v>
      </c>
      <c r="D506" s="10">
        <v>0.14659966299999999</v>
      </c>
      <c r="E506" s="10">
        <v>-0.13007485199999999</v>
      </c>
      <c r="F506" s="10">
        <v>-6.4274493000000002E-2</v>
      </c>
      <c r="G506" s="10">
        <v>-0.113846273</v>
      </c>
      <c r="H506" s="9">
        <v>-4.0398988750000003E-2</v>
      </c>
      <c r="I506" s="10">
        <v>0.12776906181706901</v>
      </c>
      <c r="J506" s="10">
        <v>1.6324933157614099E-2</v>
      </c>
      <c r="K506" s="10">
        <v>-3.2350523999999999E-2</v>
      </c>
      <c r="L506" s="10">
        <v>-5.7638210000000002E-2</v>
      </c>
      <c r="M506" s="10">
        <v>4.4071359999999999E-3</v>
      </c>
      <c r="N506" s="10">
        <v>-0.19976077</v>
      </c>
      <c r="O506" s="9">
        <v>-7.1335592000000003E-2</v>
      </c>
      <c r="P506" s="10">
        <v>8.9326071203264801E-2</v>
      </c>
      <c r="Q506" s="10">
        <v>7.9791469966106997E-3</v>
      </c>
    </row>
    <row r="507" spans="1:17" x14ac:dyDescent="0.2">
      <c r="A507" s="10">
        <v>1744</v>
      </c>
      <c r="B507" s="10" t="s">
        <v>96</v>
      </c>
      <c r="C507" s="9" t="s">
        <v>1148</v>
      </c>
      <c r="D507" s="10">
        <v>-0.19296803600000001</v>
      </c>
      <c r="E507" s="10">
        <v>-0.281832362</v>
      </c>
      <c r="F507" s="10">
        <v>-0.26837770799999999</v>
      </c>
      <c r="G507" s="10">
        <v>-0.26094164800000003</v>
      </c>
      <c r="H507" s="9">
        <v>-0.25102993849999999</v>
      </c>
      <c r="I507" s="10">
        <v>3.9661740200644897E-2</v>
      </c>
      <c r="J507" s="10">
        <v>1.5730536357434E-3</v>
      </c>
      <c r="K507" s="10">
        <v>-0.11711717000000001</v>
      </c>
      <c r="L507" s="10">
        <v>-0.14399086999999999</v>
      </c>
      <c r="M507" s="10">
        <v>-0.13942680700000001</v>
      </c>
      <c r="N507" s="10">
        <v>-0.26046592000000002</v>
      </c>
      <c r="O507" s="9">
        <v>-0.16525019175</v>
      </c>
      <c r="P507" s="10">
        <v>6.4553927456508203E-2</v>
      </c>
      <c r="Q507" s="10">
        <v>4.1672095500600997E-3</v>
      </c>
    </row>
    <row r="508" spans="1:17" x14ac:dyDescent="0.2">
      <c r="A508" s="10">
        <v>1744</v>
      </c>
      <c r="B508" s="10" t="s">
        <v>2819</v>
      </c>
      <c r="C508" s="9" t="s">
        <v>1149</v>
      </c>
      <c r="D508" s="10">
        <v>-0.14802641699999999</v>
      </c>
      <c r="E508" s="10">
        <v>-0.107915128</v>
      </c>
      <c r="F508" s="10">
        <v>-5.8482011E-2</v>
      </c>
      <c r="G508" s="10">
        <v>3.5948778000000001E-2</v>
      </c>
      <c r="H508" s="9">
        <v>-6.9618694499999995E-2</v>
      </c>
      <c r="I508" s="10">
        <v>7.9336634530491501E-2</v>
      </c>
      <c r="J508" s="10">
        <v>6.2943015786246998E-3</v>
      </c>
      <c r="K508" s="10">
        <v>4.0659820999999999E-2</v>
      </c>
      <c r="L508" s="10">
        <v>0.24709508899999999</v>
      </c>
      <c r="M508" s="10">
        <v>-3.7452900000000001E-3</v>
      </c>
      <c r="N508" s="10">
        <v>0.123698128</v>
      </c>
      <c r="O508" s="9">
        <v>0.101926937</v>
      </c>
      <c r="P508" s="10">
        <v>0.110254336535652</v>
      </c>
      <c r="Q508" s="10">
        <v>1.21560187249168E-2</v>
      </c>
    </row>
    <row r="509" spans="1:17" x14ac:dyDescent="0.2">
      <c r="A509" s="10">
        <v>1744</v>
      </c>
      <c r="B509" s="10" t="s">
        <v>2821</v>
      </c>
      <c r="C509" s="9" t="s">
        <v>1150</v>
      </c>
      <c r="D509" s="10">
        <v>0.35339503900000002</v>
      </c>
      <c r="E509" s="10">
        <v>4.570229E-2</v>
      </c>
      <c r="F509" s="10">
        <v>-4.8687758999999997E-2</v>
      </c>
      <c r="G509" s="10">
        <v>0.18540575300000001</v>
      </c>
      <c r="H509" s="9">
        <v>0.13395383050000001</v>
      </c>
      <c r="I509" s="10">
        <v>0.17506953754874599</v>
      </c>
      <c r="J509" s="10">
        <v>3.0649342977531999E-2</v>
      </c>
      <c r="K509" s="10">
        <v>-2.3010335E-2</v>
      </c>
      <c r="L509" s="10">
        <v>0.117265095</v>
      </c>
      <c r="M509" s="10">
        <v>-0.110664526</v>
      </c>
      <c r="N509" s="10">
        <v>8.5449237999999997E-2</v>
      </c>
      <c r="O509" s="9">
        <v>1.7259868250000001E-2</v>
      </c>
      <c r="P509" s="10">
        <v>0.10430272517732</v>
      </c>
      <c r="Q509" s="10">
        <v>1.08790584794156E-2</v>
      </c>
    </row>
    <row r="510" spans="1:17" x14ac:dyDescent="0.2">
      <c r="A510" s="10">
        <v>1744</v>
      </c>
      <c r="B510" s="10" t="s">
        <v>2820</v>
      </c>
      <c r="C510" s="9" t="s">
        <v>1151</v>
      </c>
      <c r="D510" s="10">
        <v>-0.35784627099999999</v>
      </c>
      <c r="E510" s="10">
        <v>-0.61850766300000004</v>
      </c>
      <c r="F510" s="10">
        <v>-1.5383335E-2</v>
      </c>
      <c r="G510" s="10">
        <v>-0.68716267399999997</v>
      </c>
      <c r="H510" s="9">
        <v>-0.41972498575</v>
      </c>
      <c r="I510" s="10">
        <v>0.30460828164574899</v>
      </c>
      <c r="J510" s="10">
        <v>9.2786205247176207E-2</v>
      </c>
      <c r="K510" s="10">
        <v>-0.27583474000000002</v>
      </c>
      <c r="L510" s="10">
        <v>-0.35111910899999998</v>
      </c>
      <c r="M510" s="10">
        <v>-0.214919152</v>
      </c>
      <c r="N510" s="10">
        <v>-0.648033478</v>
      </c>
      <c r="O510" s="9">
        <v>-0.37247661975000002</v>
      </c>
      <c r="P510" s="10">
        <v>0.19196504365765199</v>
      </c>
      <c r="Q510" s="10">
        <v>3.6850577986484202E-2</v>
      </c>
    </row>
    <row r="511" spans="1:17" x14ac:dyDescent="0.2">
      <c r="A511" s="10">
        <v>1744</v>
      </c>
      <c r="B511" s="10" t="s">
        <v>2824</v>
      </c>
      <c r="C511" s="9" t="s">
        <v>1152</v>
      </c>
      <c r="D511" s="10">
        <v>5.0529035999999999E-2</v>
      </c>
      <c r="E511" s="10">
        <v>-4.0884937000000003E-2</v>
      </c>
      <c r="F511" s="10">
        <v>-0.23740720700000001</v>
      </c>
      <c r="G511" s="10">
        <v>-9.9559454000000006E-2</v>
      </c>
      <c r="H511" s="9">
        <v>-8.1830640750000003E-2</v>
      </c>
      <c r="I511" s="10">
        <v>0.12071179653806401</v>
      </c>
      <c r="J511" s="10">
        <v>1.4571337823447E-2</v>
      </c>
      <c r="K511" s="10">
        <v>-1.5387286E-2</v>
      </c>
      <c r="L511" s="10">
        <v>2.9436468E-2</v>
      </c>
      <c r="M511" s="10">
        <v>-0.10875894799999999</v>
      </c>
      <c r="N511" s="10">
        <v>-0.13812519700000001</v>
      </c>
      <c r="O511" s="9">
        <v>-5.8208740750000001E-2</v>
      </c>
      <c r="P511" s="10">
        <v>7.8437497487518604E-2</v>
      </c>
      <c r="Q511" s="10">
        <v>6.1524410121043998E-3</v>
      </c>
    </row>
    <row r="512" spans="1:17" x14ac:dyDescent="0.2">
      <c r="A512" s="10">
        <v>1744</v>
      </c>
      <c r="B512" s="10" t="s">
        <v>2833</v>
      </c>
      <c r="C512" s="9" t="s">
        <v>1153</v>
      </c>
      <c r="D512" s="10">
        <v>9.6557483E-2</v>
      </c>
      <c r="E512" s="10">
        <v>-0.82373872100000001</v>
      </c>
      <c r="F512" s="10">
        <v>-0.58587257500000001</v>
      </c>
      <c r="G512" s="10">
        <v>-8.5851826000000006E-2</v>
      </c>
      <c r="H512" s="9">
        <v>-0.34972640975000002</v>
      </c>
      <c r="I512" s="10">
        <v>0.42788308039158501</v>
      </c>
      <c r="J512" s="10">
        <v>0.18308393048539201</v>
      </c>
      <c r="K512" s="10">
        <v>0.45657093100000001</v>
      </c>
      <c r="L512" s="10">
        <v>0.62617223600000005</v>
      </c>
      <c r="M512" s="10">
        <v>0.36840072200000001</v>
      </c>
      <c r="N512" s="10">
        <v>-0.19882527999999999</v>
      </c>
      <c r="O512" s="9">
        <v>0.31307965225000001</v>
      </c>
      <c r="P512" s="10">
        <v>0.35764218314619101</v>
      </c>
      <c r="Q512" s="10">
        <v>0.127907931165574</v>
      </c>
    </row>
    <row r="513" spans="1:17" x14ac:dyDescent="0.2">
      <c r="A513" s="10">
        <v>1744</v>
      </c>
      <c r="B513" s="10" t="s">
        <v>74</v>
      </c>
      <c r="C513" s="9" t="s">
        <v>1154</v>
      </c>
      <c r="D513" s="10">
        <v>-0.144531989</v>
      </c>
      <c r="E513" s="10">
        <v>-0.63529773099999998</v>
      </c>
      <c r="F513" s="10">
        <v>0.17456736</v>
      </c>
      <c r="G513" s="10">
        <v>0.66162696600000004</v>
      </c>
      <c r="H513" s="9">
        <v>1.4091151499999999E-2</v>
      </c>
      <c r="I513" s="10">
        <v>0.54525910231479102</v>
      </c>
      <c r="J513" s="10">
        <v>0.29730748865713102</v>
      </c>
      <c r="K513" s="10">
        <v>-7.555651E-3</v>
      </c>
      <c r="L513" s="10">
        <v>-0.32900368899999999</v>
      </c>
      <c r="M513" s="10">
        <v>0.48778079800000002</v>
      </c>
      <c r="N513" s="10">
        <v>-0.292332429</v>
      </c>
      <c r="O513" s="9">
        <v>-3.5277743E-2</v>
      </c>
      <c r="P513" s="10">
        <v>0.37714311812452</v>
      </c>
      <c r="Q513" s="10">
        <v>0.142236931548686</v>
      </c>
    </row>
    <row r="514" spans="1:17" x14ac:dyDescent="0.2">
      <c r="A514" s="10">
        <v>1744</v>
      </c>
      <c r="B514" s="10" t="s">
        <v>2818</v>
      </c>
      <c r="C514" s="9" t="s">
        <v>2621</v>
      </c>
      <c r="D514" s="10">
        <v>-0.13083291399999999</v>
      </c>
      <c r="E514" s="10">
        <v>-0.59474934300000004</v>
      </c>
      <c r="F514" s="10">
        <v>-0.88890108999999995</v>
      </c>
      <c r="G514" s="10">
        <v>-1.6939385440000001</v>
      </c>
      <c r="H514" s="9">
        <v>-0.82710547249999999</v>
      </c>
      <c r="I514" s="10">
        <v>0.65676051414618497</v>
      </c>
      <c r="J514" s="10">
        <v>0.43133437294156202</v>
      </c>
      <c r="K514" s="10">
        <v>-1.024693472</v>
      </c>
      <c r="L514" s="10">
        <v>-1.3724353540000001</v>
      </c>
      <c r="M514" s="10">
        <v>-0.96320195500000005</v>
      </c>
      <c r="N514" s="10">
        <v>-1.425115634</v>
      </c>
      <c r="O514" s="9">
        <v>-1.19636160375</v>
      </c>
      <c r="P514" s="10">
        <v>0.236053483449885</v>
      </c>
      <c r="Q514" s="10">
        <v>5.5721247048825299E-2</v>
      </c>
    </row>
    <row r="515" spans="1:17" x14ac:dyDescent="0.2">
      <c r="A515" s="10">
        <v>1745</v>
      </c>
      <c r="B515" s="10" t="s">
        <v>2822</v>
      </c>
      <c r="C515" s="9" t="s">
        <v>2293</v>
      </c>
      <c r="D515" s="10">
        <v>-1.1378286200000001</v>
      </c>
      <c r="E515" s="10">
        <v>-1.485086079</v>
      </c>
      <c r="F515" s="10">
        <v>-0.38763288000000001</v>
      </c>
      <c r="G515" s="10">
        <v>-0.22994012999999999</v>
      </c>
      <c r="H515" s="9">
        <v>-0.81012192750000001</v>
      </c>
      <c r="I515" s="10">
        <v>0.59946537167913005</v>
      </c>
      <c r="J515" s="10">
        <v>0.35935873184239697</v>
      </c>
      <c r="K515" s="10">
        <v>-0.54012325299999997</v>
      </c>
      <c r="L515" s="10">
        <v>-4.4601705999999998E-2</v>
      </c>
      <c r="M515" s="10">
        <v>-0.229628263</v>
      </c>
      <c r="N515" s="10">
        <v>-0.28316437700000002</v>
      </c>
      <c r="O515" s="9">
        <v>-0.27437939974999997</v>
      </c>
      <c r="P515" s="10">
        <v>0.20452988709959999</v>
      </c>
      <c r="Q515" s="10">
        <v>4.1832474716975501E-2</v>
      </c>
    </row>
    <row r="516" spans="1:17" x14ac:dyDescent="0.2">
      <c r="A516" s="10">
        <v>1745</v>
      </c>
      <c r="B516" s="10" t="s">
        <v>2819</v>
      </c>
      <c r="C516" s="9" t="s">
        <v>1155</v>
      </c>
      <c r="D516" s="10">
        <v>0.43978926600000001</v>
      </c>
      <c r="E516" s="10">
        <v>0.30508243600000001</v>
      </c>
      <c r="F516" s="10">
        <v>0.939403561</v>
      </c>
      <c r="G516" s="10">
        <v>0.80415808799999999</v>
      </c>
      <c r="H516" s="9">
        <v>0.62210833774999996</v>
      </c>
      <c r="I516" s="10">
        <v>0.29864362070732198</v>
      </c>
      <c r="J516" s="10">
        <v>8.9188012189178906E-2</v>
      </c>
      <c r="K516" s="10">
        <v>7.6007327E-2</v>
      </c>
      <c r="L516" s="10">
        <v>0.26344423300000003</v>
      </c>
      <c r="M516" s="10">
        <v>0.44106618199999997</v>
      </c>
      <c r="N516" s="10">
        <v>0.86812090500000005</v>
      </c>
      <c r="O516" s="9">
        <v>0.41215966175000002</v>
      </c>
      <c r="P516" s="10">
        <v>0.338551282755026</v>
      </c>
      <c r="Q516" s="10">
        <v>0.114616971055073</v>
      </c>
    </row>
    <row r="517" spans="1:17" x14ac:dyDescent="0.2">
      <c r="A517" s="10">
        <v>1745</v>
      </c>
      <c r="B517" s="10" t="s">
        <v>2826</v>
      </c>
      <c r="C517" s="9" t="s">
        <v>1156</v>
      </c>
      <c r="D517" s="10">
        <v>-6.5216664999999993E-2</v>
      </c>
      <c r="E517" s="10">
        <v>0.39734891999999999</v>
      </c>
      <c r="F517" s="10">
        <v>-1.6141710199999999</v>
      </c>
      <c r="G517" s="10">
        <v>5.7730537999999998E-2</v>
      </c>
      <c r="H517" s="9">
        <v>-0.30607705675000002</v>
      </c>
      <c r="I517" s="10">
        <v>0.89373516132568098</v>
      </c>
      <c r="J517" s="10">
        <v>0.79876253858984203</v>
      </c>
      <c r="K517" s="10">
        <v>-0.49666184800000002</v>
      </c>
      <c r="L517" s="10">
        <v>-0.28744629799999999</v>
      </c>
      <c r="M517" s="10">
        <v>0.19737653299999999</v>
      </c>
      <c r="N517" s="10">
        <v>-0.26419847099999999</v>
      </c>
      <c r="O517" s="9">
        <v>-0.21273252100000001</v>
      </c>
      <c r="P517" s="10">
        <v>0.29270929343317997</v>
      </c>
      <c r="Q517" s="10">
        <v>8.5678730462152006E-2</v>
      </c>
    </row>
    <row r="518" spans="1:17" x14ac:dyDescent="0.2">
      <c r="A518" s="10">
        <v>1745</v>
      </c>
      <c r="B518" s="10" t="s">
        <v>2821</v>
      </c>
      <c r="C518" s="9" t="s">
        <v>1157</v>
      </c>
      <c r="D518" s="10">
        <v>-3.4924491000000002E-2</v>
      </c>
      <c r="E518" s="10">
        <v>-0.135949864</v>
      </c>
      <c r="F518" s="10">
        <v>-0.39209083900000002</v>
      </c>
      <c r="G518" s="10">
        <v>-0.18410568899999999</v>
      </c>
      <c r="H518" s="9">
        <v>-0.18676772075</v>
      </c>
      <c r="I518" s="10">
        <v>0.150336833240689</v>
      </c>
      <c r="J518" s="10">
        <v>2.2601163428838701E-2</v>
      </c>
      <c r="K518" s="10">
        <v>-0.134675979</v>
      </c>
      <c r="L518" s="10">
        <v>-0.39005880399999998</v>
      </c>
      <c r="M518" s="10">
        <v>-0.30176569600000003</v>
      </c>
      <c r="N518" s="10">
        <v>-0.26025799799999999</v>
      </c>
      <c r="O518" s="9">
        <v>-0.27168961899999999</v>
      </c>
      <c r="P518" s="10">
        <v>0.106174783368449</v>
      </c>
      <c r="Q518" s="10">
        <v>1.12730846233371E-2</v>
      </c>
    </row>
    <row r="519" spans="1:17" x14ac:dyDescent="0.2">
      <c r="A519" s="10">
        <v>1745</v>
      </c>
      <c r="B519" s="10" t="s">
        <v>79</v>
      </c>
      <c r="C519" s="9" t="s">
        <v>1158</v>
      </c>
      <c r="D519" s="10">
        <v>0.307340053</v>
      </c>
      <c r="E519" s="10">
        <v>-2.4371377999999999E-2</v>
      </c>
      <c r="F519" s="10">
        <v>-0.13814575800000001</v>
      </c>
      <c r="G519" s="10">
        <v>-0.14789901499999999</v>
      </c>
      <c r="H519" s="9">
        <v>-7.6902450000000005E-4</v>
      </c>
      <c r="I519" s="10">
        <v>0.21292242385455701</v>
      </c>
      <c r="J519" s="10">
        <v>4.5335958580099998E-2</v>
      </c>
      <c r="K519" s="10">
        <v>0.12409790499999999</v>
      </c>
      <c r="L519" s="10">
        <v>0.32721831800000001</v>
      </c>
      <c r="M519" s="10">
        <v>2.5120720999999999E-2</v>
      </c>
      <c r="N519" s="10">
        <v>-5.3763291999999997E-2</v>
      </c>
      <c r="O519" s="9">
        <v>0.105668413</v>
      </c>
      <c r="P519" s="10">
        <v>0.164651557160994</v>
      </c>
      <c r="Q519" s="10">
        <v>2.7110135275540299E-2</v>
      </c>
    </row>
    <row r="520" spans="1:17" x14ac:dyDescent="0.2">
      <c r="A520" s="10">
        <v>1745</v>
      </c>
      <c r="B520" s="10" t="s">
        <v>2824</v>
      </c>
      <c r="C520" s="9" t="s">
        <v>2292</v>
      </c>
      <c r="D520" s="10">
        <v>-2.4218099999999999E-2</v>
      </c>
      <c r="E520" s="10">
        <v>-6.5198834999999997E-2</v>
      </c>
      <c r="F520" s="10">
        <v>-8.4638824000000001E-2</v>
      </c>
      <c r="G520" s="10">
        <v>0.16404971800000001</v>
      </c>
      <c r="H520" s="9">
        <v>-2.5015100000000002E-3</v>
      </c>
      <c r="I520" s="10">
        <v>0.11385431442978</v>
      </c>
      <c r="J520" s="10">
        <v>1.29628049142754E-2</v>
      </c>
      <c r="K520" s="10">
        <v>-0.29600316300000001</v>
      </c>
      <c r="L520" s="10">
        <v>2.6730224E-2</v>
      </c>
      <c r="M520" s="10">
        <v>9.8055087999999999E-2</v>
      </c>
      <c r="N520" s="10">
        <v>-0.22736503</v>
      </c>
      <c r="O520" s="9">
        <v>-9.9645719999999993E-2</v>
      </c>
      <c r="P520" s="10">
        <v>0.191420093227886</v>
      </c>
      <c r="Q520" s="10">
        <v>3.6641652091372698E-2</v>
      </c>
    </row>
    <row r="521" spans="1:17" x14ac:dyDescent="0.2">
      <c r="A521" s="10">
        <v>1745</v>
      </c>
      <c r="B521" s="10" t="s">
        <v>2814</v>
      </c>
      <c r="C521" s="9" t="s">
        <v>2291</v>
      </c>
      <c r="D521" s="10">
        <v>-0.47202866900000001</v>
      </c>
      <c r="E521" s="10">
        <v>-0.847770833</v>
      </c>
      <c r="F521" s="10">
        <v>-0.92646897699999997</v>
      </c>
      <c r="G521" s="10">
        <v>-0.79949364499999998</v>
      </c>
      <c r="H521" s="9">
        <v>-0.76144053099999998</v>
      </c>
      <c r="I521" s="10">
        <v>0.19991212601539801</v>
      </c>
      <c r="J521" s="10">
        <v>3.9964858127996702E-2</v>
      </c>
      <c r="K521" s="10">
        <v>-0.23052595200000001</v>
      </c>
      <c r="L521" s="10">
        <v>-8.0446517999999995E-2</v>
      </c>
      <c r="M521" s="10">
        <v>-6.8707325999999999E-2</v>
      </c>
      <c r="N521" s="10">
        <v>-0.19246023300000001</v>
      </c>
      <c r="O521" s="9">
        <v>-0.14303500725000001</v>
      </c>
      <c r="P521" s="10">
        <v>8.0704071645084793E-2</v>
      </c>
      <c r="Q521" s="10">
        <v>6.5131471800949003E-3</v>
      </c>
    </row>
    <row r="522" spans="1:17" x14ac:dyDescent="0.2">
      <c r="A522" s="10">
        <v>1745</v>
      </c>
      <c r="B522" s="10" t="s">
        <v>74</v>
      </c>
      <c r="C522" s="9" t="s">
        <v>2290</v>
      </c>
      <c r="D522" s="10">
        <v>-3.2286673000000002E-2</v>
      </c>
      <c r="E522" s="10">
        <v>2.0882628E-2</v>
      </c>
      <c r="F522" s="10">
        <v>-0.66731700000000005</v>
      </c>
      <c r="G522" s="10">
        <v>-0.99631331599999995</v>
      </c>
      <c r="H522" s="9">
        <v>-0.41875859025000001</v>
      </c>
      <c r="I522" s="10">
        <v>0.495982421698202</v>
      </c>
      <c r="J522" s="10">
        <v>0.245998562633613</v>
      </c>
      <c r="K522" s="10">
        <v>-5.5225386000000001E-2</v>
      </c>
      <c r="L522" s="10">
        <v>-0.40016480500000001</v>
      </c>
      <c r="M522" s="10">
        <v>-0.11721345499999999</v>
      </c>
      <c r="N522" s="10">
        <v>-0.289666963</v>
      </c>
      <c r="O522" s="9">
        <v>-0.215567652</v>
      </c>
      <c r="P522" s="10">
        <v>0.158061177101262</v>
      </c>
      <c r="Q522" s="10">
        <v>2.4983335706636502E-2</v>
      </c>
    </row>
    <row r="523" spans="1:17" x14ac:dyDescent="0.2">
      <c r="A523" s="10">
        <v>1745</v>
      </c>
      <c r="B523" s="10" t="s">
        <v>2830</v>
      </c>
      <c r="C523" s="9" t="s">
        <v>2620</v>
      </c>
      <c r="D523" s="10">
        <v>-1.5036515779999999</v>
      </c>
      <c r="E523" s="10">
        <v>-0.60763247099999995</v>
      </c>
      <c r="F523" s="10">
        <v>-0.12936789500000001</v>
      </c>
      <c r="G523" s="10">
        <v>-0.77939391300000005</v>
      </c>
      <c r="H523" s="9">
        <v>-0.75501146424999999</v>
      </c>
      <c r="I523" s="10">
        <v>0.56985582010362401</v>
      </c>
      <c r="J523" s="10">
        <v>0.32473565570597401</v>
      </c>
      <c r="K523" s="10">
        <v>-0.275697213</v>
      </c>
      <c r="L523" s="10">
        <v>-0.20937794200000001</v>
      </c>
      <c r="M523" s="10">
        <v>-1.457279996</v>
      </c>
      <c r="N523" s="10">
        <v>-0.44285652199999997</v>
      </c>
      <c r="O523" s="9">
        <v>-0.59630291825000004</v>
      </c>
      <c r="P523" s="10">
        <v>0.58233045613235601</v>
      </c>
      <c r="Q523" s="10">
        <v>0.33910876013931801</v>
      </c>
    </row>
    <row r="524" spans="1:17" x14ac:dyDescent="0.2">
      <c r="A524" s="10">
        <v>1746</v>
      </c>
      <c r="B524" s="10" t="s">
        <v>2822</v>
      </c>
      <c r="C524" s="9" t="s">
        <v>2288</v>
      </c>
      <c r="D524" s="10">
        <v>-1.190714525</v>
      </c>
      <c r="E524" s="10">
        <v>-0.45394647999999999</v>
      </c>
      <c r="F524" s="10">
        <v>-1.1229892880000001</v>
      </c>
      <c r="G524" s="10">
        <v>-0.81677917200000005</v>
      </c>
      <c r="H524" s="9">
        <v>-0.89610736624999998</v>
      </c>
      <c r="I524" s="10">
        <v>0.33668382603270902</v>
      </c>
      <c r="J524" s="10">
        <v>0.11335599871202399</v>
      </c>
      <c r="K524" s="10">
        <v>-0.84388742999999999</v>
      </c>
      <c r="L524" s="10">
        <v>-0.60496978899999998</v>
      </c>
      <c r="M524" s="10">
        <v>-1.947291866</v>
      </c>
      <c r="N524" s="10">
        <v>-0.79437143200000004</v>
      </c>
      <c r="O524" s="9">
        <v>-1.0476301292500001</v>
      </c>
      <c r="P524" s="10">
        <v>0.60854758034539702</v>
      </c>
      <c r="Q524" s="10">
        <v>0.37033015754423798</v>
      </c>
    </row>
    <row r="525" spans="1:17" x14ac:dyDescent="0.2">
      <c r="A525" s="10">
        <v>1746</v>
      </c>
      <c r="B525" s="10" t="s">
        <v>96</v>
      </c>
      <c r="C525" s="9" t="s">
        <v>2287</v>
      </c>
      <c r="D525" s="10">
        <v>-0.17104828499999999</v>
      </c>
      <c r="E525" s="10">
        <v>-0.61526494499999995</v>
      </c>
      <c r="F525" s="10">
        <v>-0.44471978099999998</v>
      </c>
      <c r="G525" s="10">
        <v>-0.132822785</v>
      </c>
      <c r="H525" s="9">
        <v>-0.34096394875000002</v>
      </c>
      <c r="I525" s="10">
        <v>0.22963767555611</v>
      </c>
      <c r="J525" s="10">
        <v>5.27334620348133E-2</v>
      </c>
      <c r="K525" s="10">
        <v>-0.24975502599999999</v>
      </c>
      <c r="L525" s="10">
        <v>-0.28733139200000002</v>
      </c>
      <c r="M525" s="10">
        <v>-0.21820031000000001</v>
      </c>
      <c r="N525" s="10">
        <v>0.12538812899999999</v>
      </c>
      <c r="O525" s="9">
        <v>-0.15747464999999999</v>
      </c>
      <c r="P525" s="10">
        <v>0.19068070935781101</v>
      </c>
      <c r="Q525" s="10">
        <v>3.6359132921198099E-2</v>
      </c>
    </row>
    <row r="526" spans="1:17" x14ac:dyDescent="0.2">
      <c r="A526" s="10">
        <v>1746</v>
      </c>
      <c r="B526" s="10" t="s">
        <v>2823</v>
      </c>
      <c r="C526" s="9" t="s">
        <v>54</v>
      </c>
      <c r="D526" s="10">
        <v>-0.221697695</v>
      </c>
      <c r="E526" s="10">
        <v>-0.33006151900000003</v>
      </c>
      <c r="F526" s="10">
        <v>-0.45356801200000002</v>
      </c>
      <c r="G526" s="10">
        <v>-0.47307421599999999</v>
      </c>
      <c r="H526" s="9">
        <v>-0.3696003605</v>
      </c>
      <c r="I526" s="10">
        <v>0.11718350811103501</v>
      </c>
      <c r="J526" s="10">
        <v>1.3731974573209099E-2</v>
      </c>
      <c r="K526" s="10">
        <v>-2.3001297549999999</v>
      </c>
      <c r="L526" s="10">
        <v>-2.305022116</v>
      </c>
      <c r="M526" s="10">
        <v>-2.7059821730000002</v>
      </c>
      <c r="N526" s="10">
        <v>-0.47495087800000002</v>
      </c>
      <c r="O526" s="9">
        <v>-1.9465212302499999</v>
      </c>
      <c r="P526" s="10">
        <v>0.999310111867734</v>
      </c>
      <c r="Q526" s="10">
        <v>0.99862069968110401</v>
      </c>
    </row>
    <row r="527" spans="1:17" x14ac:dyDescent="0.2">
      <c r="A527" s="10">
        <v>1746</v>
      </c>
      <c r="B527" s="10" t="s">
        <v>2826</v>
      </c>
      <c r="C527" s="9" t="s">
        <v>2286</v>
      </c>
      <c r="D527" s="10">
        <v>-1.5469012630000001</v>
      </c>
      <c r="E527" s="10">
        <v>-1.5991220049999999</v>
      </c>
      <c r="F527" s="10">
        <v>-0.92157104000000001</v>
      </c>
      <c r="G527" s="10">
        <v>-1.625488388</v>
      </c>
      <c r="H527" s="9">
        <v>-1.4232706740000001</v>
      </c>
      <c r="I527" s="10">
        <v>0.33605690974500002</v>
      </c>
      <c r="J527" s="10">
        <v>0.112934246587359</v>
      </c>
      <c r="K527" s="10">
        <v>-0.640408643</v>
      </c>
      <c r="L527" s="10">
        <v>-0.80166514200000005</v>
      </c>
      <c r="M527" s="10">
        <v>-0.106265674</v>
      </c>
      <c r="N527" s="10">
        <v>-0.81526311799999995</v>
      </c>
      <c r="O527" s="9">
        <v>-0.59090064425</v>
      </c>
      <c r="P527" s="10">
        <v>0.33270722338039499</v>
      </c>
      <c r="Q527" s="10">
        <v>0.11069409648949199</v>
      </c>
    </row>
    <row r="528" spans="1:17" x14ac:dyDescent="0.2">
      <c r="A528" s="10">
        <v>1746</v>
      </c>
      <c r="B528" s="10" t="s">
        <v>79</v>
      </c>
      <c r="C528" s="9" t="s">
        <v>2285</v>
      </c>
      <c r="D528" s="10">
        <v>4.8651892000000002E-2</v>
      </c>
      <c r="E528" s="10">
        <v>-0.15255725000000001</v>
      </c>
      <c r="F528" s="10">
        <v>0.101133108</v>
      </c>
      <c r="G528" s="10">
        <v>-0.185224102</v>
      </c>
      <c r="H528" s="9">
        <v>-4.6999087750000001E-2</v>
      </c>
      <c r="I528" s="10">
        <v>0.14299293400591601</v>
      </c>
      <c r="J528" s="10">
        <v>2.0446979175620401E-2</v>
      </c>
      <c r="K528" s="10">
        <v>0.44423058799999998</v>
      </c>
      <c r="L528" s="10">
        <v>0.160005429</v>
      </c>
      <c r="M528" s="10">
        <v>0.29263082800000001</v>
      </c>
      <c r="N528" s="10">
        <v>-8.6682119000000002E-2</v>
      </c>
      <c r="O528" s="9">
        <v>0.20254618150000001</v>
      </c>
      <c r="P528" s="10">
        <v>0.22508466652474801</v>
      </c>
      <c r="Q528" s="10">
        <v>5.0663107104557202E-2</v>
      </c>
    </row>
    <row r="529" spans="1:17" x14ac:dyDescent="0.2">
      <c r="A529" s="10">
        <v>1746</v>
      </c>
      <c r="B529" s="10" t="s">
        <v>2824</v>
      </c>
      <c r="C529" s="9" t="s">
        <v>55</v>
      </c>
      <c r="D529" s="10">
        <v>-0.848475168</v>
      </c>
      <c r="E529" s="10">
        <v>-4.6749682000000001E-2</v>
      </c>
      <c r="F529" s="10">
        <v>-6.4346582999999999E-2</v>
      </c>
      <c r="G529" s="10">
        <v>-0.16455438</v>
      </c>
      <c r="H529" s="9">
        <v>-0.28103145325000001</v>
      </c>
      <c r="I529" s="10">
        <v>0.381837469497805</v>
      </c>
      <c r="J529" s="10">
        <v>0.145799853112487</v>
      </c>
      <c r="K529" s="10">
        <v>0.15282964900000001</v>
      </c>
      <c r="L529" s="10">
        <v>-0.18436459199999999</v>
      </c>
      <c r="M529" s="10">
        <v>0.10621839399999999</v>
      </c>
      <c r="N529" s="10">
        <v>1.3369446E-2</v>
      </c>
      <c r="O529" s="9">
        <v>2.2013224000000001E-2</v>
      </c>
      <c r="P529" s="10">
        <v>0.149298320530353</v>
      </c>
      <c r="Q529" s="10">
        <v>2.22899885131842E-2</v>
      </c>
    </row>
    <row r="530" spans="1:17" x14ac:dyDescent="0.2">
      <c r="A530" s="10">
        <v>1746</v>
      </c>
      <c r="B530" s="10" t="s">
        <v>2814</v>
      </c>
      <c r="C530" s="9" t="s">
        <v>1160</v>
      </c>
      <c r="D530" s="10">
        <v>-0.83077959999999995</v>
      </c>
      <c r="E530" s="10">
        <v>-0.50164977700000002</v>
      </c>
      <c r="F530" s="10">
        <v>1.4632386000000001E-2</v>
      </c>
      <c r="G530" s="10">
        <v>-0.38071621</v>
      </c>
      <c r="H530" s="9">
        <v>-0.4246283005</v>
      </c>
      <c r="I530" s="10">
        <v>0.34917493625416901</v>
      </c>
      <c r="J530" s="10">
        <v>0.121923136108103</v>
      </c>
      <c r="K530" s="10">
        <v>-0.75329247300000002</v>
      </c>
      <c r="L530" s="10">
        <v>0.22576591700000001</v>
      </c>
      <c r="M530" s="10">
        <v>0.35371477499999998</v>
      </c>
      <c r="N530" s="10">
        <v>0.42070007599999998</v>
      </c>
      <c r="O530" s="9">
        <v>6.1722073750000002E-2</v>
      </c>
      <c r="P530" s="10">
        <v>0.54932808581787995</v>
      </c>
      <c r="Q530" s="10">
        <v>0.30176134586833703</v>
      </c>
    </row>
    <row r="531" spans="1:17" x14ac:dyDescent="0.2">
      <c r="A531" s="10">
        <v>1746</v>
      </c>
      <c r="B531" s="10" t="s">
        <v>74</v>
      </c>
      <c r="C531" s="9" t="s">
        <v>2284</v>
      </c>
      <c r="D531" s="10">
        <v>-0.34509903800000002</v>
      </c>
      <c r="E531" s="10">
        <v>-0.514036787</v>
      </c>
      <c r="F531" s="10">
        <v>-1.0675678500000001</v>
      </c>
      <c r="G531" s="10">
        <v>-0.55300126100000002</v>
      </c>
      <c r="H531" s="9">
        <v>-0.61992623400000002</v>
      </c>
      <c r="I531" s="10">
        <v>0.31177156756901903</v>
      </c>
      <c r="J531" s="10">
        <v>9.7201510344443506E-2</v>
      </c>
      <c r="K531" s="10">
        <v>-0.46960352799999999</v>
      </c>
      <c r="L531" s="10">
        <v>-1.2415484560000001</v>
      </c>
      <c r="M531" s="10">
        <v>-0.25382066199999997</v>
      </c>
      <c r="N531" s="10">
        <v>-1.2289952749999999</v>
      </c>
      <c r="O531" s="9">
        <v>-0.79849198025000001</v>
      </c>
      <c r="P531" s="10">
        <v>0.51201125848370699</v>
      </c>
      <c r="Q531" s="10">
        <v>0.26215552881406901</v>
      </c>
    </row>
    <row r="532" spans="1:17" x14ac:dyDescent="0.2">
      <c r="A532" s="10">
        <v>1746</v>
      </c>
      <c r="B532" s="10" t="s">
        <v>2818</v>
      </c>
      <c r="C532" s="9" t="s">
        <v>1163</v>
      </c>
      <c r="D532" s="10">
        <v>1.248257E-3</v>
      </c>
      <c r="E532" s="10">
        <v>-0.335045916</v>
      </c>
      <c r="F532" s="10">
        <v>0.38126416099999999</v>
      </c>
      <c r="G532" s="10">
        <v>-5.3869058999999997E-2</v>
      </c>
      <c r="H532" s="9">
        <v>-1.6006397500000001E-3</v>
      </c>
      <c r="I532" s="10">
        <v>0.29468135998643302</v>
      </c>
      <c r="J532" s="10">
        <v>8.6837103923454007E-2</v>
      </c>
      <c r="K532" s="10">
        <v>0.173591887</v>
      </c>
      <c r="L532" s="10">
        <v>-0.31374128299999998</v>
      </c>
      <c r="M532" s="10">
        <v>-8.8304580999999993E-2</v>
      </c>
      <c r="N532" s="10">
        <v>0.36008448300000001</v>
      </c>
      <c r="O532" s="9">
        <v>3.2907626500000002E-2</v>
      </c>
      <c r="P532" s="10">
        <v>0.29534986162527899</v>
      </c>
      <c r="Q532" s="10">
        <v>8.7231540762071902E-2</v>
      </c>
    </row>
    <row r="533" spans="1:17" x14ac:dyDescent="0.2">
      <c r="A533" s="10">
        <v>1746</v>
      </c>
      <c r="B533" s="10" t="s">
        <v>2830</v>
      </c>
      <c r="C533" s="9" t="s">
        <v>2283</v>
      </c>
      <c r="D533" s="10">
        <v>-0.71841858199999997</v>
      </c>
      <c r="E533" s="10">
        <v>-0.50670179400000004</v>
      </c>
      <c r="F533" s="10">
        <v>-0.75261966199999997</v>
      </c>
      <c r="G533" s="10">
        <v>-0.25828894699999999</v>
      </c>
      <c r="H533" s="9">
        <v>-0.55900724599999996</v>
      </c>
      <c r="I533" s="10">
        <v>0.228082658508591</v>
      </c>
      <c r="J533" s="10">
        <v>5.2021699112346498E-2</v>
      </c>
      <c r="K533" s="10">
        <v>-0.82460741400000004</v>
      </c>
      <c r="L533" s="10">
        <v>-0.56765841299999997</v>
      </c>
      <c r="M533" s="10">
        <v>-0.24584054899999999</v>
      </c>
      <c r="N533" s="10">
        <v>-0.79347752500000002</v>
      </c>
      <c r="O533" s="9">
        <v>-0.60789597525000005</v>
      </c>
      <c r="P533" s="10">
        <v>0.26715011534441202</v>
      </c>
      <c r="Q533" s="10">
        <v>7.1369184128532798E-2</v>
      </c>
    </row>
    <row r="534" spans="1:17" x14ac:dyDescent="0.2">
      <c r="A534" s="10">
        <v>1747</v>
      </c>
      <c r="B534" s="10" t="s">
        <v>2822</v>
      </c>
      <c r="C534" s="9" t="s">
        <v>2282</v>
      </c>
      <c r="D534" s="10">
        <v>-0.57490162300000003</v>
      </c>
      <c r="E534" s="10">
        <v>-0.47081482600000002</v>
      </c>
      <c r="F534" s="10">
        <v>-0.49028044199999998</v>
      </c>
      <c r="G534" s="10">
        <v>-0.404123436</v>
      </c>
      <c r="H534" s="9">
        <v>-0.48503008175000001</v>
      </c>
      <c r="I534" s="10">
        <v>7.0361966601185696E-2</v>
      </c>
      <c r="J534" s="10">
        <v>4.9508063439862998E-3</v>
      </c>
      <c r="K534" s="10">
        <v>-6.0938383999999998E-2</v>
      </c>
      <c r="L534" s="10">
        <v>-0.195499336</v>
      </c>
      <c r="M534" s="10">
        <v>-0.1759676</v>
      </c>
      <c r="N534" s="10">
        <v>-0.13203187799999999</v>
      </c>
      <c r="O534" s="9">
        <v>-0.14110929950000001</v>
      </c>
      <c r="P534" s="10">
        <v>5.9674540795374403E-2</v>
      </c>
      <c r="Q534" s="10">
        <v>3.5610508191387998E-3</v>
      </c>
    </row>
    <row r="535" spans="1:17" x14ac:dyDescent="0.2">
      <c r="A535" s="10">
        <v>1747</v>
      </c>
      <c r="B535" s="10" t="s">
        <v>96</v>
      </c>
      <c r="C535" s="9" t="s">
        <v>2281</v>
      </c>
      <c r="D535" s="10">
        <v>0.14139222300000001</v>
      </c>
      <c r="E535" s="10">
        <v>0.45169683799999999</v>
      </c>
      <c r="F535" s="10">
        <v>0.386248329</v>
      </c>
      <c r="G535" s="10">
        <v>0.52876613800000005</v>
      </c>
      <c r="H535" s="9">
        <v>0.37702588175000001</v>
      </c>
      <c r="I535" s="10">
        <v>0.167540176020853</v>
      </c>
      <c r="J535" s="10">
        <v>2.80697105810985E-2</v>
      </c>
      <c r="K535" s="10">
        <v>0.45243218600000001</v>
      </c>
      <c r="L535" s="10">
        <v>0.50028377099999999</v>
      </c>
      <c r="M535" s="10">
        <v>0.50703187000000005</v>
      </c>
      <c r="N535" s="10">
        <v>0.124728424</v>
      </c>
      <c r="O535" s="9">
        <v>0.39611906274999997</v>
      </c>
      <c r="P535" s="10">
        <v>0.18255226092655</v>
      </c>
      <c r="Q535" s="10">
        <v>3.3325327969395302E-2</v>
      </c>
    </row>
    <row r="536" spans="1:17" x14ac:dyDescent="0.2">
      <c r="A536" s="10">
        <v>1747</v>
      </c>
      <c r="B536" s="10" t="s">
        <v>2823</v>
      </c>
      <c r="C536" s="9" t="s">
        <v>1164</v>
      </c>
      <c r="D536" s="10">
        <v>-0.91890283800000006</v>
      </c>
      <c r="E536" s="10">
        <v>-0.202058606</v>
      </c>
      <c r="F536" s="10">
        <v>-0.86164766699999995</v>
      </c>
      <c r="G536" s="10">
        <v>-7.126126E-3</v>
      </c>
      <c r="H536" s="9">
        <v>-0.49743380925000003</v>
      </c>
      <c r="I536" s="10">
        <v>0.461134836145773</v>
      </c>
      <c r="J536" s="10">
        <v>0.212645337107188</v>
      </c>
      <c r="K536" s="10">
        <v>-0.61496717700000003</v>
      </c>
      <c r="L536" s="10">
        <v>-0.48786214100000003</v>
      </c>
      <c r="M536" s="10">
        <v>-0.800038264</v>
      </c>
      <c r="N536" s="10">
        <v>-0.99486811900000005</v>
      </c>
      <c r="O536" s="9">
        <v>-0.72443392525000005</v>
      </c>
      <c r="P536" s="10">
        <v>0.221208685229351</v>
      </c>
      <c r="Q536" s="10">
        <v>4.89332824208982E-2</v>
      </c>
    </row>
    <row r="537" spans="1:17" x14ac:dyDescent="0.2">
      <c r="A537" s="10">
        <v>1747</v>
      </c>
      <c r="B537" s="10" t="s">
        <v>2834</v>
      </c>
      <c r="C537" s="9" t="s">
        <v>1165</v>
      </c>
      <c r="D537" s="10">
        <v>-0.35235886700000002</v>
      </c>
      <c r="E537" s="10">
        <v>8.7951043000000007E-2</v>
      </c>
      <c r="F537" s="10">
        <v>-1.0922336509999999</v>
      </c>
      <c r="G537" s="10">
        <v>-0.55468907099999998</v>
      </c>
      <c r="H537" s="9">
        <v>-0.47783263650000002</v>
      </c>
      <c r="I537" s="10">
        <v>0.48964284839863198</v>
      </c>
      <c r="J537" s="10">
        <v>0.239750118987926</v>
      </c>
      <c r="K537" s="10">
        <v>-0.16836588199999999</v>
      </c>
      <c r="L537" s="10">
        <v>-0.235012779</v>
      </c>
      <c r="M537" s="10">
        <v>-0.80785818799999998</v>
      </c>
      <c r="N537" s="10">
        <v>-0.79427562900000004</v>
      </c>
      <c r="O537" s="9">
        <v>-0.5013781195</v>
      </c>
      <c r="P537" s="10">
        <v>0.34716308770927001</v>
      </c>
      <c r="Q537" s="10">
        <v>0.120522209467834</v>
      </c>
    </row>
    <row r="538" spans="1:17" x14ac:dyDescent="0.2">
      <c r="A538" s="10">
        <v>1747</v>
      </c>
      <c r="B538" s="10" t="s">
        <v>79</v>
      </c>
      <c r="C538" s="9" t="s">
        <v>1166</v>
      </c>
      <c r="D538" s="10">
        <v>-8.8320626999999999E-2</v>
      </c>
      <c r="E538" s="10">
        <v>-0.15892610500000001</v>
      </c>
      <c r="F538" s="10">
        <v>-0.38405964999999997</v>
      </c>
      <c r="G538" s="10">
        <v>-0.20716815599999999</v>
      </c>
      <c r="H538" s="9">
        <v>-0.20961863475</v>
      </c>
      <c r="I538" s="10">
        <v>0.126119800063443</v>
      </c>
      <c r="J538" s="10">
        <v>1.5906203968042799E-2</v>
      </c>
      <c r="K538" s="10">
        <v>-0.217125929</v>
      </c>
      <c r="L538" s="10">
        <v>0.13629361000000001</v>
      </c>
      <c r="M538" s="10">
        <v>-1.0263237999999999E-2</v>
      </c>
      <c r="N538" s="10">
        <v>-0.22060238099999999</v>
      </c>
      <c r="O538" s="9">
        <v>-7.7924484249999995E-2</v>
      </c>
      <c r="P538" s="10">
        <v>0.17339882793692299</v>
      </c>
      <c r="Q538" s="10">
        <v>3.00671535298986E-2</v>
      </c>
    </row>
    <row r="539" spans="1:17" x14ac:dyDescent="0.2">
      <c r="A539" s="10">
        <v>1747</v>
      </c>
      <c r="B539" s="10" t="s">
        <v>2824</v>
      </c>
      <c r="C539" s="9" t="s">
        <v>1167</v>
      </c>
      <c r="D539" s="10">
        <v>0.237150423</v>
      </c>
      <c r="E539" s="10">
        <v>6.9043335999999997E-2</v>
      </c>
      <c r="F539" s="10">
        <v>5.2740858000000002E-2</v>
      </c>
      <c r="G539" s="10">
        <v>0.14219421700000001</v>
      </c>
      <c r="H539" s="9">
        <v>0.12528220849999999</v>
      </c>
      <c r="I539" s="10">
        <v>8.4114152117538393E-2</v>
      </c>
      <c r="J539" s="10">
        <v>7.0751905864523002E-3</v>
      </c>
      <c r="K539" s="10">
        <v>-7.2457768000000006E-2</v>
      </c>
      <c r="L539" s="10">
        <v>7.2875228E-2</v>
      </c>
      <c r="M539" s="10">
        <v>0.17800701599999999</v>
      </c>
      <c r="N539" s="10">
        <v>-6.9179823000000001E-2</v>
      </c>
      <c r="O539" s="9">
        <v>2.7311163249999999E-2</v>
      </c>
      <c r="P539" s="10">
        <v>0.121174356614558</v>
      </c>
      <c r="Q539" s="10">
        <v>1.4683224700952201E-2</v>
      </c>
    </row>
    <row r="540" spans="1:17" x14ac:dyDescent="0.2">
      <c r="A540" s="10">
        <v>1747</v>
      </c>
      <c r="B540" s="10" t="s">
        <v>2814</v>
      </c>
      <c r="C540" s="9" t="s">
        <v>56</v>
      </c>
      <c r="D540" s="10">
        <v>-1.3323187089999999</v>
      </c>
      <c r="E540" s="10">
        <v>-0.52786077899999995</v>
      </c>
      <c r="F540" s="10">
        <v>-1.098436626</v>
      </c>
      <c r="G540" s="10">
        <v>-0.85929100400000002</v>
      </c>
      <c r="H540" s="9">
        <v>-0.95447677949999998</v>
      </c>
      <c r="I540" s="10">
        <v>0.34377827390763499</v>
      </c>
      <c r="J540" s="10">
        <v>0.118183501610912</v>
      </c>
      <c r="K540" s="10">
        <v>-0.29081336699999999</v>
      </c>
      <c r="L540" s="10">
        <v>2.579919E-2</v>
      </c>
      <c r="M540" s="10">
        <v>8.7967749999999997E-2</v>
      </c>
      <c r="N540" s="10">
        <v>-0.242165198</v>
      </c>
      <c r="O540" s="9">
        <v>-0.1048029065</v>
      </c>
      <c r="P540" s="10">
        <v>0.18946039529779399</v>
      </c>
      <c r="Q540" s="10">
        <v>3.5895241386396402E-2</v>
      </c>
    </row>
    <row r="541" spans="1:17" x14ac:dyDescent="0.2">
      <c r="A541" s="10">
        <v>1747</v>
      </c>
      <c r="B541" s="10" t="s">
        <v>74</v>
      </c>
      <c r="C541" s="9" t="s">
        <v>2280</v>
      </c>
      <c r="D541" s="10">
        <v>9.2043869E-2</v>
      </c>
      <c r="E541" s="10">
        <v>-0.214140463</v>
      </c>
      <c r="F541" s="10">
        <v>-0.28204751</v>
      </c>
      <c r="G541" s="10">
        <v>-0.35399747599999998</v>
      </c>
      <c r="H541" s="9">
        <v>-0.18953539475</v>
      </c>
      <c r="I541" s="10">
        <v>0.19621294452260199</v>
      </c>
      <c r="J541" s="10">
        <v>3.8499519598230003E-2</v>
      </c>
      <c r="K541" s="10">
        <v>-0.65658053000000005</v>
      </c>
      <c r="L541" s="10">
        <v>-0.27407127599999997</v>
      </c>
      <c r="M541" s="10">
        <v>-0.19088459199999999</v>
      </c>
      <c r="N541" s="10">
        <v>-0.28680581199999999</v>
      </c>
      <c r="O541" s="9">
        <v>-0.35208555274999997</v>
      </c>
      <c r="P541" s="10">
        <v>0.20740508901375701</v>
      </c>
      <c r="Q541" s="10">
        <v>4.3016870948804603E-2</v>
      </c>
    </row>
    <row r="542" spans="1:17" x14ac:dyDescent="0.2">
      <c r="A542" s="10">
        <v>1747</v>
      </c>
      <c r="B542" s="10" t="s">
        <v>2818</v>
      </c>
      <c r="C542" s="9" t="s">
        <v>2279</v>
      </c>
      <c r="D542" s="10">
        <v>0.17468070499999999</v>
      </c>
      <c r="E542" s="10">
        <v>0.47985154800000002</v>
      </c>
      <c r="F542" s="10">
        <v>0.195448448</v>
      </c>
      <c r="G542" s="10">
        <v>0.69874250800000004</v>
      </c>
      <c r="H542" s="9">
        <v>0.38718080199999999</v>
      </c>
      <c r="I542" s="10">
        <v>0.25005076191659997</v>
      </c>
      <c r="J542" s="10">
        <v>6.2525383535072504E-2</v>
      </c>
      <c r="K542" s="10">
        <v>0.37213324199999998</v>
      </c>
      <c r="L542" s="10">
        <v>5.8588805000000001E-2</v>
      </c>
      <c r="M542" s="10">
        <v>0.85688705700000001</v>
      </c>
      <c r="N542" s="10">
        <v>0.82804530899999995</v>
      </c>
      <c r="O542" s="9">
        <v>0.52891360325000003</v>
      </c>
      <c r="P542" s="10">
        <v>0.38420127592716702</v>
      </c>
      <c r="Q542" s="10">
        <v>0.147610620424063</v>
      </c>
    </row>
    <row r="543" spans="1:17" x14ac:dyDescent="0.2">
      <c r="A543" s="10">
        <v>1747</v>
      </c>
      <c r="B543" s="10" t="s">
        <v>2830</v>
      </c>
      <c r="C543" s="9" t="s">
        <v>2278</v>
      </c>
      <c r="D543" s="10">
        <v>-0.291568149</v>
      </c>
      <c r="E543" s="10">
        <v>-0.52090361799999996</v>
      </c>
      <c r="F543" s="10">
        <v>0.35184848699999999</v>
      </c>
      <c r="G543" s="10">
        <v>0.16222278000000001</v>
      </c>
      <c r="H543" s="9">
        <v>-7.4600125249999996E-2</v>
      </c>
      <c r="I543" s="10">
        <v>0.40174844463993897</v>
      </c>
      <c r="J543" s="10">
        <v>0.16140181277061</v>
      </c>
      <c r="K543" s="10">
        <v>0.55214173</v>
      </c>
      <c r="L543" s="10">
        <v>0.24700528999999999</v>
      </c>
      <c r="M543" s="10">
        <v>-0.34323218799999999</v>
      </c>
      <c r="N543" s="10">
        <v>0.99894988399999995</v>
      </c>
      <c r="O543" s="9">
        <v>0.36371617899999997</v>
      </c>
      <c r="P543" s="10">
        <v>0.56344874758130303</v>
      </c>
      <c r="Q543" s="10">
        <v>0.31747449115093901</v>
      </c>
    </row>
    <row r="544" spans="1:17" x14ac:dyDescent="0.2">
      <c r="A544" s="10">
        <v>1748</v>
      </c>
      <c r="B544" s="10" t="s">
        <v>2822</v>
      </c>
      <c r="C544" s="9" t="s">
        <v>1168</v>
      </c>
      <c r="D544" s="10">
        <v>-0.91439978099999997</v>
      </c>
      <c r="E544" s="10">
        <v>-9.1810746999999998E-2</v>
      </c>
      <c r="F544" s="10">
        <v>-1.0264383319999999</v>
      </c>
      <c r="G544" s="10">
        <v>-0.35163670699999999</v>
      </c>
      <c r="H544" s="9">
        <v>-0.59607139149999999</v>
      </c>
      <c r="I544" s="10">
        <v>0.44742812443831398</v>
      </c>
      <c r="J544" s="10">
        <v>0.20019192653838799</v>
      </c>
      <c r="K544" s="10">
        <v>-0.42327733699999998</v>
      </c>
      <c r="L544" s="10">
        <v>-0.97953548599999996</v>
      </c>
      <c r="M544" s="10">
        <v>-0.13187655300000001</v>
      </c>
      <c r="N544" s="10">
        <v>-1.8454384029999999</v>
      </c>
      <c r="O544" s="9">
        <v>-0.84503194474999999</v>
      </c>
      <c r="P544" s="10">
        <v>0.75396106138569896</v>
      </c>
      <c r="Q544" s="10">
        <v>0.56845728208585</v>
      </c>
    </row>
    <row r="545" spans="1:17" x14ac:dyDescent="0.2">
      <c r="A545" s="10">
        <v>1748</v>
      </c>
      <c r="B545" s="10" t="s">
        <v>2823</v>
      </c>
      <c r="C545" s="9" t="s">
        <v>1170</v>
      </c>
      <c r="D545" s="10">
        <v>-1.9338044249999999</v>
      </c>
      <c r="E545" s="10">
        <v>-2.6555858510000001</v>
      </c>
      <c r="F545" s="10">
        <v>-2.4623482719999998</v>
      </c>
      <c r="G545" s="10">
        <v>-1.4807631059999999</v>
      </c>
      <c r="H545" s="9">
        <v>-2.1331254137500002</v>
      </c>
      <c r="I545" s="10">
        <v>0.53124320733381103</v>
      </c>
      <c r="J545" s="10">
        <v>0.282219345338314</v>
      </c>
      <c r="K545" s="10">
        <v>-0.77385605700000004</v>
      </c>
      <c r="L545" s="10">
        <v>-0.83586501099999999</v>
      </c>
      <c r="M545" s="10">
        <v>-0.769391783</v>
      </c>
      <c r="N545" s="10">
        <v>-0.83751503000000005</v>
      </c>
      <c r="O545" s="9">
        <v>-0.80415697024999999</v>
      </c>
      <c r="P545" s="10">
        <v>3.7616147183533698E-2</v>
      </c>
      <c r="Q545" s="10">
        <v>1.4149745289332E-3</v>
      </c>
    </row>
    <row r="546" spans="1:17" x14ac:dyDescent="0.2">
      <c r="A546" s="10">
        <v>1748</v>
      </c>
      <c r="B546" s="10" t="s">
        <v>74</v>
      </c>
      <c r="C546" s="9" t="s">
        <v>1171</v>
      </c>
      <c r="D546" s="10">
        <v>0.37989699399999999</v>
      </c>
      <c r="E546" s="10">
        <v>0.50999145499999998</v>
      </c>
      <c r="F546" s="10">
        <v>0.63610638500000005</v>
      </c>
      <c r="G546" s="10">
        <v>0.73216831500000001</v>
      </c>
      <c r="H546" s="9">
        <v>0.56454078725000001</v>
      </c>
      <c r="I546" s="10">
        <v>0.153068157885696</v>
      </c>
      <c r="J546" s="10">
        <v>2.3429860958520399E-2</v>
      </c>
      <c r="K546" s="10">
        <v>0.20069044699999999</v>
      </c>
      <c r="L546" s="10">
        <v>9.9736409999999998E-2</v>
      </c>
      <c r="M546" s="10">
        <v>0.47733593400000002</v>
      </c>
      <c r="N546" s="10">
        <v>0.60239932200000001</v>
      </c>
      <c r="O546" s="9">
        <v>0.34504052824999998</v>
      </c>
      <c r="P546" s="10">
        <v>0.23434069179316899</v>
      </c>
      <c r="Q546" s="10">
        <v>5.4915559830101199E-2</v>
      </c>
    </row>
    <row r="547" spans="1:17" x14ac:dyDescent="0.2">
      <c r="A547" s="10">
        <v>1748</v>
      </c>
      <c r="B547" s="10" t="s">
        <v>2818</v>
      </c>
      <c r="C547" s="9" t="s">
        <v>1172</v>
      </c>
      <c r="D547" s="10">
        <v>-0.452633338</v>
      </c>
      <c r="E547" s="10">
        <v>0.203794798</v>
      </c>
      <c r="F547" s="10">
        <v>-0.64049527399999995</v>
      </c>
      <c r="G547" s="10">
        <v>0.162860159</v>
      </c>
      <c r="H547" s="9">
        <v>-0.18161841375000001</v>
      </c>
      <c r="I547" s="10">
        <v>0.42865133185937898</v>
      </c>
      <c r="J547" s="10">
        <v>0.18374196430481901</v>
      </c>
      <c r="K547" s="10">
        <v>-0.56592083000000004</v>
      </c>
      <c r="L547" s="10">
        <v>-0.20608116600000001</v>
      </c>
      <c r="M547" s="10">
        <v>-0.39456470100000002</v>
      </c>
      <c r="N547" s="10">
        <v>-0.307286322</v>
      </c>
      <c r="O547" s="9">
        <v>-0.36846325475000002</v>
      </c>
      <c r="P547" s="10">
        <v>0.15251375825092101</v>
      </c>
      <c r="Q547" s="10">
        <v>2.3260446455820601E-2</v>
      </c>
    </row>
    <row r="548" spans="1:17" x14ac:dyDescent="0.2">
      <c r="A548" s="10">
        <v>1749</v>
      </c>
      <c r="B548" s="10" t="s">
        <v>2831</v>
      </c>
      <c r="C548" s="9" t="s">
        <v>2277</v>
      </c>
      <c r="D548" s="10">
        <v>-1.458830635</v>
      </c>
      <c r="E548" s="10">
        <v>-1.8653987329999999</v>
      </c>
      <c r="F548" s="10">
        <v>-1.043920379</v>
      </c>
      <c r="G548" s="10">
        <v>-0.70628901300000002</v>
      </c>
      <c r="H548" s="9">
        <v>-1.2686096899999999</v>
      </c>
      <c r="I548" s="10">
        <v>0.50300132538623898</v>
      </c>
      <c r="J548" s="10">
        <v>0.25301033334031298</v>
      </c>
      <c r="K548" s="10">
        <v>-0.462601449</v>
      </c>
      <c r="L548" s="10">
        <v>-0.17574389500000001</v>
      </c>
      <c r="M548" s="10">
        <v>0.161222803</v>
      </c>
      <c r="N548" s="10">
        <v>-9.5011918000000001E-2</v>
      </c>
      <c r="O548" s="9">
        <v>-0.14303361449999999</v>
      </c>
      <c r="P548" s="10">
        <v>0.25695110703664997</v>
      </c>
      <c r="Q548" s="10">
        <v>6.6023871407360102E-2</v>
      </c>
    </row>
    <row r="549" spans="1:17" x14ac:dyDescent="0.2">
      <c r="A549" s="10">
        <v>1749</v>
      </c>
      <c r="B549" s="10" t="s">
        <v>2823</v>
      </c>
      <c r="C549" s="9" t="s">
        <v>2276</v>
      </c>
      <c r="D549" s="10">
        <v>-1.9827694929999999</v>
      </c>
      <c r="E549" s="10">
        <v>-2.4989710409999999</v>
      </c>
      <c r="F549" s="10">
        <v>-1.4931705239999999</v>
      </c>
      <c r="G549" s="10">
        <v>-1.1009914190000001</v>
      </c>
      <c r="H549" s="9">
        <v>-1.7689756190000001</v>
      </c>
      <c r="I549" s="10">
        <v>0.60577016504570003</v>
      </c>
      <c r="J549" s="10">
        <v>0.36695749285949403</v>
      </c>
      <c r="K549" s="10">
        <v>-9.7779873000000003E-2</v>
      </c>
      <c r="L549" s="10">
        <v>-0.52973216999999995</v>
      </c>
      <c r="M549" s="10">
        <v>-6.1933346E-2</v>
      </c>
      <c r="N549" s="10">
        <v>-0.142616929</v>
      </c>
      <c r="O549" s="9">
        <v>-0.20801557949999999</v>
      </c>
      <c r="P549" s="10">
        <v>0.21700267127546899</v>
      </c>
      <c r="Q549" s="10">
        <v>4.70901593406894E-2</v>
      </c>
    </row>
    <row r="550" spans="1:17" x14ac:dyDescent="0.2">
      <c r="A550" s="10">
        <v>1749</v>
      </c>
      <c r="B550" s="10" t="s">
        <v>2819</v>
      </c>
      <c r="C550" s="9" t="s">
        <v>1174</v>
      </c>
      <c r="D550" s="10">
        <v>-0.89517925899999995</v>
      </c>
      <c r="E550" s="10">
        <v>-1.6565860720000001</v>
      </c>
      <c r="F550" s="10">
        <v>-0.81978887899999997</v>
      </c>
      <c r="G550" s="10">
        <v>-1.3470588349999999</v>
      </c>
      <c r="H550" s="9">
        <v>-1.1796532609999999</v>
      </c>
      <c r="I550" s="10">
        <v>0.39408855335688497</v>
      </c>
      <c r="J550" s="10">
        <v>0.15530578788692301</v>
      </c>
      <c r="K550" s="10">
        <v>0.109030058</v>
      </c>
      <c r="L550" s="10">
        <v>-2.0688334999999999E-2</v>
      </c>
      <c r="M550" s="10">
        <v>-0.245069436</v>
      </c>
      <c r="N550" s="10">
        <v>-0.29558816700000001</v>
      </c>
      <c r="O550" s="9">
        <v>-0.11307897</v>
      </c>
      <c r="P550" s="10">
        <v>0.190262572829664</v>
      </c>
      <c r="Q550" s="10">
        <v>3.6199846619763297E-2</v>
      </c>
    </row>
    <row r="551" spans="1:17" x14ac:dyDescent="0.2">
      <c r="A551" s="10">
        <v>1749</v>
      </c>
      <c r="B551" s="10" t="s">
        <v>2824</v>
      </c>
      <c r="C551" s="9" t="s">
        <v>1175</v>
      </c>
      <c r="D551" s="10">
        <v>-0.878992526</v>
      </c>
      <c r="E551" s="10">
        <v>-0.90800778800000004</v>
      </c>
      <c r="F551" s="10">
        <v>-0.84688825999999995</v>
      </c>
      <c r="G551" s="10">
        <v>-0.95490737400000003</v>
      </c>
      <c r="H551" s="9">
        <v>-0.89719898725000002</v>
      </c>
      <c r="I551" s="10">
        <v>4.5861140350019002E-2</v>
      </c>
      <c r="J551" s="10">
        <v>2.1032441942041001E-3</v>
      </c>
      <c r="K551" s="10">
        <v>-0.22316393200000001</v>
      </c>
      <c r="L551" s="10">
        <v>6.8534179000000001E-2</v>
      </c>
      <c r="M551" s="10">
        <v>-5.3645869999999997E-3</v>
      </c>
      <c r="N551" s="10">
        <v>-0.17476894100000001</v>
      </c>
      <c r="O551" s="9">
        <v>-8.3690820250000006E-2</v>
      </c>
      <c r="P551" s="10">
        <v>0.137907483713267</v>
      </c>
      <c r="Q551" s="10">
        <v>1.9018474064125102E-2</v>
      </c>
    </row>
    <row r="552" spans="1:17" x14ac:dyDescent="0.2">
      <c r="A552" s="10">
        <v>1749</v>
      </c>
      <c r="B552" s="10" t="s">
        <v>74</v>
      </c>
      <c r="C552" s="9" t="s">
        <v>1177</v>
      </c>
      <c r="D552" s="10">
        <v>-0.40110311700000001</v>
      </c>
      <c r="E552" s="10">
        <v>-0.30935842000000002</v>
      </c>
      <c r="F552" s="10">
        <v>-0.63530162599999995</v>
      </c>
      <c r="G552" s="10">
        <v>-0.31595639399999997</v>
      </c>
      <c r="H552" s="9">
        <v>-0.415429889</v>
      </c>
      <c r="I552" s="10">
        <v>0.15241934465006901</v>
      </c>
      <c r="J552" s="10">
        <v>2.3231656623556699E-2</v>
      </c>
      <c r="K552" s="10">
        <v>0.35540719399999998</v>
      </c>
      <c r="L552" s="10">
        <v>0.38159004200000002</v>
      </c>
      <c r="M552" s="10">
        <v>-0.178393208</v>
      </c>
      <c r="N552" s="10">
        <v>-5.6434788999999999E-2</v>
      </c>
      <c r="O552" s="9">
        <v>0.12554230975</v>
      </c>
      <c r="P552" s="10">
        <v>0.28512615314456902</v>
      </c>
      <c r="Q552" s="10">
        <v>8.1296923207020394E-2</v>
      </c>
    </row>
    <row r="553" spans="1:17" x14ac:dyDescent="0.2">
      <c r="A553" s="10">
        <v>1750</v>
      </c>
      <c r="B553" s="10" t="s">
        <v>2822</v>
      </c>
      <c r="C553" s="9" t="s">
        <v>1178</v>
      </c>
      <c r="D553" s="10">
        <v>0.63272758500000004</v>
      </c>
      <c r="E553" s="10">
        <v>-0.54875951999999995</v>
      </c>
      <c r="F553" s="10">
        <v>0.24974244700000001</v>
      </c>
      <c r="G553" s="10">
        <v>0.61295087599999998</v>
      </c>
      <c r="H553" s="9">
        <v>0.23666534675000001</v>
      </c>
      <c r="I553" s="10">
        <v>0.55242475443893502</v>
      </c>
      <c r="J553" s="10">
        <v>0.30517310931691799</v>
      </c>
      <c r="K553" s="10">
        <v>0.419841778</v>
      </c>
      <c r="L553" s="10">
        <v>0.17121486699999999</v>
      </c>
      <c r="M553" s="10">
        <v>0.54596560299999997</v>
      </c>
      <c r="N553" s="10">
        <v>-0.44997087099999999</v>
      </c>
      <c r="O553" s="9">
        <v>0.17176284424999999</v>
      </c>
      <c r="P553" s="10">
        <v>0.44276554178793098</v>
      </c>
      <c r="Q553" s="10">
        <v>0.19604132499476001</v>
      </c>
    </row>
    <row r="554" spans="1:17" x14ac:dyDescent="0.2">
      <c r="A554" s="10">
        <v>1750</v>
      </c>
      <c r="B554" s="10" t="s">
        <v>2824</v>
      </c>
      <c r="C554" s="9" t="s">
        <v>1179</v>
      </c>
      <c r="D554" s="10">
        <v>0.19461662599999999</v>
      </c>
      <c r="E554" s="10">
        <v>-0.31890555900000001</v>
      </c>
      <c r="F554" s="10">
        <v>0.443535391</v>
      </c>
      <c r="G554" s="10">
        <v>0.68172418999999995</v>
      </c>
      <c r="H554" s="9">
        <v>0.25024266174999998</v>
      </c>
      <c r="I554" s="10">
        <v>0.42839325447460003</v>
      </c>
      <c r="J554" s="10">
        <v>0.18352078047934001</v>
      </c>
      <c r="K554" s="10">
        <v>2.9093608E-2</v>
      </c>
      <c r="L554" s="10">
        <v>-6.0091769000000003E-2</v>
      </c>
      <c r="M554" s="10">
        <v>0.42472801500000001</v>
      </c>
      <c r="N554" s="10">
        <v>0.709229216</v>
      </c>
      <c r="O554" s="9">
        <v>0.27573976774999998</v>
      </c>
      <c r="P554" s="10">
        <v>0.357644026353023</v>
      </c>
      <c r="Q554" s="10">
        <v>0.127909249586001</v>
      </c>
    </row>
    <row r="555" spans="1:17" x14ac:dyDescent="0.2">
      <c r="A555" s="10">
        <v>1750</v>
      </c>
      <c r="B555" s="10" t="s">
        <v>82</v>
      </c>
      <c r="C555" s="9" t="s">
        <v>1180</v>
      </c>
      <c r="D555" s="10">
        <v>-0.39670535200000001</v>
      </c>
      <c r="E555" s="10">
        <v>-0.58958143900000004</v>
      </c>
      <c r="F555" s="10">
        <v>-1.7132324080000001</v>
      </c>
      <c r="G555" s="10">
        <v>-6.2864435999999996E-2</v>
      </c>
      <c r="H555" s="9">
        <v>-0.69059590874999999</v>
      </c>
      <c r="I555" s="10">
        <v>0.71563673138561901</v>
      </c>
      <c r="J555" s="10">
        <v>0.51213593130829205</v>
      </c>
      <c r="K555" s="10">
        <v>-1.372935657</v>
      </c>
      <c r="L555" s="10">
        <v>-0.72255138399999996</v>
      </c>
      <c r="M555" s="10">
        <v>-0.86515552100000004</v>
      </c>
      <c r="N555" s="10">
        <v>-1.944313789</v>
      </c>
      <c r="O555" s="9">
        <v>-1.2262390875</v>
      </c>
      <c r="P555" s="10">
        <v>0.55414613147642</v>
      </c>
      <c r="Q555" s="10">
        <v>0.30707793503028202</v>
      </c>
    </row>
    <row r="556" spans="1:17" x14ac:dyDescent="0.2">
      <c r="A556" s="10">
        <v>1750</v>
      </c>
      <c r="B556" s="10" t="s">
        <v>2814</v>
      </c>
      <c r="C556" s="9" t="s">
        <v>1181</v>
      </c>
      <c r="D556" s="10">
        <v>-0.91546969899999997</v>
      </c>
      <c r="E556" s="10">
        <v>-1.0202332599999999</v>
      </c>
      <c r="F556" s="10">
        <v>-0.63310081100000004</v>
      </c>
      <c r="G556" s="10">
        <v>-0.50531714500000002</v>
      </c>
      <c r="H556" s="9">
        <v>-0.76853022874999999</v>
      </c>
      <c r="I556" s="10">
        <v>0.239838750349116</v>
      </c>
      <c r="J556" s="10">
        <v>5.7522626169025801E-2</v>
      </c>
      <c r="K556" s="10">
        <v>0.57344792600000005</v>
      </c>
      <c r="L556" s="10">
        <v>0.67914989699999995</v>
      </c>
      <c r="M556" s="10">
        <v>5.9716162000000003E-2</v>
      </c>
      <c r="N556" s="10">
        <v>0.188014665</v>
      </c>
      <c r="O556" s="9">
        <v>0.37508216249999998</v>
      </c>
      <c r="P556" s="10">
        <v>0.29791280949587601</v>
      </c>
      <c r="Q556" s="10">
        <v>8.8752042061726294E-2</v>
      </c>
    </row>
    <row r="557" spans="1:17" x14ac:dyDescent="0.2">
      <c r="A557" s="10">
        <v>1750</v>
      </c>
      <c r="B557" s="10" t="s">
        <v>2825</v>
      </c>
      <c r="C557" s="9" t="s">
        <v>1182</v>
      </c>
      <c r="D557" s="10">
        <v>-0.23315151000000001</v>
      </c>
      <c r="E557" s="10">
        <v>-0.12999401299999999</v>
      </c>
      <c r="F557" s="10">
        <v>-0.36639616600000002</v>
      </c>
      <c r="G557" s="10">
        <v>-0.42086834000000001</v>
      </c>
      <c r="H557" s="9">
        <v>-0.28760250724999997</v>
      </c>
      <c r="I557" s="10">
        <v>0.13136916355450901</v>
      </c>
      <c r="J557" s="10">
        <v>1.7257857133011398E-2</v>
      </c>
      <c r="K557" s="10">
        <v>-0.50398728800000003</v>
      </c>
      <c r="L557" s="10">
        <v>7.5360749000000005E-2</v>
      </c>
      <c r="M557" s="10">
        <v>-0.29338104700000001</v>
      </c>
      <c r="N557" s="10">
        <v>-0.41239748700000001</v>
      </c>
      <c r="O557" s="9">
        <v>-0.28360126824999998</v>
      </c>
      <c r="P557" s="10">
        <v>0.25436708222968701</v>
      </c>
      <c r="Q557" s="10">
        <v>6.4702612522044498E-2</v>
      </c>
    </row>
    <row r="558" spans="1:17" x14ac:dyDescent="0.2">
      <c r="A558" s="10">
        <v>1750</v>
      </c>
      <c r="B558" s="10" t="s">
        <v>2830</v>
      </c>
      <c r="C558" s="9" t="s">
        <v>2619</v>
      </c>
      <c r="D558" s="10">
        <v>-4.9735307999999999E-2</v>
      </c>
      <c r="E558" s="10">
        <v>-0.83621037099999995</v>
      </c>
      <c r="F558" s="10">
        <v>-1.228117363</v>
      </c>
      <c r="G558" s="10">
        <v>-1.002037877</v>
      </c>
      <c r="H558" s="9">
        <v>-0.77902522949999997</v>
      </c>
      <c r="I558" s="10">
        <v>0.51203916364746604</v>
      </c>
      <c r="J558" s="10">
        <v>0.26218410510879703</v>
      </c>
      <c r="K558" s="10">
        <v>-0.84334173300000004</v>
      </c>
      <c r="L558" s="10">
        <v>-0.776554882</v>
      </c>
      <c r="M558" s="10">
        <v>-0.59854224600000006</v>
      </c>
      <c r="N558" s="10">
        <v>-1.223374508</v>
      </c>
      <c r="O558" s="9">
        <v>-0.86045334225000003</v>
      </c>
      <c r="P558" s="10">
        <v>0.263084874575779</v>
      </c>
      <c r="Q558" s="10">
        <v>6.9213651230553702E-2</v>
      </c>
    </row>
    <row r="559" spans="1:17" x14ac:dyDescent="0.2">
      <c r="A559" s="10">
        <v>1751</v>
      </c>
      <c r="B559" s="10" t="s">
        <v>2831</v>
      </c>
      <c r="C559" s="9" t="s">
        <v>1183</v>
      </c>
      <c r="D559" s="10">
        <v>-1.698094824</v>
      </c>
      <c r="E559" s="10">
        <v>-1.952991916</v>
      </c>
      <c r="F559" s="10">
        <v>-1.267843574</v>
      </c>
      <c r="G559" s="10">
        <v>-1.030016541</v>
      </c>
      <c r="H559" s="9">
        <v>-1.48723671375</v>
      </c>
      <c r="I559" s="10">
        <v>0.41576142486608902</v>
      </c>
      <c r="J559" s="10">
        <v>0.17285756240667999</v>
      </c>
      <c r="K559" s="10">
        <v>-0.37036452800000003</v>
      </c>
      <c r="L559" s="10">
        <v>-0.452528653</v>
      </c>
      <c r="M559" s="10">
        <v>-0.44320003499999999</v>
      </c>
      <c r="N559" s="10">
        <v>-0.46156185199999999</v>
      </c>
      <c r="O559" s="9">
        <v>-0.43191376725000002</v>
      </c>
      <c r="P559" s="10">
        <v>4.1711993222601898E-2</v>
      </c>
      <c r="Q559" s="10">
        <v>1.7398903786022999E-3</v>
      </c>
    </row>
    <row r="560" spans="1:17" x14ac:dyDescent="0.2">
      <c r="A560" s="10">
        <v>1751</v>
      </c>
      <c r="B560" s="10" t="s">
        <v>2822</v>
      </c>
      <c r="C560" s="9" t="s">
        <v>2274</v>
      </c>
      <c r="D560" s="10">
        <v>2.6436471999999999E-2</v>
      </c>
      <c r="E560" s="10">
        <v>0.12214760199999999</v>
      </c>
      <c r="F560" s="10">
        <v>-0.55949020699999996</v>
      </c>
      <c r="G560" s="10">
        <v>-0.19513298200000001</v>
      </c>
      <c r="H560" s="9">
        <v>-0.15150977874999999</v>
      </c>
      <c r="I560" s="10">
        <v>0.30271231881759503</v>
      </c>
      <c r="J560" s="10">
        <v>9.1634747963925497E-2</v>
      </c>
      <c r="K560" s="10">
        <v>-0.49140853600000001</v>
      </c>
      <c r="L560" s="10">
        <v>-0.36461874999999999</v>
      </c>
      <c r="M560" s="10">
        <v>-0.22015633000000001</v>
      </c>
      <c r="N560" s="10">
        <v>-7.7768589999999997E-3</v>
      </c>
      <c r="O560" s="9">
        <v>-0.27099011899999997</v>
      </c>
      <c r="P560" s="10">
        <v>0.20753786276215</v>
      </c>
      <c r="Q560" s="10">
        <v>4.3071964479881299E-2</v>
      </c>
    </row>
    <row r="561" spans="1:17" x14ac:dyDescent="0.2">
      <c r="A561" s="10">
        <v>1751</v>
      </c>
      <c r="B561" s="10" t="s">
        <v>2820</v>
      </c>
      <c r="C561" s="9" t="s">
        <v>2272</v>
      </c>
      <c r="D561" s="10">
        <v>-1.126578E-2</v>
      </c>
      <c r="E561" s="10">
        <v>-7.9388492000000005E-2</v>
      </c>
      <c r="F561" s="10">
        <v>-0.41281253600000001</v>
      </c>
      <c r="G561" s="10">
        <v>-0.49105720000000003</v>
      </c>
      <c r="H561" s="9">
        <v>-0.24863100225000001</v>
      </c>
      <c r="I561" s="10">
        <v>0.23854511340592499</v>
      </c>
      <c r="J561" s="10">
        <v>5.6903771129845897E-2</v>
      </c>
      <c r="K561" s="10">
        <v>-3.7204048000000003E-2</v>
      </c>
      <c r="L561" s="10">
        <v>-3.5941856000000001E-2</v>
      </c>
      <c r="M561" s="10">
        <v>-0.51641309599999996</v>
      </c>
      <c r="N561" s="10">
        <v>-0.404226633</v>
      </c>
      <c r="O561" s="9">
        <v>-0.24844640800000001</v>
      </c>
      <c r="P561" s="10">
        <v>0.248901013562842</v>
      </c>
      <c r="Q561" s="10">
        <v>6.1951714552609997E-2</v>
      </c>
    </row>
    <row r="562" spans="1:17" x14ac:dyDescent="0.2">
      <c r="A562" s="10">
        <v>1751</v>
      </c>
      <c r="B562" s="10" t="s">
        <v>2824</v>
      </c>
      <c r="C562" s="9" t="s">
        <v>1184</v>
      </c>
      <c r="D562" s="10">
        <v>0.127156511</v>
      </c>
      <c r="E562" s="10">
        <v>-1.6521049999999999E-2</v>
      </c>
      <c r="F562" s="10">
        <v>-7.9618516E-2</v>
      </c>
      <c r="G562" s="10">
        <v>-7.5449916000000006E-2</v>
      </c>
      <c r="H562" s="9">
        <v>-1.110824275E-2</v>
      </c>
      <c r="I562" s="10">
        <v>9.6574580971173399E-2</v>
      </c>
      <c r="J562" s="10">
        <v>9.3266496897577E-3</v>
      </c>
      <c r="K562" s="10">
        <v>3.2239361000000001E-2</v>
      </c>
      <c r="L562" s="10">
        <v>0.146551721</v>
      </c>
      <c r="M562" s="10">
        <v>0.26026844100000002</v>
      </c>
      <c r="N562" s="10">
        <v>0.14802863399999999</v>
      </c>
      <c r="O562" s="9">
        <v>0.14677203899999999</v>
      </c>
      <c r="P562" s="10">
        <v>9.3096357192986604E-2</v>
      </c>
      <c r="Q562" s="10">
        <v>8.6669317226041008E-3</v>
      </c>
    </row>
    <row r="563" spans="1:17" x14ac:dyDescent="0.2">
      <c r="A563" s="10">
        <v>1751</v>
      </c>
      <c r="B563" s="10" t="s">
        <v>2814</v>
      </c>
      <c r="C563" s="9" t="s">
        <v>1185</v>
      </c>
      <c r="D563" s="10">
        <v>-1.332254958</v>
      </c>
      <c r="E563" s="10">
        <v>-1.835794387</v>
      </c>
      <c r="F563" s="10">
        <v>-1.0210867219999999</v>
      </c>
      <c r="G563" s="10">
        <v>-1.0734893539999999</v>
      </c>
      <c r="H563" s="9">
        <v>-1.31565635525</v>
      </c>
      <c r="I563" s="10">
        <v>0.37248499343976799</v>
      </c>
      <c r="J563" s="10">
        <v>0.13874507033782399</v>
      </c>
      <c r="K563" s="10">
        <v>-4.9518667000000002E-2</v>
      </c>
      <c r="L563" s="10">
        <v>1.5158395999999999E-2</v>
      </c>
      <c r="M563" s="10">
        <v>2.4665280000000001E-2</v>
      </c>
      <c r="N563" s="10">
        <v>-0.12789075899999999</v>
      </c>
      <c r="O563" s="9">
        <v>-3.4396437500000002E-2</v>
      </c>
      <c r="P563" s="10">
        <v>7.0507299799520806E-2</v>
      </c>
      <c r="Q563" s="10">
        <v>4.9712793250195004E-3</v>
      </c>
    </row>
    <row r="564" spans="1:17" x14ac:dyDescent="0.2">
      <c r="A564" s="10">
        <v>1751</v>
      </c>
      <c r="B564" s="10" t="s">
        <v>74</v>
      </c>
      <c r="C564" s="9" t="s">
        <v>1186</v>
      </c>
      <c r="D564" s="10">
        <v>-0.52168643100000001</v>
      </c>
      <c r="E564" s="10">
        <v>-1.192673683</v>
      </c>
      <c r="F564" s="10">
        <v>-0.70438472900000004</v>
      </c>
      <c r="G564" s="10">
        <v>-0.248898065</v>
      </c>
      <c r="H564" s="9">
        <v>-0.66691072725</v>
      </c>
      <c r="I564" s="10">
        <v>0.39734773539423202</v>
      </c>
      <c r="J564" s="10">
        <v>0.157885222822925</v>
      </c>
      <c r="K564" s="10">
        <v>-0.35990153200000002</v>
      </c>
      <c r="L564" s="10">
        <v>0.273576873</v>
      </c>
      <c r="M564" s="10">
        <v>-0.48132910400000001</v>
      </c>
      <c r="N564" s="10">
        <v>-0.32682781399999999</v>
      </c>
      <c r="O564" s="9">
        <v>-0.22362039450000001</v>
      </c>
      <c r="P564" s="10">
        <v>0.33805483856901303</v>
      </c>
      <c r="Q564" s="10">
        <v>0.11428107387992099</v>
      </c>
    </row>
    <row r="565" spans="1:17" x14ac:dyDescent="0.2">
      <c r="A565" s="10">
        <v>1751</v>
      </c>
      <c r="B565" s="10" t="s">
        <v>2818</v>
      </c>
      <c r="C565" s="9" t="s">
        <v>1187</v>
      </c>
      <c r="D565" s="10">
        <v>-0.16660019700000001</v>
      </c>
      <c r="E565" s="10">
        <v>9.5228999999999994E-2</v>
      </c>
      <c r="F565" s="10">
        <v>3.5600666000000003E-2</v>
      </c>
      <c r="G565" s="10">
        <v>-0.16902789100000001</v>
      </c>
      <c r="H565" s="9">
        <v>-5.1199605500000002E-2</v>
      </c>
      <c r="I565" s="10">
        <v>0.13684105746396399</v>
      </c>
      <c r="J565" s="10">
        <v>1.8725475007855898E-2</v>
      </c>
      <c r="K565" s="10">
        <v>-1.037945E-2</v>
      </c>
      <c r="L565" s="10">
        <v>0.28025298700000001</v>
      </c>
      <c r="M565" s="10">
        <v>0.13279950099999999</v>
      </c>
      <c r="N565" s="10">
        <v>0.18073211</v>
      </c>
      <c r="O565" s="9">
        <v>0.14585128675</v>
      </c>
      <c r="P565" s="10">
        <v>0.12091164966949999</v>
      </c>
      <c r="Q565" s="10">
        <v>1.46196270258001E-2</v>
      </c>
    </row>
    <row r="566" spans="1:17" x14ac:dyDescent="0.2">
      <c r="A566" s="10">
        <v>1751</v>
      </c>
      <c r="B566" s="10" t="s">
        <v>2830</v>
      </c>
      <c r="C566" s="9" t="s">
        <v>2271</v>
      </c>
      <c r="D566" s="10">
        <v>-0.110144673</v>
      </c>
      <c r="E566" s="10">
        <v>7.5503457999999996E-2</v>
      </c>
      <c r="F566" s="10">
        <v>0.235111495</v>
      </c>
      <c r="G566" s="10">
        <v>-0.15202759599999999</v>
      </c>
      <c r="H566" s="9">
        <v>1.2110671E-2</v>
      </c>
      <c r="I566" s="10">
        <v>0.178545748365909</v>
      </c>
      <c r="J566" s="10">
        <v>3.1878584259542597E-2</v>
      </c>
      <c r="K566" s="10">
        <v>0.338585313</v>
      </c>
      <c r="L566" s="10">
        <v>0.24342187000000001</v>
      </c>
      <c r="M566" s="10">
        <v>0.64453313499999998</v>
      </c>
      <c r="N566" s="10">
        <v>0.249843274</v>
      </c>
      <c r="O566" s="9">
        <v>0.36909589825</v>
      </c>
      <c r="P566" s="10">
        <v>0.18868997232485701</v>
      </c>
      <c r="Q566" s="10">
        <v>3.5603905655955503E-2</v>
      </c>
    </row>
    <row r="567" spans="1:17" x14ac:dyDescent="0.2">
      <c r="A567" s="10">
        <v>1752</v>
      </c>
      <c r="B567" s="10" t="s">
        <v>2831</v>
      </c>
      <c r="C567" s="9" t="s">
        <v>2270</v>
      </c>
      <c r="D567" s="10">
        <v>-1.443534001</v>
      </c>
      <c r="E567" s="10">
        <v>-1.600862553</v>
      </c>
      <c r="F567" s="10">
        <v>-1.046119732</v>
      </c>
      <c r="G567" s="10">
        <v>-0.99779936599999997</v>
      </c>
      <c r="H567" s="9">
        <v>-1.2720789130000001</v>
      </c>
      <c r="I567" s="10">
        <v>0.296525631558472</v>
      </c>
      <c r="J567" s="10">
        <v>8.7927450171151098E-2</v>
      </c>
      <c r="K567" s="10">
        <v>-0.282905886</v>
      </c>
      <c r="L567" s="10">
        <v>-0.38107945100000001</v>
      </c>
      <c r="M567" s="10">
        <v>-0.166105108</v>
      </c>
      <c r="N567" s="10">
        <v>-0.30886221899999999</v>
      </c>
      <c r="O567" s="9">
        <v>-0.28473816600000001</v>
      </c>
      <c r="P567" s="10">
        <v>8.9332287610224798E-2</v>
      </c>
      <c r="Q567" s="10">
        <v>7.9802576096758993E-3</v>
      </c>
    </row>
    <row r="568" spans="1:17" x14ac:dyDescent="0.2">
      <c r="A568" s="10">
        <v>1752</v>
      </c>
      <c r="B568" s="10" t="s">
        <v>96</v>
      </c>
      <c r="C568" s="9" t="s">
        <v>2269</v>
      </c>
      <c r="D568" s="10">
        <v>6.1781309999999999E-2</v>
      </c>
      <c r="E568" s="10">
        <v>-0.19673843799999999</v>
      </c>
      <c r="F568" s="10">
        <v>0.26589770899999998</v>
      </c>
      <c r="G568" s="10">
        <v>0.36007999899999998</v>
      </c>
      <c r="H568" s="9">
        <v>0.122755145</v>
      </c>
      <c r="I568" s="10">
        <v>0.24671632704207699</v>
      </c>
      <c r="J568" s="10">
        <v>6.0868946029133397E-2</v>
      </c>
      <c r="K568" s="10">
        <v>0.136949449</v>
      </c>
      <c r="L568" s="10">
        <v>-6.3846868000000001E-2</v>
      </c>
      <c r="M568" s="10">
        <v>0.25722370700000002</v>
      </c>
      <c r="N568" s="10">
        <v>0.252127031</v>
      </c>
      <c r="O568" s="9">
        <v>0.14561333000000001</v>
      </c>
      <c r="P568" s="10">
        <v>0.15027827757750001</v>
      </c>
      <c r="Q568" s="10">
        <v>2.2583560711660299E-2</v>
      </c>
    </row>
    <row r="569" spans="1:17" x14ac:dyDescent="0.2">
      <c r="A569" s="10">
        <v>1752</v>
      </c>
      <c r="B569" s="10" t="s">
        <v>2834</v>
      </c>
      <c r="C569" s="9" t="s">
        <v>2268</v>
      </c>
      <c r="D569" s="10">
        <v>-1.3587812589999999</v>
      </c>
      <c r="E569" s="10">
        <v>-0.429654127</v>
      </c>
      <c r="F569" s="10">
        <v>-0.44459896799999998</v>
      </c>
      <c r="G569" s="10">
        <v>-0.63853303800000005</v>
      </c>
      <c r="H569" s="9">
        <v>-0.71789184775000003</v>
      </c>
      <c r="I569" s="10">
        <v>0.437724053075493</v>
      </c>
      <c r="J569" s="10">
        <v>0.191602346640837</v>
      </c>
      <c r="K569" s="10">
        <v>-0.20306442499999999</v>
      </c>
      <c r="L569" s="10">
        <v>-3.8023076000000003E-2</v>
      </c>
      <c r="M569" s="10">
        <v>-0.29547514200000002</v>
      </c>
      <c r="N569" s="10">
        <v>-0.20665070599999999</v>
      </c>
      <c r="O569" s="9">
        <v>-0.18580333725000001</v>
      </c>
      <c r="P569" s="10">
        <v>0.10739253280427501</v>
      </c>
      <c r="Q569" s="10">
        <v>1.15331561021173E-2</v>
      </c>
    </row>
    <row r="570" spans="1:17" x14ac:dyDescent="0.2">
      <c r="A570" s="10">
        <v>1752</v>
      </c>
      <c r="B570" s="10" t="s">
        <v>79</v>
      </c>
      <c r="C570" s="9" t="s">
        <v>2618</v>
      </c>
      <c r="D570" s="10">
        <v>-1.8399251649999999</v>
      </c>
      <c r="E570" s="10">
        <v>-3.3897696339999999</v>
      </c>
      <c r="F570" s="10">
        <v>-2.8993982379999998</v>
      </c>
      <c r="G570" s="10">
        <v>-2.233784032</v>
      </c>
      <c r="H570" s="9">
        <v>-2.5907192674999999</v>
      </c>
      <c r="I570" s="10">
        <v>0.68916827691620297</v>
      </c>
      <c r="J570" s="10">
        <v>0.47495291390764799</v>
      </c>
      <c r="K570" s="10">
        <v>-0.640117775</v>
      </c>
      <c r="L570" s="10">
        <v>-0.81604109999999996</v>
      </c>
      <c r="M570" s="10">
        <v>-1.4693360550000001</v>
      </c>
      <c r="N570" s="10">
        <v>-1.5133184500000001</v>
      </c>
      <c r="O570" s="9">
        <v>-1.10970334475</v>
      </c>
      <c r="P570" s="10">
        <v>0.44683664456442002</v>
      </c>
      <c r="Q570" s="10">
        <v>0.19966298692559001</v>
      </c>
    </row>
    <row r="571" spans="1:17" x14ac:dyDescent="0.2">
      <c r="A571" s="10">
        <v>1752</v>
      </c>
      <c r="B571" s="10" t="s">
        <v>2824</v>
      </c>
      <c r="C571" s="9" t="s">
        <v>2267</v>
      </c>
      <c r="D571" s="10">
        <v>-1.863471307</v>
      </c>
      <c r="E571" s="10">
        <v>-1.648912226</v>
      </c>
      <c r="F571" s="10">
        <v>-1.445210688</v>
      </c>
      <c r="G571" s="10">
        <v>-1.3503519939999999</v>
      </c>
      <c r="H571" s="9">
        <v>-1.5769865535000001</v>
      </c>
      <c r="I571" s="10">
        <v>0.22801675277675401</v>
      </c>
      <c r="J571" s="10">
        <v>5.1991639546855303E-2</v>
      </c>
      <c r="K571" s="10">
        <v>-0.59672447200000001</v>
      </c>
      <c r="L571" s="10">
        <v>-0.52903792800000005</v>
      </c>
      <c r="M571" s="10">
        <v>-0.94357142100000002</v>
      </c>
      <c r="N571" s="10">
        <v>-0.838712401</v>
      </c>
      <c r="O571" s="9">
        <v>-0.72701155549999996</v>
      </c>
      <c r="P571" s="10">
        <v>0.19625114483168199</v>
      </c>
      <c r="Q571" s="10">
        <v>3.8514511847745798E-2</v>
      </c>
    </row>
    <row r="572" spans="1:17" x14ac:dyDescent="0.2">
      <c r="A572" s="10">
        <v>1752</v>
      </c>
      <c r="B572" s="10" t="s">
        <v>2814</v>
      </c>
      <c r="C572" s="9" t="s">
        <v>1188</v>
      </c>
      <c r="D572" s="10">
        <v>-1.6526071529999999</v>
      </c>
      <c r="E572" s="10">
        <v>-1.318920919</v>
      </c>
      <c r="F572" s="10">
        <v>-1.128408933</v>
      </c>
      <c r="G572" s="10">
        <v>-1.19393638</v>
      </c>
      <c r="H572" s="9">
        <v>-1.3234683464999999</v>
      </c>
      <c r="I572" s="10">
        <v>0.233223596705988</v>
      </c>
      <c r="J572" s="10">
        <v>5.4393246060477699E-2</v>
      </c>
      <c r="K572" s="10">
        <v>-0.25617364399999998</v>
      </c>
      <c r="L572" s="10">
        <v>-0.12059894</v>
      </c>
      <c r="M572" s="10">
        <v>-8.0076214000000007E-2</v>
      </c>
      <c r="N572" s="10">
        <v>-5.971195E-2</v>
      </c>
      <c r="O572" s="9">
        <v>-0.12914018699999999</v>
      </c>
      <c r="P572" s="10">
        <v>8.8389301081746197E-2</v>
      </c>
      <c r="Q572" s="10">
        <v>7.8126685457194991E-3</v>
      </c>
    </row>
    <row r="573" spans="1:17" x14ac:dyDescent="0.2">
      <c r="A573" s="10">
        <v>1752</v>
      </c>
      <c r="B573" s="10" t="s">
        <v>2832</v>
      </c>
      <c r="C573" s="9" t="s">
        <v>2265</v>
      </c>
      <c r="D573" s="10">
        <v>-0.11870936999999999</v>
      </c>
      <c r="E573" s="10">
        <v>0.622711715</v>
      </c>
      <c r="F573" s="10">
        <v>0.53031229599999996</v>
      </c>
      <c r="G573" s="10">
        <v>-0.57560702900000005</v>
      </c>
      <c r="H573" s="9">
        <v>0.114676903</v>
      </c>
      <c r="I573" s="10">
        <v>0.56621939485219297</v>
      </c>
      <c r="J573" s="10">
        <v>0.32060440310678301</v>
      </c>
      <c r="K573" s="10">
        <v>1.103887E-3</v>
      </c>
      <c r="L573" s="10">
        <v>0.24418857699999999</v>
      </c>
      <c r="M573" s="10">
        <v>0.32032923000000002</v>
      </c>
      <c r="N573" s="10">
        <v>3.4076229999999998E-3</v>
      </c>
      <c r="O573" s="9">
        <v>0.1422573295</v>
      </c>
      <c r="P573" s="10">
        <v>0.16462393131956299</v>
      </c>
      <c r="Q573" s="10">
        <v>2.71010387631083E-2</v>
      </c>
    </row>
    <row r="574" spans="1:17" x14ac:dyDescent="0.2">
      <c r="A574" s="10">
        <v>1753</v>
      </c>
      <c r="B574" s="10" t="s">
        <v>2822</v>
      </c>
      <c r="C574" s="9" t="s">
        <v>1189</v>
      </c>
      <c r="D574" s="10">
        <v>-1.3439834829999999</v>
      </c>
      <c r="E574" s="10">
        <v>-1.06926115</v>
      </c>
      <c r="F574" s="10">
        <v>-1.3298602509999999</v>
      </c>
      <c r="G574" s="10">
        <v>-0.86979863800000001</v>
      </c>
      <c r="H574" s="9">
        <v>-1.1532258805</v>
      </c>
      <c r="I574" s="10">
        <v>0.22728047394689099</v>
      </c>
      <c r="J574" s="10">
        <v>5.16564138375235E-2</v>
      </c>
      <c r="K574" s="10">
        <v>-0.107343444</v>
      </c>
      <c r="L574" s="10">
        <v>-0.28484809100000003</v>
      </c>
      <c r="M574" s="10">
        <v>-0.36718952799999999</v>
      </c>
      <c r="N574" s="10">
        <v>-0.184209347</v>
      </c>
      <c r="O574" s="9">
        <v>-0.23589760225</v>
      </c>
      <c r="P574" s="10">
        <v>0.11377106757309099</v>
      </c>
      <c r="Q574" s="10">
        <v>1.2943855816720799E-2</v>
      </c>
    </row>
    <row r="575" spans="1:17" x14ac:dyDescent="0.2">
      <c r="A575" s="10">
        <v>1753</v>
      </c>
      <c r="B575" s="10" t="s">
        <v>2818</v>
      </c>
      <c r="C575" s="9" t="s">
        <v>1191</v>
      </c>
      <c r="D575" s="10">
        <v>-2.4910423119999998</v>
      </c>
      <c r="E575" s="10">
        <v>-1.33790579</v>
      </c>
      <c r="F575" s="10" t="s">
        <v>76</v>
      </c>
      <c r="G575" s="10">
        <v>-0.81973711199999999</v>
      </c>
      <c r="H575" s="9">
        <v>-1.1621713035000001</v>
      </c>
      <c r="I575" s="10">
        <v>0.85551969476429501</v>
      </c>
      <c r="J575" s="10">
        <v>0.73191394812959298</v>
      </c>
      <c r="K575" s="10">
        <v>7.5082246000000005E-2</v>
      </c>
      <c r="L575" s="10">
        <v>-9.7503468999999995E-2</v>
      </c>
      <c r="M575" s="10">
        <v>-0.87290784899999996</v>
      </c>
      <c r="N575" s="10">
        <v>-0.83539303300000001</v>
      </c>
      <c r="O575" s="9">
        <v>-0.43268052624999997</v>
      </c>
      <c r="P575" s="10">
        <v>0.49198379085029298</v>
      </c>
      <c r="Q575" s="10">
        <v>0.24204805045942501</v>
      </c>
    </row>
    <row r="576" spans="1:17" x14ac:dyDescent="0.2">
      <c r="A576" s="10">
        <v>1753</v>
      </c>
      <c r="B576" s="10" t="s">
        <v>2832</v>
      </c>
      <c r="C576" s="9" t="s">
        <v>2263</v>
      </c>
      <c r="D576" s="10">
        <v>-1.5618358590000001</v>
      </c>
      <c r="E576" s="10">
        <v>-3.2026480890000002</v>
      </c>
      <c r="F576" s="10">
        <v>-1.129182833</v>
      </c>
      <c r="G576" s="10">
        <v>-1.6276219460000001</v>
      </c>
      <c r="H576" s="9">
        <v>-1.88032218175</v>
      </c>
      <c r="I576" s="10">
        <v>0.90885405376808304</v>
      </c>
      <c r="J576" s="10">
        <v>0.82601569105067696</v>
      </c>
      <c r="K576" s="10">
        <v>0.15271896400000001</v>
      </c>
      <c r="L576" s="10">
        <v>0.202554814</v>
      </c>
      <c r="M576" s="10">
        <v>-0.48560203699999999</v>
      </c>
      <c r="N576" s="10">
        <v>-9.6770876000000006E-2</v>
      </c>
      <c r="O576" s="9">
        <v>-5.6774783500000002E-2</v>
      </c>
      <c r="P576" s="10">
        <v>0.314447648605576</v>
      </c>
      <c r="Q576" s="10">
        <v>9.8877323713575799E-2</v>
      </c>
    </row>
    <row r="577" spans="1:17" x14ac:dyDescent="0.2">
      <c r="A577" s="10">
        <v>1754</v>
      </c>
      <c r="B577" s="10" t="s">
        <v>2822</v>
      </c>
      <c r="C577" s="9" t="s">
        <v>1192</v>
      </c>
      <c r="D577" s="10">
        <v>-0.438166157</v>
      </c>
      <c r="E577" s="10">
        <v>-0.217856251</v>
      </c>
      <c r="F577" s="10">
        <v>0.29786134399999997</v>
      </c>
      <c r="G577" s="10">
        <v>0.58746941500000005</v>
      </c>
      <c r="H577" s="9">
        <v>5.7327087749999998E-2</v>
      </c>
      <c r="I577" s="10">
        <v>0.46909382184884402</v>
      </c>
      <c r="J577" s="10">
        <v>0.220049013696755</v>
      </c>
      <c r="K577" s="10">
        <v>-0.86089953399999997</v>
      </c>
      <c r="L577" s="10">
        <v>-2.3347833850000002</v>
      </c>
      <c r="M577" s="10">
        <v>0.457184386</v>
      </c>
      <c r="N577" s="10">
        <v>0.606137017</v>
      </c>
      <c r="O577" s="9">
        <v>-0.53309037925000002</v>
      </c>
      <c r="P577" s="10">
        <v>1.3701629708376299</v>
      </c>
      <c r="Q577" s="10">
        <v>1.8773465666546201</v>
      </c>
    </row>
    <row r="578" spans="1:17" x14ac:dyDescent="0.2">
      <c r="A578" s="10">
        <v>1754</v>
      </c>
      <c r="B578" s="10" t="s">
        <v>2826</v>
      </c>
      <c r="C578" s="9" t="s">
        <v>2262</v>
      </c>
      <c r="D578" s="10">
        <v>0.47805554500000003</v>
      </c>
      <c r="E578" s="10">
        <v>0.313388104</v>
      </c>
      <c r="F578" s="10">
        <v>0.17576346100000001</v>
      </c>
      <c r="G578" s="10">
        <v>0.428576069</v>
      </c>
      <c r="H578" s="9">
        <v>0.34894579474999998</v>
      </c>
      <c r="I578" s="10">
        <v>0.13449507832546201</v>
      </c>
      <c r="J578" s="10">
        <v>1.80889260937722E-2</v>
      </c>
      <c r="K578" s="10">
        <v>0.22823294899999999</v>
      </c>
      <c r="L578" s="10">
        <v>0.27273915900000001</v>
      </c>
      <c r="M578" s="10">
        <v>-2.3628143000000001E-2</v>
      </c>
      <c r="N578" s="10">
        <v>0.56440340300000003</v>
      </c>
      <c r="O578" s="9">
        <v>0.26043684174999998</v>
      </c>
      <c r="P578" s="10">
        <v>0.24102352833775401</v>
      </c>
      <c r="Q578" s="10">
        <v>5.80923412123803E-2</v>
      </c>
    </row>
    <row r="579" spans="1:17" x14ac:dyDescent="0.2">
      <c r="A579" s="10">
        <v>1754</v>
      </c>
      <c r="B579" s="10" t="s">
        <v>2821</v>
      </c>
      <c r="C579" s="9" t="s">
        <v>1193</v>
      </c>
      <c r="D579" s="10">
        <v>0.50421058500000004</v>
      </c>
      <c r="E579" s="10">
        <v>0.28348177800000002</v>
      </c>
      <c r="F579" s="10">
        <v>7.9043532999999999E-2</v>
      </c>
      <c r="G579" s="10">
        <v>3.2451791000000001E-2</v>
      </c>
      <c r="H579" s="9">
        <v>0.22479692174999999</v>
      </c>
      <c r="I579" s="10">
        <v>0.21583682665323101</v>
      </c>
      <c r="J579" s="10">
        <v>4.6585535739736901E-2</v>
      </c>
      <c r="K579" s="10">
        <v>0.20559612799999999</v>
      </c>
      <c r="L579" s="10">
        <v>0.79952328299999997</v>
      </c>
      <c r="M579" s="10">
        <v>-8.1276002E-2</v>
      </c>
      <c r="N579" s="10">
        <v>0.33996844599999998</v>
      </c>
      <c r="O579" s="9">
        <v>0.315952964</v>
      </c>
      <c r="P579" s="10">
        <v>0.36714505737960201</v>
      </c>
      <c r="Q579" s="10">
        <v>0.134795493158271</v>
      </c>
    </row>
    <row r="580" spans="1:17" x14ac:dyDescent="0.2">
      <c r="A580" s="10">
        <v>1754</v>
      </c>
      <c r="B580" s="10" t="s">
        <v>79</v>
      </c>
      <c r="C580" s="9" t="s">
        <v>2261</v>
      </c>
      <c r="D580" s="10">
        <v>0.61558417399999998</v>
      </c>
      <c r="E580" s="10">
        <v>9.3235436000000005E-2</v>
      </c>
      <c r="F580" s="10">
        <v>5.7349519999999998E-3</v>
      </c>
      <c r="G580" s="10">
        <v>0.21796637999999999</v>
      </c>
      <c r="H580" s="9">
        <v>0.23313023525000001</v>
      </c>
      <c r="I580" s="10">
        <v>0.26943157911485699</v>
      </c>
      <c r="J580" s="10">
        <v>7.2593375824325707E-2</v>
      </c>
      <c r="K580" s="10">
        <v>-0.23905168700000001</v>
      </c>
      <c r="L580" s="10">
        <v>-2.4143404E-2</v>
      </c>
      <c r="M580" s="10">
        <v>0.41954875800000002</v>
      </c>
      <c r="N580" s="10">
        <v>5.2515161999999997E-2</v>
      </c>
      <c r="O580" s="9">
        <v>5.2217207500000001E-2</v>
      </c>
      <c r="P580" s="10">
        <v>0.27422683351653898</v>
      </c>
      <c r="Q580" s="10">
        <v>7.5200356220507997E-2</v>
      </c>
    </row>
    <row r="581" spans="1:17" x14ac:dyDescent="0.2">
      <c r="A581" s="10">
        <v>1754</v>
      </c>
      <c r="B581" s="10" t="s">
        <v>2824</v>
      </c>
      <c r="C581" s="9" t="s">
        <v>1195</v>
      </c>
      <c r="D581" s="10">
        <v>0.16163206899999999</v>
      </c>
      <c r="E581" s="10">
        <v>-9.5301989999999996E-3</v>
      </c>
      <c r="F581" s="10">
        <v>-0.23999120299999999</v>
      </c>
      <c r="G581" s="10">
        <v>-2.7844300999999998E-2</v>
      </c>
      <c r="H581" s="9">
        <v>-2.89334085E-2</v>
      </c>
      <c r="I581" s="10">
        <v>0.16455826174747801</v>
      </c>
      <c r="J581" s="10">
        <v>2.7079421509351501E-2</v>
      </c>
      <c r="K581" s="10">
        <v>-0.375355887</v>
      </c>
      <c r="L581" s="10">
        <v>-0.27916954300000002</v>
      </c>
      <c r="M581" s="10">
        <v>8.8408960999999994E-2</v>
      </c>
      <c r="N581" s="10">
        <v>-3.0739859999999999E-3</v>
      </c>
      <c r="O581" s="9">
        <v>-0.14229761375</v>
      </c>
      <c r="P581" s="10">
        <v>0.22034732121784201</v>
      </c>
      <c r="Q581" s="10">
        <v>4.85529419678788E-2</v>
      </c>
    </row>
    <row r="582" spans="1:17" x14ac:dyDescent="0.2">
      <c r="A582" s="10">
        <v>1754</v>
      </c>
      <c r="B582" s="10" t="s">
        <v>2817</v>
      </c>
      <c r="C582" s="9" t="s">
        <v>2260</v>
      </c>
      <c r="D582" s="10">
        <v>-0.29876387300000001</v>
      </c>
      <c r="E582" s="10">
        <v>-0.40163575200000001</v>
      </c>
      <c r="F582" s="10">
        <v>0.19995996299999999</v>
      </c>
      <c r="G582" s="10">
        <v>0.10116003599999999</v>
      </c>
      <c r="H582" s="9">
        <v>-9.9819906750000006E-2</v>
      </c>
      <c r="I582" s="10">
        <v>0.29491943184897801</v>
      </c>
      <c r="J582" s="10">
        <v>8.6977471282124394E-2</v>
      </c>
      <c r="K582" s="10">
        <v>0.316758496</v>
      </c>
      <c r="L582" s="10">
        <v>0.106066335</v>
      </c>
      <c r="M582" s="10">
        <v>0.135150364</v>
      </c>
      <c r="N582" s="10">
        <v>-1.4909547E-2</v>
      </c>
      <c r="O582" s="9">
        <v>0.135766412</v>
      </c>
      <c r="P582" s="10">
        <v>0.137044826218986</v>
      </c>
      <c r="Q582" s="10">
        <v>1.87812843933923E-2</v>
      </c>
    </row>
    <row r="583" spans="1:17" x14ac:dyDescent="0.2">
      <c r="A583" s="10">
        <v>1754</v>
      </c>
      <c r="B583" s="10" t="s">
        <v>82</v>
      </c>
      <c r="C583" s="9" t="s">
        <v>1196</v>
      </c>
      <c r="D583" s="10">
        <v>-0.28900318000000003</v>
      </c>
      <c r="E583" s="10">
        <v>-0.144868513</v>
      </c>
      <c r="F583" s="10">
        <v>-0.13833082899999999</v>
      </c>
      <c r="G583" s="10">
        <v>-0.39475047499999999</v>
      </c>
      <c r="H583" s="9">
        <v>-0.24173824925000001</v>
      </c>
      <c r="I583" s="10">
        <v>0.123455194668181</v>
      </c>
      <c r="J583" s="10">
        <v>1.52411850905586E-2</v>
      </c>
      <c r="K583" s="10">
        <v>-0.45373740200000001</v>
      </c>
      <c r="L583" s="10">
        <v>-0.204680317</v>
      </c>
      <c r="M583" s="10">
        <v>-7.2337690999999996E-2</v>
      </c>
      <c r="N583" s="10">
        <v>3.2353750000000001E-2</v>
      </c>
      <c r="O583" s="9">
        <v>-0.17460041500000001</v>
      </c>
      <c r="P583" s="10">
        <v>0.209849111781549</v>
      </c>
      <c r="Q583" s="10">
        <v>4.4036649715505E-2</v>
      </c>
    </row>
    <row r="584" spans="1:17" x14ac:dyDescent="0.2">
      <c r="A584" s="10">
        <v>1754</v>
      </c>
      <c r="B584" s="10" t="s">
        <v>2814</v>
      </c>
      <c r="C584" s="9" t="s">
        <v>2259</v>
      </c>
      <c r="D584" s="10">
        <v>-1.2940814009999999</v>
      </c>
      <c r="E584" s="10">
        <v>-1.4491601220000001</v>
      </c>
      <c r="F584" s="10">
        <v>-1.2690252630000001</v>
      </c>
      <c r="G584" s="10">
        <v>-1.1705300009999999</v>
      </c>
      <c r="H584" s="9">
        <v>-1.2956991965</v>
      </c>
      <c r="I584" s="10">
        <v>0.115371427930367</v>
      </c>
      <c r="J584" s="10">
        <v>1.3310566382692001E-2</v>
      </c>
      <c r="K584" s="10">
        <v>-0.13176221199999999</v>
      </c>
      <c r="L584" s="10">
        <v>-0.157471638</v>
      </c>
      <c r="M584" s="10">
        <v>-0.45862208399999999</v>
      </c>
      <c r="N584" s="10">
        <v>-0.44467760499999998</v>
      </c>
      <c r="O584" s="9">
        <v>-0.29813338475000001</v>
      </c>
      <c r="P584" s="10">
        <v>0.17766722188463099</v>
      </c>
      <c r="Q584" s="10">
        <v>3.1565641732202901E-2</v>
      </c>
    </row>
    <row r="585" spans="1:17" x14ac:dyDescent="0.2">
      <c r="A585" s="10">
        <v>1754</v>
      </c>
      <c r="B585" s="10" t="s">
        <v>74</v>
      </c>
      <c r="C585" s="9" t="s">
        <v>1197</v>
      </c>
      <c r="D585" s="10">
        <v>-0.22806775700000001</v>
      </c>
      <c r="E585" s="10">
        <v>0.43209336599999998</v>
      </c>
      <c r="F585" s="10">
        <v>0.56155093899999997</v>
      </c>
      <c r="G585" s="10">
        <v>0.42241709700000002</v>
      </c>
      <c r="H585" s="9">
        <v>0.29699841124999998</v>
      </c>
      <c r="I585" s="10">
        <v>0.35574476548681799</v>
      </c>
      <c r="J585" s="10">
        <v>0.12655433817127101</v>
      </c>
      <c r="K585" s="10">
        <v>0.162024539</v>
      </c>
      <c r="L585" s="10">
        <v>5.8471514000000002E-2</v>
      </c>
      <c r="M585" s="10">
        <v>-0.18198013299999999</v>
      </c>
      <c r="N585" s="10">
        <v>0.47619275999999999</v>
      </c>
      <c r="O585" s="9">
        <v>0.12867717000000001</v>
      </c>
      <c r="P585" s="10">
        <v>0.27283445918352101</v>
      </c>
      <c r="Q585" s="10">
        <v>7.4438642117964804E-2</v>
      </c>
    </row>
    <row r="586" spans="1:17" x14ac:dyDescent="0.2">
      <c r="A586" s="10">
        <v>1754</v>
      </c>
      <c r="B586" s="10" t="s">
        <v>2818</v>
      </c>
      <c r="C586" s="9" t="s">
        <v>1198</v>
      </c>
      <c r="D586" s="10">
        <v>0.31845078700000001</v>
      </c>
      <c r="E586" s="10">
        <v>-0.12587223</v>
      </c>
      <c r="F586" s="10">
        <v>0.20546553200000001</v>
      </c>
      <c r="G586" s="10">
        <v>0.614037426</v>
      </c>
      <c r="H586" s="9">
        <v>0.25302037875</v>
      </c>
      <c r="I586" s="10">
        <v>0.30574254918349503</v>
      </c>
      <c r="J586" s="10">
        <v>9.3478506381222307E-2</v>
      </c>
      <c r="K586" s="10">
        <v>1.4724989999999999E-3</v>
      </c>
      <c r="L586" s="10">
        <v>-4.3569605999999997E-2</v>
      </c>
      <c r="M586" s="10">
        <v>-0.13057334300000001</v>
      </c>
      <c r="N586" s="10">
        <v>0.209613828</v>
      </c>
      <c r="O586" s="9">
        <v>9.2358442499999999E-3</v>
      </c>
      <c r="P586" s="10">
        <v>0.14439140131</v>
      </c>
      <c r="Q586" s="10">
        <v>2.08488767722655E-2</v>
      </c>
    </row>
    <row r="587" spans="1:17" x14ac:dyDescent="0.2">
      <c r="A587" s="10">
        <v>1754</v>
      </c>
      <c r="B587" s="10" t="s">
        <v>2830</v>
      </c>
      <c r="C587" s="9" t="s">
        <v>1199</v>
      </c>
      <c r="D587" s="10">
        <v>-0.31897296400000003</v>
      </c>
      <c r="E587" s="10">
        <v>-0.29568289599999997</v>
      </c>
      <c r="F587" s="10">
        <v>-0.61394031000000004</v>
      </c>
      <c r="G587" s="10">
        <v>-1.215820573</v>
      </c>
      <c r="H587" s="9">
        <v>-0.61110418600000005</v>
      </c>
      <c r="I587" s="10">
        <v>0.42837724548897099</v>
      </c>
      <c r="J587" s="10">
        <v>0.183507064452718</v>
      </c>
      <c r="K587" s="10">
        <v>-1.76948905</v>
      </c>
      <c r="L587" s="10">
        <v>-1.1944600919999999</v>
      </c>
      <c r="M587" s="10">
        <v>-1.0483295399999999</v>
      </c>
      <c r="N587" s="10">
        <v>-0.43262019000000002</v>
      </c>
      <c r="O587" s="9">
        <v>-1.1112247179999999</v>
      </c>
      <c r="P587" s="10">
        <v>0.54915084967796102</v>
      </c>
      <c r="Q587" s="10">
        <v>0.30156665570202601</v>
      </c>
    </row>
    <row r="588" spans="1:17" x14ac:dyDescent="0.2">
      <c r="A588" s="10">
        <v>1755</v>
      </c>
      <c r="B588" s="10" t="s">
        <v>2822</v>
      </c>
      <c r="C588" s="9" t="s">
        <v>1200</v>
      </c>
      <c r="D588" s="10">
        <v>0.28050627099999997</v>
      </c>
      <c r="E588" s="10">
        <v>3.6524768999999999E-2</v>
      </c>
      <c r="F588" s="10">
        <v>-0.35597779800000001</v>
      </c>
      <c r="G588" s="10">
        <v>-0.38175845800000002</v>
      </c>
      <c r="H588" s="9">
        <v>-0.105176304</v>
      </c>
      <c r="I588" s="10">
        <v>0.32053565586992699</v>
      </c>
      <c r="J588" s="10">
        <v>0.102743106683964</v>
      </c>
      <c r="K588" s="10">
        <v>0.122686314</v>
      </c>
      <c r="L588" s="10">
        <v>5.4489798999999998E-2</v>
      </c>
      <c r="M588" s="10">
        <v>-0.29301975299999999</v>
      </c>
      <c r="N588" s="10">
        <v>-0.38970198299999997</v>
      </c>
      <c r="O588" s="9">
        <v>-0.12638640575000001</v>
      </c>
      <c r="P588" s="10">
        <v>0.25288679074944798</v>
      </c>
      <c r="Q588" s="10">
        <v>6.3951728935555202E-2</v>
      </c>
    </row>
    <row r="589" spans="1:17" x14ac:dyDescent="0.2">
      <c r="A589" s="10">
        <v>1755</v>
      </c>
      <c r="B589" s="10" t="s">
        <v>2821</v>
      </c>
      <c r="C589" s="9" t="s">
        <v>2258</v>
      </c>
      <c r="D589" s="10">
        <v>0.40240949300000001</v>
      </c>
      <c r="E589" s="10">
        <v>0.140194766</v>
      </c>
      <c r="F589" s="10">
        <v>6.4079417999999999E-2</v>
      </c>
      <c r="G589" s="10">
        <v>0.66655494299999996</v>
      </c>
      <c r="H589" s="9">
        <v>0.31830965475</v>
      </c>
      <c r="I589" s="10">
        <v>0.27368198726160697</v>
      </c>
      <c r="J589" s="10">
        <v>7.4901830151462498E-2</v>
      </c>
      <c r="K589" s="10">
        <v>0.436317756</v>
      </c>
      <c r="L589" s="10">
        <v>-3.9485091E-2</v>
      </c>
      <c r="M589" s="10">
        <v>-9.5999900000000001E-4</v>
      </c>
      <c r="N589" s="10">
        <v>0.20960736099999999</v>
      </c>
      <c r="O589" s="9">
        <v>0.151370007</v>
      </c>
      <c r="P589" s="10">
        <v>0.21925396858562399</v>
      </c>
      <c r="Q589" s="10">
        <v>4.80723027405459E-2</v>
      </c>
    </row>
    <row r="590" spans="1:17" x14ac:dyDescent="0.2">
      <c r="A590" s="10">
        <v>1755</v>
      </c>
      <c r="B590" s="10" t="s">
        <v>79</v>
      </c>
      <c r="C590" s="9" t="s">
        <v>2257</v>
      </c>
      <c r="D590" s="10">
        <v>-0.73743299399999995</v>
      </c>
      <c r="E590" s="10">
        <v>-0.51795347199999997</v>
      </c>
      <c r="F590" s="10">
        <v>-0.45960590099999998</v>
      </c>
      <c r="G590" s="10">
        <v>-0.94996609200000004</v>
      </c>
      <c r="H590" s="9">
        <v>-0.66623961475000004</v>
      </c>
      <c r="I590" s="10">
        <v>0.223797142468739</v>
      </c>
      <c r="J590" s="10">
        <v>5.0085160977173103E-2</v>
      </c>
      <c r="K590" s="10">
        <v>-0.31273023</v>
      </c>
      <c r="L590" s="10">
        <v>-6.9665027000000004E-2</v>
      </c>
      <c r="M590" s="10">
        <v>-0.42372840499999997</v>
      </c>
      <c r="N590" s="10">
        <v>-0.59726456500000003</v>
      </c>
      <c r="O590" s="9">
        <v>-0.35084705675</v>
      </c>
      <c r="P590" s="10">
        <v>0.221019988259505</v>
      </c>
      <c r="Q590" s="10">
        <v>4.8849835210232E-2</v>
      </c>
    </row>
    <row r="591" spans="1:17" x14ac:dyDescent="0.2">
      <c r="A591" s="10">
        <v>1755</v>
      </c>
      <c r="B591" s="10" t="s">
        <v>82</v>
      </c>
      <c r="C591" s="9" t="s">
        <v>1201</v>
      </c>
      <c r="D591" s="10">
        <v>-0.79457272999999995</v>
      </c>
      <c r="E591" s="10">
        <v>-1.2183096309999999</v>
      </c>
      <c r="F591" s="10">
        <v>-0.19236561399999999</v>
      </c>
      <c r="G591" s="10">
        <v>-1.7528848189999999</v>
      </c>
      <c r="H591" s="9">
        <v>-0.98953319875000001</v>
      </c>
      <c r="I591" s="10">
        <v>0.66043674807981101</v>
      </c>
      <c r="J591" s="10">
        <v>0.43617669821423499</v>
      </c>
      <c r="K591" s="10">
        <v>0.28295704199999999</v>
      </c>
      <c r="L591" s="10">
        <v>0.69003057800000001</v>
      </c>
      <c r="M591" s="10">
        <v>5.5693274000000001E-2</v>
      </c>
      <c r="N591" s="10">
        <v>0.36898136999999998</v>
      </c>
      <c r="O591" s="9">
        <v>0.34941556600000001</v>
      </c>
      <c r="P591" s="10">
        <v>0.262736196793106</v>
      </c>
      <c r="Q591" s="10">
        <v>6.9030309105306095E-2</v>
      </c>
    </row>
    <row r="592" spans="1:17" x14ac:dyDescent="0.2">
      <c r="A592" s="10">
        <v>1755</v>
      </c>
      <c r="B592" s="10" t="s">
        <v>2818</v>
      </c>
      <c r="C592" s="9" t="s">
        <v>1202</v>
      </c>
      <c r="D592" s="10">
        <v>-0.137656643</v>
      </c>
      <c r="E592" s="10">
        <v>2.2985027000000002E-2</v>
      </c>
      <c r="F592" s="10">
        <v>-0.11957699300000001</v>
      </c>
      <c r="G592" s="10">
        <v>-0.381332118</v>
      </c>
      <c r="H592" s="9">
        <v>-0.15389518175</v>
      </c>
      <c r="I592" s="10">
        <v>0.16778517657811301</v>
      </c>
      <c r="J592" s="10">
        <v>2.8151865479348601E-2</v>
      </c>
      <c r="K592" s="10">
        <v>-0.20952122000000001</v>
      </c>
      <c r="L592" s="10">
        <v>-0.20539802200000001</v>
      </c>
      <c r="M592" s="10">
        <v>0.47249158400000002</v>
      </c>
      <c r="N592" s="10">
        <v>-0.43091631600000002</v>
      </c>
      <c r="O592" s="9">
        <v>-9.3335993749999999E-2</v>
      </c>
      <c r="P592" s="10">
        <v>0.39165385511831402</v>
      </c>
      <c r="Q592" s="10">
        <v>0.15339274222903701</v>
      </c>
    </row>
    <row r="593" spans="1:17" x14ac:dyDescent="0.2">
      <c r="A593" s="10">
        <v>1755</v>
      </c>
      <c r="B593" s="10" t="s">
        <v>2830</v>
      </c>
      <c r="C593" s="9" t="s">
        <v>2254</v>
      </c>
      <c r="D593" s="10">
        <v>-0.13328978499999999</v>
      </c>
      <c r="E593" s="10">
        <v>-0.14019495000000001</v>
      </c>
      <c r="F593" s="10">
        <v>-0.45784544199999999</v>
      </c>
      <c r="G593" s="10">
        <v>-0.27727426599999999</v>
      </c>
      <c r="H593" s="9">
        <v>-0.25215111075000002</v>
      </c>
      <c r="I593" s="10">
        <v>0.15231932195996201</v>
      </c>
      <c r="J593" s="10">
        <v>2.3201175842342499E-2</v>
      </c>
      <c r="K593" s="10">
        <v>2.9352495999999999E-2</v>
      </c>
      <c r="L593" s="10">
        <v>-4.1559893000000001E-2</v>
      </c>
      <c r="M593" s="10">
        <v>-0.26717297600000001</v>
      </c>
      <c r="N593" s="10">
        <v>-0.42075751700000003</v>
      </c>
      <c r="O593" s="9">
        <v>-0.17503447275</v>
      </c>
      <c r="P593" s="10">
        <v>0.20692898515423899</v>
      </c>
      <c r="Q593" s="10">
        <v>4.2819604896963397E-2</v>
      </c>
    </row>
    <row r="594" spans="1:17" x14ac:dyDescent="0.2">
      <c r="A594" s="10">
        <v>1755</v>
      </c>
      <c r="B594" s="10" t="s">
        <v>2835</v>
      </c>
      <c r="C594" s="9" t="s">
        <v>2253</v>
      </c>
      <c r="D594" s="10">
        <v>-1.3489554370000001</v>
      </c>
      <c r="E594" s="10">
        <v>-1.576064643</v>
      </c>
      <c r="F594" s="10">
        <v>-0.97567878600000002</v>
      </c>
      <c r="G594" s="10">
        <v>-1.3545188480000001</v>
      </c>
      <c r="H594" s="9">
        <v>-1.3138044282500001</v>
      </c>
      <c r="I594" s="10">
        <v>0.24899975072237299</v>
      </c>
      <c r="J594" s="10">
        <v>6.2000875859804301E-2</v>
      </c>
      <c r="K594" s="10">
        <v>-0.26167002099999997</v>
      </c>
      <c r="L594" s="10">
        <v>-0.87326659299999998</v>
      </c>
      <c r="M594" s="10">
        <v>-1.129325854</v>
      </c>
      <c r="N594" s="10">
        <v>-1.389257296</v>
      </c>
      <c r="O594" s="9">
        <v>-0.91337994099999997</v>
      </c>
      <c r="P594" s="10">
        <v>0.482848076471739</v>
      </c>
      <c r="Q594" s="10">
        <v>0.23314226495245799</v>
      </c>
    </row>
    <row r="595" spans="1:17" x14ac:dyDescent="0.2">
      <c r="A595" s="10">
        <v>1756</v>
      </c>
      <c r="B595" s="10" t="s">
        <v>2822</v>
      </c>
      <c r="C595" s="9" t="s">
        <v>2252</v>
      </c>
      <c r="D595" s="10">
        <v>7.0764620000000004E-3</v>
      </c>
      <c r="E595" s="10">
        <v>-0.26097687899999999</v>
      </c>
      <c r="F595" s="10">
        <v>-0.18199555100000001</v>
      </c>
      <c r="G595" s="10">
        <v>7.7522189000000005E-2</v>
      </c>
      <c r="H595" s="9">
        <v>-8.9593444750000001E-2</v>
      </c>
      <c r="I595" s="10">
        <v>0.15830680832850899</v>
      </c>
      <c r="J595" s="10">
        <v>2.5061045563159402E-2</v>
      </c>
      <c r="K595" s="10">
        <v>0.21850051400000001</v>
      </c>
      <c r="L595" s="10">
        <v>0.11576325599999999</v>
      </c>
      <c r="M595" s="10">
        <v>6.0339981000000001E-2</v>
      </c>
      <c r="N595" s="10">
        <v>0.182292538</v>
      </c>
      <c r="O595" s="9">
        <v>0.14422407225</v>
      </c>
      <c r="P595" s="10">
        <v>7.0267955499062396E-2</v>
      </c>
      <c r="Q595" s="10">
        <v>4.9375855700181997E-3</v>
      </c>
    </row>
    <row r="596" spans="1:17" x14ac:dyDescent="0.2">
      <c r="A596" s="10">
        <v>1756</v>
      </c>
      <c r="B596" s="10" t="s">
        <v>96</v>
      </c>
      <c r="C596" s="9" t="s">
        <v>2251</v>
      </c>
      <c r="D596" s="10">
        <v>-1.177809823</v>
      </c>
      <c r="E596" s="10">
        <v>-3.6689699999999999E-2</v>
      </c>
      <c r="F596" s="10">
        <v>-0.70571369500000003</v>
      </c>
      <c r="G596" s="10">
        <v>-0.27856407</v>
      </c>
      <c r="H596" s="9">
        <v>-0.54969432174999999</v>
      </c>
      <c r="I596" s="10">
        <v>0.50184874317890504</v>
      </c>
      <c r="J596" s="10">
        <v>0.25185216103024599</v>
      </c>
      <c r="K596" s="10">
        <v>9.9613866999999995E-2</v>
      </c>
      <c r="L596" s="10">
        <v>0.492249518</v>
      </c>
      <c r="M596" s="10">
        <v>-8.2752944999999994E-2</v>
      </c>
      <c r="N596" s="10">
        <v>-0.65401715100000002</v>
      </c>
      <c r="O596" s="9">
        <v>-3.6226677749999998E-2</v>
      </c>
      <c r="P596" s="10">
        <v>0.476644348704232</v>
      </c>
      <c r="Q596" s="10">
        <v>0.22718983515168201</v>
      </c>
    </row>
    <row r="597" spans="1:17" x14ac:dyDescent="0.2">
      <c r="A597" s="10">
        <v>1756</v>
      </c>
      <c r="B597" s="10" t="s">
        <v>2826</v>
      </c>
      <c r="C597" s="9" t="s">
        <v>2250</v>
      </c>
      <c r="D597" s="10">
        <v>0.109938956</v>
      </c>
      <c r="E597" s="10">
        <v>0.13893263</v>
      </c>
      <c r="F597" s="10">
        <v>9.1135657999999994E-2</v>
      </c>
      <c r="G597" s="10">
        <v>0.20677024699999999</v>
      </c>
      <c r="H597" s="9">
        <v>0.13669437274999999</v>
      </c>
      <c r="I597" s="10">
        <v>5.0685588887299501E-2</v>
      </c>
      <c r="J597" s="10">
        <v>2.5690289208522999E-3</v>
      </c>
      <c r="K597" s="10">
        <v>8.8439621999999996E-2</v>
      </c>
      <c r="L597" s="10">
        <v>0.38655135499999999</v>
      </c>
      <c r="M597" s="10">
        <v>1.8561121999999999E-2</v>
      </c>
      <c r="N597" s="10">
        <v>-5.9245038999999999E-2</v>
      </c>
      <c r="O597" s="9">
        <v>0.10857676475</v>
      </c>
      <c r="P597" s="10">
        <v>0.19488659189076099</v>
      </c>
      <c r="Q597" s="10">
        <v>3.7980783698796101E-2</v>
      </c>
    </row>
    <row r="598" spans="1:17" x14ac:dyDescent="0.2">
      <c r="A598" s="10">
        <v>1756</v>
      </c>
      <c r="B598" s="10" t="s">
        <v>79</v>
      </c>
      <c r="C598" s="9" t="s">
        <v>2249</v>
      </c>
      <c r="D598" s="10">
        <v>0.19134510399999999</v>
      </c>
      <c r="E598" s="10">
        <v>-0.183134251</v>
      </c>
      <c r="F598" s="10">
        <v>-0.51465864500000003</v>
      </c>
      <c r="G598" s="10">
        <v>-0.54026667900000003</v>
      </c>
      <c r="H598" s="9">
        <v>-0.26167861775000001</v>
      </c>
      <c r="I598" s="10">
        <v>0.34303056815917699</v>
      </c>
      <c r="J598" s="10">
        <v>0.11766997069160801</v>
      </c>
      <c r="K598" s="10">
        <v>-6.6278329999999996E-3</v>
      </c>
      <c r="L598" s="10">
        <v>-0.32382450000000002</v>
      </c>
      <c r="M598" s="10">
        <v>-0.31456794199999999</v>
      </c>
      <c r="N598" s="10">
        <v>-0.68854114899999996</v>
      </c>
      <c r="O598" s="9">
        <v>-0.333390356</v>
      </c>
      <c r="P598" s="10">
        <v>0.27889760431363397</v>
      </c>
      <c r="Q598" s="10">
        <v>7.7783873691884803E-2</v>
      </c>
    </row>
    <row r="599" spans="1:17" x14ac:dyDescent="0.2">
      <c r="A599" s="10">
        <v>1756</v>
      </c>
      <c r="B599" s="10" t="s">
        <v>2824</v>
      </c>
      <c r="C599" s="9" t="s">
        <v>1204</v>
      </c>
      <c r="D599" s="10">
        <v>-8.1767066999999999E-2</v>
      </c>
      <c r="E599" s="10">
        <v>9.5169796000000001E-2</v>
      </c>
      <c r="F599" s="10">
        <v>-6.6442592999999994E-2</v>
      </c>
      <c r="G599" s="10">
        <v>0.33661829799999998</v>
      </c>
      <c r="H599" s="9">
        <v>7.0894608499999998E-2</v>
      </c>
      <c r="I599" s="10">
        <v>0.194392607860116</v>
      </c>
      <c r="J599" s="10">
        <v>3.7788485990657102E-2</v>
      </c>
      <c r="K599" s="10">
        <v>-0.36075306400000001</v>
      </c>
      <c r="L599" s="10">
        <v>-0.41885288700000001</v>
      </c>
      <c r="M599" s="10">
        <v>-0.126852777</v>
      </c>
      <c r="N599" s="10">
        <v>-7.3712123000000004E-2</v>
      </c>
      <c r="O599" s="9">
        <v>-0.24504271275</v>
      </c>
      <c r="P599" s="10">
        <v>0.17021740408066899</v>
      </c>
      <c r="Q599" s="10">
        <v>2.8973964651961798E-2</v>
      </c>
    </row>
    <row r="600" spans="1:17" x14ac:dyDescent="0.2">
      <c r="A600" s="10">
        <v>1756</v>
      </c>
      <c r="B600" s="10" t="s">
        <v>82</v>
      </c>
      <c r="C600" s="9" t="s">
        <v>1205</v>
      </c>
      <c r="D600" s="10">
        <v>-3.3129669E-2</v>
      </c>
      <c r="E600" s="10">
        <v>-0.28886946000000002</v>
      </c>
      <c r="F600" s="10">
        <v>-0.94353967000000005</v>
      </c>
      <c r="G600" s="10">
        <v>-0.85937161500000003</v>
      </c>
      <c r="H600" s="9">
        <v>-0.53122760375</v>
      </c>
      <c r="I600" s="10">
        <v>0.44140637155148599</v>
      </c>
      <c r="J600" s="10">
        <v>0.194839584846248</v>
      </c>
      <c r="K600" s="10">
        <v>-0.26161165800000002</v>
      </c>
      <c r="L600" s="10">
        <v>-0.42969132700000001</v>
      </c>
      <c r="M600" s="10">
        <v>-0.85833891799999995</v>
      </c>
      <c r="N600" s="10">
        <v>-1.045203782</v>
      </c>
      <c r="O600" s="9">
        <v>-0.64871142125000003</v>
      </c>
      <c r="P600" s="10">
        <v>0.364676069921542</v>
      </c>
      <c r="Q600" s="10">
        <v>0.132988635973421</v>
      </c>
    </row>
    <row r="601" spans="1:17" x14ac:dyDescent="0.2">
      <c r="A601" s="10">
        <v>1756</v>
      </c>
      <c r="B601" s="10" t="s">
        <v>2814</v>
      </c>
      <c r="C601" s="9" t="s">
        <v>1206</v>
      </c>
      <c r="D601" s="10">
        <v>-0.92368856399999999</v>
      </c>
      <c r="E601" s="10">
        <v>0.142200354</v>
      </c>
      <c r="F601" s="10">
        <v>0.27143495400000001</v>
      </c>
      <c r="G601" s="10">
        <v>0.758430936</v>
      </c>
      <c r="H601" s="9">
        <v>6.2094419999999997E-2</v>
      </c>
      <c r="I601" s="10">
        <v>0.70872962754879898</v>
      </c>
      <c r="J601" s="10">
        <v>0.50229768496546001</v>
      </c>
      <c r="K601" s="10">
        <v>-0.30276506800000003</v>
      </c>
      <c r="L601" s="10">
        <v>-0.52237657800000004</v>
      </c>
      <c r="M601" s="10">
        <v>0.48081947899999999</v>
      </c>
      <c r="N601" s="10">
        <v>-0.35585330799999998</v>
      </c>
      <c r="O601" s="9">
        <v>-0.17504386875</v>
      </c>
      <c r="P601" s="10">
        <v>0.44713961275964598</v>
      </c>
      <c r="Q601" s="10">
        <v>0.19993383329884601</v>
      </c>
    </row>
    <row r="602" spans="1:17" x14ac:dyDescent="0.2">
      <c r="A602" s="10">
        <v>1756</v>
      </c>
      <c r="B602" s="10" t="s">
        <v>2825</v>
      </c>
      <c r="C602" s="9" t="s">
        <v>1207</v>
      </c>
      <c r="D602" s="10">
        <v>-3.8858462000000003E-2</v>
      </c>
      <c r="E602" s="10">
        <v>-0.14922974899999999</v>
      </c>
      <c r="F602" s="10">
        <v>-0.176169089</v>
      </c>
      <c r="G602" s="10">
        <v>-0.19284226900000001</v>
      </c>
      <c r="H602" s="9">
        <v>-0.1392748925</v>
      </c>
      <c r="I602" s="10">
        <v>6.9313789495718398E-2</v>
      </c>
      <c r="J602" s="10">
        <v>4.8044014142566999E-3</v>
      </c>
      <c r="K602" s="10">
        <v>-6.1910558999999997E-2</v>
      </c>
      <c r="L602" s="10">
        <v>-0.24428776499999999</v>
      </c>
      <c r="M602" s="10">
        <v>-0.32541455200000002</v>
      </c>
      <c r="N602" s="10">
        <v>-0.42098957599999998</v>
      </c>
      <c r="O602" s="9">
        <v>-0.26315061325</v>
      </c>
      <c r="P602" s="10">
        <v>0.15236283745203399</v>
      </c>
      <c r="Q602" s="10">
        <v>2.3214434236434999E-2</v>
      </c>
    </row>
    <row r="603" spans="1:17" x14ac:dyDescent="0.2">
      <c r="A603" s="10">
        <v>1756</v>
      </c>
      <c r="B603" s="10" t="s">
        <v>74</v>
      </c>
      <c r="C603" s="9" t="s">
        <v>2248</v>
      </c>
      <c r="D603" s="10">
        <v>0.42309241800000003</v>
      </c>
      <c r="E603" s="10">
        <v>9.4506995999999996E-2</v>
      </c>
      <c r="F603" s="10">
        <v>8.1516811999999994E-2</v>
      </c>
      <c r="G603" s="10">
        <v>0.29311428299999998</v>
      </c>
      <c r="H603" s="9">
        <v>0.22305762700000001</v>
      </c>
      <c r="I603" s="10">
        <v>0.164803842695569</v>
      </c>
      <c r="J603" s="10">
        <v>2.7160306567226102E-2</v>
      </c>
      <c r="K603" s="10">
        <v>0.57751899500000003</v>
      </c>
      <c r="L603" s="10">
        <v>0.36711386699999998</v>
      </c>
      <c r="M603" s="10">
        <v>-0.31906824700000003</v>
      </c>
      <c r="N603" s="10">
        <v>-0.19793228600000001</v>
      </c>
      <c r="O603" s="9">
        <v>0.10690808224999999</v>
      </c>
      <c r="P603" s="10">
        <v>0.433422490115149</v>
      </c>
      <c r="Q603" s="10">
        <v>0.18785505493761701</v>
      </c>
    </row>
    <row r="604" spans="1:17" x14ac:dyDescent="0.2">
      <c r="A604" s="10">
        <v>1756</v>
      </c>
      <c r="B604" s="10" t="s">
        <v>2818</v>
      </c>
      <c r="C604" s="9" t="s">
        <v>2247</v>
      </c>
      <c r="D604" s="10">
        <v>0.47089703199999999</v>
      </c>
      <c r="E604" s="10">
        <v>4.9702758999999999E-2</v>
      </c>
      <c r="F604" s="10">
        <v>1.005102642</v>
      </c>
      <c r="G604" s="10">
        <v>-0.51014843399999998</v>
      </c>
      <c r="H604" s="9">
        <v>0.25388849949999998</v>
      </c>
      <c r="I604" s="10">
        <v>0.64209543513028</v>
      </c>
      <c r="J604" s="10">
        <v>0.41228654781514301</v>
      </c>
      <c r="K604" s="10">
        <v>0.54997038300000001</v>
      </c>
      <c r="L604" s="10">
        <v>0.45541865100000001</v>
      </c>
      <c r="M604" s="10">
        <v>0.35618272600000001</v>
      </c>
      <c r="N604" s="10">
        <v>0.42348644299999999</v>
      </c>
      <c r="O604" s="9">
        <v>0.44626455074999999</v>
      </c>
      <c r="P604" s="10">
        <v>8.0565241754767702E-2</v>
      </c>
      <c r="Q604" s="10">
        <v>6.4907581790040999E-3</v>
      </c>
    </row>
    <row r="605" spans="1:17" x14ac:dyDescent="0.2">
      <c r="A605" s="10">
        <v>1756</v>
      </c>
      <c r="B605" s="10" t="s">
        <v>2830</v>
      </c>
      <c r="C605" s="9" t="s">
        <v>2246</v>
      </c>
      <c r="D605" s="10">
        <v>4.8909519999999996E-3</v>
      </c>
      <c r="E605" s="10">
        <v>0.316875927</v>
      </c>
      <c r="F605" s="10">
        <v>0.112030132</v>
      </c>
      <c r="G605" s="10">
        <v>0.34049472800000002</v>
      </c>
      <c r="H605" s="9">
        <v>0.19357293475000001</v>
      </c>
      <c r="I605" s="10">
        <v>0.16231631723725501</v>
      </c>
      <c r="J605" s="10">
        <v>2.6346586841465298E-2</v>
      </c>
      <c r="K605" s="10">
        <v>0.215138731</v>
      </c>
      <c r="L605" s="10">
        <v>0.241391262</v>
      </c>
      <c r="M605" s="10">
        <v>0.54780261500000005</v>
      </c>
      <c r="N605" s="10">
        <v>0.67744689899999999</v>
      </c>
      <c r="O605" s="9">
        <v>0.42044487674999997</v>
      </c>
      <c r="P605" s="10">
        <v>0.22838625423501699</v>
      </c>
      <c r="Q605" s="10">
        <v>5.2160281123502197E-2</v>
      </c>
    </row>
    <row r="606" spans="1:17" x14ac:dyDescent="0.2">
      <c r="A606" s="10">
        <v>1757</v>
      </c>
      <c r="B606" s="10" t="s">
        <v>2831</v>
      </c>
      <c r="C606" s="9" t="s">
        <v>1208</v>
      </c>
      <c r="D606" s="10">
        <v>-1.7033810819999999</v>
      </c>
      <c r="E606" s="10">
        <v>-1.5130732840000001</v>
      </c>
      <c r="F606" s="10">
        <v>-1.819767125</v>
      </c>
      <c r="G606" s="10">
        <v>-1.4348893949999999</v>
      </c>
      <c r="H606" s="9">
        <v>-1.61777772175</v>
      </c>
      <c r="I606" s="10">
        <v>0.17563106564361999</v>
      </c>
      <c r="J606" s="10">
        <v>3.08462712191136E-2</v>
      </c>
      <c r="K606" s="10">
        <v>-0.243470412</v>
      </c>
      <c r="L606" s="10">
        <v>-8.3890541999999999E-2</v>
      </c>
      <c r="M606" s="10">
        <v>-0.71083293999999997</v>
      </c>
      <c r="N606" s="10">
        <v>-0.25845101700000001</v>
      </c>
      <c r="O606" s="9">
        <v>-0.32416122749999998</v>
      </c>
      <c r="P606" s="10">
        <v>0.269613213714469</v>
      </c>
      <c r="Q606" s="10">
        <v>7.2691285009443898E-2</v>
      </c>
    </row>
    <row r="607" spans="1:17" x14ac:dyDescent="0.2">
      <c r="A607" s="10">
        <v>1757</v>
      </c>
      <c r="B607" s="10" t="s">
        <v>2822</v>
      </c>
      <c r="C607" s="9" t="s">
        <v>1209</v>
      </c>
      <c r="D607" s="10">
        <v>0.193694056</v>
      </c>
      <c r="E607" s="10">
        <v>0.114182994</v>
      </c>
      <c r="F607" s="10">
        <v>-0.22213671099999999</v>
      </c>
      <c r="G607" s="10">
        <v>-0.27818903099999998</v>
      </c>
      <c r="H607" s="9">
        <v>-4.8112173000000001E-2</v>
      </c>
      <c r="I607" s="10">
        <v>0.23666423052362801</v>
      </c>
      <c r="J607" s="10">
        <v>5.6009958009341297E-2</v>
      </c>
      <c r="K607" s="10">
        <v>-0.179106772</v>
      </c>
      <c r="L607" s="10">
        <v>-0.181137665</v>
      </c>
      <c r="M607" s="10">
        <v>-0.30600684099999997</v>
      </c>
      <c r="N607" s="10">
        <v>-0.37087379199999998</v>
      </c>
      <c r="O607" s="9">
        <v>-0.25928126750000002</v>
      </c>
      <c r="P607" s="10">
        <v>9.5167471830005207E-2</v>
      </c>
      <c r="Q607" s="10">
        <v>9.0568476945147997E-3</v>
      </c>
    </row>
    <row r="608" spans="1:17" x14ac:dyDescent="0.2">
      <c r="A608" s="10">
        <v>1757</v>
      </c>
      <c r="B608" s="10" t="s">
        <v>96</v>
      </c>
      <c r="C608" s="9" t="s">
        <v>1210</v>
      </c>
      <c r="D608" s="10">
        <v>2.3289939999999999E-2</v>
      </c>
      <c r="E608" s="10">
        <v>0.119401325</v>
      </c>
      <c r="F608" s="10">
        <v>-0.55471904599999999</v>
      </c>
      <c r="G608" s="10">
        <v>0.38818424499999998</v>
      </c>
      <c r="H608" s="9">
        <v>-5.9608839999999996E-3</v>
      </c>
      <c r="I608" s="10">
        <v>0.397096628553673</v>
      </c>
      <c r="J608" s="10">
        <v>0.15768573240869399</v>
      </c>
      <c r="K608" s="10">
        <v>-0.110652237</v>
      </c>
      <c r="L608" s="10">
        <v>-0.17577946</v>
      </c>
      <c r="M608" s="10">
        <v>-0.31227061699999997</v>
      </c>
      <c r="N608" s="10">
        <v>8.3667767000000004E-2</v>
      </c>
      <c r="O608" s="9">
        <v>-0.12875863674999999</v>
      </c>
      <c r="P608" s="10">
        <v>0.164661697060416</v>
      </c>
      <c r="Q608" s="10">
        <v>2.7113474478816301E-2</v>
      </c>
    </row>
    <row r="609" spans="1:17" x14ac:dyDescent="0.2">
      <c r="A609" s="10">
        <v>1757</v>
      </c>
      <c r="B609" s="10" t="s">
        <v>2821</v>
      </c>
      <c r="C609" s="9" t="s">
        <v>1212</v>
      </c>
      <c r="D609" s="10">
        <v>0.31246448300000002</v>
      </c>
      <c r="E609" s="10">
        <v>0.24903282800000001</v>
      </c>
      <c r="F609" s="10">
        <v>-9.1963284000000006E-2</v>
      </c>
      <c r="G609" s="10">
        <v>0.44684863499999999</v>
      </c>
      <c r="H609" s="9">
        <v>0.22909566575000001</v>
      </c>
      <c r="I609" s="10">
        <v>0.22937818478080399</v>
      </c>
      <c r="J609" s="10">
        <v>5.2614351653336999E-2</v>
      </c>
      <c r="K609" s="10">
        <v>7.1131720000000001E-3</v>
      </c>
      <c r="L609" s="10">
        <v>6.2166751999999999E-2</v>
      </c>
      <c r="M609" s="10">
        <v>-7.0918379999999996E-3</v>
      </c>
      <c r="N609" s="10">
        <v>-0.34057214000000002</v>
      </c>
      <c r="O609" s="9">
        <v>-6.9596013499999998E-2</v>
      </c>
      <c r="P609" s="10">
        <v>0.18310339392463501</v>
      </c>
      <c r="Q609" s="10">
        <v>3.3526852866719997E-2</v>
      </c>
    </row>
    <row r="610" spans="1:17" x14ac:dyDescent="0.2">
      <c r="A610" s="10">
        <v>1757</v>
      </c>
      <c r="B610" s="10" t="s">
        <v>2814</v>
      </c>
      <c r="C610" s="9" t="s">
        <v>1214</v>
      </c>
      <c r="D610" s="10">
        <v>-0.107728801</v>
      </c>
      <c r="E610" s="10">
        <v>0.146520926</v>
      </c>
      <c r="F610" s="10">
        <v>-3.4536458999999999E-2</v>
      </c>
      <c r="G610" s="10">
        <v>8.6500315999999994E-2</v>
      </c>
      <c r="H610" s="9">
        <v>2.268899575E-2</v>
      </c>
      <c r="I610" s="10">
        <v>0.115021426876267</v>
      </c>
      <c r="J610" s="10">
        <v>1.32299286406525E-2</v>
      </c>
      <c r="K610" s="10">
        <v>-0.28154879100000002</v>
      </c>
      <c r="L610" s="10">
        <v>-0.557597338</v>
      </c>
      <c r="M610" s="10">
        <v>0.101690298</v>
      </c>
      <c r="N610" s="10">
        <v>0.106326056</v>
      </c>
      <c r="O610" s="9">
        <v>-0.15778244350000001</v>
      </c>
      <c r="P610" s="10">
        <v>0.32261920883460699</v>
      </c>
      <c r="Q610" s="10">
        <v>0.104083153909068</v>
      </c>
    </row>
    <row r="611" spans="1:17" x14ac:dyDescent="0.2">
      <c r="A611" s="10">
        <v>1757</v>
      </c>
      <c r="B611" s="10" t="s">
        <v>2833</v>
      </c>
      <c r="C611" s="9" t="s">
        <v>1215</v>
      </c>
      <c r="D611" s="10">
        <v>0.28651563899999999</v>
      </c>
      <c r="E611" s="10">
        <v>-0.39828259700000002</v>
      </c>
      <c r="F611" s="10">
        <v>0.13223963599999999</v>
      </c>
      <c r="G611" s="10">
        <v>-0.62662010300000004</v>
      </c>
      <c r="H611" s="9">
        <v>-0.15153685624999999</v>
      </c>
      <c r="I611" s="10">
        <v>0.43166601212405398</v>
      </c>
      <c r="J611" s="10">
        <v>0.186335546023084</v>
      </c>
      <c r="K611" s="10">
        <v>-0.264561241</v>
      </c>
      <c r="L611" s="10">
        <v>0.50543347199999999</v>
      </c>
      <c r="M611" s="10">
        <v>0.443688849</v>
      </c>
      <c r="N611" s="10">
        <v>-4.6360555999999997E-2</v>
      </c>
      <c r="O611" s="9">
        <v>0.15955013125</v>
      </c>
      <c r="P611" s="10">
        <v>0.37533974100297401</v>
      </c>
      <c r="Q611" s="10">
        <v>0.14087992117618001</v>
      </c>
    </row>
    <row r="612" spans="1:17" x14ac:dyDescent="0.2">
      <c r="A612" s="10">
        <v>1757</v>
      </c>
      <c r="B612" s="10" t="s">
        <v>2818</v>
      </c>
      <c r="C612" s="9" t="s">
        <v>1216</v>
      </c>
      <c r="D612" s="10">
        <v>-0.28200118200000002</v>
      </c>
      <c r="E612" s="10">
        <v>-6.6380158999999994E-2</v>
      </c>
      <c r="F612" s="10">
        <v>7.8378370000000003E-2</v>
      </c>
      <c r="G612" s="10">
        <v>-0.213428692</v>
      </c>
      <c r="H612" s="9">
        <v>-0.12085791575</v>
      </c>
      <c r="I612" s="10">
        <v>0.16041552752483501</v>
      </c>
      <c r="J612" s="10">
        <v>2.57331414710712E-2</v>
      </c>
      <c r="K612" s="10">
        <v>-3.7171399000000001E-2</v>
      </c>
      <c r="L612" s="10">
        <v>-0.33289300700000002</v>
      </c>
      <c r="M612" s="10">
        <v>0.174763896</v>
      </c>
      <c r="N612" s="10">
        <v>-0.55544527399999999</v>
      </c>
      <c r="O612" s="9">
        <v>-0.18768644575000001</v>
      </c>
      <c r="P612" s="10">
        <v>0.32163982481377501</v>
      </c>
      <c r="Q612" s="10">
        <v>0.103452176906236</v>
      </c>
    </row>
    <row r="613" spans="1:17" x14ac:dyDescent="0.2">
      <c r="A613" s="10">
        <v>1757</v>
      </c>
      <c r="B613" s="10" t="s">
        <v>2832</v>
      </c>
      <c r="C613" s="9" t="s">
        <v>1217</v>
      </c>
      <c r="D613" s="10">
        <v>-0.24043593399999999</v>
      </c>
      <c r="E613" s="10">
        <v>-0.93706721299999995</v>
      </c>
      <c r="F613" s="10">
        <v>0.19317646499999999</v>
      </c>
      <c r="G613" s="10">
        <v>0.151494553</v>
      </c>
      <c r="H613" s="9">
        <v>-0.20820803225000001</v>
      </c>
      <c r="I613" s="10">
        <v>0.52369514270643402</v>
      </c>
      <c r="J613" s="10">
        <v>0.274256602494312</v>
      </c>
      <c r="K613" s="10">
        <v>0.16001162299999999</v>
      </c>
      <c r="L613" s="10">
        <v>-0.34509404700000001</v>
      </c>
      <c r="M613" s="10">
        <v>0.31445413500000002</v>
      </c>
      <c r="N613" s="10">
        <v>-0.39880716500000002</v>
      </c>
      <c r="O613" s="9">
        <v>-6.7358863500000005E-2</v>
      </c>
      <c r="P613" s="10">
        <v>0.35799130002269602</v>
      </c>
      <c r="Q613" s="10">
        <v>0.12815777089194</v>
      </c>
    </row>
    <row r="614" spans="1:17" x14ac:dyDescent="0.2">
      <c r="A614" s="10">
        <v>1758</v>
      </c>
      <c r="B614" s="10" t="s">
        <v>96</v>
      </c>
      <c r="C614" s="9" t="s">
        <v>1218</v>
      </c>
      <c r="D614" s="10">
        <v>0.13577402999999999</v>
      </c>
      <c r="E614" s="10">
        <v>7.7281443000000005E-2</v>
      </c>
      <c r="F614" s="10">
        <v>4.8780558000000002E-2</v>
      </c>
      <c r="G614" s="10">
        <v>5.3011350000000002E-3</v>
      </c>
      <c r="H614" s="9">
        <v>6.6784291750000002E-2</v>
      </c>
      <c r="I614" s="10">
        <v>5.4693348654276802E-2</v>
      </c>
      <c r="J614" s="10">
        <v>2.9913623870182001E-3</v>
      </c>
      <c r="K614" s="10">
        <v>-0.27947929999999999</v>
      </c>
      <c r="L614" s="10">
        <v>0.25379955900000001</v>
      </c>
      <c r="M614" s="10">
        <v>0.17422220099999999</v>
      </c>
      <c r="N614" s="10">
        <v>0.16388239199999999</v>
      </c>
      <c r="O614" s="9">
        <v>7.8106212750000001E-2</v>
      </c>
      <c r="P614" s="10">
        <v>0.241751516347678</v>
      </c>
      <c r="Q614" s="10">
        <v>5.84437956564016E-2</v>
      </c>
    </row>
    <row r="615" spans="1:17" x14ac:dyDescent="0.2">
      <c r="A615" s="10">
        <v>1758</v>
      </c>
      <c r="B615" s="10" t="s">
        <v>2826</v>
      </c>
      <c r="C615" s="9" t="s">
        <v>2241</v>
      </c>
      <c r="D615" s="10">
        <v>0.236302501</v>
      </c>
      <c r="E615" s="10">
        <v>-7.0842066999999995E-2</v>
      </c>
      <c r="F615" s="10">
        <v>0.34680522200000002</v>
      </c>
      <c r="G615" s="10">
        <v>-0.76326758699999997</v>
      </c>
      <c r="H615" s="9">
        <v>-6.2750482750000003E-2</v>
      </c>
      <c r="I615" s="10">
        <v>0.499318952663033</v>
      </c>
      <c r="J615" s="10">
        <v>0.249319416488509</v>
      </c>
      <c r="K615" s="10">
        <v>8.8884790000000005E-2</v>
      </c>
      <c r="L615" s="10">
        <v>-9.9954294999999999E-2</v>
      </c>
      <c r="M615" s="10">
        <v>-0.152942735</v>
      </c>
      <c r="N615" s="10">
        <v>0.32439426199999999</v>
      </c>
      <c r="O615" s="9">
        <v>4.0095505500000003E-2</v>
      </c>
      <c r="P615" s="10">
        <v>0.21608939982091799</v>
      </c>
      <c r="Q615" s="10">
        <v>4.6694628714964603E-2</v>
      </c>
    </row>
    <row r="616" spans="1:17" x14ac:dyDescent="0.2">
      <c r="A616" s="10">
        <v>1758</v>
      </c>
      <c r="B616" s="10" t="s">
        <v>79</v>
      </c>
      <c r="C616" s="9" t="s">
        <v>1219</v>
      </c>
      <c r="D616" s="10">
        <v>9.1847353000000007E-2</v>
      </c>
      <c r="E616" s="10">
        <v>-7.5314283999999995E-2</v>
      </c>
      <c r="F616" s="10">
        <v>-0.37266759100000002</v>
      </c>
      <c r="G616" s="10">
        <v>-0.823689534</v>
      </c>
      <c r="H616" s="9">
        <v>-0.29495601399999999</v>
      </c>
      <c r="I616" s="10">
        <v>0.40143806440153201</v>
      </c>
      <c r="J616" s="10">
        <v>0.16115251955044799</v>
      </c>
      <c r="K616" s="10">
        <v>-9.0660180000000003E-3</v>
      </c>
      <c r="L616" s="10">
        <v>0.203837353</v>
      </c>
      <c r="M616" s="10">
        <v>-0.771097115</v>
      </c>
      <c r="N616" s="10">
        <v>-0.51177572100000002</v>
      </c>
      <c r="O616" s="9">
        <v>-0.27202537524999998</v>
      </c>
      <c r="P616" s="10">
        <v>0.44801257028763602</v>
      </c>
      <c r="Q616" s="10">
        <v>0.20071526313573401</v>
      </c>
    </row>
    <row r="617" spans="1:17" x14ac:dyDescent="0.2">
      <c r="A617" s="10">
        <v>1758</v>
      </c>
      <c r="B617" s="10" t="s">
        <v>2824</v>
      </c>
      <c r="C617" s="9" t="s">
        <v>2240</v>
      </c>
      <c r="D617" s="10">
        <v>0.42139906799999999</v>
      </c>
      <c r="E617" s="10">
        <v>0.20209560100000001</v>
      </c>
      <c r="F617" s="10">
        <v>0.73812765400000002</v>
      </c>
      <c r="G617" s="10">
        <v>0.13861707000000001</v>
      </c>
      <c r="H617" s="9">
        <v>0.37505984850000001</v>
      </c>
      <c r="I617" s="10">
        <v>0.27067038569232499</v>
      </c>
      <c r="J617" s="10">
        <v>7.3262457690832103E-2</v>
      </c>
      <c r="K617" s="10">
        <v>2.7639384999999999E-2</v>
      </c>
      <c r="L617" s="10">
        <v>0.17407455899999999</v>
      </c>
      <c r="M617" s="10">
        <v>-0.52046213699999999</v>
      </c>
      <c r="N617" s="10">
        <v>-8.4846381999999998E-2</v>
      </c>
      <c r="O617" s="9">
        <v>-0.10089864375</v>
      </c>
      <c r="P617" s="10">
        <v>0.29912287722660102</v>
      </c>
      <c r="Q617" s="10">
        <v>8.9474495680320495E-2</v>
      </c>
    </row>
    <row r="618" spans="1:17" x14ac:dyDescent="0.2">
      <c r="A618" s="10">
        <v>1758</v>
      </c>
      <c r="B618" s="10" t="s">
        <v>2814</v>
      </c>
      <c r="C618" s="9" t="s">
        <v>2239</v>
      </c>
      <c r="D618" s="10">
        <v>0.23637659699999999</v>
      </c>
      <c r="E618" s="10">
        <v>5.8300857999999997E-2</v>
      </c>
      <c r="F618" s="10">
        <v>0.20818229599999999</v>
      </c>
      <c r="G618" s="10">
        <v>0.17536549100000001</v>
      </c>
      <c r="H618" s="9">
        <v>0.1695563105</v>
      </c>
      <c r="I618" s="10">
        <v>7.8248407295504793E-2</v>
      </c>
      <c r="J618" s="10">
        <v>6.1228132442832E-3</v>
      </c>
      <c r="K618" s="10">
        <v>0.27355310399999999</v>
      </c>
      <c r="L618" s="10">
        <v>0.12801479099999999</v>
      </c>
      <c r="M618" s="10">
        <v>0.103668836</v>
      </c>
      <c r="N618" s="10">
        <v>1.709471E-3</v>
      </c>
      <c r="O618" s="9">
        <v>0.12673655049999999</v>
      </c>
      <c r="P618" s="10">
        <v>0.11213180390496801</v>
      </c>
      <c r="Q618" s="10">
        <v>1.2573541446982301E-2</v>
      </c>
    </row>
    <row r="619" spans="1:17" x14ac:dyDescent="0.2">
      <c r="A619" s="10">
        <v>1758</v>
      </c>
      <c r="B619" s="10" t="s">
        <v>2833</v>
      </c>
      <c r="C619" s="9" t="s">
        <v>1220</v>
      </c>
      <c r="D619" s="10">
        <v>6.8765462999999999E-2</v>
      </c>
      <c r="E619" s="10">
        <v>-7.0433140000000002E-3</v>
      </c>
      <c r="F619" s="10">
        <v>-0.230040682</v>
      </c>
      <c r="G619" s="10">
        <v>-0.14126044500000001</v>
      </c>
      <c r="H619" s="9">
        <v>-7.7394744500000001E-2</v>
      </c>
      <c r="I619" s="10">
        <v>0.13378059147406099</v>
      </c>
      <c r="J619" s="10">
        <v>1.78972466551496E-2</v>
      </c>
      <c r="K619" s="10">
        <v>0.35124482899999998</v>
      </c>
      <c r="L619" s="10">
        <v>0.29155703100000002</v>
      </c>
      <c r="M619" s="10">
        <v>-0.39997087999999997</v>
      </c>
      <c r="N619" s="10">
        <v>-0.73858764099999996</v>
      </c>
      <c r="O619" s="9">
        <v>-0.12393916525</v>
      </c>
      <c r="P619" s="10">
        <v>0.53304883259079405</v>
      </c>
      <c r="Q619" s="10">
        <v>0.28414105792640798</v>
      </c>
    </row>
    <row r="620" spans="1:17" x14ac:dyDescent="0.2">
      <c r="A620" s="10">
        <v>1758</v>
      </c>
      <c r="B620" s="10" t="s">
        <v>74</v>
      </c>
      <c r="C620" s="9" t="s">
        <v>2238</v>
      </c>
      <c r="D620" s="10">
        <v>5.0081162999999998E-2</v>
      </c>
      <c r="E620" s="10">
        <v>-0.1380557</v>
      </c>
      <c r="F620" s="10">
        <v>-0.27591273300000002</v>
      </c>
      <c r="G620" s="10">
        <v>-5.2818434999999997E-2</v>
      </c>
      <c r="H620" s="9">
        <v>-0.1041764265</v>
      </c>
      <c r="I620" s="10">
        <v>0.137930189289623</v>
      </c>
      <c r="J620" s="10">
        <v>1.9024737117471401E-2</v>
      </c>
      <c r="K620" s="10">
        <v>-0.28954158400000002</v>
      </c>
      <c r="L620" s="10">
        <v>-7.1816680999999993E-2</v>
      </c>
      <c r="M620" s="10">
        <v>4.4085945000000001E-2</v>
      </c>
      <c r="N620" s="10">
        <v>-7.7526836000000002E-2</v>
      </c>
      <c r="O620" s="9">
        <v>-9.8699788999999996E-2</v>
      </c>
      <c r="P620" s="10">
        <v>0.139019605316685</v>
      </c>
      <c r="Q620" s="10">
        <v>1.9326450662406802E-2</v>
      </c>
    </row>
    <row r="621" spans="1:17" x14ac:dyDescent="0.2">
      <c r="A621" s="10">
        <v>1758</v>
      </c>
      <c r="B621" s="10" t="s">
        <v>2818</v>
      </c>
      <c r="C621" s="9" t="s">
        <v>1221</v>
      </c>
      <c r="D621" s="10">
        <v>-1.3630053E-2</v>
      </c>
      <c r="E621" s="10">
        <v>-0.18612489300000001</v>
      </c>
      <c r="F621" s="10">
        <v>-0.37271885999999999</v>
      </c>
      <c r="G621" s="10">
        <v>0.118225238</v>
      </c>
      <c r="H621" s="9">
        <v>-0.113562142</v>
      </c>
      <c r="I621" s="10">
        <v>0.21302532655092701</v>
      </c>
      <c r="J621" s="10">
        <v>4.5379789752129203E-2</v>
      </c>
      <c r="K621" s="10">
        <v>-0.18401519199999999</v>
      </c>
      <c r="L621" s="10">
        <v>1.7232884E-2</v>
      </c>
      <c r="M621" s="10">
        <v>-0.161410847</v>
      </c>
      <c r="N621" s="10">
        <v>-7.2319236999999995E-2</v>
      </c>
      <c r="O621" s="9">
        <v>-0.100128098</v>
      </c>
      <c r="P621" s="10">
        <v>9.1904937681794294E-2</v>
      </c>
      <c r="Q621" s="10">
        <v>8.4465175702944009E-3</v>
      </c>
    </row>
    <row r="622" spans="1:17" x14ac:dyDescent="0.2">
      <c r="A622" s="10">
        <v>1758</v>
      </c>
      <c r="B622" s="10" t="s">
        <v>2832</v>
      </c>
      <c r="C622" s="9" t="s">
        <v>2236</v>
      </c>
      <c r="D622" s="10">
        <v>4.5543934000000001E-2</v>
      </c>
      <c r="E622" s="10">
        <v>-0.11404112600000001</v>
      </c>
      <c r="F622" s="10">
        <v>-0.14904763900000001</v>
      </c>
      <c r="G622" s="10">
        <v>0.181587468</v>
      </c>
      <c r="H622" s="9">
        <v>-8.9893407499999998E-3</v>
      </c>
      <c r="I622" s="10">
        <v>0.15269315918009199</v>
      </c>
      <c r="J622" s="10">
        <v>2.3315200860397001E-2</v>
      </c>
      <c r="K622" s="10">
        <v>-0.41020041899999998</v>
      </c>
      <c r="L622" s="10">
        <v>-0.25821286100000002</v>
      </c>
      <c r="M622" s="10">
        <v>0.287560288</v>
      </c>
      <c r="N622" s="10">
        <v>0.11743724699999999</v>
      </c>
      <c r="O622" s="9">
        <v>-6.5853936000000002E-2</v>
      </c>
      <c r="P622" s="10">
        <v>0.32356026119446202</v>
      </c>
      <c r="Q622" s="10">
        <v>0.10469124262422801</v>
      </c>
    </row>
    <row r="623" spans="1:17" x14ac:dyDescent="0.2">
      <c r="A623" s="10">
        <v>1759</v>
      </c>
      <c r="B623" s="10" t="s">
        <v>2822</v>
      </c>
      <c r="C623" s="9" t="s">
        <v>2235</v>
      </c>
      <c r="D623" s="10">
        <v>-0.17582408899999999</v>
      </c>
      <c r="E623" s="10">
        <v>-0.412282178</v>
      </c>
      <c r="F623" s="10">
        <v>1.7033999000000001E-2</v>
      </c>
      <c r="G623" s="10">
        <v>0.28947288300000001</v>
      </c>
      <c r="H623" s="9">
        <v>-7.0399846249999995E-2</v>
      </c>
      <c r="I623" s="10">
        <v>0.29729382675240801</v>
      </c>
      <c r="J623" s="10">
        <v>8.8383619425090904E-2</v>
      </c>
      <c r="K623" s="10">
        <v>5.9791331000000003E-2</v>
      </c>
      <c r="L623" s="10">
        <v>-0.22329712600000001</v>
      </c>
      <c r="M623" s="10">
        <v>-6.3176096000000001E-2</v>
      </c>
      <c r="N623" s="10">
        <v>1.1959913000000001E-2</v>
      </c>
      <c r="O623" s="9">
        <v>-5.3680494500000002E-2</v>
      </c>
      <c r="P623" s="10">
        <v>0.123887699696569</v>
      </c>
      <c r="Q623" s="10">
        <v>1.5348162136107299E-2</v>
      </c>
    </row>
    <row r="624" spans="1:17" x14ac:dyDescent="0.2">
      <c r="A624" s="10">
        <v>1759</v>
      </c>
      <c r="B624" s="10" t="s">
        <v>2823</v>
      </c>
      <c r="C624" s="9" t="s">
        <v>1222</v>
      </c>
      <c r="D624" s="10">
        <v>0.28936452600000001</v>
      </c>
      <c r="E624" s="10">
        <v>0.29286886299999998</v>
      </c>
      <c r="F624" s="10">
        <v>-0.70406086300000004</v>
      </c>
      <c r="G624" s="10">
        <v>0.23580994199999999</v>
      </c>
      <c r="H624" s="9">
        <v>2.8495617000000001E-2</v>
      </c>
      <c r="I624" s="10">
        <v>0.48906851143223301</v>
      </c>
      <c r="J624" s="10">
        <v>0.23918800887454</v>
      </c>
      <c r="K624" s="10">
        <v>-0.20292683</v>
      </c>
      <c r="L624" s="10">
        <v>-0.14306550300000001</v>
      </c>
      <c r="M624" s="10">
        <v>-0.277266287</v>
      </c>
      <c r="N624" s="10">
        <v>-0.417803066</v>
      </c>
      <c r="O624" s="9">
        <v>-0.26026542149999998</v>
      </c>
      <c r="P624" s="10">
        <v>0.118505518625319</v>
      </c>
      <c r="Q624" s="10">
        <v>1.40435579446559E-2</v>
      </c>
    </row>
    <row r="625" spans="1:17" x14ac:dyDescent="0.2">
      <c r="A625" s="10">
        <v>1759</v>
      </c>
      <c r="B625" s="10" t="s">
        <v>79</v>
      </c>
      <c r="C625" s="9" t="s">
        <v>1223</v>
      </c>
      <c r="D625" s="10">
        <v>-0.53588366700000001</v>
      </c>
      <c r="E625" s="10">
        <v>-0.55347584999999999</v>
      </c>
      <c r="F625" s="10">
        <v>-0.58049616800000003</v>
      </c>
      <c r="G625" s="10">
        <v>-0.33558362800000002</v>
      </c>
      <c r="H625" s="9">
        <v>-0.50135982850000005</v>
      </c>
      <c r="I625" s="10">
        <v>0.11203018046258401</v>
      </c>
      <c r="J625" s="10">
        <v>1.2550761334479301E-2</v>
      </c>
      <c r="K625" s="10">
        <v>-0.85617311100000004</v>
      </c>
      <c r="L625" s="10">
        <v>-1.2221006569999999</v>
      </c>
      <c r="M625" s="10">
        <v>-0.24155001100000001</v>
      </c>
      <c r="N625" s="10">
        <v>-0.68984851899999999</v>
      </c>
      <c r="O625" s="9">
        <v>-0.75241807475</v>
      </c>
      <c r="P625" s="10">
        <v>0.40672183921475202</v>
      </c>
      <c r="Q625" s="10">
        <v>0.16542265449423099</v>
      </c>
    </row>
    <row r="626" spans="1:17" x14ac:dyDescent="0.2">
      <c r="A626" s="10">
        <v>1759</v>
      </c>
      <c r="B626" s="10" t="s">
        <v>2817</v>
      </c>
      <c r="C626" s="9" t="s">
        <v>1224</v>
      </c>
      <c r="D626" s="10">
        <v>-0.27083791699999998</v>
      </c>
      <c r="E626" s="10">
        <v>-0.38362886499999999</v>
      </c>
      <c r="F626" s="10">
        <v>0.146683114</v>
      </c>
      <c r="G626" s="10">
        <v>-0.45203016200000001</v>
      </c>
      <c r="H626" s="9">
        <v>-0.23995345725</v>
      </c>
      <c r="I626" s="10">
        <v>0.26836594392219498</v>
      </c>
      <c r="J626" s="10">
        <v>7.2020279857250999E-2</v>
      </c>
      <c r="K626" s="10">
        <v>0.227706247</v>
      </c>
      <c r="L626" s="10">
        <v>-0.15393242900000001</v>
      </c>
      <c r="M626" s="10">
        <v>-0.226363382</v>
      </c>
      <c r="N626" s="10">
        <v>-0.19042784900000001</v>
      </c>
      <c r="O626" s="9">
        <v>-8.5754353249999998E-2</v>
      </c>
      <c r="P626" s="10">
        <v>0.21105547264530999</v>
      </c>
      <c r="Q626" s="10">
        <v>4.4544412533535499E-2</v>
      </c>
    </row>
    <row r="627" spans="1:17" x14ac:dyDescent="0.2">
      <c r="A627" s="10">
        <v>1759</v>
      </c>
      <c r="B627" s="10" t="s">
        <v>2814</v>
      </c>
      <c r="C627" s="9" t="s">
        <v>2233</v>
      </c>
      <c r="D627" s="10">
        <v>0.71716974700000002</v>
      </c>
      <c r="E627" s="10">
        <v>-0.21339350700000001</v>
      </c>
      <c r="F627" s="10">
        <v>-0.33442271699999998</v>
      </c>
      <c r="G627" s="10">
        <v>-0.68948932500000004</v>
      </c>
      <c r="H627" s="9">
        <v>-0.13003395025</v>
      </c>
      <c r="I627" s="10">
        <v>0.59985220531001704</v>
      </c>
      <c r="J627" s="10">
        <v>0.35982266821529102</v>
      </c>
      <c r="K627" s="10">
        <v>-0.22508243</v>
      </c>
      <c r="L627" s="10">
        <v>0.22974881599999999</v>
      </c>
      <c r="M627" s="10">
        <v>-0.23816876300000001</v>
      </c>
      <c r="N627" s="10">
        <v>-1.0464289490000001</v>
      </c>
      <c r="O627" s="9">
        <v>-0.31998283150000001</v>
      </c>
      <c r="P627" s="10">
        <v>0.53092010507020404</v>
      </c>
      <c r="Q627" s="10">
        <v>0.281876157967757</v>
      </c>
    </row>
    <row r="628" spans="1:17" x14ac:dyDescent="0.2">
      <c r="A628" s="10">
        <v>1759</v>
      </c>
      <c r="B628" s="10" t="s">
        <v>2818</v>
      </c>
      <c r="C628" s="9" t="s">
        <v>1226</v>
      </c>
      <c r="D628" s="10">
        <v>0.78682632500000005</v>
      </c>
      <c r="E628" s="10">
        <v>0.54524697899999996</v>
      </c>
      <c r="F628" s="10">
        <v>0.53550743099999998</v>
      </c>
      <c r="G628" s="10">
        <v>0.84461733900000002</v>
      </c>
      <c r="H628" s="9">
        <v>0.67804951849999995</v>
      </c>
      <c r="I628" s="10">
        <v>0.160760685145099</v>
      </c>
      <c r="J628" s="10">
        <v>2.5843997888321799E-2</v>
      </c>
      <c r="K628" s="10">
        <v>0.74257107300000003</v>
      </c>
      <c r="L628" s="10">
        <v>0.85785978399999996</v>
      </c>
      <c r="M628" s="10">
        <v>1.00148423</v>
      </c>
      <c r="N628" s="10">
        <v>0.95294936600000002</v>
      </c>
      <c r="O628" s="9">
        <v>0.88871611324999999</v>
      </c>
      <c r="P628" s="10">
        <v>0.114241038683778</v>
      </c>
      <c r="Q628" s="10">
        <v>1.30510149195485E-2</v>
      </c>
    </row>
    <row r="629" spans="1:17" x14ac:dyDescent="0.2">
      <c r="A629" s="10">
        <v>1759</v>
      </c>
      <c r="B629" s="10" t="s">
        <v>2830</v>
      </c>
      <c r="C629" s="9" t="s">
        <v>1227</v>
      </c>
      <c r="D629" s="10">
        <v>-0.55919434499999998</v>
      </c>
      <c r="E629" s="10">
        <v>-0.10054440000000001</v>
      </c>
      <c r="F629" s="10">
        <v>-0.68949687199999998</v>
      </c>
      <c r="G629" s="10">
        <v>-0.74368736000000002</v>
      </c>
      <c r="H629" s="9">
        <v>-0.52323074400000003</v>
      </c>
      <c r="I629" s="10">
        <v>0.29223430716878301</v>
      </c>
      <c r="J629" s="10">
        <v>8.5400890286419104E-2</v>
      </c>
      <c r="K629" s="10">
        <v>0.59256583699999998</v>
      </c>
      <c r="L629" s="10">
        <v>0.44278259800000003</v>
      </c>
      <c r="M629" s="10">
        <v>-0.28741148399999999</v>
      </c>
      <c r="N629" s="10">
        <v>-2.7390517999999999E-2</v>
      </c>
      <c r="O629" s="9">
        <v>0.18013660825</v>
      </c>
      <c r="P629" s="10">
        <v>0.40855416260893901</v>
      </c>
      <c r="Q629" s="10">
        <v>0.16691650378509101</v>
      </c>
    </row>
    <row r="630" spans="1:17" x14ac:dyDescent="0.2">
      <c r="A630" s="10">
        <v>1759</v>
      </c>
      <c r="B630" s="10" t="s">
        <v>2832</v>
      </c>
      <c r="C630" s="9" t="s">
        <v>1228</v>
      </c>
      <c r="D630" s="10">
        <v>0.159572669</v>
      </c>
      <c r="E630" s="10">
        <v>0.17970650699999999</v>
      </c>
      <c r="F630" s="10">
        <v>-0.56028995699999995</v>
      </c>
      <c r="G630" s="10">
        <v>-0.63315069400000001</v>
      </c>
      <c r="H630" s="9">
        <v>-0.21354036874999999</v>
      </c>
      <c r="I630" s="10">
        <v>0.44353299247223299</v>
      </c>
      <c r="J630" s="10">
        <v>0.196721515411374</v>
      </c>
      <c r="K630" s="10">
        <v>-6.3831947E-2</v>
      </c>
      <c r="L630" s="10">
        <v>0.21809688699999999</v>
      </c>
      <c r="M630" s="10">
        <v>-0.83907906300000001</v>
      </c>
      <c r="N630" s="10">
        <v>-0.73064328000000001</v>
      </c>
      <c r="O630" s="9">
        <v>-0.35386435100000002</v>
      </c>
      <c r="P630" s="10">
        <v>0.51272283975657496</v>
      </c>
      <c r="Q630" s="10">
        <v>0.26288471040804701</v>
      </c>
    </row>
    <row r="631" spans="1:17" x14ac:dyDescent="0.2">
      <c r="A631" s="10">
        <v>1760</v>
      </c>
      <c r="B631" s="10" t="s">
        <v>2831</v>
      </c>
      <c r="C631" s="9" t="s">
        <v>2232</v>
      </c>
      <c r="D631" s="10">
        <v>-2.028879184</v>
      </c>
      <c r="E631" s="10">
        <v>-2.1297109070000002</v>
      </c>
      <c r="F631" s="10">
        <v>-1.091278164</v>
      </c>
      <c r="G631" s="10">
        <v>-1.1214192549999999</v>
      </c>
      <c r="H631" s="9">
        <v>-1.5928218775</v>
      </c>
      <c r="I631" s="10">
        <v>0.56337149780014395</v>
      </c>
      <c r="J631" s="10">
        <v>0.31738744453357798</v>
      </c>
      <c r="K631" s="10">
        <v>-0.566209623</v>
      </c>
      <c r="L631" s="10">
        <v>-0.27107553200000001</v>
      </c>
      <c r="M631" s="10">
        <v>-0.12321388899999999</v>
      </c>
      <c r="N631" s="10">
        <v>-1.2167515120000001</v>
      </c>
      <c r="O631" s="9">
        <v>-0.54431263875000002</v>
      </c>
      <c r="P631" s="10">
        <v>0.484642889050999</v>
      </c>
      <c r="Q631" s="10">
        <v>0.23487872990769901</v>
      </c>
    </row>
    <row r="632" spans="1:17" x14ac:dyDescent="0.2">
      <c r="A632" s="10">
        <v>1760</v>
      </c>
      <c r="B632" s="10" t="s">
        <v>2822</v>
      </c>
      <c r="C632" s="9" t="s">
        <v>1229</v>
      </c>
      <c r="D632" s="10">
        <v>-0.307132187</v>
      </c>
      <c r="E632" s="10">
        <v>-0.141786725</v>
      </c>
      <c r="F632" s="10">
        <v>-0.72875553900000001</v>
      </c>
      <c r="G632" s="10">
        <v>-0.25772251299999999</v>
      </c>
      <c r="H632" s="9">
        <v>-0.35884924075000002</v>
      </c>
      <c r="I632" s="10">
        <v>0.25615625045580998</v>
      </c>
      <c r="J632" s="10">
        <v>6.5616024647579901E-2</v>
      </c>
      <c r="K632" s="10">
        <v>3.4140739000000003E-2</v>
      </c>
      <c r="L632" s="10">
        <v>5.5067375000000002E-2</v>
      </c>
      <c r="M632" s="10">
        <v>0.24141506800000001</v>
      </c>
      <c r="N632" s="10">
        <v>-3.896736E-3</v>
      </c>
      <c r="O632" s="9">
        <v>8.1681611500000001E-2</v>
      </c>
      <c r="P632" s="10">
        <v>0.109250297984044</v>
      </c>
      <c r="Q632" s="10">
        <v>1.1935627609602401E-2</v>
      </c>
    </row>
    <row r="633" spans="1:17" x14ac:dyDescent="0.2">
      <c r="A633" s="10">
        <v>1760</v>
      </c>
      <c r="B633" s="10" t="s">
        <v>2819</v>
      </c>
      <c r="C633" s="9" t="s">
        <v>2231</v>
      </c>
      <c r="D633" s="10">
        <v>-2.5492899699999998</v>
      </c>
      <c r="E633" s="10">
        <v>-1.362677667</v>
      </c>
      <c r="F633" s="10">
        <v>9.6042245999999998E-2</v>
      </c>
      <c r="G633" s="10">
        <v>-0.58089753799999999</v>
      </c>
      <c r="H633" s="9">
        <v>-1.0992057319999999</v>
      </c>
      <c r="I633" s="10">
        <v>1.1356969770012399</v>
      </c>
      <c r="J633" s="10">
        <v>1.28980762356977</v>
      </c>
      <c r="K633" s="10">
        <v>-0.85704930300000004</v>
      </c>
      <c r="L633" s="10">
        <v>-0.63306567499999999</v>
      </c>
      <c r="M633" s="10">
        <v>7.9535616000000003E-2</v>
      </c>
      <c r="N633" s="10">
        <v>-0.27322064600000001</v>
      </c>
      <c r="O633" s="9">
        <v>-0.42095000175000002</v>
      </c>
      <c r="P633" s="10">
        <v>0.41129287031422701</v>
      </c>
      <c r="Q633" s="10">
        <v>0.169161825171316</v>
      </c>
    </row>
    <row r="634" spans="1:17" x14ac:dyDescent="0.2">
      <c r="A634" s="10">
        <v>1760</v>
      </c>
      <c r="B634" s="10" t="s">
        <v>2826</v>
      </c>
      <c r="C634" s="9" t="s">
        <v>1230</v>
      </c>
      <c r="D634" s="10">
        <v>-0.42068589699999998</v>
      </c>
      <c r="E634" s="10">
        <v>-0.26498805600000003</v>
      </c>
      <c r="F634" s="10">
        <v>1.7464574E-2</v>
      </c>
      <c r="G634" s="10">
        <v>6.332016E-2</v>
      </c>
      <c r="H634" s="9">
        <v>-0.15122230475000001</v>
      </c>
      <c r="I634" s="10">
        <v>0.23096681287519299</v>
      </c>
      <c r="J634" s="10">
        <v>5.3345668649724398E-2</v>
      </c>
      <c r="K634" s="10">
        <v>-0.37811291600000002</v>
      </c>
      <c r="L634" s="10">
        <v>0.18535794799999999</v>
      </c>
      <c r="M634" s="10">
        <v>2.8204426000000001E-2</v>
      </c>
      <c r="N634" s="10">
        <v>0.35596430099999998</v>
      </c>
      <c r="O634" s="9">
        <v>4.7853439499999997E-2</v>
      </c>
      <c r="P634" s="10">
        <v>0.31393906658329601</v>
      </c>
      <c r="Q634" s="10">
        <v>9.8557737527191394E-2</v>
      </c>
    </row>
    <row r="635" spans="1:17" x14ac:dyDescent="0.2">
      <c r="A635" s="10">
        <v>1760</v>
      </c>
      <c r="B635" s="10" t="s">
        <v>2820</v>
      </c>
      <c r="C635" s="9" t="s">
        <v>1231</v>
      </c>
      <c r="D635" s="10">
        <v>-0.80907195200000004</v>
      </c>
      <c r="E635" s="10">
        <v>-0.94348595999999996</v>
      </c>
      <c r="F635" s="10">
        <v>-0.76255756699999999</v>
      </c>
      <c r="G635" s="10">
        <v>-0.80732642399999999</v>
      </c>
      <c r="H635" s="9">
        <v>-0.83061047575000002</v>
      </c>
      <c r="I635" s="10">
        <v>7.8269041144916299E-2</v>
      </c>
      <c r="J635" s="10">
        <v>6.1260428017446003E-3</v>
      </c>
      <c r="K635" s="10">
        <v>-0.1186704</v>
      </c>
      <c r="L635" s="10">
        <v>-7.7060883999999996E-2</v>
      </c>
      <c r="M635" s="10">
        <v>-9.4515944000000005E-2</v>
      </c>
      <c r="N635" s="10">
        <v>-0.237098695</v>
      </c>
      <c r="O635" s="9">
        <v>-0.13183648075000001</v>
      </c>
      <c r="P635" s="10">
        <v>7.2218806169757704E-2</v>
      </c>
      <c r="Q635" s="10">
        <v>5.2155559645849997E-3</v>
      </c>
    </row>
    <row r="636" spans="1:17" x14ac:dyDescent="0.2">
      <c r="A636" s="10">
        <v>1760</v>
      </c>
      <c r="B636" s="10" t="s">
        <v>2824</v>
      </c>
      <c r="C636" s="9" t="s">
        <v>1232</v>
      </c>
      <c r="D636" s="10">
        <v>-4.8200303E-2</v>
      </c>
      <c r="E636" s="10">
        <v>-0.21373022999999999</v>
      </c>
      <c r="F636" s="10">
        <v>-0.24900352100000001</v>
      </c>
      <c r="G636" s="10">
        <v>-3.0815480999999999E-2</v>
      </c>
      <c r="H636" s="9">
        <v>-0.13543738399999999</v>
      </c>
      <c r="I636" s="10">
        <v>0.111927190763496</v>
      </c>
      <c r="J636" s="10">
        <v>1.25276960322081E-2</v>
      </c>
      <c r="K636" s="10">
        <v>1.7826959E-2</v>
      </c>
      <c r="L636" s="10">
        <v>0.26086647600000001</v>
      </c>
      <c r="M636" s="10">
        <v>7.8927671000000005E-2</v>
      </c>
      <c r="N636" s="10">
        <v>-8.0698341000000007E-2</v>
      </c>
      <c r="O636" s="9">
        <v>6.9230691250000004E-2</v>
      </c>
      <c r="P636" s="10">
        <v>0.14368874209400301</v>
      </c>
      <c r="Q636" s="10">
        <v>2.06464546045571E-2</v>
      </c>
    </row>
    <row r="637" spans="1:17" x14ac:dyDescent="0.2">
      <c r="A637" s="10">
        <v>1760</v>
      </c>
      <c r="B637" s="10" t="s">
        <v>2814</v>
      </c>
      <c r="C637" s="9" t="s">
        <v>2230</v>
      </c>
      <c r="D637" s="10">
        <v>-0.20238037</v>
      </c>
      <c r="E637" s="10">
        <v>-6.7591771999999994E-2</v>
      </c>
      <c r="F637" s="10">
        <v>-1.2690717970000001</v>
      </c>
      <c r="G637" s="10">
        <v>-1.1841708799999999</v>
      </c>
      <c r="H637" s="9">
        <v>-0.68080370499999998</v>
      </c>
      <c r="I637" s="10">
        <v>0.63360229986401795</v>
      </c>
      <c r="J637" s="10">
        <v>0.40145187439297297</v>
      </c>
      <c r="K637" s="10">
        <v>-0.33225000399999999</v>
      </c>
      <c r="L637" s="10">
        <v>-0.37287384400000001</v>
      </c>
      <c r="M637" s="10">
        <v>-1.5596954329999999</v>
      </c>
      <c r="N637" s="10">
        <v>-0.99857139900000003</v>
      </c>
      <c r="O637" s="9">
        <v>-0.81584767000000002</v>
      </c>
      <c r="P637" s="10">
        <v>0.58217694009682097</v>
      </c>
      <c r="Q637" s="10">
        <v>0.33892998958049803</v>
      </c>
    </row>
    <row r="638" spans="1:17" x14ac:dyDescent="0.2">
      <c r="A638" s="10">
        <v>1760</v>
      </c>
      <c r="B638" s="10" t="s">
        <v>74</v>
      </c>
      <c r="C638" s="9" t="s">
        <v>1233</v>
      </c>
      <c r="D638" s="10">
        <v>-2.1966096930000001</v>
      </c>
      <c r="E638" s="10">
        <v>-1.859444919</v>
      </c>
      <c r="F638" s="10">
        <v>-1.6439563230000001</v>
      </c>
      <c r="G638" s="10">
        <v>-0.53707285000000005</v>
      </c>
      <c r="H638" s="9">
        <v>-1.5592709462500001</v>
      </c>
      <c r="I638" s="10">
        <v>0.71841623335356897</v>
      </c>
      <c r="J638" s="10">
        <v>0.51612188434592998</v>
      </c>
      <c r="K638" s="10">
        <v>-1.1800548420000001</v>
      </c>
      <c r="L638" s="10">
        <v>-0.415034236</v>
      </c>
      <c r="M638" s="10">
        <v>-0.83255485500000004</v>
      </c>
      <c r="N638" s="10">
        <v>-1.4495509559999999</v>
      </c>
      <c r="O638" s="9">
        <v>-0.96929872225000002</v>
      </c>
      <c r="P638" s="10">
        <v>0.44757433497405502</v>
      </c>
      <c r="Q638" s="10">
        <v>0.200322785327467</v>
      </c>
    </row>
    <row r="639" spans="1:17" x14ac:dyDescent="0.2">
      <c r="A639" s="10">
        <v>1760</v>
      </c>
      <c r="B639" s="10" t="s">
        <v>2818</v>
      </c>
      <c r="C639" s="9" t="s">
        <v>1234</v>
      </c>
      <c r="D639" s="10">
        <v>-0.88037831700000002</v>
      </c>
      <c r="E639" s="10">
        <v>-0.65373155599999999</v>
      </c>
      <c r="F639" s="10">
        <v>-0.61347882399999998</v>
      </c>
      <c r="G639" s="10">
        <v>-0.788347994</v>
      </c>
      <c r="H639" s="9">
        <v>-0.73398417275000005</v>
      </c>
      <c r="I639" s="10">
        <v>0.122948081324561</v>
      </c>
      <c r="J639" s="10">
        <v>1.5116230701391E-2</v>
      </c>
      <c r="K639" s="10">
        <v>-0.168310815</v>
      </c>
      <c r="L639" s="10">
        <v>-0.130579891</v>
      </c>
      <c r="M639" s="10">
        <v>-0.29138791200000003</v>
      </c>
      <c r="N639" s="10">
        <v>-0.20186335999999999</v>
      </c>
      <c r="O639" s="9">
        <v>-0.19803549449999999</v>
      </c>
      <c r="P639" s="10">
        <v>6.8709876588225E-2</v>
      </c>
      <c r="Q639" s="10">
        <v>4.7210471407691003E-3</v>
      </c>
    </row>
    <row r="640" spans="1:17" x14ac:dyDescent="0.2">
      <c r="A640" s="10">
        <v>1760</v>
      </c>
      <c r="B640" s="10" t="s">
        <v>2830</v>
      </c>
      <c r="C640" s="9" t="s">
        <v>1235</v>
      </c>
      <c r="D640" s="10">
        <v>0.38442055600000002</v>
      </c>
      <c r="E640" s="10">
        <v>0.225263668</v>
      </c>
      <c r="F640" s="10">
        <v>0.63472074899999997</v>
      </c>
      <c r="G640" s="10">
        <v>0.50729289600000005</v>
      </c>
      <c r="H640" s="9">
        <v>0.43792446699999998</v>
      </c>
      <c r="I640" s="10">
        <v>0.174764641231729</v>
      </c>
      <c r="J640" s="10">
        <v>3.0542679824855201E-2</v>
      </c>
      <c r="K640" s="10">
        <v>-2.8147794E-2</v>
      </c>
      <c r="L640" s="10">
        <v>0.32511080399999998</v>
      </c>
      <c r="M640" s="10">
        <v>0.55778648900000005</v>
      </c>
      <c r="N640" s="10">
        <v>0.42928469000000002</v>
      </c>
      <c r="O640" s="9">
        <v>0.32100854725</v>
      </c>
      <c r="P640" s="10">
        <v>0.25147199707171702</v>
      </c>
      <c r="Q640" s="10">
        <v>6.3238165311238007E-2</v>
      </c>
    </row>
    <row r="641" spans="1:17" x14ac:dyDescent="0.2">
      <c r="A641" s="10">
        <v>1760</v>
      </c>
      <c r="B641" s="10" t="s">
        <v>2832</v>
      </c>
      <c r="C641" s="9" t="s">
        <v>2228</v>
      </c>
      <c r="D641" s="10">
        <v>-1.393328742</v>
      </c>
      <c r="E641" s="10">
        <v>-1.5450191200000001</v>
      </c>
      <c r="F641" s="10">
        <v>-1.269432967</v>
      </c>
      <c r="G641" s="10">
        <v>-1.1545627540000001</v>
      </c>
      <c r="H641" s="9">
        <v>-1.3405858955000001</v>
      </c>
      <c r="I641" s="10">
        <v>0.167572968727104</v>
      </c>
      <c r="J641" s="10">
        <v>2.8080699848014999E-2</v>
      </c>
      <c r="K641" s="10">
        <v>-6.1161988E-2</v>
      </c>
      <c r="L641" s="10">
        <v>-0.20721236500000001</v>
      </c>
      <c r="M641" s="10">
        <v>-0.45435346599999998</v>
      </c>
      <c r="N641" s="10">
        <v>-0.48270500700000002</v>
      </c>
      <c r="O641" s="9">
        <v>-0.30135820624999998</v>
      </c>
      <c r="P641" s="10">
        <v>0.20236260716389101</v>
      </c>
      <c r="Q641" s="10">
        <v>4.0950624778167299E-2</v>
      </c>
    </row>
    <row r="642" spans="1:17" x14ac:dyDescent="0.2">
      <c r="A642" s="10">
        <v>1761</v>
      </c>
      <c r="B642" s="10" t="s">
        <v>2831</v>
      </c>
      <c r="C642" s="9" t="s">
        <v>1236</v>
      </c>
      <c r="D642" s="10">
        <v>-2.0447296320000001</v>
      </c>
      <c r="E642" s="10">
        <v>-1.7164908189999999</v>
      </c>
      <c r="F642" s="10">
        <v>-0.81047499300000003</v>
      </c>
      <c r="G642" s="10">
        <v>-1.0998203369999999</v>
      </c>
      <c r="H642" s="9">
        <v>-1.41787894525</v>
      </c>
      <c r="I642" s="10">
        <v>0.56338609440722498</v>
      </c>
      <c r="J642" s="10">
        <v>0.31740389137142599</v>
      </c>
      <c r="K642" s="10">
        <v>-0.46958260699999999</v>
      </c>
      <c r="L642" s="10">
        <v>-0.22848602300000001</v>
      </c>
      <c r="M642" s="10">
        <v>0.46546742499999999</v>
      </c>
      <c r="N642" s="10">
        <v>-0.409265184</v>
      </c>
      <c r="O642" s="9">
        <v>-0.16046659699999999</v>
      </c>
      <c r="P642" s="10">
        <v>0.429679526601699</v>
      </c>
      <c r="Q642" s="10">
        <v>0.18462449558065999</v>
      </c>
    </row>
    <row r="643" spans="1:17" x14ac:dyDescent="0.2">
      <c r="A643" s="10">
        <v>1761</v>
      </c>
      <c r="B643" s="10" t="s">
        <v>2822</v>
      </c>
      <c r="C643" s="9" t="s">
        <v>2227</v>
      </c>
      <c r="D643" s="10">
        <v>-2.0713406569999999</v>
      </c>
      <c r="E643" s="10">
        <v>-0.95332413299999996</v>
      </c>
      <c r="F643" s="10">
        <v>-0.37695920100000002</v>
      </c>
      <c r="G643" s="10">
        <v>-0.60444409399999999</v>
      </c>
      <c r="H643" s="9">
        <v>-1.00151702125</v>
      </c>
      <c r="I643" s="10">
        <v>0.751572694749159</v>
      </c>
      <c r="J643" s="10">
        <v>0.56486151549251296</v>
      </c>
      <c r="K643" s="10">
        <v>7.7799860999999998E-2</v>
      </c>
      <c r="L643" s="10">
        <v>0.26982556200000002</v>
      </c>
      <c r="M643" s="10">
        <v>0.41689584699999999</v>
      </c>
      <c r="N643" s="10">
        <v>0.111466987</v>
      </c>
      <c r="O643" s="9">
        <v>0.21899706425000001</v>
      </c>
      <c r="P643" s="10">
        <v>0.15625495417902299</v>
      </c>
      <c r="Q643" s="10">
        <v>2.4415610705488699E-2</v>
      </c>
    </row>
    <row r="644" spans="1:17" x14ac:dyDescent="0.2">
      <c r="A644" s="10">
        <v>1761</v>
      </c>
      <c r="B644" s="10" t="s">
        <v>79</v>
      </c>
      <c r="C644" s="9" t="s">
        <v>1237</v>
      </c>
      <c r="D644" s="10">
        <v>-1.1972554719999999</v>
      </c>
      <c r="E644" s="10">
        <v>-1.3808942179999999</v>
      </c>
      <c r="F644" s="10">
        <v>-0.90289456099999998</v>
      </c>
      <c r="G644" s="10">
        <v>-0.74289333300000004</v>
      </c>
      <c r="H644" s="9">
        <v>-1.0559843959999999</v>
      </c>
      <c r="I644" s="10">
        <v>0.28692996860852399</v>
      </c>
      <c r="J644" s="10">
        <v>8.2328806885688804E-2</v>
      </c>
      <c r="K644" s="10">
        <v>-8.6387923000000005E-2</v>
      </c>
      <c r="L644" s="10">
        <v>-5.1681380999999998E-2</v>
      </c>
      <c r="M644" s="10">
        <v>-0.33548045700000001</v>
      </c>
      <c r="N644" s="10">
        <v>-0.19391182000000001</v>
      </c>
      <c r="O644" s="9">
        <v>-0.16686539524999999</v>
      </c>
      <c r="P644" s="10">
        <v>0.12767997600669001</v>
      </c>
      <c r="Q644" s="10">
        <v>1.63021762730691E-2</v>
      </c>
    </row>
    <row r="645" spans="1:17" x14ac:dyDescent="0.2">
      <c r="A645" s="10">
        <v>1761</v>
      </c>
      <c r="B645" s="10" t="s">
        <v>2824</v>
      </c>
      <c r="C645" s="9" t="s">
        <v>1238</v>
      </c>
      <c r="D645" s="10">
        <v>-0.23893911300000001</v>
      </c>
      <c r="E645" s="10">
        <v>-7.4214075000000004E-2</v>
      </c>
      <c r="F645" s="10">
        <v>-0.17903433299999999</v>
      </c>
      <c r="G645" s="10">
        <v>-0.26453510099999999</v>
      </c>
      <c r="H645" s="9">
        <v>-0.18918065549999999</v>
      </c>
      <c r="I645" s="10">
        <v>8.4605868672586307E-2</v>
      </c>
      <c r="J645" s="10">
        <v>7.1581530138429003E-3</v>
      </c>
      <c r="K645" s="10">
        <v>7.0523836000000006E-2</v>
      </c>
      <c r="L645" s="10">
        <v>0.195451075</v>
      </c>
      <c r="M645" s="10">
        <v>-9.7045787999999994E-2</v>
      </c>
      <c r="N645" s="10">
        <v>-9.7196572999999994E-2</v>
      </c>
      <c r="O645" s="9">
        <v>1.7933137750000001E-2</v>
      </c>
      <c r="P645" s="10">
        <v>0.14230648058787301</v>
      </c>
      <c r="Q645" s="10">
        <v>2.02511344173067E-2</v>
      </c>
    </row>
    <row r="646" spans="1:17" x14ac:dyDescent="0.2">
      <c r="A646" s="10">
        <v>1761</v>
      </c>
      <c r="B646" s="10" t="s">
        <v>82</v>
      </c>
      <c r="C646" s="9" t="s">
        <v>2226</v>
      </c>
      <c r="D646" s="10">
        <v>-1.834856831</v>
      </c>
      <c r="E646" s="10">
        <v>-1.903877322</v>
      </c>
      <c r="F646" s="10">
        <v>-1.253998798</v>
      </c>
      <c r="G646" s="10">
        <v>-1.340767372</v>
      </c>
      <c r="H646" s="9">
        <v>-1.583375081</v>
      </c>
      <c r="I646" s="10">
        <v>0.33332266316499198</v>
      </c>
      <c r="J646" s="10">
        <v>0.111103997779403</v>
      </c>
      <c r="K646" s="10">
        <v>-0.15371937199999999</v>
      </c>
      <c r="L646" s="10">
        <v>-0.251453494</v>
      </c>
      <c r="M646" s="10">
        <v>-0.65120214899999995</v>
      </c>
      <c r="N646" s="10">
        <v>-0.42093288699999998</v>
      </c>
      <c r="O646" s="9">
        <v>-0.36932697549999999</v>
      </c>
      <c r="P646" s="10">
        <v>0.217943096445949</v>
      </c>
      <c r="Q646" s="10">
        <v>4.7499193288448302E-2</v>
      </c>
    </row>
    <row r="647" spans="1:17" x14ac:dyDescent="0.2">
      <c r="A647" s="10">
        <v>1761</v>
      </c>
      <c r="B647" s="10" t="s">
        <v>2814</v>
      </c>
      <c r="C647" s="9" t="s">
        <v>2225</v>
      </c>
      <c r="D647" s="10">
        <v>-0.85600737199999999</v>
      </c>
      <c r="E647" s="10">
        <v>-2.1261785689999999</v>
      </c>
      <c r="F647" s="10">
        <v>-0.38117140300000002</v>
      </c>
      <c r="G647" s="10">
        <v>-0.51451736999999997</v>
      </c>
      <c r="H647" s="9">
        <v>-0.96946867849999996</v>
      </c>
      <c r="I647" s="10">
        <v>0.79664413140786805</v>
      </c>
      <c r="J647" s="10">
        <v>0.63464187210659695</v>
      </c>
      <c r="K647" s="10">
        <v>-0.43784560900000002</v>
      </c>
      <c r="L647" s="10">
        <v>0.32680642900000001</v>
      </c>
      <c r="M647" s="10">
        <v>-0.21901047500000001</v>
      </c>
      <c r="N647" s="10">
        <v>0.51649766500000005</v>
      </c>
      <c r="O647" s="9">
        <v>4.6612002249999999E-2</v>
      </c>
      <c r="P647" s="10">
        <v>0.44890827955468798</v>
      </c>
      <c r="Q647" s="10">
        <v>0.20151864345275</v>
      </c>
    </row>
    <row r="648" spans="1:17" x14ac:dyDescent="0.2">
      <c r="A648" s="10">
        <v>1761</v>
      </c>
      <c r="B648" s="10" t="s">
        <v>2825</v>
      </c>
      <c r="C648" s="9" t="s">
        <v>1239</v>
      </c>
      <c r="D648" s="10">
        <v>-2.0706670890000001</v>
      </c>
      <c r="E648" s="10">
        <v>-1.8796798830000001</v>
      </c>
      <c r="F648" s="10">
        <v>-1.044787422</v>
      </c>
      <c r="G648" s="10">
        <v>-1.1948745890000001</v>
      </c>
      <c r="H648" s="9">
        <v>-1.5475022457500001</v>
      </c>
      <c r="I648" s="10">
        <v>0.50369034608734797</v>
      </c>
      <c r="J648" s="10">
        <v>0.25370396474159301</v>
      </c>
      <c r="K648" s="10">
        <v>-0.22280986799999999</v>
      </c>
      <c r="L648" s="10">
        <v>-0.41483981199999997</v>
      </c>
      <c r="M648" s="10">
        <v>-0.42985792699999997</v>
      </c>
      <c r="N648" s="10">
        <v>-0.95916376400000003</v>
      </c>
      <c r="O648" s="9">
        <v>-0.50666784274999999</v>
      </c>
      <c r="P648" s="10">
        <v>0.31604855057728198</v>
      </c>
      <c r="Q648" s="10">
        <v>9.98866863220009E-2</v>
      </c>
    </row>
    <row r="649" spans="1:17" x14ac:dyDescent="0.2">
      <c r="A649" s="10">
        <v>1761</v>
      </c>
      <c r="B649" s="10" t="s">
        <v>74</v>
      </c>
      <c r="C649" s="9" t="s">
        <v>1240</v>
      </c>
      <c r="D649" s="10">
        <v>-1.1573172119999999</v>
      </c>
      <c r="E649" s="10">
        <v>-0.97466667100000004</v>
      </c>
      <c r="F649" s="10">
        <v>-0.57512743799999999</v>
      </c>
      <c r="G649" s="10">
        <v>-0.65533415299999997</v>
      </c>
      <c r="H649" s="9">
        <v>-0.84061136849999996</v>
      </c>
      <c r="I649" s="10">
        <v>0.272691999254699</v>
      </c>
      <c r="J649" s="10">
        <v>7.4360926457524998E-2</v>
      </c>
      <c r="K649" s="10">
        <v>2.0248566999999999E-2</v>
      </c>
      <c r="L649" s="10">
        <v>0.17245537599999999</v>
      </c>
      <c r="M649" s="10">
        <v>0.29665223299999999</v>
      </c>
      <c r="N649" s="10">
        <v>0.239289744</v>
      </c>
      <c r="O649" s="9">
        <v>0.18216147999999999</v>
      </c>
      <c r="P649" s="10">
        <v>0.11927806576953499</v>
      </c>
      <c r="Q649" s="10">
        <v>1.4227256973721601E-2</v>
      </c>
    </row>
    <row r="650" spans="1:17" x14ac:dyDescent="0.2">
      <c r="A650" s="10">
        <v>1761</v>
      </c>
      <c r="B650" s="10" t="s">
        <v>2818</v>
      </c>
      <c r="C650" s="9" t="s">
        <v>1241</v>
      </c>
      <c r="D650" s="10">
        <v>-1.0219212710000001</v>
      </c>
      <c r="E650" s="10">
        <v>-1.398592233</v>
      </c>
      <c r="F650" s="10">
        <v>-0.78517662399999999</v>
      </c>
      <c r="G650" s="10">
        <v>-0.73400730400000003</v>
      </c>
      <c r="H650" s="9">
        <v>-0.98492435825000002</v>
      </c>
      <c r="I650" s="10">
        <v>0.30295676677523797</v>
      </c>
      <c r="J650" s="10">
        <v>9.1782802534906199E-2</v>
      </c>
      <c r="K650" s="10">
        <v>-2.0361073E-2</v>
      </c>
      <c r="L650" s="10">
        <v>0.12820965400000001</v>
      </c>
      <c r="M650" s="10">
        <v>-0.107692885</v>
      </c>
      <c r="N650" s="10">
        <v>-8.6792567000000001E-2</v>
      </c>
      <c r="O650" s="9">
        <v>-2.1659218000000001E-2</v>
      </c>
      <c r="P650" s="10">
        <v>0.106624745383699</v>
      </c>
      <c r="Q650" s="10">
        <v>1.13688363281387E-2</v>
      </c>
    </row>
    <row r="651" spans="1:17" x14ac:dyDescent="0.2">
      <c r="A651" s="10">
        <v>1762</v>
      </c>
      <c r="B651" s="10" t="s">
        <v>2822</v>
      </c>
      <c r="C651" s="9" t="s">
        <v>2224</v>
      </c>
      <c r="D651" s="10">
        <v>0.60386637600000004</v>
      </c>
      <c r="E651" s="10">
        <v>0.123189643</v>
      </c>
      <c r="F651" s="10">
        <v>0.44504980399999999</v>
      </c>
      <c r="G651" s="10">
        <v>0.30434489599999998</v>
      </c>
      <c r="H651" s="9">
        <v>0.36911267949999998</v>
      </c>
      <c r="I651" s="10">
        <v>0.204571707524628</v>
      </c>
      <c r="J651" s="10">
        <v>4.1849583519541898E-2</v>
      </c>
      <c r="K651" s="10">
        <v>0.55447481700000001</v>
      </c>
      <c r="L651" s="10">
        <v>0.496765181</v>
      </c>
      <c r="M651" s="10">
        <v>0.56725136899999995</v>
      </c>
      <c r="N651" s="10">
        <v>0.289384268</v>
      </c>
      <c r="O651" s="9">
        <v>0.47696890874999998</v>
      </c>
      <c r="P651" s="10">
        <v>0.12876073195757601</v>
      </c>
      <c r="Q651" s="10">
        <v>1.6579326094250901E-2</v>
      </c>
    </row>
    <row r="652" spans="1:17" x14ac:dyDescent="0.2">
      <c r="A652" s="10">
        <v>1762</v>
      </c>
      <c r="B652" s="10" t="s">
        <v>96</v>
      </c>
      <c r="C652" s="9" t="s">
        <v>2223</v>
      </c>
      <c r="D652" s="10">
        <v>0.35067363400000001</v>
      </c>
      <c r="E652" s="10">
        <v>1.0790502559999999</v>
      </c>
      <c r="F652" s="10">
        <v>0.80012991200000005</v>
      </c>
      <c r="G652" s="10">
        <v>0.38850168899999998</v>
      </c>
      <c r="H652" s="9">
        <v>0.65458887249999997</v>
      </c>
      <c r="I652" s="10">
        <v>0.34857640084441899</v>
      </c>
      <c r="J652" s="10">
        <v>0.121505507225649</v>
      </c>
      <c r="K652" s="10">
        <v>0.33157465000000003</v>
      </c>
      <c r="L652" s="10">
        <v>0.24592786899999999</v>
      </c>
      <c r="M652" s="10">
        <v>0.70722896000000002</v>
      </c>
      <c r="N652" s="10">
        <v>-0.13052175199999999</v>
      </c>
      <c r="O652" s="9">
        <v>0.28855243175</v>
      </c>
      <c r="P652" s="10">
        <v>0.34379304404732602</v>
      </c>
      <c r="Q652" s="10">
        <v>0.11819365713532699</v>
      </c>
    </row>
    <row r="653" spans="1:17" x14ac:dyDescent="0.2">
      <c r="A653" s="10">
        <v>1762</v>
      </c>
      <c r="B653" s="10" t="s">
        <v>2821</v>
      </c>
      <c r="C653" s="9" t="s">
        <v>1242</v>
      </c>
      <c r="D653" s="10">
        <v>-3.6926146E-2</v>
      </c>
      <c r="E653" s="10">
        <v>-0.390761951</v>
      </c>
      <c r="F653" s="10">
        <v>-5.0331701E-2</v>
      </c>
      <c r="G653" s="10">
        <v>5.4569632E-2</v>
      </c>
      <c r="H653" s="9">
        <v>-0.1058625415</v>
      </c>
      <c r="I653" s="10">
        <v>0.195569302889923</v>
      </c>
      <c r="J653" s="10">
        <v>3.8247352232850501E-2</v>
      </c>
      <c r="K653" s="10">
        <v>-0.55110551399999996</v>
      </c>
      <c r="L653" s="10">
        <v>3.6201936999999997E-2</v>
      </c>
      <c r="M653" s="10">
        <v>-0.145598808</v>
      </c>
      <c r="N653" s="10">
        <v>-0.149551189</v>
      </c>
      <c r="O653" s="9">
        <v>-0.2025133935</v>
      </c>
      <c r="P653" s="10">
        <v>0.24802267412379</v>
      </c>
      <c r="Q653" s="10">
        <v>6.1515246879515699E-2</v>
      </c>
    </row>
    <row r="654" spans="1:17" x14ac:dyDescent="0.2">
      <c r="A654" s="10">
        <v>1762</v>
      </c>
      <c r="B654" s="10" t="s">
        <v>2834</v>
      </c>
      <c r="C654" s="9" t="s">
        <v>2222</v>
      </c>
      <c r="D654" s="10">
        <v>0.65579685899999995</v>
      </c>
      <c r="E654" s="10">
        <v>0.16875639000000001</v>
      </c>
      <c r="F654" s="10">
        <v>-0.31579675699999998</v>
      </c>
      <c r="G654" s="10">
        <v>-0.39505803499999997</v>
      </c>
      <c r="H654" s="9">
        <v>2.8424614000000001E-2</v>
      </c>
      <c r="I654" s="10">
        <v>0.48686577459255598</v>
      </c>
      <c r="J654" s="10">
        <v>0.23703828246961001</v>
      </c>
      <c r="K654" s="10">
        <v>-6.2029862999999998E-2</v>
      </c>
      <c r="L654" s="10">
        <v>0.10430616400000001</v>
      </c>
      <c r="M654" s="10">
        <v>-0.83821676499999997</v>
      </c>
      <c r="N654" s="10">
        <v>-0.277649011</v>
      </c>
      <c r="O654" s="9">
        <v>-0.26839736874999998</v>
      </c>
      <c r="P654" s="10">
        <v>0.41080214539395998</v>
      </c>
      <c r="Q654" s="10">
        <v>0.168758402660281</v>
      </c>
    </row>
    <row r="655" spans="1:17" x14ac:dyDescent="0.2">
      <c r="A655" s="10">
        <v>1762</v>
      </c>
      <c r="B655" s="10" t="s">
        <v>79</v>
      </c>
      <c r="C655" s="9" t="s">
        <v>1243</v>
      </c>
      <c r="D655" s="10">
        <v>-1.061972863</v>
      </c>
      <c r="E655" s="10">
        <v>-2.1149313950000002</v>
      </c>
      <c r="F655" s="10">
        <v>-2.9622842899999999</v>
      </c>
      <c r="G655" s="10">
        <v>-3.0350690720000002</v>
      </c>
      <c r="H655" s="9">
        <v>-2.2935644050000001</v>
      </c>
      <c r="I655" s="10">
        <v>0.92118455160819801</v>
      </c>
      <c r="J655" s="10">
        <v>0.84858097812159705</v>
      </c>
      <c r="K655" s="10">
        <v>-0.78592490699999995</v>
      </c>
      <c r="L655" s="10">
        <v>-3.0679854770000001</v>
      </c>
      <c r="M655" s="10">
        <v>-2.9960254119999998</v>
      </c>
      <c r="N655" s="10">
        <v>-3.6124279499999998</v>
      </c>
      <c r="O655" s="9">
        <v>-2.6155909374999999</v>
      </c>
      <c r="P655" s="10">
        <v>1.2504336609636699</v>
      </c>
      <c r="Q655" s="10">
        <v>1.5635843404710199</v>
      </c>
    </row>
    <row r="656" spans="1:17" x14ac:dyDescent="0.2">
      <c r="A656" s="10">
        <v>1762</v>
      </c>
      <c r="B656" s="10" t="s">
        <v>2824</v>
      </c>
      <c r="C656" s="9" t="s">
        <v>1244</v>
      </c>
      <c r="D656" s="10">
        <v>-3.8724200000000001E-3</v>
      </c>
      <c r="E656" s="10">
        <v>-1.0411866000000001E-2</v>
      </c>
      <c r="F656" s="10">
        <v>-0.135728611</v>
      </c>
      <c r="G656" s="10">
        <v>7.5799729999999996E-2</v>
      </c>
      <c r="H656" s="9">
        <v>-1.8553291999999999E-2</v>
      </c>
      <c r="I656" s="10">
        <v>8.73963366190256E-2</v>
      </c>
      <c r="J656" s="10">
        <v>7.638119654426E-3</v>
      </c>
      <c r="K656" s="10">
        <v>-0.200204412</v>
      </c>
      <c r="L656" s="10">
        <v>-0.19328657199999999</v>
      </c>
      <c r="M656" s="10">
        <v>-0.12091484500000001</v>
      </c>
      <c r="N656" s="10">
        <v>-0.13985528</v>
      </c>
      <c r="O656" s="9">
        <v>-0.16356527725</v>
      </c>
      <c r="P656" s="10">
        <v>3.9187603896946199E-2</v>
      </c>
      <c r="Q656" s="10">
        <v>1.5356682991838999E-3</v>
      </c>
    </row>
    <row r="657" spans="1:17" x14ac:dyDescent="0.2">
      <c r="A657" s="10">
        <v>1762</v>
      </c>
      <c r="B657" s="10" t="s">
        <v>2814</v>
      </c>
      <c r="C657" s="9" t="s">
        <v>2221</v>
      </c>
      <c r="D657" s="10">
        <v>-0.72972455000000003</v>
      </c>
      <c r="E657" s="10">
        <v>-0.44809865300000001</v>
      </c>
      <c r="F657" s="10">
        <v>-0.36321118899999999</v>
      </c>
      <c r="G657" s="10">
        <v>-0.98090591299999996</v>
      </c>
      <c r="H657" s="9">
        <v>-0.63048507649999996</v>
      </c>
      <c r="I657" s="10">
        <v>0.281272924500031</v>
      </c>
      <c r="J657" s="10">
        <v>7.9114458056800299E-2</v>
      </c>
      <c r="K657" s="10">
        <v>2.5333385E-2</v>
      </c>
      <c r="L657" s="10">
        <v>-0.13270032500000001</v>
      </c>
      <c r="M657" s="10">
        <v>-0.95220466999999998</v>
      </c>
      <c r="N657" s="10">
        <v>-0.38710129100000001</v>
      </c>
      <c r="O657" s="9">
        <v>-0.36166822500000001</v>
      </c>
      <c r="P657" s="10">
        <v>0.428787701585295</v>
      </c>
      <c r="Q657" s="10">
        <v>0.1838588930308</v>
      </c>
    </row>
    <row r="658" spans="1:17" x14ac:dyDescent="0.2">
      <c r="A658" s="10">
        <v>1762</v>
      </c>
      <c r="B658" s="10" t="s">
        <v>2833</v>
      </c>
      <c r="C658" s="9" t="s">
        <v>2220</v>
      </c>
      <c r="D658" s="10">
        <v>0.37135697499999998</v>
      </c>
      <c r="E658" s="10">
        <v>-0.395164668</v>
      </c>
      <c r="F658" s="10">
        <v>-1.3701965229999999</v>
      </c>
      <c r="G658" s="10">
        <v>-1.2274586329999999</v>
      </c>
      <c r="H658" s="9">
        <v>-0.65536571249999998</v>
      </c>
      <c r="I658" s="10">
        <v>0.808318719712387</v>
      </c>
      <c r="J658" s="10">
        <v>0.65337915263747304</v>
      </c>
      <c r="K658" s="10">
        <v>-0.97538903200000004</v>
      </c>
      <c r="L658" s="10">
        <v>4.0328039000000003E-2</v>
      </c>
      <c r="M658" s="10">
        <v>-0.85864606399999999</v>
      </c>
      <c r="N658" s="10">
        <v>-5.569207273</v>
      </c>
      <c r="O658" s="9">
        <v>-1.8407285822499999</v>
      </c>
      <c r="P658" s="10">
        <v>2.5267387392713898</v>
      </c>
      <c r="Q658" s="10">
        <v>6.3844086565348102</v>
      </c>
    </row>
    <row r="659" spans="1:17" x14ac:dyDescent="0.2">
      <c r="A659" s="10">
        <v>1762</v>
      </c>
      <c r="B659" s="10" t="s">
        <v>74</v>
      </c>
      <c r="C659" s="9" t="s">
        <v>1245</v>
      </c>
      <c r="D659" s="10">
        <v>0.185965453</v>
      </c>
      <c r="E659" s="10">
        <v>0.26835466600000002</v>
      </c>
      <c r="F659" s="10">
        <v>0.35865537400000003</v>
      </c>
      <c r="G659" s="10">
        <v>2.7642060999999999E-2</v>
      </c>
      <c r="H659" s="9">
        <v>0.21015438824999999</v>
      </c>
      <c r="I659" s="10">
        <v>0.140636255739927</v>
      </c>
      <c r="J659" s="10">
        <v>1.9778556428546201E-2</v>
      </c>
      <c r="K659" s="10">
        <v>3.1348082999999999E-2</v>
      </c>
      <c r="L659" s="10">
        <v>0.34687414100000002</v>
      </c>
      <c r="M659" s="10">
        <v>0.56425632100000001</v>
      </c>
      <c r="N659" s="10">
        <v>8.0728761999999996E-2</v>
      </c>
      <c r="O659" s="9">
        <v>0.2558018265</v>
      </c>
      <c r="P659" s="10">
        <v>0.24797069889419199</v>
      </c>
      <c r="Q659" s="10">
        <v>6.14894675100741E-2</v>
      </c>
    </row>
    <row r="660" spans="1:17" x14ac:dyDescent="0.2">
      <c r="A660" s="10">
        <v>1762</v>
      </c>
      <c r="B660" s="10" t="s">
        <v>2818</v>
      </c>
      <c r="C660" s="9" t="s">
        <v>1246</v>
      </c>
      <c r="D660" s="10">
        <v>-6.9356454999999997E-2</v>
      </c>
      <c r="E660" s="10">
        <v>-2.8729375000000001E-2</v>
      </c>
      <c r="F660" s="10">
        <v>-0.83533334599999998</v>
      </c>
      <c r="G660" s="10">
        <v>-0.26891531499999999</v>
      </c>
      <c r="H660" s="9">
        <v>-0.30058362275</v>
      </c>
      <c r="I660" s="10">
        <v>0.37163193411272899</v>
      </c>
      <c r="J660" s="10">
        <v>0.138110294452368</v>
      </c>
      <c r="K660" s="10">
        <v>-3.1909326000000002E-2</v>
      </c>
      <c r="L660" s="10">
        <v>-0.50276838400000001</v>
      </c>
      <c r="M660" s="10">
        <v>-0.43148940000000002</v>
      </c>
      <c r="N660" s="10">
        <v>-8.9304194000000003E-2</v>
      </c>
      <c r="O660" s="9">
        <v>-0.26386782600000003</v>
      </c>
      <c r="P660" s="10">
        <v>0.23766059554346899</v>
      </c>
      <c r="Q660" s="10">
        <v>5.6482558674076699E-2</v>
      </c>
    </row>
    <row r="661" spans="1:17" x14ac:dyDescent="0.2">
      <c r="A661" s="10">
        <v>1762</v>
      </c>
      <c r="B661" s="10" t="s">
        <v>2830</v>
      </c>
      <c r="C661" s="9" t="s">
        <v>2219</v>
      </c>
      <c r="D661" s="10">
        <v>-0.230100692</v>
      </c>
      <c r="E661" s="10">
        <v>6.2157904E-2</v>
      </c>
      <c r="F661" s="10">
        <v>-0.30423835900000001</v>
      </c>
      <c r="G661" s="10">
        <v>-0.68424822299999999</v>
      </c>
      <c r="H661" s="9">
        <v>-0.28910734249999998</v>
      </c>
      <c r="I661" s="10">
        <v>0.307264447072644</v>
      </c>
      <c r="J661" s="10">
        <v>9.4411440434857802E-2</v>
      </c>
      <c r="K661" s="10">
        <v>0.135148358</v>
      </c>
      <c r="L661" s="10">
        <v>0.23367621399999999</v>
      </c>
      <c r="M661" s="10">
        <v>-0.329850272</v>
      </c>
      <c r="N661" s="10">
        <v>-0.93974022499999998</v>
      </c>
      <c r="O661" s="9">
        <v>-0.22519148124999999</v>
      </c>
      <c r="P661" s="10">
        <v>0.53601546344942796</v>
      </c>
      <c r="Q661" s="10">
        <v>0.28731257705690599</v>
      </c>
    </row>
    <row r="662" spans="1:17" x14ac:dyDescent="0.2">
      <c r="A662" s="10">
        <v>1763</v>
      </c>
      <c r="B662" s="10" t="s">
        <v>2831</v>
      </c>
      <c r="C662" s="9" t="s">
        <v>1247</v>
      </c>
      <c r="D662" s="10">
        <v>-1.6819728279999999</v>
      </c>
      <c r="E662" s="10">
        <v>-1.7249831980000001</v>
      </c>
      <c r="F662" s="10">
        <v>-1.3241420349999999</v>
      </c>
      <c r="G662" s="10">
        <v>-1.0785165830000001</v>
      </c>
      <c r="H662" s="9">
        <v>-1.452403661</v>
      </c>
      <c r="I662" s="10">
        <v>0.30726980447577801</v>
      </c>
      <c r="J662" s="10">
        <v>9.4414732742583399E-2</v>
      </c>
      <c r="K662" s="10">
        <v>-0.435827144</v>
      </c>
      <c r="L662" s="10">
        <v>-1.176689471</v>
      </c>
      <c r="M662" s="10">
        <v>-0.80068076200000005</v>
      </c>
      <c r="N662" s="10">
        <v>-0.52350432700000005</v>
      </c>
      <c r="O662" s="9">
        <v>-0.73417542599999996</v>
      </c>
      <c r="P662" s="10">
        <v>0.33348445694162598</v>
      </c>
      <c r="Q662" s="10">
        <v>0.111211883021651</v>
      </c>
    </row>
    <row r="663" spans="1:17" x14ac:dyDescent="0.2">
      <c r="A663" s="10">
        <v>1763</v>
      </c>
      <c r="B663" s="10" t="s">
        <v>2822</v>
      </c>
      <c r="C663" s="9" t="s">
        <v>1248</v>
      </c>
      <c r="D663" s="10">
        <v>0.30977490000000002</v>
      </c>
      <c r="E663" s="10">
        <v>0.100406839</v>
      </c>
      <c r="F663" s="10">
        <v>-7.3265909000000004E-2</v>
      </c>
      <c r="G663" s="10">
        <v>-8.5449280000000002E-3</v>
      </c>
      <c r="H663" s="9">
        <v>8.2092725749999998E-2</v>
      </c>
      <c r="I663" s="10">
        <v>0.1678551646351</v>
      </c>
      <c r="J663" s="10">
        <v>2.8175356294676601E-2</v>
      </c>
      <c r="K663" s="10">
        <v>0.15309846599999999</v>
      </c>
      <c r="L663" s="10">
        <v>0.34302139599999998</v>
      </c>
      <c r="M663" s="10">
        <v>4.6833171999999999E-2</v>
      </c>
      <c r="N663" s="10">
        <v>7.2587091000000006E-2</v>
      </c>
      <c r="O663" s="9">
        <v>0.15388503125</v>
      </c>
      <c r="P663" s="10">
        <v>0.133968452522116</v>
      </c>
      <c r="Q663" s="10">
        <v>1.7947546271170602E-2</v>
      </c>
    </row>
    <row r="664" spans="1:17" x14ac:dyDescent="0.2">
      <c r="A664" s="10">
        <v>1763</v>
      </c>
      <c r="B664" s="10" t="s">
        <v>96</v>
      </c>
      <c r="C664" s="9" t="s">
        <v>1249</v>
      </c>
      <c r="D664" s="10">
        <v>0.17074467199999999</v>
      </c>
      <c r="E664" s="10">
        <v>0.121581178</v>
      </c>
      <c r="F664" s="10">
        <v>1.7295919E-2</v>
      </c>
      <c r="G664" s="10">
        <v>0.37983986800000002</v>
      </c>
      <c r="H664" s="9">
        <v>0.172365409</v>
      </c>
      <c r="I664" s="10">
        <v>0.15239626282916399</v>
      </c>
      <c r="J664" s="10">
        <v>2.32246209242957E-2</v>
      </c>
      <c r="K664" s="10">
        <v>-0.24293420499999999</v>
      </c>
      <c r="L664" s="10">
        <v>3.4698316999999999E-2</v>
      </c>
      <c r="M664" s="10">
        <v>-0.25695636599999999</v>
      </c>
      <c r="N664" s="10">
        <v>8.2045782999999997E-2</v>
      </c>
      <c r="O664" s="9">
        <v>-9.5786617749999997E-2</v>
      </c>
      <c r="P664" s="10">
        <v>0.17914498889417699</v>
      </c>
      <c r="Q664" s="10">
        <v>3.2092927045895003E-2</v>
      </c>
    </row>
    <row r="665" spans="1:17" x14ac:dyDescent="0.2">
      <c r="A665" s="10">
        <v>1763</v>
      </c>
      <c r="B665" s="10" t="s">
        <v>2834</v>
      </c>
      <c r="C665" s="9" t="s">
        <v>2217</v>
      </c>
      <c r="D665" s="10">
        <v>-1.1898596000000001E-2</v>
      </c>
      <c r="E665" s="10">
        <v>0.16778775200000001</v>
      </c>
      <c r="F665" s="10">
        <v>-0.21398978499999999</v>
      </c>
      <c r="G665" s="10">
        <v>-0.432857198</v>
      </c>
      <c r="H665" s="9">
        <v>-0.1227394565</v>
      </c>
      <c r="I665" s="10">
        <v>0.25896678762574998</v>
      </c>
      <c r="J665" s="10">
        <v>6.7063797093200497E-2</v>
      </c>
      <c r="K665" s="10">
        <v>0.10138467399999999</v>
      </c>
      <c r="L665" s="10">
        <v>-0.123230326</v>
      </c>
      <c r="M665" s="10">
        <v>-0.46250641799999997</v>
      </c>
      <c r="N665" s="10">
        <v>-0.106300302</v>
      </c>
      <c r="O665" s="9">
        <v>-0.147663093</v>
      </c>
      <c r="P665" s="10">
        <v>0.23342304236966199</v>
      </c>
      <c r="Q665" s="10">
        <v>5.4486316709109202E-2</v>
      </c>
    </row>
    <row r="666" spans="1:17" x14ac:dyDescent="0.2">
      <c r="A666" s="10">
        <v>1763</v>
      </c>
      <c r="B666" s="10" t="s">
        <v>79</v>
      </c>
      <c r="C666" s="9" t="s">
        <v>2216</v>
      </c>
      <c r="D666" s="10">
        <v>-1.521367149</v>
      </c>
      <c r="E666" s="10">
        <v>-1.2869999539999999</v>
      </c>
      <c r="F666" s="10">
        <v>-0.879661421</v>
      </c>
      <c r="G666" s="10">
        <v>-1.002670629</v>
      </c>
      <c r="H666" s="9">
        <v>-1.1726747879999999</v>
      </c>
      <c r="I666" s="10">
        <v>0.28833710220195102</v>
      </c>
      <c r="J666" s="10">
        <v>8.3138284506218602E-2</v>
      </c>
      <c r="K666" s="10">
        <v>-1.212204085</v>
      </c>
      <c r="L666" s="10">
        <v>-1.2107799509999999</v>
      </c>
      <c r="M666" s="10">
        <v>-0.85975371499999997</v>
      </c>
      <c r="N666" s="10">
        <v>-1.394843281</v>
      </c>
      <c r="O666" s="9">
        <v>-1.16939525825</v>
      </c>
      <c r="P666" s="10">
        <v>0.22379304778436801</v>
      </c>
      <c r="Q666" s="10">
        <v>5.0083328236616501E-2</v>
      </c>
    </row>
    <row r="667" spans="1:17" x14ac:dyDescent="0.2">
      <c r="A667" s="10">
        <v>1763</v>
      </c>
      <c r="B667" s="10" t="s">
        <v>2820</v>
      </c>
      <c r="C667" s="9" t="s">
        <v>1250</v>
      </c>
      <c r="D667" s="10">
        <v>0.14449244</v>
      </c>
      <c r="E667" s="10">
        <v>0.219989143</v>
      </c>
      <c r="F667" s="10">
        <v>-0.10046808</v>
      </c>
      <c r="G667" s="10">
        <v>0.134107755</v>
      </c>
      <c r="H667" s="9">
        <v>9.9530314499999994E-2</v>
      </c>
      <c r="I667" s="10">
        <v>0.13871659271956699</v>
      </c>
      <c r="J667" s="10">
        <v>1.9242293095726198E-2</v>
      </c>
      <c r="K667" s="10">
        <v>-0.25728936299999999</v>
      </c>
      <c r="L667" s="10">
        <v>-0.40167090799999999</v>
      </c>
      <c r="M667" s="10">
        <v>-0.31201325000000002</v>
      </c>
      <c r="N667" s="10">
        <v>-0.33872993899999998</v>
      </c>
      <c r="O667" s="9">
        <v>-0.32742586475000002</v>
      </c>
      <c r="P667" s="10">
        <v>5.9991071871858703E-2</v>
      </c>
      <c r="Q667" s="10">
        <v>3.5989287043344999E-3</v>
      </c>
    </row>
    <row r="668" spans="1:17" x14ac:dyDescent="0.2">
      <c r="A668" s="10">
        <v>1763</v>
      </c>
      <c r="B668" s="10" t="s">
        <v>2814</v>
      </c>
      <c r="C668" s="9" t="s">
        <v>2215</v>
      </c>
      <c r="D668" s="10">
        <v>-0.33353461200000001</v>
      </c>
      <c r="E668" s="10">
        <v>-0.61814934799999999</v>
      </c>
      <c r="F668" s="10">
        <v>-0.58898062399999995</v>
      </c>
      <c r="G668" s="10">
        <v>-0.45831127399999999</v>
      </c>
      <c r="H668" s="9">
        <v>-0.49974396474999999</v>
      </c>
      <c r="I668" s="10">
        <v>0.13079912453967801</v>
      </c>
      <c r="J668" s="10">
        <v>1.7108410980346302E-2</v>
      </c>
      <c r="K668" s="10">
        <v>-0.18414699300000001</v>
      </c>
      <c r="L668" s="10">
        <v>0.259386063</v>
      </c>
      <c r="M668" s="10">
        <v>-0.34822272799999998</v>
      </c>
      <c r="N668" s="10">
        <v>-0.66736008999999996</v>
      </c>
      <c r="O668" s="9">
        <v>-0.23508593699999999</v>
      </c>
      <c r="P668" s="10">
        <v>0.38590076946864599</v>
      </c>
      <c r="Q668" s="10">
        <v>0.148919403876493</v>
      </c>
    </row>
    <row r="669" spans="1:17" x14ac:dyDescent="0.2">
      <c r="A669" s="10">
        <v>1763</v>
      </c>
      <c r="B669" s="10" t="s">
        <v>2825</v>
      </c>
      <c r="C669" s="9" t="s">
        <v>1252</v>
      </c>
      <c r="D669" s="10">
        <v>9.7115463999999999E-2</v>
      </c>
      <c r="E669" s="10">
        <v>-0.42024953100000001</v>
      </c>
      <c r="F669" s="10">
        <v>-0.35308081499999999</v>
      </c>
      <c r="G669" s="10">
        <v>-0.23343808999999999</v>
      </c>
      <c r="H669" s="9">
        <v>-0.22741324325000001</v>
      </c>
      <c r="I669" s="10">
        <v>0.229734160186986</v>
      </c>
      <c r="J669" s="10">
        <v>5.27777843568197E-2</v>
      </c>
      <c r="K669" s="10">
        <v>-0.15177901199999999</v>
      </c>
      <c r="L669" s="10">
        <v>-1.5882343E-2</v>
      </c>
      <c r="M669" s="10">
        <v>-0.50233055699999996</v>
      </c>
      <c r="N669" s="10">
        <v>-0.331860722</v>
      </c>
      <c r="O669" s="9">
        <v>-0.25046315875000003</v>
      </c>
      <c r="P669" s="10">
        <v>0.21199801063687099</v>
      </c>
      <c r="Q669" s="10">
        <v>4.4943156513990903E-2</v>
      </c>
    </row>
    <row r="670" spans="1:17" x14ac:dyDescent="0.2">
      <c r="A670" s="10">
        <v>1763</v>
      </c>
      <c r="B670" s="10" t="s">
        <v>74</v>
      </c>
      <c r="C670" s="9" t="s">
        <v>1253</v>
      </c>
      <c r="D670" s="10">
        <v>-0.25181587100000002</v>
      </c>
      <c r="E670" s="10">
        <v>0.33232362500000001</v>
      </c>
      <c r="F670" s="10">
        <v>0.16217836899999999</v>
      </c>
      <c r="G670" s="10">
        <v>-0.77851271200000005</v>
      </c>
      <c r="H670" s="9">
        <v>-0.13395664725</v>
      </c>
      <c r="I670" s="10">
        <v>0.49479172634145702</v>
      </c>
      <c r="J670" s="10">
        <v>0.24481885245596</v>
      </c>
      <c r="K670" s="10">
        <v>0.23608617800000001</v>
      </c>
      <c r="L670" s="10">
        <v>0.35317297399999997</v>
      </c>
      <c r="M670" s="10">
        <v>-0.164314142</v>
      </c>
      <c r="N670" s="10">
        <v>-1.2921019709999999</v>
      </c>
      <c r="O670" s="9">
        <v>-0.21678923999999999</v>
      </c>
      <c r="P670" s="10">
        <v>0.75033418665224105</v>
      </c>
      <c r="Q670" s="10">
        <v>0.56300139165908103</v>
      </c>
    </row>
    <row r="671" spans="1:17" x14ac:dyDescent="0.2">
      <c r="A671" s="10">
        <v>1763</v>
      </c>
      <c r="B671" s="10" t="s">
        <v>2830</v>
      </c>
      <c r="C671" s="9" t="s">
        <v>58</v>
      </c>
      <c r="D671" s="10">
        <v>-0.33170493899999998</v>
      </c>
      <c r="E671" s="10">
        <v>-0.25997580799999997</v>
      </c>
      <c r="F671" s="10">
        <v>-0.53866015700000003</v>
      </c>
      <c r="G671" s="10">
        <v>-0.30854815499999999</v>
      </c>
      <c r="H671" s="9">
        <v>-0.35972226475000002</v>
      </c>
      <c r="I671" s="10">
        <v>0.122979517221282</v>
      </c>
      <c r="J671" s="10">
        <v>1.5123961655979601E-2</v>
      </c>
      <c r="K671" s="10">
        <v>-3.1891649999999999E-3</v>
      </c>
      <c r="L671" s="10">
        <v>0.119591775</v>
      </c>
      <c r="M671" s="10">
        <v>-0.159294354</v>
      </c>
      <c r="N671" s="10">
        <v>-0.31041411699999999</v>
      </c>
      <c r="O671" s="9">
        <v>-8.832646525E-2</v>
      </c>
      <c r="P671" s="10">
        <v>0.18693824364923001</v>
      </c>
      <c r="Q671" s="10">
        <v>3.4945906938658997E-2</v>
      </c>
    </row>
    <row r="672" spans="1:17" x14ac:dyDescent="0.2">
      <c r="A672" s="10">
        <v>1763</v>
      </c>
      <c r="B672" s="10" t="s">
        <v>2832</v>
      </c>
      <c r="C672" s="9" t="s">
        <v>2214</v>
      </c>
      <c r="D672" s="10">
        <v>-0.268314259</v>
      </c>
      <c r="E672" s="10">
        <v>-0.25039531199999998</v>
      </c>
      <c r="F672" s="10">
        <v>-0.58098063700000002</v>
      </c>
      <c r="G672" s="10">
        <v>-0.30505480699999998</v>
      </c>
      <c r="H672" s="9">
        <v>-0.35118625375000001</v>
      </c>
      <c r="I672" s="10">
        <v>0.154876456576623</v>
      </c>
      <c r="J672" s="10">
        <v>2.39867168017306E-2</v>
      </c>
      <c r="K672" s="10">
        <v>-0.38354107599999998</v>
      </c>
      <c r="L672" s="10">
        <v>-0.48723981300000002</v>
      </c>
      <c r="M672" s="10">
        <v>-0.26613356700000002</v>
      </c>
      <c r="N672" s="10">
        <v>-0.71844132900000002</v>
      </c>
      <c r="O672" s="9">
        <v>-0.46383894624999999</v>
      </c>
      <c r="P672" s="10">
        <v>0.19227162974786499</v>
      </c>
      <c r="Q672" s="10">
        <v>3.6968379605900298E-2</v>
      </c>
    </row>
    <row r="673" spans="1:17" x14ac:dyDescent="0.2">
      <c r="A673" s="10">
        <v>1764</v>
      </c>
      <c r="B673" s="10" t="s">
        <v>2831</v>
      </c>
      <c r="C673" s="9" t="s">
        <v>2213</v>
      </c>
      <c r="D673" s="10">
        <v>-1.217566795</v>
      </c>
      <c r="E673" s="10">
        <v>-1.7037748859999999</v>
      </c>
      <c r="F673" s="10">
        <v>-0.83844732799999999</v>
      </c>
      <c r="G673" s="10">
        <v>-1.0354488660000001</v>
      </c>
      <c r="H673" s="9">
        <v>-1.1988094684999999</v>
      </c>
      <c r="I673" s="10">
        <v>0.37053540942950802</v>
      </c>
      <c r="J673" s="10">
        <v>0.13729648964109301</v>
      </c>
      <c r="K673" s="10">
        <v>-3.086272E-2</v>
      </c>
      <c r="L673" s="10">
        <v>0.120982165</v>
      </c>
      <c r="M673" s="10">
        <v>-0.11262111</v>
      </c>
      <c r="N673" s="10">
        <v>-0.65503204999999998</v>
      </c>
      <c r="O673" s="9">
        <v>-0.16938342825</v>
      </c>
      <c r="P673" s="10">
        <v>0.33792341782238899</v>
      </c>
      <c r="Q673" s="10">
        <v>0.114192236312764</v>
      </c>
    </row>
    <row r="674" spans="1:17" x14ac:dyDescent="0.2">
      <c r="A674" s="10">
        <v>1764</v>
      </c>
      <c r="B674" s="10" t="s">
        <v>2822</v>
      </c>
      <c r="C674" s="9" t="s">
        <v>1254</v>
      </c>
      <c r="D674" s="10">
        <v>-0.37660938199999999</v>
      </c>
      <c r="E674" s="10">
        <v>-0.33756442199999998</v>
      </c>
      <c r="F674" s="10">
        <v>-0.56342833400000003</v>
      </c>
      <c r="G674" s="10">
        <v>-0.77834567600000004</v>
      </c>
      <c r="H674" s="9">
        <v>-0.51398695324999999</v>
      </c>
      <c r="I674" s="10">
        <v>0.20193026109664999</v>
      </c>
      <c r="J674" s="10">
        <v>4.07758303465613E-2</v>
      </c>
      <c r="K674" s="10">
        <v>-3.1369409000000001E-2</v>
      </c>
      <c r="L674" s="10">
        <v>-0.29112853</v>
      </c>
      <c r="M674" s="10">
        <v>-0.718369539</v>
      </c>
      <c r="N674" s="10">
        <v>-0.185383205</v>
      </c>
      <c r="O674" s="9">
        <v>-0.30656267074999999</v>
      </c>
      <c r="P674" s="10">
        <v>0.29452725039211702</v>
      </c>
      <c r="Q674" s="10">
        <v>8.6746301223541003E-2</v>
      </c>
    </row>
    <row r="675" spans="1:17" x14ac:dyDescent="0.2">
      <c r="A675" s="10">
        <v>1764</v>
      </c>
      <c r="B675" s="10" t="s">
        <v>2834</v>
      </c>
      <c r="C675" s="9" t="s">
        <v>1255</v>
      </c>
      <c r="D675" s="10">
        <v>-0.13750105100000001</v>
      </c>
      <c r="E675" s="10">
        <v>7.3655825999999994E-2</v>
      </c>
      <c r="F675" s="10">
        <v>3.8620489000000001E-2</v>
      </c>
      <c r="G675" s="10">
        <v>-0.29667320200000002</v>
      </c>
      <c r="H675" s="9">
        <v>-8.0474484499999999E-2</v>
      </c>
      <c r="I675" s="10">
        <v>0.171205218050556</v>
      </c>
      <c r="J675" s="10">
        <v>2.9311226687738601E-2</v>
      </c>
      <c r="K675" s="10">
        <v>0.29375242699999998</v>
      </c>
      <c r="L675" s="10">
        <v>-0.194419278</v>
      </c>
      <c r="M675" s="10">
        <v>-1.0275217999999999E-2</v>
      </c>
      <c r="N675" s="10">
        <v>0.123641479</v>
      </c>
      <c r="O675" s="9">
        <v>5.3174852500000001E-2</v>
      </c>
      <c r="P675" s="10">
        <v>0.20669775011442801</v>
      </c>
      <c r="Q675" s="10">
        <v>4.27239599023665E-2</v>
      </c>
    </row>
    <row r="676" spans="1:17" x14ac:dyDescent="0.2">
      <c r="A676" s="10">
        <v>1764</v>
      </c>
      <c r="B676" s="10" t="s">
        <v>2817</v>
      </c>
      <c r="C676" s="9" t="s">
        <v>1256</v>
      </c>
      <c r="D676" s="10">
        <v>-0.23451850299999999</v>
      </c>
      <c r="E676" s="10">
        <v>-0.24982127600000001</v>
      </c>
      <c r="F676" s="10">
        <v>-0.161993683</v>
      </c>
      <c r="G676" s="10">
        <v>0.15392250599999999</v>
      </c>
      <c r="H676" s="9">
        <v>-0.12310273875</v>
      </c>
      <c r="I676" s="10">
        <v>0.188614732527839</v>
      </c>
      <c r="J676" s="10">
        <v>3.55755173265484E-2</v>
      </c>
      <c r="K676" s="10">
        <v>0.23519654500000001</v>
      </c>
      <c r="L676" s="10">
        <v>-0.13242747699999999</v>
      </c>
      <c r="M676" s="10">
        <v>-8.8951054000000002E-2</v>
      </c>
      <c r="N676" s="10">
        <v>-4.1147766000000002E-2</v>
      </c>
      <c r="O676" s="9">
        <v>-6.8324379999999997E-3</v>
      </c>
      <c r="P676" s="10">
        <v>0.16560309101677301</v>
      </c>
      <c r="Q676" s="10">
        <v>2.7424383754309601E-2</v>
      </c>
    </row>
    <row r="677" spans="1:17" x14ac:dyDescent="0.2">
      <c r="A677" s="10">
        <v>1764</v>
      </c>
      <c r="B677" s="10" t="s">
        <v>2814</v>
      </c>
      <c r="C677" s="9" t="s">
        <v>1257</v>
      </c>
      <c r="D677" s="10">
        <v>-0.92357345599999996</v>
      </c>
      <c r="E677" s="10">
        <v>-1.2086480900000001</v>
      </c>
      <c r="F677" s="10">
        <v>-1.418871427</v>
      </c>
      <c r="G677" s="10">
        <v>-0.88828102799999997</v>
      </c>
      <c r="H677" s="9">
        <v>-1.1098435</v>
      </c>
      <c r="I677" s="10">
        <v>0.25102925789736003</v>
      </c>
      <c r="J677" s="10">
        <v>6.3015688320499405E-2</v>
      </c>
      <c r="K677" s="10">
        <v>-8.3637016999999994E-2</v>
      </c>
      <c r="L677" s="10">
        <v>-0.30106715699999997</v>
      </c>
      <c r="M677" s="10">
        <v>-0.44834744300000001</v>
      </c>
      <c r="N677" s="10">
        <v>-0.45695182699999998</v>
      </c>
      <c r="O677" s="9">
        <v>-0.32250086075000001</v>
      </c>
      <c r="P677" s="10">
        <v>0.174575450829559</v>
      </c>
      <c r="Q677" s="10">
        <v>3.0476588032343901E-2</v>
      </c>
    </row>
    <row r="678" spans="1:17" x14ac:dyDescent="0.2">
      <c r="A678" s="10">
        <v>1764</v>
      </c>
      <c r="B678" s="10" t="s">
        <v>2825</v>
      </c>
      <c r="C678" s="9" t="s">
        <v>1258</v>
      </c>
      <c r="D678" s="10">
        <v>0.344694483</v>
      </c>
      <c r="E678" s="10">
        <v>-8.6635084000000001E-2</v>
      </c>
      <c r="F678" s="10">
        <v>0.24830878300000001</v>
      </c>
      <c r="G678" s="10">
        <v>-9.5030119999999999E-3</v>
      </c>
      <c r="H678" s="9">
        <v>0.12421629275</v>
      </c>
      <c r="I678" s="10">
        <v>0.205222427342103</v>
      </c>
      <c r="J678" s="10">
        <v>4.2116244684185102E-2</v>
      </c>
      <c r="K678" s="10">
        <v>-0.40529801700000001</v>
      </c>
      <c r="L678" s="10">
        <v>0.14270938</v>
      </c>
      <c r="M678" s="10">
        <v>0.39585869400000001</v>
      </c>
      <c r="N678" s="10">
        <v>-6.2550408000000002E-2</v>
      </c>
      <c r="O678" s="9">
        <v>1.7679912249999999E-2</v>
      </c>
      <c r="P678" s="10">
        <v>0.33862407459787303</v>
      </c>
      <c r="Q678" s="10">
        <v>0.114666263897265</v>
      </c>
    </row>
    <row r="679" spans="1:17" x14ac:dyDescent="0.2">
      <c r="A679" s="10">
        <v>1764</v>
      </c>
      <c r="B679" s="10" t="s">
        <v>74</v>
      </c>
      <c r="C679" s="9" t="s">
        <v>1259</v>
      </c>
      <c r="D679" s="10">
        <v>-0.37934651899999999</v>
      </c>
      <c r="E679" s="10">
        <v>-0.69015841200000005</v>
      </c>
      <c r="F679" s="10">
        <v>-0.30158035500000002</v>
      </c>
      <c r="G679" s="10">
        <v>-0.35285134200000001</v>
      </c>
      <c r="H679" s="9">
        <v>-0.43098415699999998</v>
      </c>
      <c r="I679" s="10">
        <v>0.17577241048668901</v>
      </c>
      <c r="J679" s="10">
        <v>3.0895940288301098E-2</v>
      </c>
      <c r="K679" s="10">
        <v>-0.32634805900000002</v>
      </c>
      <c r="L679" s="10">
        <v>-0.45649846500000002</v>
      </c>
      <c r="M679" s="10">
        <v>-0.26189653600000001</v>
      </c>
      <c r="N679" s="10">
        <v>-0.167881319</v>
      </c>
      <c r="O679" s="9">
        <v>-0.30315609474999999</v>
      </c>
      <c r="P679" s="10">
        <v>0.12117943425917101</v>
      </c>
      <c r="Q679" s="10">
        <v>1.4684455287372901E-2</v>
      </c>
    </row>
    <row r="680" spans="1:17" x14ac:dyDescent="0.2">
      <c r="A680" s="10">
        <v>1764</v>
      </c>
      <c r="B680" s="10" t="s">
        <v>2835</v>
      </c>
      <c r="C680" s="9" t="s">
        <v>2211</v>
      </c>
      <c r="D680" s="10">
        <v>-0.66795616000000002</v>
      </c>
      <c r="E680" s="10">
        <v>0.13830795600000001</v>
      </c>
      <c r="F680" s="10">
        <v>-1.488330097</v>
      </c>
      <c r="G680" s="10">
        <v>-0.30624586999999998</v>
      </c>
      <c r="H680" s="9">
        <v>-0.58105604300000002</v>
      </c>
      <c r="I680" s="10">
        <v>0.68888872677614399</v>
      </c>
      <c r="J680" s="10">
        <v>0.47456767787925602</v>
      </c>
      <c r="K680" s="10">
        <v>-0.77706008199999999</v>
      </c>
      <c r="L680" s="10">
        <v>-0.57421196600000002</v>
      </c>
      <c r="M680" s="10">
        <v>-0.76602856399999997</v>
      </c>
      <c r="N680" s="10">
        <v>-1.072747728</v>
      </c>
      <c r="O680" s="9">
        <v>-0.79751208475000002</v>
      </c>
      <c r="P680" s="10">
        <v>0.205772608190292</v>
      </c>
      <c r="Q680" s="10">
        <v>4.2342366281435603E-2</v>
      </c>
    </row>
    <row r="681" spans="1:17" x14ac:dyDescent="0.2">
      <c r="A681" s="10">
        <v>1764</v>
      </c>
      <c r="B681" s="10" t="s">
        <v>2832</v>
      </c>
      <c r="C681" s="9" t="s">
        <v>2210</v>
      </c>
      <c r="D681" s="10">
        <v>0.104023596</v>
      </c>
      <c r="E681" s="10">
        <v>-0.336915301</v>
      </c>
      <c r="F681" s="10">
        <v>-4.9053254999999997E-2</v>
      </c>
      <c r="G681" s="10">
        <v>-0.108187388</v>
      </c>
      <c r="H681" s="9">
        <v>-9.7533087249999997E-2</v>
      </c>
      <c r="I681" s="10">
        <v>0.18293236371407001</v>
      </c>
      <c r="J681" s="10">
        <v>3.3464249694016998E-2</v>
      </c>
      <c r="K681" s="10">
        <v>-0.17831316699999999</v>
      </c>
      <c r="L681" s="10">
        <v>-0.12120236600000001</v>
      </c>
      <c r="M681" s="10">
        <v>-1.5118340000000001E-3</v>
      </c>
      <c r="N681" s="10">
        <v>-3.7734951000000003E-2</v>
      </c>
      <c r="O681" s="9">
        <v>-8.4690579500000002E-2</v>
      </c>
      <c r="P681" s="10">
        <v>8.0045474980164705E-2</v>
      </c>
      <c r="Q681" s="10">
        <v>6.4072780648000999E-3</v>
      </c>
    </row>
    <row r="682" spans="1:17" x14ac:dyDescent="0.2">
      <c r="A682" s="10">
        <v>1765</v>
      </c>
      <c r="B682" s="10" t="s">
        <v>96</v>
      </c>
      <c r="C682" s="9" t="s">
        <v>2209</v>
      </c>
      <c r="D682" s="10">
        <v>0.56530722300000003</v>
      </c>
      <c r="E682" s="10">
        <v>0.170540531</v>
      </c>
      <c r="F682" s="10">
        <v>0.37756924800000002</v>
      </c>
      <c r="G682" s="10">
        <v>0.25302826499999997</v>
      </c>
      <c r="H682" s="9">
        <v>0.34161131675</v>
      </c>
      <c r="I682" s="10">
        <v>0.17170226370790201</v>
      </c>
      <c r="J682" s="10">
        <v>2.9481667362418001E-2</v>
      </c>
      <c r="K682" s="10">
        <v>0.428174579</v>
      </c>
      <c r="L682" s="10">
        <v>0.49291750499999998</v>
      </c>
      <c r="M682" s="10">
        <v>0.270312096</v>
      </c>
      <c r="N682" s="10">
        <v>-2.1639248999999999E-2</v>
      </c>
      <c r="O682" s="9">
        <v>0.29244123249999998</v>
      </c>
      <c r="P682" s="10">
        <v>0.22931094226623799</v>
      </c>
      <c r="Q682" s="10">
        <v>5.2583508243030201E-2</v>
      </c>
    </row>
    <row r="683" spans="1:17" x14ac:dyDescent="0.2">
      <c r="A683" s="10">
        <v>1765</v>
      </c>
      <c r="B683" s="10" t="s">
        <v>2821</v>
      </c>
      <c r="C683" s="9" t="s">
        <v>1260</v>
      </c>
      <c r="D683" s="10">
        <v>0.80193335300000002</v>
      </c>
      <c r="E683" s="10">
        <v>-1.4400071E-2</v>
      </c>
      <c r="F683" s="10">
        <v>0.40907352800000002</v>
      </c>
      <c r="G683" s="10">
        <v>1.212566918</v>
      </c>
      <c r="H683" s="9">
        <v>0.60229343224999998</v>
      </c>
      <c r="I683" s="10">
        <v>0.52597041542773004</v>
      </c>
      <c r="J683" s="10">
        <v>0.27664487790521902</v>
      </c>
      <c r="K683" s="10">
        <v>0.63512636200000006</v>
      </c>
      <c r="L683" s="10">
        <v>0.61375270699999995</v>
      </c>
      <c r="M683" s="10">
        <v>0.12461821200000001</v>
      </c>
      <c r="N683" s="10">
        <v>0.71085187800000005</v>
      </c>
      <c r="O683" s="9">
        <v>0.52108728999999998</v>
      </c>
      <c r="P683" s="10">
        <v>0.26757560808077202</v>
      </c>
      <c r="Q683" s="10">
        <v>7.15967060397949E-2</v>
      </c>
    </row>
    <row r="684" spans="1:17" x14ac:dyDescent="0.2">
      <c r="A684" s="10">
        <v>1765</v>
      </c>
      <c r="B684" s="10" t="s">
        <v>2834</v>
      </c>
      <c r="C684" s="9" t="s">
        <v>1261</v>
      </c>
      <c r="D684" s="10">
        <v>-0.15342549699999999</v>
      </c>
      <c r="E684" s="10">
        <v>-5.3586366000000003E-2</v>
      </c>
      <c r="F684" s="10">
        <v>-0.32969880200000001</v>
      </c>
      <c r="G684" s="10">
        <v>-0.61898815100000004</v>
      </c>
      <c r="H684" s="9">
        <v>-0.28892470375000001</v>
      </c>
      <c r="I684" s="10">
        <v>0.247890146734036</v>
      </c>
      <c r="J684" s="10">
        <v>6.1449524847822103E-2</v>
      </c>
      <c r="K684" s="10">
        <v>-4.27552E-2</v>
      </c>
      <c r="L684" s="10">
        <v>0.25860653500000003</v>
      </c>
      <c r="M684" s="10">
        <v>-0.3704559</v>
      </c>
      <c r="N684" s="10">
        <v>-3.5125849999999999E-3</v>
      </c>
      <c r="O684" s="9">
        <v>-3.9529287750000003E-2</v>
      </c>
      <c r="P684" s="10">
        <v>0.258008398370355</v>
      </c>
      <c r="Q684" s="10">
        <v>6.6568333629635906E-2</v>
      </c>
    </row>
    <row r="685" spans="1:17" x14ac:dyDescent="0.2">
      <c r="A685" s="10">
        <v>1765</v>
      </c>
      <c r="B685" s="10" t="s">
        <v>79</v>
      </c>
      <c r="C685" s="9" t="s">
        <v>2208</v>
      </c>
      <c r="D685" s="10">
        <v>0.18864941299999999</v>
      </c>
      <c r="E685" s="10">
        <v>0.43301585100000001</v>
      </c>
      <c r="F685" s="10">
        <v>-0.26828233200000001</v>
      </c>
      <c r="G685" s="10">
        <v>0.63826908400000004</v>
      </c>
      <c r="H685" s="9">
        <v>0.24791300375</v>
      </c>
      <c r="I685" s="10">
        <v>0.39013276854887902</v>
      </c>
      <c r="J685" s="10">
        <v>0.152203577095613</v>
      </c>
      <c r="K685" s="10">
        <v>0.15353761399999999</v>
      </c>
      <c r="L685" s="10">
        <v>0.16514875600000001</v>
      </c>
      <c r="M685" s="10">
        <v>3.6271247E-2</v>
      </c>
      <c r="N685" s="10">
        <v>0.68107689699999996</v>
      </c>
      <c r="O685" s="9">
        <v>0.2590086285</v>
      </c>
      <c r="P685" s="10">
        <v>0.28733683773429802</v>
      </c>
      <c r="Q685" s="10">
        <v>8.2562458319146603E-2</v>
      </c>
    </row>
    <row r="686" spans="1:17" x14ac:dyDescent="0.2">
      <c r="A686" s="10">
        <v>1765</v>
      </c>
      <c r="B686" s="10" t="s">
        <v>2824</v>
      </c>
      <c r="C686" s="9" t="s">
        <v>1262</v>
      </c>
      <c r="D686" s="10">
        <v>-0.13296243699999999</v>
      </c>
      <c r="E686" s="10">
        <v>-0.243058361</v>
      </c>
      <c r="F686" s="10">
        <v>-0.35750669400000001</v>
      </c>
      <c r="G686" s="10">
        <v>-0.34733866000000002</v>
      </c>
      <c r="H686" s="9">
        <v>-0.27021653800000001</v>
      </c>
      <c r="I686" s="10">
        <v>0.105108908369</v>
      </c>
      <c r="J686" s="10">
        <v>1.10478826185229E-2</v>
      </c>
      <c r="K686" s="10">
        <v>-5.6973612999999999E-2</v>
      </c>
      <c r="L686" s="10">
        <v>1.5232071E-2</v>
      </c>
      <c r="M686" s="10">
        <v>-0.22193263899999999</v>
      </c>
      <c r="N686" s="10">
        <v>-0.32797551600000002</v>
      </c>
      <c r="O686" s="9">
        <v>-0.14791242425000001</v>
      </c>
      <c r="P686" s="10">
        <v>0.155764462061735</v>
      </c>
      <c r="Q686" s="10">
        <v>2.4262567641381801E-2</v>
      </c>
    </row>
    <row r="687" spans="1:17" x14ac:dyDescent="0.2">
      <c r="A687" s="10">
        <v>1765</v>
      </c>
      <c r="B687" s="10" t="s">
        <v>2814</v>
      </c>
      <c r="C687" s="9" t="s">
        <v>1263</v>
      </c>
      <c r="D687" s="10">
        <v>0.30047273699999999</v>
      </c>
      <c r="E687" s="10">
        <v>0.27428275000000002</v>
      </c>
      <c r="F687" s="10">
        <v>7.7043773999999995E-2</v>
      </c>
      <c r="G687" s="10">
        <v>0.37981777500000002</v>
      </c>
      <c r="H687" s="9">
        <v>0.25790425875</v>
      </c>
      <c r="I687" s="10">
        <v>0.128651662386708</v>
      </c>
      <c r="J687" s="10">
        <v>1.6551250234863601E-2</v>
      </c>
      <c r="K687" s="10">
        <v>0.204215958</v>
      </c>
      <c r="L687" s="10">
        <v>0.42710793000000002</v>
      </c>
      <c r="M687" s="10">
        <v>0.43320330499999998</v>
      </c>
      <c r="N687" s="10">
        <v>0.40188863800000002</v>
      </c>
      <c r="O687" s="9">
        <v>0.36660395800000001</v>
      </c>
      <c r="P687" s="10">
        <v>0.109104040309094</v>
      </c>
      <c r="Q687" s="10">
        <v>1.19036916117685E-2</v>
      </c>
    </row>
    <row r="688" spans="1:17" x14ac:dyDescent="0.2">
      <c r="A688" s="10">
        <v>1765</v>
      </c>
      <c r="B688" s="10" t="s">
        <v>2833</v>
      </c>
      <c r="C688" s="9" t="s">
        <v>1264</v>
      </c>
      <c r="D688" s="10">
        <v>-0.21864752800000001</v>
      </c>
      <c r="E688" s="10">
        <v>-0.37520746799999999</v>
      </c>
      <c r="F688" s="10">
        <v>-0.31495326000000001</v>
      </c>
      <c r="G688" s="10">
        <v>-0.59975029599999996</v>
      </c>
      <c r="H688" s="9">
        <v>-0.37713963825000002</v>
      </c>
      <c r="I688" s="10">
        <v>0.16180866568997701</v>
      </c>
      <c r="J688" s="10">
        <v>2.61820442923709E-2</v>
      </c>
      <c r="K688" s="10">
        <v>-7.9563536000000004E-2</v>
      </c>
      <c r="L688" s="10">
        <v>9.2945259999999991E-3</v>
      </c>
      <c r="M688" s="10">
        <v>-0.38240701199999999</v>
      </c>
      <c r="N688" s="10">
        <v>0.17157002199999999</v>
      </c>
      <c r="O688" s="9">
        <v>-7.0276499749999999E-2</v>
      </c>
      <c r="P688" s="10">
        <v>0.23261770779631499</v>
      </c>
      <c r="Q688" s="10">
        <v>5.4110997980412197E-2</v>
      </c>
    </row>
    <row r="689" spans="1:17" x14ac:dyDescent="0.2">
      <c r="A689" s="10">
        <v>1765</v>
      </c>
      <c r="B689" s="10" t="s">
        <v>2825</v>
      </c>
      <c r="C689" s="9" t="s">
        <v>2617</v>
      </c>
      <c r="D689" s="10">
        <v>-0.34264881800000002</v>
      </c>
      <c r="E689" s="10">
        <v>-0.52804583000000005</v>
      </c>
      <c r="F689" s="10">
        <v>-0.89141502900000003</v>
      </c>
      <c r="G689" s="10">
        <v>-1.1692832980000001</v>
      </c>
      <c r="H689" s="9">
        <v>-0.73284824400000004</v>
      </c>
      <c r="I689" s="10">
        <v>0.36960276085556798</v>
      </c>
      <c r="J689" s="10">
        <v>0.13660620083205799</v>
      </c>
      <c r="K689" s="10">
        <v>-0.13153198199999999</v>
      </c>
      <c r="L689" s="10">
        <v>-0.35075368800000001</v>
      </c>
      <c r="M689" s="10">
        <v>-0.24732620499999999</v>
      </c>
      <c r="N689" s="10">
        <v>-1.1536682439999999</v>
      </c>
      <c r="O689" s="9">
        <v>-0.47082002974999998</v>
      </c>
      <c r="P689" s="10">
        <v>0.463955270535508</v>
      </c>
      <c r="Q689" s="10">
        <v>0.21525449305767699</v>
      </c>
    </row>
    <row r="690" spans="1:17" x14ac:dyDescent="0.2">
      <c r="A690" s="10">
        <v>1765</v>
      </c>
      <c r="B690" s="10" t="s">
        <v>74</v>
      </c>
      <c r="C690" s="9" t="s">
        <v>2207</v>
      </c>
      <c r="D690" s="10">
        <v>0.52752027899999998</v>
      </c>
      <c r="E690" s="10">
        <v>-2.5373884999999999E-2</v>
      </c>
      <c r="F690" s="10">
        <v>0.461632025</v>
      </c>
      <c r="G690" s="10">
        <v>0.76401753100000003</v>
      </c>
      <c r="H690" s="9">
        <v>0.43194898749999999</v>
      </c>
      <c r="I690" s="10">
        <v>0.33137525645309601</v>
      </c>
      <c r="J690" s="10">
        <v>0.109809560589355</v>
      </c>
      <c r="K690" s="10">
        <v>6.6002559000000002E-2</v>
      </c>
      <c r="L690" s="10">
        <v>0.29651479800000002</v>
      </c>
      <c r="M690" s="10">
        <v>0.38168949099999999</v>
      </c>
      <c r="N690" s="10">
        <v>0.52145740500000004</v>
      </c>
      <c r="O690" s="9">
        <v>0.31641606350000001</v>
      </c>
      <c r="P690" s="10">
        <v>0.19096732326604099</v>
      </c>
      <c r="Q690" s="10">
        <v>3.6468518555396699E-2</v>
      </c>
    </row>
    <row r="691" spans="1:17" x14ac:dyDescent="0.2">
      <c r="A691" s="10">
        <v>1765</v>
      </c>
      <c r="B691" s="10" t="s">
        <v>2830</v>
      </c>
      <c r="C691" s="9" t="s">
        <v>1265</v>
      </c>
      <c r="D691" s="10">
        <v>-0.307331939</v>
      </c>
      <c r="E691" s="10">
        <v>-0.20498493400000001</v>
      </c>
      <c r="F691" s="10">
        <v>-0.29721698200000002</v>
      </c>
      <c r="G691" s="10">
        <v>-0.440010395</v>
      </c>
      <c r="H691" s="9">
        <v>-0.31238606250000001</v>
      </c>
      <c r="I691" s="10">
        <v>9.6744711856708701E-2</v>
      </c>
      <c r="J691" s="10">
        <v>9.3595392722375E-3</v>
      </c>
      <c r="K691" s="10">
        <v>-2.1103110000000001E-2</v>
      </c>
      <c r="L691" s="10">
        <v>-0.19163548699999999</v>
      </c>
      <c r="M691" s="10">
        <v>-0.53254175999999998</v>
      </c>
      <c r="N691" s="10">
        <v>-0.129632993</v>
      </c>
      <c r="O691" s="9">
        <v>-0.21872833750000001</v>
      </c>
      <c r="P691" s="10">
        <v>0.22076125690088699</v>
      </c>
      <c r="Q691" s="10">
        <v>4.8735532548459699E-2</v>
      </c>
    </row>
    <row r="692" spans="1:17" x14ac:dyDescent="0.2">
      <c r="A692" s="10">
        <v>1765</v>
      </c>
      <c r="B692" s="10" t="s">
        <v>2835</v>
      </c>
      <c r="C692" s="9" t="s">
        <v>2206</v>
      </c>
      <c r="D692" s="10">
        <v>5.7519779E-2</v>
      </c>
      <c r="E692" s="10">
        <v>0.13853931</v>
      </c>
      <c r="F692" s="10">
        <v>-0.22323636399999999</v>
      </c>
      <c r="G692" s="10">
        <v>-0.180611881</v>
      </c>
      <c r="H692" s="9">
        <v>-5.1947289250000001E-2</v>
      </c>
      <c r="I692" s="10">
        <v>0.177165372673843</v>
      </c>
      <c r="J692" s="10">
        <v>3.1387569274661797E-2</v>
      </c>
      <c r="K692" s="10">
        <v>0.43825573000000001</v>
      </c>
      <c r="L692" s="10">
        <v>0.52623816199999995</v>
      </c>
      <c r="M692" s="10">
        <v>0.44505703899999999</v>
      </c>
      <c r="N692" s="10">
        <v>0.30535992899999997</v>
      </c>
      <c r="O692" s="9">
        <v>0.42872771500000001</v>
      </c>
      <c r="P692" s="10">
        <v>9.1442746730433802E-2</v>
      </c>
      <c r="Q692" s="10">
        <v>8.3617759296061994E-3</v>
      </c>
    </row>
    <row r="693" spans="1:17" x14ac:dyDescent="0.2">
      <c r="A693" s="10">
        <v>1766</v>
      </c>
      <c r="B693" s="10" t="s">
        <v>2824</v>
      </c>
      <c r="C693" s="9" t="s">
        <v>1267</v>
      </c>
      <c r="D693" s="10">
        <v>0.100209147</v>
      </c>
      <c r="E693" s="10">
        <v>-1.4498637999999999</v>
      </c>
      <c r="F693" s="10">
        <v>0.34984722699999998</v>
      </c>
      <c r="G693" s="10">
        <v>-0.31869265400000002</v>
      </c>
      <c r="H693" s="9">
        <v>-0.32962501975000003</v>
      </c>
      <c r="I693" s="10">
        <v>0.796135329033546</v>
      </c>
      <c r="J693" s="10">
        <v>0.63383146213535202</v>
      </c>
      <c r="K693" s="10">
        <v>0.31229459700000001</v>
      </c>
      <c r="L693" s="10">
        <v>-0.21725455499999999</v>
      </c>
      <c r="M693" s="10">
        <v>0.26968777599999999</v>
      </c>
      <c r="N693" s="10">
        <v>0.19803293999999999</v>
      </c>
      <c r="O693" s="9">
        <v>0.14069018950000001</v>
      </c>
      <c r="P693" s="10">
        <v>0.243242732776902</v>
      </c>
      <c r="Q693" s="10">
        <v>5.9167027048775502E-2</v>
      </c>
    </row>
    <row r="694" spans="1:17" x14ac:dyDescent="0.2">
      <c r="A694" s="10">
        <v>1766</v>
      </c>
      <c r="B694" s="10" t="s">
        <v>2817</v>
      </c>
      <c r="C694" s="9" t="s">
        <v>1268</v>
      </c>
      <c r="D694" s="10">
        <v>0.30010675199999998</v>
      </c>
      <c r="E694" s="10">
        <v>0.37154638899999998</v>
      </c>
      <c r="F694" s="10">
        <v>0.384116705</v>
      </c>
      <c r="G694" s="10">
        <v>0.32837645500000001</v>
      </c>
      <c r="H694" s="9">
        <v>0.3460365755</v>
      </c>
      <c r="I694" s="10">
        <v>3.8825573146047301E-2</v>
      </c>
      <c r="J694" s="10">
        <v>1.5074251301189999E-3</v>
      </c>
      <c r="K694" s="10">
        <v>0.320083748</v>
      </c>
      <c r="L694" s="10">
        <v>0.28250038500000002</v>
      </c>
      <c r="M694" s="10">
        <v>0.49465799599999999</v>
      </c>
      <c r="N694" s="10">
        <v>0.10181103599999999</v>
      </c>
      <c r="O694" s="9">
        <v>0.29976329099999999</v>
      </c>
      <c r="P694" s="10">
        <v>0.161121041655929</v>
      </c>
      <c r="Q694" s="10">
        <v>2.59599900642919E-2</v>
      </c>
    </row>
    <row r="695" spans="1:17" x14ac:dyDescent="0.2">
      <c r="A695" s="10">
        <v>1766</v>
      </c>
      <c r="B695" s="10" t="s">
        <v>2814</v>
      </c>
      <c r="C695" s="9" t="s">
        <v>2205</v>
      </c>
      <c r="D695" s="10">
        <v>-1.47014522</v>
      </c>
      <c r="E695" s="10">
        <v>-1.334478713</v>
      </c>
      <c r="F695" s="10">
        <v>-1.2533945790000001</v>
      </c>
      <c r="G695" s="10">
        <v>-0.87783221499999997</v>
      </c>
      <c r="H695" s="9">
        <v>-1.23396268175</v>
      </c>
      <c r="I695" s="10">
        <v>0.25370072387938403</v>
      </c>
      <c r="J695" s="10">
        <v>6.4364057296923696E-2</v>
      </c>
      <c r="K695" s="10">
        <v>-0.112577599</v>
      </c>
      <c r="L695" s="10">
        <v>-7.3111155999999997E-2</v>
      </c>
      <c r="M695" s="10">
        <v>-0.13894510500000001</v>
      </c>
      <c r="N695" s="10">
        <v>-0.136808285</v>
      </c>
      <c r="O695" s="9">
        <v>-0.115360536</v>
      </c>
      <c r="P695" s="10">
        <v>3.0599524401604301E-2</v>
      </c>
      <c r="Q695" s="10">
        <v>9.3633089360430001E-4</v>
      </c>
    </row>
    <row r="696" spans="1:17" x14ac:dyDescent="0.2">
      <c r="A696" s="10">
        <v>1766</v>
      </c>
      <c r="B696" s="10" t="s">
        <v>2825</v>
      </c>
      <c r="C696" s="9" t="s">
        <v>1269</v>
      </c>
      <c r="D696" s="10">
        <v>-1.438668131</v>
      </c>
      <c r="E696" s="10">
        <v>-1.5194860219999999</v>
      </c>
      <c r="F696" s="10">
        <v>-1.344900253</v>
      </c>
      <c r="G696" s="10">
        <v>-1.303206801</v>
      </c>
      <c r="H696" s="9">
        <v>-1.4015653020000001</v>
      </c>
      <c r="I696" s="10">
        <v>9.6897262813526702E-2</v>
      </c>
      <c r="J696" s="10">
        <v>9.3890795407535997E-3</v>
      </c>
      <c r="K696" s="10">
        <v>-0.120041645</v>
      </c>
      <c r="L696" s="10">
        <v>-2.4071111999999999E-2</v>
      </c>
      <c r="M696" s="10">
        <v>-0.21191169500000001</v>
      </c>
      <c r="N696" s="10">
        <v>-0.59571787200000004</v>
      </c>
      <c r="O696" s="9">
        <v>-0.23793558100000001</v>
      </c>
      <c r="P696" s="10">
        <v>0.250547667881099</v>
      </c>
      <c r="Q696" s="10">
        <v>6.2774133880657904E-2</v>
      </c>
    </row>
    <row r="697" spans="1:17" x14ac:dyDescent="0.2">
      <c r="A697" s="10">
        <v>1766</v>
      </c>
      <c r="B697" s="10" t="s">
        <v>74</v>
      </c>
      <c r="C697" s="9" t="s">
        <v>1270</v>
      </c>
      <c r="D697" s="10">
        <v>-1.6299339850000001</v>
      </c>
      <c r="E697" s="10">
        <v>-2.1144567790000002</v>
      </c>
      <c r="F697" s="10">
        <v>-1.91621029</v>
      </c>
      <c r="G697" s="10">
        <v>-1.612058942</v>
      </c>
      <c r="H697" s="9">
        <v>-1.8181649989999999</v>
      </c>
      <c r="I697" s="10">
        <v>0.241738370520968</v>
      </c>
      <c r="J697" s="10">
        <v>5.8437439782132797E-2</v>
      </c>
      <c r="K697" s="10">
        <v>-0.52200848700000002</v>
      </c>
      <c r="L697" s="10">
        <v>-0.322928302</v>
      </c>
      <c r="M697" s="10">
        <v>-1.2738939540000001</v>
      </c>
      <c r="N697" s="10">
        <v>-0.85934128899999995</v>
      </c>
      <c r="O697" s="9">
        <v>-0.74454300775000004</v>
      </c>
      <c r="P697" s="10">
        <v>0.41660198539445897</v>
      </c>
      <c r="Q697" s="10">
        <v>0.17355721423460499</v>
      </c>
    </row>
    <row r="698" spans="1:17" x14ac:dyDescent="0.2">
      <c r="A698" s="10">
        <v>1766</v>
      </c>
      <c r="B698" s="10" t="s">
        <v>2818</v>
      </c>
      <c r="C698" s="9" t="s">
        <v>1271</v>
      </c>
      <c r="D698" s="10">
        <v>-0.38627206800000002</v>
      </c>
      <c r="E698" s="10">
        <v>-0.28474336700000002</v>
      </c>
      <c r="F698" s="10">
        <v>-0.72250642499999995</v>
      </c>
      <c r="G698" s="10">
        <v>-0.79120884400000002</v>
      </c>
      <c r="H698" s="9">
        <v>-0.54618267625000005</v>
      </c>
      <c r="I698" s="10">
        <v>0.24836116330021299</v>
      </c>
      <c r="J698" s="10">
        <v>6.1683267435835402E-2</v>
      </c>
      <c r="K698" s="10">
        <v>3.6894275999999997E-2</v>
      </c>
      <c r="L698" s="10">
        <v>0.20544310299999999</v>
      </c>
      <c r="M698" s="10">
        <v>-0.81748452100000002</v>
      </c>
      <c r="N698" s="10">
        <v>-0.91785206399999997</v>
      </c>
      <c r="O698" s="9">
        <v>-0.37324980149999998</v>
      </c>
      <c r="P698" s="10">
        <v>0.57649508594503895</v>
      </c>
      <c r="Q698" s="10">
        <v>0.33234658411877799</v>
      </c>
    </row>
    <row r="699" spans="1:17" x14ac:dyDescent="0.2">
      <c r="A699" s="10">
        <v>1766</v>
      </c>
      <c r="B699" s="10" t="s">
        <v>2830</v>
      </c>
      <c r="C699" s="9" t="s">
        <v>1272</v>
      </c>
      <c r="D699" s="10">
        <v>-0.55905450899999998</v>
      </c>
      <c r="E699" s="10">
        <v>-0.50552472000000004</v>
      </c>
      <c r="F699" s="10">
        <v>-0.54640694700000003</v>
      </c>
      <c r="G699" s="10">
        <v>-0.51870274900000002</v>
      </c>
      <c r="H699" s="9">
        <v>-0.53242223150000001</v>
      </c>
      <c r="I699" s="10">
        <v>2.46072536556017E-2</v>
      </c>
      <c r="J699" s="10">
        <v>6.0551693247109996E-4</v>
      </c>
      <c r="K699" s="10">
        <v>6.4704015000000004E-2</v>
      </c>
      <c r="L699" s="10">
        <v>-0.239659973</v>
      </c>
      <c r="M699" s="10">
        <v>-0.73629619499999999</v>
      </c>
      <c r="N699" s="10">
        <v>-0.58848042599999995</v>
      </c>
      <c r="O699" s="9">
        <v>-0.37493314500000002</v>
      </c>
      <c r="P699" s="10">
        <v>0.35952068027843298</v>
      </c>
      <c r="Q699" s="10">
        <v>0.129255119547867</v>
      </c>
    </row>
    <row r="700" spans="1:17" x14ac:dyDescent="0.2">
      <c r="A700" s="10">
        <v>1766</v>
      </c>
      <c r="B700" s="10" t="s">
        <v>2832</v>
      </c>
      <c r="C700" s="9" t="s">
        <v>2204</v>
      </c>
      <c r="D700" s="10">
        <v>-1.433046987</v>
      </c>
      <c r="E700" s="10">
        <v>-2.7315057180000002</v>
      </c>
      <c r="F700" s="10">
        <v>-1.2024526659999999</v>
      </c>
      <c r="G700" s="10">
        <v>-1.456329582</v>
      </c>
      <c r="H700" s="9">
        <v>-1.7058337379999999</v>
      </c>
      <c r="I700" s="10">
        <v>0.69331581298073097</v>
      </c>
      <c r="J700" s="10">
        <v>0.48068681652913198</v>
      </c>
      <c r="K700" s="10">
        <v>-0.419710423</v>
      </c>
      <c r="L700" s="10">
        <v>-5.8218802E-2</v>
      </c>
      <c r="M700" s="10">
        <v>-0.47648494200000002</v>
      </c>
      <c r="N700" s="10">
        <v>-0.44469428599999999</v>
      </c>
      <c r="O700" s="9">
        <v>-0.34977711324999999</v>
      </c>
      <c r="P700" s="10">
        <v>0.19575585152678801</v>
      </c>
      <c r="Q700" s="10">
        <v>3.8320353406977897E-2</v>
      </c>
    </row>
    <row r="701" spans="1:17" x14ac:dyDescent="0.2">
      <c r="A701" s="10">
        <v>1767</v>
      </c>
      <c r="B701" s="10" t="s">
        <v>2831</v>
      </c>
      <c r="C701" s="9" t="s">
        <v>1273</v>
      </c>
      <c r="D701" s="10">
        <v>-1.2948520610000001</v>
      </c>
      <c r="E701" s="10">
        <v>-1.626865445</v>
      </c>
      <c r="F701" s="10">
        <v>-1.2916285249999999</v>
      </c>
      <c r="G701" s="10">
        <v>-1.137563232</v>
      </c>
      <c r="H701" s="9">
        <v>-1.3377273155</v>
      </c>
      <c r="I701" s="10">
        <v>0.20626027585565801</v>
      </c>
      <c r="J701" s="10">
        <v>4.2543301396052099E-2</v>
      </c>
      <c r="K701" s="10">
        <v>0.13256541999999999</v>
      </c>
      <c r="L701" s="10">
        <v>-0.227260605</v>
      </c>
      <c r="M701" s="10">
        <v>-0.33333481399999998</v>
      </c>
      <c r="N701" s="10">
        <v>-0.27852082900000003</v>
      </c>
      <c r="O701" s="9">
        <v>-0.17663770675000001</v>
      </c>
      <c r="P701" s="10">
        <v>0.21063665828398501</v>
      </c>
      <c r="Q701" s="10">
        <v>4.43678018130442E-2</v>
      </c>
    </row>
    <row r="702" spans="1:17" x14ac:dyDescent="0.2">
      <c r="A702" s="10">
        <v>1767</v>
      </c>
      <c r="B702" s="10" t="s">
        <v>2822</v>
      </c>
      <c r="C702" s="9" t="s">
        <v>2203</v>
      </c>
      <c r="D702" s="10">
        <v>0.34072652199999998</v>
      </c>
      <c r="E702" s="10">
        <v>9.2747125999999999E-2</v>
      </c>
      <c r="F702" s="10">
        <v>0.39888243299999998</v>
      </c>
      <c r="G702" s="10">
        <v>-5.3326498999999999E-2</v>
      </c>
      <c r="H702" s="9">
        <v>0.19475739550000001</v>
      </c>
      <c r="I702" s="10">
        <v>0.21207367479195999</v>
      </c>
      <c r="J702" s="10">
        <v>4.4975243539766299E-2</v>
      </c>
      <c r="K702" s="10">
        <v>0.26094383100000001</v>
      </c>
      <c r="L702" s="10">
        <v>0.44359736399999999</v>
      </c>
      <c r="M702" s="10">
        <v>0.39695430500000001</v>
      </c>
      <c r="N702" s="10">
        <v>0.54002339300000002</v>
      </c>
      <c r="O702" s="9">
        <v>0.41037972350000002</v>
      </c>
      <c r="P702" s="10">
        <v>0.116077876891599</v>
      </c>
      <c r="Q702" s="10">
        <v>1.34740735036613E-2</v>
      </c>
    </row>
    <row r="703" spans="1:17" x14ac:dyDescent="0.2">
      <c r="A703" s="10">
        <v>1767</v>
      </c>
      <c r="B703" s="10" t="s">
        <v>2826</v>
      </c>
      <c r="C703" s="9" t="s">
        <v>1274</v>
      </c>
      <c r="D703" s="10">
        <v>-7.1843734000000006E-2</v>
      </c>
      <c r="E703" s="10">
        <v>-0.426649581</v>
      </c>
      <c r="F703" s="10">
        <v>0.18873700900000001</v>
      </c>
      <c r="G703" s="10">
        <v>-6.0700759E-2</v>
      </c>
      <c r="H703" s="9">
        <v>-9.2614266249999994E-2</v>
      </c>
      <c r="I703" s="10">
        <v>0.25310605059268199</v>
      </c>
      <c r="J703" s="10">
        <v>6.4062672846625604E-2</v>
      </c>
      <c r="K703" s="10">
        <v>0.14331434400000001</v>
      </c>
      <c r="L703" s="10">
        <v>0.13083125700000001</v>
      </c>
      <c r="M703" s="3">
        <v>8.0199999999999998E-5</v>
      </c>
      <c r="N703" s="10">
        <v>-4.3561280000000001E-2</v>
      </c>
      <c r="O703" s="9">
        <v>5.7666119750000001E-2</v>
      </c>
      <c r="P703" s="10">
        <v>9.3544784710477794E-2</v>
      </c>
      <c r="Q703" s="10">
        <v>8.7506267465295995E-3</v>
      </c>
    </row>
    <row r="704" spans="1:17" x14ac:dyDescent="0.2">
      <c r="A704" s="10">
        <v>1767</v>
      </c>
      <c r="B704" s="10" t="s">
        <v>2821</v>
      </c>
      <c r="C704" s="9" t="s">
        <v>1275</v>
      </c>
      <c r="D704" s="10">
        <v>-0.79757211100000003</v>
      </c>
      <c r="E704" s="10">
        <v>-0.65526307900000003</v>
      </c>
      <c r="F704" s="10">
        <v>-0.65124187700000002</v>
      </c>
      <c r="G704" s="10">
        <v>-0.90298000700000003</v>
      </c>
      <c r="H704" s="9">
        <v>-0.7517642685</v>
      </c>
      <c r="I704" s="10">
        <v>0.121630298819002</v>
      </c>
      <c r="J704" s="10">
        <v>1.47939295907997E-2</v>
      </c>
      <c r="K704" s="10">
        <v>-0.28164507599999999</v>
      </c>
      <c r="L704" s="10">
        <v>-0.25408540200000002</v>
      </c>
      <c r="M704" s="10">
        <v>-0.298011042</v>
      </c>
      <c r="N704" s="10">
        <v>-0.80662234099999996</v>
      </c>
      <c r="O704" s="9">
        <v>-0.41009096499999997</v>
      </c>
      <c r="P704" s="10">
        <v>0.26497491917795202</v>
      </c>
      <c r="Q704" s="10">
        <v>7.0211707793362194E-2</v>
      </c>
    </row>
    <row r="705" spans="1:17" x14ac:dyDescent="0.2">
      <c r="A705" s="10">
        <v>1767</v>
      </c>
      <c r="B705" s="10" t="s">
        <v>2834</v>
      </c>
      <c r="C705" s="9" t="s">
        <v>2616</v>
      </c>
      <c r="D705" s="10">
        <v>-5.0314426000000002E-2</v>
      </c>
      <c r="E705" s="10">
        <v>-7.0088686999999997E-2</v>
      </c>
      <c r="F705" s="10">
        <v>3.0470934000000002E-2</v>
      </c>
      <c r="G705" s="10">
        <v>1.2759105E-2</v>
      </c>
      <c r="H705" s="9">
        <v>-1.9293268749999998E-2</v>
      </c>
      <c r="I705" s="10">
        <v>4.8464135367212301E-2</v>
      </c>
      <c r="J705" s="10">
        <v>2.3487724168914001E-3</v>
      </c>
      <c r="K705" s="10">
        <v>-0.47741725800000001</v>
      </c>
      <c r="L705" s="10">
        <v>0.13318795</v>
      </c>
      <c r="M705" s="10">
        <v>-0.29367308600000003</v>
      </c>
      <c r="N705" s="10">
        <v>-2.9977271999999999E-2</v>
      </c>
      <c r="O705" s="9">
        <v>-0.16696991650000001</v>
      </c>
      <c r="P705" s="10">
        <v>0.271595885139851</v>
      </c>
      <c r="Q705" s="10">
        <v>7.3764324824899502E-2</v>
      </c>
    </row>
    <row r="706" spans="1:17" x14ac:dyDescent="0.2">
      <c r="A706" s="10">
        <v>1767</v>
      </c>
      <c r="B706" s="10" t="s">
        <v>2824</v>
      </c>
      <c r="C706" s="9" t="s">
        <v>1276</v>
      </c>
      <c r="D706" s="10">
        <v>3.0822213000000001E-2</v>
      </c>
      <c r="E706" s="10">
        <v>0.13551429300000001</v>
      </c>
      <c r="F706" s="10">
        <v>-0.161080005</v>
      </c>
      <c r="G706" s="10">
        <v>0.18464778500000001</v>
      </c>
      <c r="H706" s="9">
        <v>4.7476071500000001E-2</v>
      </c>
      <c r="I706" s="10">
        <v>0.153122821592581</v>
      </c>
      <c r="J706" s="10">
        <v>2.3446598492473599E-2</v>
      </c>
      <c r="K706" s="10">
        <v>-0.215495249</v>
      </c>
      <c r="L706" s="10">
        <v>-7.3028340999999997E-2</v>
      </c>
      <c r="M706" s="10">
        <v>-4.1862521999999999E-2</v>
      </c>
      <c r="N706" s="10">
        <v>-8.7125159999999993E-2</v>
      </c>
      <c r="O706" s="9">
        <v>-0.10437781825</v>
      </c>
      <c r="P706" s="10">
        <v>7.6454103055898504E-2</v>
      </c>
      <c r="Q706" s="10">
        <v>5.8452298740819001E-3</v>
      </c>
    </row>
    <row r="707" spans="1:17" x14ac:dyDescent="0.2">
      <c r="A707" s="10">
        <v>1767</v>
      </c>
      <c r="B707" s="10" t="s">
        <v>82</v>
      </c>
      <c r="C707" s="9" t="s">
        <v>2202</v>
      </c>
      <c r="D707" s="10">
        <v>-0.49584962599999999</v>
      </c>
      <c r="E707" s="10">
        <v>-0.42317118300000001</v>
      </c>
      <c r="F707" s="10">
        <v>-0.78355158499999999</v>
      </c>
      <c r="G707" s="10">
        <v>-0.48734414100000001</v>
      </c>
      <c r="H707" s="9">
        <v>-0.54747913375000001</v>
      </c>
      <c r="I707" s="10">
        <v>0.16069068867692901</v>
      </c>
      <c r="J707" s="10">
        <v>2.5821497427465898E-2</v>
      </c>
      <c r="K707" s="10">
        <v>-0.59504124400000002</v>
      </c>
      <c r="L707" s="10">
        <v>-0.240614676</v>
      </c>
      <c r="M707" s="10">
        <v>-0.25604916100000003</v>
      </c>
      <c r="N707" s="10">
        <v>-0.65674698399999998</v>
      </c>
      <c r="O707" s="9">
        <v>-0.43711301624999999</v>
      </c>
      <c r="P707" s="10">
        <v>0.21952685660214899</v>
      </c>
      <c r="Q707" s="10">
        <v>4.8192040769620498E-2</v>
      </c>
    </row>
    <row r="708" spans="1:17" x14ac:dyDescent="0.2">
      <c r="A708" s="10">
        <v>1767</v>
      </c>
      <c r="B708" s="10" t="s">
        <v>2814</v>
      </c>
      <c r="C708" s="9" t="s">
        <v>1277</v>
      </c>
      <c r="D708" s="10">
        <v>-2.0331001930000001</v>
      </c>
      <c r="E708" s="10">
        <v>-2.4374083780000002</v>
      </c>
      <c r="F708" s="10">
        <v>-1.742724328</v>
      </c>
      <c r="G708" s="10">
        <v>-1.3660055929999999</v>
      </c>
      <c r="H708" s="9">
        <v>-1.894809623</v>
      </c>
      <c r="I708" s="10">
        <v>0.45324802988281199</v>
      </c>
      <c r="J708" s="10">
        <v>0.205433776592651</v>
      </c>
      <c r="K708" s="10">
        <v>-0.61587503499999996</v>
      </c>
      <c r="L708" s="10">
        <v>-0.65242095499999997</v>
      </c>
      <c r="M708" s="10">
        <v>-0.761564978</v>
      </c>
      <c r="N708" s="10">
        <v>-0.85567351700000005</v>
      </c>
      <c r="O708" s="9">
        <v>-0.72138362099999997</v>
      </c>
      <c r="P708" s="10">
        <v>0.108836618591966</v>
      </c>
      <c r="Q708" s="10">
        <v>1.1845409546533001E-2</v>
      </c>
    </row>
    <row r="709" spans="1:17" x14ac:dyDescent="0.2">
      <c r="A709" s="10">
        <v>1767</v>
      </c>
      <c r="B709" s="10" t="s">
        <v>2833</v>
      </c>
      <c r="C709" s="9" t="s">
        <v>2201</v>
      </c>
      <c r="D709" s="10">
        <v>-0.41139243399999997</v>
      </c>
      <c r="E709" s="10">
        <v>-0.22025482199999999</v>
      </c>
      <c r="F709" s="10">
        <v>-0.70746233700000005</v>
      </c>
      <c r="G709" s="10">
        <v>-0.81690195399999999</v>
      </c>
      <c r="H709" s="9">
        <v>-0.53900288699999999</v>
      </c>
      <c r="I709" s="10">
        <v>0.27294152877486499</v>
      </c>
      <c r="J709" s="10">
        <v>7.44970781299608E-2</v>
      </c>
      <c r="K709" s="10">
        <v>-0.18335769199999999</v>
      </c>
      <c r="L709" s="10">
        <v>0.37602151700000003</v>
      </c>
      <c r="M709" s="10">
        <v>-0.295477718</v>
      </c>
      <c r="N709" s="10">
        <v>-0.79008021100000003</v>
      </c>
      <c r="O709" s="9">
        <v>-0.22322352600000001</v>
      </c>
      <c r="P709" s="10">
        <v>0.47861991735661102</v>
      </c>
      <c r="Q709" s="10">
        <v>0.22907702529044899</v>
      </c>
    </row>
    <row r="710" spans="1:17" x14ac:dyDescent="0.2">
      <c r="A710" s="10">
        <v>1767</v>
      </c>
      <c r="B710" s="10" t="s">
        <v>2825</v>
      </c>
      <c r="C710" s="9" t="s">
        <v>1278</v>
      </c>
      <c r="D710" s="10">
        <v>-0.78954555999999998</v>
      </c>
      <c r="E710" s="10">
        <v>-0.656496313</v>
      </c>
      <c r="F710" s="10">
        <v>-0.85002047199999997</v>
      </c>
      <c r="G710" s="10">
        <v>-6.2330800999999998E-2</v>
      </c>
      <c r="H710" s="9">
        <v>-0.58959828624999999</v>
      </c>
      <c r="I710" s="10">
        <v>0.36068683281380698</v>
      </c>
      <c r="J710" s="10">
        <v>0.13009499136525501</v>
      </c>
      <c r="K710" s="10">
        <v>-0.43547984000000001</v>
      </c>
      <c r="L710" s="10">
        <v>-0.44169428799999999</v>
      </c>
      <c r="M710" s="10">
        <v>-0.64099358900000003</v>
      </c>
      <c r="N710" s="10">
        <v>-0.54702925700000005</v>
      </c>
      <c r="O710" s="9">
        <v>-0.51629924324999998</v>
      </c>
      <c r="P710" s="10">
        <v>9.7622895020646194E-2</v>
      </c>
      <c r="Q710" s="10">
        <v>9.5302296322120998E-3</v>
      </c>
    </row>
    <row r="711" spans="1:17" x14ac:dyDescent="0.2">
      <c r="A711" s="10">
        <v>1767</v>
      </c>
      <c r="B711" s="10" t="s">
        <v>74</v>
      </c>
      <c r="C711" s="9" t="s">
        <v>1279</v>
      </c>
      <c r="D711" s="10">
        <v>-0.53639977500000002</v>
      </c>
      <c r="E711" s="10">
        <v>-0.40306957100000002</v>
      </c>
      <c r="F711" s="10">
        <v>-0.82278783700000002</v>
      </c>
      <c r="G711" s="10">
        <v>-0.64819428099999998</v>
      </c>
      <c r="H711" s="9">
        <v>-0.60261286599999997</v>
      </c>
      <c r="I711" s="10">
        <v>0.177722989741042</v>
      </c>
      <c r="J711" s="10">
        <v>3.1585461082494701E-2</v>
      </c>
      <c r="K711" s="10">
        <v>-0.28483931499999998</v>
      </c>
      <c r="L711" s="10">
        <v>-0.55887952200000002</v>
      </c>
      <c r="M711" s="10">
        <v>-0.35478151299999999</v>
      </c>
      <c r="N711" s="10">
        <v>-0.27380585299999999</v>
      </c>
      <c r="O711" s="9">
        <v>-0.36807655049999999</v>
      </c>
      <c r="P711" s="10">
        <v>0.13215891158774801</v>
      </c>
      <c r="Q711" s="10">
        <v>1.7465977912058301E-2</v>
      </c>
    </row>
    <row r="712" spans="1:17" x14ac:dyDescent="0.2">
      <c r="A712" s="10">
        <v>1767</v>
      </c>
      <c r="B712" s="10" t="s">
        <v>2818</v>
      </c>
      <c r="C712" s="9" t="s">
        <v>1280</v>
      </c>
      <c r="D712" s="10">
        <v>0.213223998</v>
      </c>
      <c r="E712" s="10">
        <v>-0.335994248</v>
      </c>
      <c r="F712" s="10">
        <v>-4.7026539999999999E-2</v>
      </c>
      <c r="G712" s="10">
        <v>-0.46097461699999998</v>
      </c>
      <c r="H712" s="9">
        <v>-0.15769285175</v>
      </c>
      <c r="I712" s="10">
        <v>0.30199203026054999</v>
      </c>
      <c r="J712" s="10">
        <v>9.1199186340889193E-2</v>
      </c>
      <c r="K712" s="10">
        <v>4.5614641999999997E-2</v>
      </c>
      <c r="L712" s="10">
        <v>-9.1195111999999995E-2</v>
      </c>
      <c r="M712" s="10">
        <v>0.42313694499999999</v>
      </c>
      <c r="N712" s="10">
        <v>-0.22503911300000001</v>
      </c>
      <c r="O712" s="9">
        <v>3.8129340249999998E-2</v>
      </c>
      <c r="P712" s="10">
        <v>0.27944548317061801</v>
      </c>
      <c r="Q712" s="10">
        <v>7.80897780644602E-2</v>
      </c>
    </row>
    <row r="713" spans="1:17" x14ac:dyDescent="0.2">
      <c r="A713" s="10">
        <v>1767</v>
      </c>
      <c r="B713" s="10" t="s">
        <v>2830</v>
      </c>
      <c r="C713" s="9" t="s">
        <v>2200</v>
      </c>
      <c r="D713" s="10">
        <v>-0.11717301500000001</v>
      </c>
      <c r="E713" s="10">
        <v>9.9504525999999996E-2</v>
      </c>
      <c r="F713" s="10">
        <v>-0.28347285100000003</v>
      </c>
      <c r="G713" s="10">
        <v>-0.42925946599999998</v>
      </c>
      <c r="H713" s="9">
        <v>-0.1826002015</v>
      </c>
      <c r="I713" s="10">
        <v>0.22721493362892101</v>
      </c>
      <c r="J713" s="10">
        <v>5.16266260639952E-2</v>
      </c>
      <c r="K713" s="10">
        <v>5.6783083999999998E-2</v>
      </c>
      <c r="L713" s="10">
        <v>-4.00463E-2</v>
      </c>
      <c r="M713" s="10">
        <v>-0.101141815</v>
      </c>
      <c r="N713" s="10">
        <v>-0.32709146099999997</v>
      </c>
      <c r="O713" s="9">
        <v>-0.102874123</v>
      </c>
      <c r="P713" s="10">
        <v>0.163007335868433</v>
      </c>
      <c r="Q713" s="10">
        <v>2.6571391546924401E-2</v>
      </c>
    </row>
    <row r="714" spans="1:17" x14ac:dyDescent="0.2">
      <c r="A714" s="10">
        <v>1767</v>
      </c>
      <c r="B714" s="10" t="s">
        <v>2832</v>
      </c>
      <c r="C714" s="9" t="s">
        <v>1281</v>
      </c>
      <c r="D714" s="10">
        <v>-0.16453527900000001</v>
      </c>
      <c r="E714" s="10">
        <v>0.265359858</v>
      </c>
      <c r="F714" s="10">
        <v>7.0523046000000006E-2</v>
      </c>
      <c r="G714" s="10">
        <v>-8.3252449000000006E-2</v>
      </c>
      <c r="H714" s="9">
        <v>2.2023793999999999E-2</v>
      </c>
      <c r="I714" s="10">
        <v>0.189254671933866</v>
      </c>
      <c r="J714" s="10">
        <v>3.5817330848795299E-2</v>
      </c>
      <c r="K714" s="10">
        <v>2.8487587000000002E-2</v>
      </c>
      <c r="L714" s="10">
        <v>-7.9985463000000007E-2</v>
      </c>
      <c r="M714" s="10">
        <v>7.2504479999999996E-3</v>
      </c>
      <c r="N714" s="10">
        <v>-0.136120941</v>
      </c>
      <c r="O714" s="9">
        <v>-4.509209225E-2</v>
      </c>
      <c r="P714" s="10">
        <v>7.6719205212695499E-2</v>
      </c>
      <c r="Q714" s="10">
        <v>5.8858364484676001E-3</v>
      </c>
    </row>
    <row r="715" spans="1:17" x14ac:dyDescent="0.2">
      <c r="A715" s="10">
        <v>1768</v>
      </c>
      <c r="B715" s="10" t="s">
        <v>2831</v>
      </c>
      <c r="C715" s="9" t="s">
        <v>1282</v>
      </c>
      <c r="D715" s="10">
        <v>-1.162654415</v>
      </c>
      <c r="E715" s="10">
        <v>-1.969163247</v>
      </c>
      <c r="F715" s="10">
        <v>-1.2390131950000001</v>
      </c>
      <c r="G715" s="10">
        <v>-0.47430283200000001</v>
      </c>
      <c r="H715" s="9">
        <v>-1.2112834225</v>
      </c>
      <c r="I715" s="10">
        <v>0.611188988723677</v>
      </c>
      <c r="J715" s="10">
        <v>0.37355197993707201</v>
      </c>
      <c r="K715" s="10">
        <v>-7.5325796E-2</v>
      </c>
      <c r="L715" s="10">
        <v>-9.5055476E-2</v>
      </c>
      <c r="M715" s="10">
        <v>-1.588141282</v>
      </c>
      <c r="N715" s="10">
        <v>9.9361489999999997E-2</v>
      </c>
      <c r="O715" s="9">
        <v>-0.41479026575</v>
      </c>
      <c r="P715" s="10">
        <v>0.78709827791173104</v>
      </c>
      <c r="Q715" s="10">
        <v>0.61952369909161298</v>
      </c>
    </row>
    <row r="716" spans="1:17" x14ac:dyDescent="0.2">
      <c r="A716" s="10">
        <v>1768</v>
      </c>
      <c r="B716" s="10" t="s">
        <v>2822</v>
      </c>
      <c r="C716" s="9" t="s">
        <v>1283</v>
      </c>
      <c r="D716" s="10">
        <v>-1.2561478610000001</v>
      </c>
      <c r="E716" s="10">
        <v>-0.68055673699999997</v>
      </c>
      <c r="F716" s="10">
        <v>-2.0811669089999998</v>
      </c>
      <c r="G716" s="10">
        <v>-0.61675747999999997</v>
      </c>
      <c r="H716" s="9">
        <v>-1.15865724675</v>
      </c>
      <c r="I716" s="10">
        <v>0.67891186257578495</v>
      </c>
      <c r="J716" s="10">
        <v>0.460921317146121</v>
      </c>
      <c r="K716" s="10">
        <v>-1.1880864659999999</v>
      </c>
      <c r="L716" s="10">
        <v>-0.49109485899999999</v>
      </c>
      <c r="M716" s="10">
        <v>-1.892051884</v>
      </c>
      <c r="N716" s="10">
        <v>-2.4890280699999998</v>
      </c>
      <c r="O716" s="9">
        <v>-1.5150653199999999</v>
      </c>
      <c r="P716" s="10">
        <v>0.86528472843486504</v>
      </c>
      <c r="Q716" s="10">
        <v>0.74871766126259798</v>
      </c>
    </row>
    <row r="717" spans="1:17" x14ac:dyDescent="0.2">
      <c r="A717" s="10">
        <v>1768</v>
      </c>
      <c r="B717" s="10" t="s">
        <v>2821</v>
      </c>
      <c r="C717" s="9" t="s">
        <v>1284</v>
      </c>
      <c r="D717" s="10">
        <v>-0.85430142799999997</v>
      </c>
      <c r="E717" s="10">
        <v>-0.50973272999999997</v>
      </c>
      <c r="F717" s="10">
        <v>-0.33173639399999999</v>
      </c>
      <c r="G717" s="10">
        <v>-0.26323250799999998</v>
      </c>
      <c r="H717" s="9">
        <v>-0.48975076499999998</v>
      </c>
      <c r="I717" s="10">
        <v>0.26430760300317002</v>
      </c>
      <c r="J717" s="10">
        <v>6.9858509005281497E-2</v>
      </c>
      <c r="K717" s="10">
        <v>0.19936309399999999</v>
      </c>
      <c r="L717" s="10">
        <v>0.14484861199999999</v>
      </c>
      <c r="M717" s="10">
        <v>0.26564561199999998</v>
      </c>
      <c r="N717" s="10">
        <v>-0.16978163700000001</v>
      </c>
      <c r="O717" s="9">
        <v>0.11001892050000001</v>
      </c>
      <c r="P717" s="10">
        <v>0.19296243834222401</v>
      </c>
      <c r="Q717" s="10">
        <v>3.7234502610976702E-2</v>
      </c>
    </row>
    <row r="718" spans="1:17" x14ac:dyDescent="0.2">
      <c r="A718" s="10">
        <v>1768</v>
      </c>
      <c r="B718" s="10" t="s">
        <v>2824</v>
      </c>
      <c r="C718" s="9" t="s">
        <v>1285</v>
      </c>
      <c r="D718" s="10">
        <v>0.13320120899999999</v>
      </c>
      <c r="E718" s="10">
        <v>-5.1271889000000001E-2</v>
      </c>
      <c r="F718" s="10">
        <v>-0.39129823800000002</v>
      </c>
      <c r="G718" s="10">
        <v>-0.254718004</v>
      </c>
      <c r="H718" s="9">
        <v>-0.14102173025</v>
      </c>
      <c r="I718" s="10">
        <v>0.23008580096091699</v>
      </c>
      <c r="J718" s="10">
        <v>5.2939475803826699E-2</v>
      </c>
      <c r="K718" s="10">
        <v>-6.7350786999999995E-2</v>
      </c>
      <c r="L718" s="10">
        <v>4.4060215999999999E-2</v>
      </c>
      <c r="M718" s="10">
        <v>-0.38065343400000001</v>
      </c>
      <c r="N718" s="10">
        <v>-0.19292156299999999</v>
      </c>
      <c r="O718" s="9">
        <v>-0.149216392</v>
      </c>
      <c r="P718" s="10">
        <v>0.182145611040407</v>
      </c>
      <c r="Q718" s="10">
        <v>3.3177023621283497E-2</v>
      </c>
    </row>
    <row r="719" spans="1:17" x14ac:dyDescent="0.2">
      <c r="A719" s="10">
        <v>1768</v>
      </c>
      <c r="B719" s="10" t="s">
        <v>2817</v>
      </c>
      <c r="C719" s="9" t="s">
        <v>2199</v>
      </c>
      <c r="D719" s="10">
        <v>0.197199821</v>
      </c>
      <c r="E719" s="10">
        <v>0.32405829200000003</v>
      </c>
      <c r="F719" s="10">
        <v>-0.30824022600000001</v>
      </c>
      <c r="G719" s="10">
        <v>-0.400879031</v>
      </c>
      <c r="H719" s="9">
        <v>-4.6965286000000002E-2</v>
      </c>
      <c r="I719" s="10">
        <v>0.36092225759396401</v>
      </c>
      <c r="J719" s="10">
        <v>0.13026487602672401</v>
      </c>
      <c r="K719" s="10">
        <v>2.6244502999999999E-2</v>
      </c>
      <c r="L719" s="10">
        <v>-4.2403660000000003E-2</v>
      </c>
      <c r="M719" s="10">
        <v>-0.61439183900000005</v>
      </c>
      <c r="N719" s="10">
        <v>-0.50453480500000003</v>
      </c>
      <c r="O719" s="9">
        <v>-0.28377145025</v>
      </c>
      <c r="P719" s="10">
        <v>0.32270450967685999</v>
      </c>
      <c r="Q719" s="10">
        <v>0.104138200565783</v>
      </c>
    </row>
    <row r="720" spans="1:17" x14ac:dyDescent="0.2">
      <c r="A720" s="10">
        <v>1768</v>
      </c>
      <c r="B720" s="10" t="s">
        <v>2814</v>
      </c>
      <c r="C720" s="9" t="s">
        <v>2198</v>
      </c>
      <c r="D720" s="10">
        <v>-2.3821692589999999</v>
      </c>
      <c r="E720" s="10">
        <v>-1.794237963</v>
      </c>
      <c r="F720" s="10">
        <v>-1.1036834040000001</v>
      </c>
      <c r="G720" s="10">
        <v>-1.365302008</v>
      </c>
      <c r="H720" s="9">
        <v>-1.6613481585000001</v>
      </c>
      <c r="I720" s="10">
        <v>0.55853261937076104</v>
      </c>
      <c r="J720" s="10">
        <v>0.31195868690116402</v>
      </c>
      <c r="K720" s="10">
        <v>-0.129713406</v>
      </c>
      <c r="L720" s="10">
        <v>-0.19645562</v>
      </c>
      <c r="M720" s="10">
        <v>-1.2030145999999999</v>
      </c>
      <c r="N720" s="10">
        <v>-0.58780330199999997</v>
      </c>
      <c r="O720" s="9">
        <v>-0.52924673175000003</v>
      </c>
      <c r="P720" s="10">
        <v>0.49253386166173002</v>
      </c>
      <c r="Q720" s="10">
        <v>0.24258960488341599</v>
      </c>
    </row>
    <row r="721" spans="1:17" x14ac:dyDescent="0.2">
      <c r="A721" s="10">
        <v>1768</v>
      </c>
      <c r="B721" s="10" t="s">
        <v>2825</v>
      </c>
      <c r="C721" s="9" t="s">
        <v>1286</v>
      </c>
      <c r="D721" s="10">
        <v>-1.1318382419999999</v>
      </c>
      <c r="E721" s="10">
        <v>-0.935387776</v>
      </c>
      <c r="F721" s="10">
        <v>-0.77569713100000004</v>
      </c>
      <c r="G721" s="10">
        <v>-0.84712512699999998</v>
      </c>
      <c r="H721" s="9">
        <v>-0.92251206900000005</v>
      </c>
      <c r="I721" s="10">
        <v>0.15407903553872401</v>
      </c>
      <c r="J721" s="10">
        <v>2.37403491925436E-2</v>
      </c>
      <c r="K721" s="10">
        <v>-2.8324159000000002E-2</v>
      </c>
      <c r="L721" s="10">
        <v>9.513576E-2</v>
      </c>
      <c r="M721" s="10">
        <v>-0.33062837499999997</v>
      </c>
      <c r="N721" s="10">
        <v>-0.27743435300000002</v>
      </c>
      <c r="O721" s="9">
        <v>-0.13531278175</v>
      </c>
      <c r="P721" s="10">
        <v>0.202402089723905</v>
      </c>
      <c r="Q721" s="10">
        <v>4.0966605924603799E-2</v>
      </c>
    </row>
    <row r="722" spans="1:17" x14ac:dyDescent="0.2">
      <c r="A722" s="10">
        <v>1768</v>
      </c>
      <c r="B722" s="10" t="s">
        <v>74</v>
      </c>
      <c r="C722" s="9" t="s">
        <v>1287</v>
      </c>
      <c r="D722" s="10">
        <v>-0.18828488700000001</v>
      </c>
      <c r="E722" s="10">
        <v>0.28996153699999999</v>
      </c>
      <c r="F722" s="10">
        <v>-0.85601543700000005</v>
      </c>
      <c r="G722" s="10">
        <v>-0.45140668499999997</v>
      </c>
      <c r="H722" s="9">
        <v>-0.30143636824999998</v>
      </c>
      <c r="I722" s="10">
        <v>0.48048717618852499</v>
      </c>
      <c r="J722" s="10">
        <v>0.23086792648162299</v>
      </c>
      <c r="K722" s="10">
        <v>0.141682583</v>
      </c>
      <c r="L722" s="10">
        <v>0.497909987</v>
      </c>
      <c r="M722" s="10">
        <v>-0.999265187</v>
      </c>
      <c r="N722" s="10">
        <v>4.6666198999999998E-2</v>
      </c>
      <c r="O722" s="9">
        <v>-7.8251604500000002E-2</v>
      </c>
      <c r="P722" s="10">
        <v>0.64399888797311999</v>
      </c>
      <c r="Q722" s="10">
        <v>0.41473456771061501</v>
      </c>
    </row>
    <row r="723" spans="1:17" x14ac:dyDescent="0.2">
      <c r="A723" s="10">
        <v>1768</v>
      </c>
      <c r="B723" s="10" t="s">
        <v>2818</v>
      </c>
      <c r="C723" s="9" t="s">
        <v>2197</v>
      </c>
      <c r="D723" s="10">
        <v>-0.305985442</v>
      </c>
      <c r="E723" s="10">
        <v>2.9893149000000001E-2</v>
      </c>
      <c r="F723" s="10">
        <v>-0.75631371999999997</v>
      </c>
      <c r="G723" s="10">
        <v>-0.35917222100000001</v>
      </c>
      <c r="H723" s="9">
        <v>-0.34789455875000003</v>
      </c>
      <c r="I723" s="10">
        <v>0.32218696597666302</v>
      </c>
      <c r="J723" s="10">
        <v>0.103804441045247</v>
      </c>
      <c r="K723" s="10">
        <v>0.31120551099999999</v>
      </c>
      <c r="L723" s="10">
        <v>0.14219474200000001</v>
      </c>
      <c r="M723" s="10">
        <v>0.14798973200000001</v>
      </c>
      <c r="N723" s="10">
        <v>-0.85339195899999998</v>
      </c>
      <c r="O723" s="9">
        <v>-6.3000493249999998E-2</v>
      </c>
      <c r="P723" s="10">
        <v>0.53271967689944</v>
      </c>
      <c r="Q723" s="10">
        <v>0.28379025415584402</v>
      </c>
    </row>
    <row r="724" spans="1:17" x14ac:dyDescent="0.2">
      <c r="A724" s="10">
        <v>1768</v>
      </c>
      <c r="B724" s="10" t="s">
        <v>2830</v>
      </c>
      <c r="C724" s="9" t="s">
        <v>1288</v>
      </c>
      <c r="D724" s="10">
        <v>-0.20513484600000001</v>
      </c>
      <c r="E724" s="10">
        <v>-0.15389497099999999</v>
      </c>
      <c r="F724" s="10">
        <v>-0.55524492199999997</v>
      </c>
      <c r="G724" s="10">
        <v>-0.67807126699999998</v>
      </c>
      <c r="H724" s="9">
        <v>-0.39808650150000002</v>
      </c>
      <c r="I724" s="10">
        <v>0.25816666643486202</v>
      </c>
      <c r="J724" s="10">
        <v>6.6650027658089306E-2</v>
      </c>
      <c r="K724" s="10">
        <v>-0.15421818700000001</v>
      </c>
      <c r="L724" s="10">
        <v>-0.36604078200000001</v>
      </c>
      <c r="M724" s="10">
        <v>-1.186977832</v>
      </c>
      <c r="N724" s="10">
        <v>-0.77541181199999998</v>
      </c>
      <c r="O724" s="9">
        <v>-0.62066215324999996</v>
      </c>
      <c r="P724" s="10">
        <v>0.45718811636260998</v>
      </c>
      <c r="Q724" s="10">
        <v>0.20902097374319101</v>
      </c>
    </row>
    <row r="725" spans="1:17" x14ac:dyDescent="0.2">
      <c r="A725" s="10">
        <v>1768</v>
      </c>
      <c r="B725" s="10" t="s">
        <v>2832</v>
      </c>
      <c r="C725" s="9" t="s">
        <v>1289</v>
      </c>
      <c r="D725" s="10">
        <v>-0.31045233</v>
      </c>
      <c r="E725" s="10">
        <v>-0.64316920499999997</v>
      </c>
      <c r="F725" s="10">
        <v>-0.81326434400000003</v>
      </c>
      <c r="G725" s="10">
        <v>-0.367975944</v>
      </c>
      <c r="H725" s="9">
        <v>-0.53371545575000001</v>
      </c>
      <c r="I725" s="10">
        <v>0.236251076344272</v>
      </c>
      <c r="J725" s="10">
        <v>5.5814571073827098E-2</v>
      </c>
      <c r="K725" s="10">
        <v>7.0098170000000001E-2</v>
      </c>
      <c r="L725" s="10">
        <v>2.4088419999999999E-2</v>
      </c>
      <c r="M725" s="10">
        <v>6.77704E-4</v>
      </c>
      <c r="N725" s="10">
        <v>-0.13634553799999999</v>
      </c>
      <c r="O725" s="9">
        <v>-1.0370311E-2</v>
      </c>
      <c r="P725" s="10">
        <v>8.8796390748196993E-2</v>
      </c>
      <c r="Q725" s="10">
        <v>7.8847990099064E-3</v>
      </c>
    </row>
    <row r="726" spans="1:17" x14ac:dyDescent="0.2">
      <c r="A726" s="10">
        <v>1769</v>
      </c>
      <c r="B726" s="10" t="s">
        <v>96</v>
      </c>
      <c r="C726" s="9" t="s">
        <v>1290</v>
      </c>
      <c r="D726" s="10">
        <v>-2.1487915640000002</v>
      </c>
      <c r="E726" s="10">
        <v>-0.57269136200000004</v>
      </c>
      <c r="F726" s="10">
        <v>-0.99148876399999997</v>
      </c>
      <c r="G726" s="10">
        <v>-0.42516533699999998</v>
      </c>
      <c r="H726" s="9">
        <v>-1.03453425675</v>
      </c>
      <c r="I726" s="10">
        <v>0.78060907864616702</v>
      </c>
      <c r="J726" s="10">
        <v>0.60935053366481695</v>
      </c>
      <c r="K726" s="10">
        <v>9.9379959999999993E-3</v>
      </c>
      <c r="L726" s="10">
        <v>-0.195497805</v>
      </c>
      <c r="M726" s="10">
        <v>-0.373984498</v>
      </c>
      <c r="N726" s="10">
        <v>-0.270478145</v>
      </c>
      <c r="O726" s="9">
        <v>-0.20750561300000001</v>
      </c>
      <c r="P726" s="10">
        <v>0.162385004937077</v>
      </c>
      <c r="Q726" s="10">
        <v>2.63688898284146E-2</v>
      </c>
    </row>
    <row r="727" spans="1:17" x14ac:dyDescent="0.2">
      <c r="A727" s="10">
        <v>1769</v>
      </c>
      <c r="B727" s="10" t="s">
        <v>2823</v>
      </c>
      <c r="C727" s="9" t="s">
        <v>1291</v>
      </c>
      <c r="D727" s="10">
        <v>-0.78730880800000003</v>
      </c>
      <c r="E727" s="10">
        <v>-0.98976525100000001</v>
      </c>
      <c r="F727" s="10">
        <v>-0.73109145499999995</v>
      </c>
      <c r="G727" s="10">
        <v>-0.34633756100000002</v>
      </c>
      <c r="H727" s="9">
        <v>-0.71362576850000004</v>
      </c>
      <c r="I727" s="10">
        <v>0.268879081669812</v>
      </c>
      <c r="J727" s="10">
        <v>7.2295960559601899E-2</v>
      </c>
      <c r="K727" s="10">
        <v>-0.13781474299999999</v>
      </c>
      <c r="L727" s="10">
        <v>2.4871649999999999E-2</v>
      </c>
      <c r="M727" s="10">
        <v>-8.5247918000000006E-2</v>
      </c>
      <c r="N727" s="10">
        <v>-0.53225666299999996</v>
      </c>
      <c r="O727" s="9">
        <v>-0.18261191825</v>
      </c>
      <c r="P727" s="10">
        <v>0.242753245141444</v>
      </c>
      <c r="Q727" s="10">
        <v>5.8929138026702001E-2</v>
      </c>
    </row>
    <row r="728" spans="1:17" x14ac:dyDescent="0.2">
      <c r="A728" s="10">
        <v>1769</v>
      </c>
      <c r="B728" s="10" t="s">
        <v>2819</v>
      </c>
      <c r="C728" s="9" t="s">
        <v>1292</v>
      </c>
      <c r="D728" s="10">
        <v>-0.22675984299999999</v>
      </c>
      <c r="E728" s="10">
        <v>-0.83030894700000002</v>
      </c>
      <c r="F728" s="10">
        <v>-0.37372665500000002</v>
      </c>
      <c r="G728" s="10">
        <v>-0.218580045</v>
      </c>
      <c r="H728" s="9">
        <v>-0.41234387275000001</v>
      </c>
      <c r="I728" s="10">
        <v>0.28761777056951698</v>
      </c>
      <c r="J728" s="10">
        <v>8.2723981947379802E-2</v>
      </c>
      <c r="K728" s="10">
        <v>0.17282403099999999</v>
      </c>
      <c r="L728" s="10">
        <v>-0.57378613999999994</v>
      </c>
      <c r="M728" s="10">
        <v>-0.28074685799999999</v>
      </c>
      <c r="N728" s="10">
        <v>-0.23527451499999999</v>
      </c>
      <c r="O728" s="9">
        <v>-0.22924587075</v>
      </c>
      <c r="P728" s="10">
        <v>0.307168194570626</v>
      </c>
      <c r="Q728" s="10">
        <v>9.4352299755778204E-2</v>
      </c>
    </row>
    <row r="729" spans="1:17" x14ac:dyDescent="0.2">
      <c r="A729" s="10">
        <v>1769</v>
      </c>
      <c r="B729" s="10" t="s">
        <v>2826</v>
      </c>
      <c r="C729" s="9" t="s">
        <v>1293</v>
      </c>
      <c r="D729" s="10">
        <v>-0.59365150899999997</v>
      </c>
      <c r="E729" s="10">
        <v>-4.7862138999999998E-2</v>
      </c>
      <c r="F729" s="10">
        <v>-0.89448751999999998</v>
      </c>
      <c r="G729" s="10">
        <v>-0.48796456500000002</v>
      </c>
      <c r="H729" s="9">
        <v>-0.50599143324999996</v>
      </c>
      <c r="I729" s="10">
        <v>0.350628443669109</v>
      </c>
      <c r="J729" s="10">
        <v>0.122940305509821</v>
      </c>
      <c r="K729" s="10">
        <v>6.3473662E-2</v>
      </c>
      <c r="L729" s="10">
        <v>-9.8848884999999997E-2</v>
      </c>
      <c r="M729" s="10">
        <v>-0.53616269900000002</v>
      </c>
      <c r="N729" s="10">
        <v>5.7927351000000002E-2</v>
      </c>
      <c r="O729" s="9">
        <v>-0.1284026425</v>
      </c>
      <c r="P729" s="10">
        <v>0.28206209184358599</v>
      </c>
      <c r="Q729" s="10">
        <v>7.95590236551795E-2</v>
      </c>
    </row>
    <row r="730" spans="1:17" x14ac:dyDescent="0.2">
      <c r="A730" s="10">
        <v>1769</v>
      </c>
      <c r="B730" s="10" t="s">
        <v>2821</v>
      </c>
      <c r="C730" s="9" t="s">
        <v>1294</v>
      </c>
      <c r="D730" s="10">
        <v>0.17899010800000001</v>
      </c>
      <c r="E730" s="10">
        <v>-5.0398824000000002E-2</v>
      </c>
      <c r="F730" s="10">
        <v>2.6166760000000001E-3</v>
      </c>
      <c r="G730" s="10">
        <v>-0.32326334899999998</v>
      </c>
      <c r="H730" s="9">
        <v>-4.8013847249999998E-2</v>
      </c>
      <c r="I730" s="10">
        <v>0.208056259948628</v>
      </c>
      <c r="J730" s="10">
        <v>4.3287407303811302E-2</v>
      </c>
      <c r="K730" s="10">
        <v>0.49181843800000002</v>
      </c>
      <c r="L730" s="10">
        <v>0.78075308099999996</v>
      </c>
      <c r="M730" s="10">
        <v>1.0676549049999999</v>
      </c>
      <c r="N730" s="10">
        <v>1.347929084</v>
      </c>
      <c r="O730" s="9">
        <v>0.92203887699999998</v>
      </c>
      <c r="P730" s="10">
        <v>0.36861804907596202</v>
      </c>
      <c r="Q730" s="10">
        <v>0.13587926610456799</v>
      </c>
    </row>
    <row r="731" spans="1:17" x14ac:dyDescent="0.2">
      <c r="A731" s="10">
        <v>1769</v>
      </c>
      <c r="B731" s="10" t="s">
        <v>2834</v>
      </c>
      <c r="C731" s="9" t="s">
        <v>1295</v>
      </c>
      <c r="D731" s="10">
        <v>0.37917118300000002</v>
      </c>
      <c r="E731" s="10">
        <v>0.30389170700000001</v>
      </c>
      <c r="F731" s="10">
        <v>0.72567891900000003</v>
      </c>
      <c r="G731" s="10">
        <v>0.79761148000000004</v>
      </c>
      <c r="H731" s="9">
        <v>0.55158832224999998</v>
      </c>
      <c r="I731" s="10">
        <v>0.246249340533474</v>
      </c>
      <c r="J731" s="10">
        <v>6.0638737713170902E-2</v>
      </c>
      <c r="K731" s="10">
        <v>6.6303835000000005E-2</v>
      </c>
      <c r="L731" s="10">
        <v>0.13677193300000001</v>
      </c>
      <c r="M731" s="10">
        <v>0.21296400100000001</v>
      </c>
      <c r="N731" s="10">
        <v>0.37315440500000002</v>
      </c>
      <c r="O731" s="9">
        <v>0.19729854350000001</v>
      </c>
      <c r="P731" s="10">
        <v>0.13164823687414101</v>
      </c>
      <c r="Q731" s="10">
        <v>1.7331258272070001E-2</v>
      </c>
    </row>
    <row r="732" spans="1:17" x14ac:dyDescent="0.2">
      <c r="A732" s="10">
        <v>1769</v>
      </c>
      <c r="B732" s="10" t="s">
        <v>2820</v>
      </c>
      <c r="C732" s="9" t="s">
        <v>1296</v>
      </c>
      <c r="D732" s="10">
        <v>0.27188587800000003</v>
      </c>
      <c r="E732" s="10">
        <v>4.9783367000000002E-2</v>
      </c>
      <c r="F732" s="10">
        <v>-8.3999968999999994E-2</v>
      </c>
      <c r="G732" s="10">
        <v>-0.24698895900000001</v>
      </c>
      <c r="H732" s="9">
        <v>-2.3299207500000001E-3</v>
      </c>
      <c r="I732" s="10">
        <v>0.21942207487153301</v>
      </c>
      <c r="J732" s="10">
        <v>4.8146046940928999E-2</v>
      </c>
      <c r="K732" s="10">
        <v>-0.121989896</v>
      </c>
      <c r="L732" s="10">
        <v>0.11269697100000001</v>
      </c>
      <c r="M732" s="10">
        <v>-0.37631442900000001</v>
      </c>
      <c r="N732" s="10">
        <v>-0.364920456</v>
      </c>
      <c r="O732" s="9">
        <v>-0.1876319525</v>
      </c>
      <c r="P732" s="10">
        <v>0.232047863082641</v>
      </c>
      <c r="Q732" s="10">
        <v>5.3846210761220203E-2</v>
      </c>
    </row>
    <row r="733" spans="1:17" x14ac:dyDescent="0.2">
      <c r="A733" s="10">
        <v>1769</v>
      </c>
      <c r="B733" s="10" t="s">
        <v>2824</v>
      </c>
      <c r="C733" s="9" t="s">
        <v>1297</v>
      </c>
      <c r="D733" s="10">
        <v>-0.36704007500000002</v>
      </c>
      <c r="E733" s="10">
        <v>-0.58216569299999998</v>
      </c>
      <c r="F733" s="10">
        <v>-0.39556277899999998</v>
      </c>
      <c r="G733" s="10">
        <v>-0.11855054900000001</v>
      </c>
      <c r="H733" s="9">
        <v>-0.36582977425000002</v>
      </c>
      <c r="I733" s="10">
        <v>0.1904676362544</v>
      </c>
      <c r="J733" s="10">
        <v>3.6277920460338599E-2</v>
      </c>
      <c r="K733" s="10">
        <v>-0.29869612200000001</v>
      </c>
      <c r="L733" s="10">
        <v>-0.70499958100000004</v>
      </c>
      <c r="M733" s="10">
        <v>-0.496382288</v>
      </c>
      <c r="N733" s="10">
        <v>-0.46801838699999998</v>
      </c>
      <c r="O733" s="9">
        <v>-0.49202409450000001</v>
      </c>
      <c r="P733" s="10">
        <v>0.166662863933982</v>
      </c>
      <c r="Q733" s="10">
        <v>2.77765102146771E-2</v>
      </c>
    </row>
    <row r="734" spans="1:17" x14ac:dyDescent="0.2">
      <c r="A734" s="10">
        <v>1769</v>
      </c>
      <c r="B734" s="10" t="s">
        <v>82</v>
      </c>
      <c r="C734" s="9" t="s">
        <v>1298</v>
      </c>
      <c r="D734" s="10">
        <v>0.47773671000000001</v>
      </c>
      <c r="E734" s="10">
        <v>-0.25749066900000001</v>
      </c>
      <c r="F734" s="10">
        <v>-0.47091563600000003</v>
      </c>
      <c r="G734" s="10">
        <v>-0.452200043</v>
      </c>
      <c r="H734" s="9">
        <v>-0.1757174095</v>
      </c>
      <c r="I734" s="10">
        <v>0.44619644097512801</v>
      </c>
      <c r="J734" s="10">
        <v>0.199091263938871</v>
      </c>
      <c r="K734" s="10">
        <v>-0.38761765100000001</v>
      </c>
      <c r="L734" s="10">
        <v>2.1937307999999999E-2</v>
      </c>
      <c r="M734" s="10">
        <v>-0.31740676200000001</v>
      </c>
      <c r="N734" s="10">
        <v>-0.60551969699999997</v>
      </c>
      <c r="O734" s="9">
        <v>-0.32215170025000001</v>
      </c>
      <c r="P734" s="10">
        <v>0.26013007792716197</v>
      </c>
      <c r="Q734" s="10">
        <v>6.7667657442391393E-2</v>
      </c>
    </row>
    <row r="735" spans="1:17" x14ac:dyDescent="0.2">
      <c r="A735" s="10">
        <v>1769</v>
      </c>
      <c r="B735" s="10" t="s">
        <v>2833</v>
      </c>
      <c r="C735" s="9" t="s">
        <v>1300</v>
      </c>
      <c r="D735" s="10">
        <v>-6.5033371000000006E-2</v>
      </c>
      <c r="E735" s="10">
        <v>-5.3871704999999999E-2</v>
      </c>
      <c r="F735" s="10">
        <v>-0.30000279699999999</v>
      </c>
      <c r="G735" s="10">
        <v>-9.1117312000000006E-2</v>
      </c>
      <c r="H735" s="9">
        <v>-0.12750629625000001</v>
      </c>
      <c r="I735" s="10">
        <v>0.116051885470232</v>
      </c>
      <c r="J735" s="10">
        <v>1.3468040121196E-2</v>
      </c>
      <c r="K735" s="10">
        <v>-1.1377807E-2</v>
      </c>
      <c r="L735" s="10">
        <v>-0.19436252300000001</v>
      </c>
      <c r="M735" s="10">
        <v>-0.23723566400000001</v>
      </c>
      <c r="N735" s="10">
        <v>-9.6203432000000005E-2</v>
      </c>
      <c r="O735" s="9">
        <v>-0.1347948565</v>
      </c>
      <c r="P735" s="10">
        <v>0.101264492108096</v>
      </c>
      <c r="Q735" s="10">
        <v>1.02544973619106E-2</v>
      </c>
    </row>
    <row r="736" spans="1:17" x14ac:dyDescent="0.2">
      <c r="A736" s="10">
        <v>1769</v>
      </c>
      <c r="B736" s="10" t="s">
        <v>74</v>
      </c>
      <c r="C736" s="9" t="s">
        <v>1302</v>
      </c>
      <c r="D736" s="10">
        <v>-0.2667371</v>
      </c>
      <c r="E736" s="10">
        <v>-0.27763193800000002</v>
      </c>
      <c r="F736" s="10">
        <v>-0.22957709500000001</v>
      </c>
      <c r="G736" s="10">
        <v>-0.27241691099999998</v>
      </c>
      <c r="H736" s="9">
        <v>-0.26159076074999998</v>
      </c>
      <c r="I736" s="10">
        <v>2.18012576031009E-2</v>
      </c>
      <c r="J736" s="10">
        <v>4.7529483307669998E-4</v>
      </c>
      <c r="K736" s="10">
        <v>0.175336462</v>
      </c>
      <c r="L736" s="10">
        <v>9.2769598999999994E-2</v>
      </c>
      <c r="M736" s="10">
        <v>0.35014669500000001</v>
      </c>
      <c r="N736" s="10">
        <v>0.234284043</v>
      </c>
      <c r="O736" s="9">
        <v>0.21313419950000001</v>
      </c>
      <c r="P736" s="10">
        <v>0.108222064627714</v>
      </c>
      <c r="Q736" s="10">
        <v>1.17120152722851E-2</v>
      </c>
    </row>
    <row r="737" spans="1:17" x14ac:dyDescent="0.2">
      <c r="A737" s="10">
        <v>1769</v>
      </c>
      <c r="B737" s="10" t="s">
        <v>2818</v>
      </c>
      <c r="C737" s="9" t="s">
        <v>1303</v>
      </c>
      <c r="D737" s="10">
        <v>8.4165230999999993E-2</v>
      </c>
      <c r="E737" s="10">
        <v>-0.37048324500000002</v>
      </c>
      <c r="F737" s="10">
        <v>2.6846407999999999E-2</v>
      </c>
      <c r="G737" s="10">
        <v>-6.4677281000000003E-2</v>
      </c>
      <c r="H737" s="9">
        <v>-8.1037221749999999E-2</v>
      </c>
      <c r="I737" s="10">
        <v>0.202465944460818</v>
      </c>
      <c r="J737" s="10">
        <v>4.0992458666411297E-2</v>
      </c>
      <c r="K737" s="10">
        <v>5.4435135000000003E-2</v>
      </c>
      <c r="L737" s="10">
        <v>-1.742434E-3</v>
      </c>
      <c r="M737" s="10">
        <v>-2.8294349999999999E-3</v>
      </c>
      <c r="N737" s="10">
        <v>-3.3750644000000003E-2</v>
      </c>
      <c r="O737" s="9">
        <v>4.0281555E-3</v>
      </c>
      <c r="P737" s="10">
        <v>3.6735212556064899E-2</v>
      </c>
      <c r="Q737" s="10">
        <v>1.3494758415392E-3</v>
      </c>
    </row>
    <row r="738" spans="1:17" x14ac:dyDescent="0.2">
      <c r="A738" s="10">
        <v>1770</v>
      </c>
      <c r="B738" s="10" t="s">
        <v>2831</v>
      </c>
      <c r="C738" s="9" t="s">
        <v>1305</v>
      </c>
      <c r="D738" s="10">
        <v>-1.0685952700000001</v>
      </c>
      <c r="E738" s="10">
        <v>-1.458476372</v>
      </c>
      <c r="F738" s="10">
        <v>-0.95391252000000004</v>
      </c>
      <c r="G738" s="10">
        <v>-0.97681227800000003</v>
      </c>
      <c r="H738" s="9">
        <v>-1.11444911</v>
      </c>
      <c r="I738" s="10">
        <v>0.23464386197937401</v>
      </c>
      <c r="J738" s="10">
        <v>5.5057741964595501E-2</v>
      </c>
      <c r="K738" s="10">
        <v>8.8596545999999998E-2</v>
      </c>
      <c r="L738" s="10">
        <v>-0.10762044900000001</v>
      </c>
      <c r="M738" s="10">
        <v>-0.21150047199999999</v>
      </c>
      <c r="N738" s="10">
        <v>-0.339545549</v>
      </c>
      <c r="O738" s="9">
        <v>-0.142517481</v>
      </c>
      <c r="P738" s="10">
        <v>0.18093296083143101</v>
      </c>
      <c r="Q738" s="10">
        <v>3.2736736315228103E-2</v>
      </c>
    </row>
    <row r="739" spans="1:17" x14ac:dyDescent="0.2">
      <c r="A739" s="10">
        <v>1770</v>
      </c>
      <c r="B739" s="10" t="s">
        <v>2822</v>
      </c>
      <c r="C739" s="9" t="s">
        <v>1306</v>
      </c>
      <c r="D739" s="10">
        <v>0.46023663199999998</v>
      </c>
      <c r="E739" s="10">
        <v>0.35755974600000001</v>
      </c>
      <c r="F739" s="10">
        <v>0.10180565900000001</v>
      </c>
      <c r="G739" s="10">
        <v>-2.1279039E-2</v>
      </c>
      <c r="H739" s="9">
        <v>0.22458074924999999</v>
      </c>
      <c r="I739" s="10">
        <v>0.222664072027459</v>
      </c>
      <c r="J739" s="10">
        <v>4.9579288971849503E-2</v>
      </c>
      <c r="K739" s="10">
        <v>7.6694397999999997E-2</v>
      </c>
      <c r="L739" s="10">
        <v>0.41407269499999999</v>
      </c>
      <c r="M739" s="10">
        <v>0.141799481</v>
      </c>
      <c r="N739" s="10">
        <v>0.34236971999999999</v>
      </c>
      <c r="O739" s="9">
        <v>0.24373407350000001</v>
      </c>
      <c r="P739" s="10">
        <v>0.16024684195981201</v>
      </c>
      <c r="Q739" s="10">
        <v>2.5679050358093099E-2</v>
      </c>
    </row>
    <row r="740" spans="1:17" x14ac:dyDescent="0.2">
      <c r="A740" s="10">
        <v>1770</v>
      </c>
      <c r="B740" s="10" t="s">
        <v>2819</v>
      </c>
      <c r="C740" s="9" t="s">
        <v>1307</v>
      </c>
      <c r="D740" s="10">
        <v>-0.68779495000000002</v>
      </c>
      <c r="E740" s="10">
        <v>-0.70090244999999995</v>
      </c>
      <c r="F740" s="10">
        <v>-0.34559987199999997</v>
      </c>
      <c r="G740" s="10">
        <v>-0.38675017</v>
      </c>
      <c r="H740" s="9">
        <v>-0.53026186050000002</v>
      </c>
      <c r="I740" s="10">
        <v>0.19028972680210901</v>
      </c>
      <c r="J740" s="10">
        <v>3.6210180126421403E-2</v>
      </c>
      <c r="K740" s="10">
        <v>-0.62342577200000004</v>
      </c>
      <c r="L740" s="10">
        <v>-0.14837819999999999</v>
      </c>
      <c r="M740" s="10">
        <v>-0.28203943399999998</v>
      </c>
      <c r="N740" s="10">
        <v>-0.80526634699999999</v>
      </c>
      <c r="O740" s="9">
        <v>-0.46477743825000001</v>
      </c>
      <c r="P740" s="10">
        <v>0.302546771560955</v>
      </c>
      <c r="Q740" s="10">
        <v>9.1534548981956801E-2</v>
      </c>
    </row>
    <row r="741" spans="1:17" x14ac:dyDescent="0.2">
      <c r="A741" s="10">
        <v>1770</v>
      </c>
      <c r="B741" s="10" t="s">
        <v>2820</v>
      </c>
      <c r="C741" s="9" t="s">
        <v>1308</v>
      </c>
      <c r="D741" s="10">
        <v>-0.77617401200000002</v>
      </c>
      <c r="E741" s="10">
        <v>-1.1251618619999999</v>
      </c>
      <c r="F741" s="10">
        <v>-0.67094578199999999</v>
      </c>
      <c r="G741" s="10">
        <v>-0.76826950500000002</v>
      </c>
      <c r="H741" s="9">
        <v>-0.83513779050000003</v>
      </c>
      <c r="I741" s="10">
        <v>0.199182556536633</v>
      </c>
      <c r="J741" s="10">
        <v>3.9673690828469201E-2</v>
      </c>
      <c r="K741" s="10">
        <v>-8.8841259000000006E-2</v>
      </c>
      <c r="L741" s="10">
        <v>-1.0834435999999999E-2</v>
      </c>
      <c r="M741" s="10">
        <v>0.13777141700000001</v>
      </c>
      <c r="N741" s="10">
        <v>-4.9045075E-2</v>
      </c>
      <c r="O741" s="9">
        <v>-2.7373382500000001E-3</v>
      </c>
      <c r="P741" s="10">
        <v>9.8938642510239705E-2</v>
      </c>
      <c r="Q741" s="10">
        <v>9.7888549817690008E-3</v>
      </c>
    </row>
    <row r="742" spans="1:17" x14ac:dyDescent="0.2">
      <c r="A742" s="10">
        <v>1770</v>
      </c>
      <c r="B742" s="10" t="s">
        <v>2824</v>
      </c>
      <c r="C742" s="9" t="s">
        <v>1309</v>
      </c>
      <c r="D742" s="10">
        <v>-1.099454006</v>
      </c>
      <c r="E742" s="10">
        <v>-0.89654330999999998</v>
      </c>
      <c r="F742" s="10">
        <v>-1.0610618350000001</v>
      </c>
      <c r="G742" s="10">
        <v>-0.80189615999999997</v>
      </c>
      <c r="H742" s="9">
        <v>-0.96473882774999997</v>
      </c>
      <c r="I742" s="10">
        <v>0.139755338666948</v>
      </c>
      <c r="J742" s="10">
        <v>1.9531554685913399E-2</v>
      </c>
      <c r="K742" s="10">
        <v>-9.3615702999999995E-2</v>
      </c>
      <c r="L742" s="10">
        <v>-0.27663256200000003</v>
      </c>
      <c r="M742" s="10">
        <v>-0.34910945999999998</v>
      </c>
      <c r="N742" s="10">
        <v>-0.16656769699999999</v>
      </c>
      <c r="O742" s="9">
        <v>-0.22148135525000001</v>
      </c>
      <c r="P742" s="10">
        <v>0.113571891498694</v>
      </c>
      <c r="Q742" s="10">
        <v>1.2898574538591299E-2</v>
      </c>
    </row>
    <row r="743" spans="1:17" x14ac:dyDescent="0.2">
      <c r="A743" s="10">
        <v>1770</v>
      </c>
      <c r="B743" s="10" t="s">
        <v>2817</v>
      </c>
      <c r="C743" s="9" t="s">
        <v>1310</v>
      </c>
      <c r="D743" s="10">
        <v>-0.832400739</v>
      </c>
      <c r="E743" s="10">
        <v>-0.89200298899999997</v>
      </c>
      <c r="F743" s="10">
        <v>-0.78433346400000004</v>
      </c>
      <c r="G743" s="10">
        <v>-1.035560686</v>
      </c>
      <c r="H743" s="9">
        <v>-0.88607446950000002</v>
      </c>
      <c r="I743" s="10">
        <v>0.108954696721289</v>
      </c>
      <c r="J743" s="10">
        <v>1.18711259376281E-2</v>
      </c>
      <c r="K743" s="10">
        <v>8.3978899999999997E-4</v>
      </c>
      <c r="L743" s="10">
        <v>-0.19416993199999999</v>
      </c>
      <c r="M743" s="10">
        <v>-0.55974075000000001</v>
      </c>
      <c r="N743" s="10">
        <v>-0.25770121499999998</v>
      </c>
      <c r="O743" s="9">
        <v>-0.25269302700000001</v>
      </c>
      <c r="P743" s="10">
        <v>0.23238418447605</v>
      </c>
      <c r="Q743" s="10">
        <v>5.4002409194598901E-2</v>
      </c>
    </row>
    <row r="744" spans="1:17" x14ac:dyDescent="0.2">
      <c r="A744" s="10">
        <v>1770</v>
      </c>
      <c r="B744" s="10" t="s">
        <v>2814</v>
      </c>
      <c r="C744" s="9" t="s">
        <v>1311</v>
      </c>
      <c r="D744" s="10">
        <v>-0.31311223300000002</v>
      </c>
      <c r="E744" s="10">
        <v>-0.62228107200000005</v>
      </c>
      <c r="F744" s="10">
        <v>-0.76808871999999995</v>
      </c>
      <c r="G744" s="10">
        <v>-0.61265526699999995</v>
      </c>
      <c r="H744" s="9">
        <v>-0.57903432300000002</v>
      </c>
      <c r="I744" s="10">
        <v>0.191012017204434</v>
      </c>
      <c r="J744" s="10">
        <v>3.6485590716507199E-2</v>
      </c>
      <c r="K744" s="10">
        <v>-0.75218984300000002</v>
      </c>
      <c r="L744" s="10">
        <v>-0.40548914899999999</v>
      </c>
      <c r="M744" s="10">
        <v>-0.58491470800000001</v>
      </c>
      <c r="N744" s="10">
        <v>-0.93149315700000002</v>
      </c>
      <c r="O744" s="9">
        <v>-0.66852171424999995</v>
      </c>
      <c r="P744" s="10">
        <v>0.22533722680065199</v>
      </c>
      <c r="Q744" s="10">
        <v>5.0776865782208698E-2</v>
      </c>
    </row>
    <row r="745" spans="1:17" x14ac:dyDescent="0.2">
      <c r="A745" s="10">
        <v>1770</v>
      </c>
      <c r="B745" s="10" t="s">
        <v>2833</v>
      </c>
      <c r="C745" s="9" t="s">
        <v>1312</v>
      </c>
      <c r="D745" s="10">
        <v>-0.60945945099999999</v>
      </c>
      <c r="E745" s="10">
        <v>-1.274525219</v>
      </c>
      <c r="F745" s="10">
        <v>-0.33696299600000001</v>
      </c>
      <c r="G745" s="10">
        <v>-0.86022847400000002</v>
      </c>
      <c r="H745" s="9">
        <v>-0.77029403500000004</v>
      </c>
      <c r="I745" s="10">
        <v>0.398321830938902</v>
      </c>
      <c r="J745" s="10">
        <v>0.158660281002519</v>
      </c>
      <c r="K745" s="10">
        <v>-0.42730253400000001</v>
      </c>
      <c r="L745" s="10">
        <v>-0.285219004</v>
      </c>
      <c r="M745" s="10">
        <v>-0.34242537499999998</v>
      </c>
      <c r="N745" s="10">
        <v>4.8802410999999997E-2</v>
      </c>
      <c r="O745" s="9">
        <v>-0.25153612549999999</v>
      </c>
      <c r="P745" s="10">
        <v>0.20856050987876301</v>
      </c>
      <c r="Q745" s="10">
        <v>4.3497486280889897E-2</v>
      </c>
    </row>
    <row r="746" spans="1:17" x14ac:dyDescent="0.2">
      <c r="A746" s="10">
        <v>1770</v>
      </c>
      <c r="B746" s="10" t="s">
        <v>2825</v>
      </c>
      <c r="C746" s="9" t="s">
        <v>1313</v>
      </c>
      <c r="D746" s="10">
        <v>-0.84178652099999995</v>
      </c>
      <c r="E746" s="10">
        <v>-0.32422981299999998</v>
      </c>
      <c r="F746" s="10">
        <v>-1.0849869729999999</v>
      </c>
      <c r="G746" s="10">
        <v>-0.27783501900000002</v>
      </c>
      <c r="H746" s="9">
        <v>-0.63220958149999995</v>
      </c>
      <c r="I746" s="10">
        <v>0.39554297203384903</v>
      </c>
      <c r="J746" s="10">
        <v>0.15645424272537001</v>
      </c>
      <c r="K746" s="10">
        <v>-0.231642293</v>
      </c>
      <c r="L746" s="10">
        <v>-0.29842476800000001</v>
      </c>
      <c r="M746" s="10">
        <v>-0.66702336600000001</v>
      </c>
      <c r="N746" s="10">
        <v>-0.33107305199999998</v>
      </c>
      <c r="O746" s="9">
        <v>-0.38204086975000001</v>
      </c>
      <c r="P746" s="10">
        <v>0.19444290162356101</v>
      </c>
      <c r="Q746" s="10">
        <v>3.7808041991790102E-2</v>
      </c>
    </row>
    <row r="747" spans="1:17" x14ac:dyDescent="0.2">
      <c r="A747" s="10">
        <v>1770</v>
      </c>
      <c r="B747" s="10" t="s">
        <v>74</v>
      </c>
      <c r="C747" s="9" t="s">
        <v>1314</v>
      </c>
      <c r="D747" s="10">
        <v>-0.23458147200000001</v>
      </c>
      <c r="E747" s="10">
        <v>-0.41610987999999999</v>
      </c>
      <c r="F747" s="10">
        <v>-0.1062522</v>
      </c>
      <c r="G747" s="10">
        <v>0.106266768</v>
      </c>
      <c r="H747" s="9">
        <v>-0.16266919599999999</v>
      </c>
      <c r="I747" s="10">
        <v>0.219782457531806</v>
      </c>
      <c r="J747" s="10">
        <v>4.8304328638720397E-2</v>
      </c>
      <c r="K747" s="10">
        <v>0.15402851200000001</v>
      </c>
      <c r="L747" s="10">
        <v>0.32917124399999997</v>
      </c>
      <c r="M747" s="10">
        <v>5.1316110999999998E-2</v>
      </c>
      <c r="N747" s="10">
        <v>0.37531504900000001</v>
      </c>
      <c r="O747" s="9">
        <v>0.227457729</v>
      </c>
      <c r="P747" s="10">
        <v>0.151244995192269</v>
      </c>
      <c r="Q747" s="10">
        <v>2.2875048570709499E-2</v>
      </c>
    </row>
    <row r="748" spans="1:17" x14ac:dyDescent="0.2">
      <c r="A748" s="10">
        <v>1770</v>
      </c>
      <c r="B748" s="10" t="s">
        <v>2818</v>
      </c>
      <c r="C748" s="9" t="s">
        <v>1315</v>
      </c>
      <c r="D748" s="10">
        <v>-0.65281050200000001</v>
      </c>
      <c r="E748" s="10">
        <v>-0.83946754099999998</v>
      </c>
      <c r="F748" s="10">
        <v>-0.66438894199999998</v>
      </c>
      <c r="G748" s="10">
        <v>-0.86960493500000002</v>
      </c>
      <c r="H748" s="9">
        <v>-0.75656797975000001</v>
      </c>
      <c r="I748" s="10">
        <v>0.11388924400075499</v>
      </c>
      <c r="J748" s="10">
        <v>1.2970759899063501E-2</v>
      </c>
      <c r="K748" s="10">
        <v>0.189428292</v>
      </c>
      <c r="L748" s="10">
        <v>0.129452185</v>
      </c>
      <c r="M748" s="10">
        <v>0.17713597</v>
      </c>
      <c r="N748" s="10">
        <v>0.146815482</v>
      </c>
      <c r="O748" s="9">
        <v>0.16070798224999999</v>
      </c>
      <c r="P748" s="10">
        <v>2.74752094234023E-2</v>
      </c>
      <c r="Q748" s="10">
        <v>7.5488713285979997E-4</v>
      </c>
    </row>
    <row r="749" spans="1:17" x14ac:dyDescent="0.2">
      <c r="A749" s="10">
        <v>1770</v>
      </c>
      <c r="B749" s="10" t="s">
        <v>2830</v>
      </c>
      <c r="C749" s="9" t="s">
        <v>59</v>
      </c>
      <c r="D749" s="10">
        <v>-1.2904999450000001</v>
      </c>
      <c r="E749" s="10">
        <v>-0.69745180100000004</v>
      </c>
      <c r="F749" s="10">
        <v>-0.82835662399999999</v>
      </c>
      <c r="G749" s="10">
        <v>-0.87599864800000005</v>
      </c>
      <c r="H749" s="9">
        <v>-0.92307675450000004</v>
      </c>
      <c r="I749" s="10">
        <v>0.25631664778332203</v>
      </c>
      <c r="J749" s="10">
        <v>6.5698223930879596E-2</v>
      </c>
      <c r="K749" s="10">
        <v>-0.22300223299999999</v>
      </c>
      <c r="L749" s="10">
        <v>-8.6709706999999997E-2</v>
      </c>
      <c r="M749" s="10">
        <v>-1.6551534999999999E-2</v>
      </c>
      <c r="N749" s="10">
        <v>0.26407960800000002</v>
      </c>
      <c r="O749" s="9">
        <v>-1.5545966749999999E-2</v>
      </c>
      <c r="P749" s="10">
        <v>0.205177852569044</v>
      </c>
      <c r="Q749" s="10">
        <v>4.2097951184844502E-2</v>
      </c>
    </row>
    <row r="750" spans="1:17" x14ac:dyDescent="0.2">
      <c r="A750" s="10">
        <v>1770</v>
      </c>
      <c r="B750" s="10" t="s">
        <v>2835</v>
      </c>
      <c r="C750" s="9" t="s">
        <v>1316</v>
      </c>
      <c r="D750" s="10">
        <v>-1.016665438</v>
      </c>
      <c r="E750" s="10">
        <v>-0.68386522000000005</v>
      </c>
      <c r="F750" s="10">
        <v>-0.599133833</v>
      </c>
      <c r="G750" s="10">
        <v>-0.33903808600000002</v>
      </c>
      <c r="H750" s="9">
        <v>-0.65967564450000005</v>
      </c>
      <c r="I750" s="10">
        <v>0.27958338236656399</v>
      </c>
      <c r="J750" s="10">
        <v>7.81668676955284E-2</v>
      </c>
      <c r="K750" s="10">
        <v>-0.171725508</v>
      </c>
      <c r="L750" s="10">
        <v>1.1234050000000001E-3</v>
      </c>
      <c r="M750" s="10">
        <v>0.37724089799999999</v>
      </c>
      <c r="N750" s="10">
        <v>0.20088067700000001</v>
      </c>
      <c r="O750" s="9">
        <v>0.101879868</v>
      </c>
      <c r="P750" s="10">
        <v>0.23849292347131701</v>
      </c>
      <c r="Q750" s="10">
        <v>5.68788745458957E-2</v>
      </c>
    </row>
    <row r="751" spans="1:17" x14ac:dyDescent="0.2">
      <c r="A751" s="10">
        <v>1771</v>
      </c>
      <c r="B751" s="10" t="s">
        <v>2822</v>
      </c>
      <c r="C751" s="9" t="s">
        <v>1317</v>
      </c>
      <c r="D751" s="10">
        <v>-1.558061E-2</v>
      </c>
      <c r="E751" s="10">
        <v>-4.6463859999999997E-3</v>
      </c>
      <c r="F751" s="10">
        <v>-0.51056553500000001</v>
      </c>
      <c r="G751" s="10">
        <v>-0.38027993900000001</v>
      </c>
      <c r="H751" s="9">
        <v>-0.22776811750000001</v>
      </c>
      <c r="I751" s="10">
        <v>0.25693130109592699</v>
      </c>
      <c r="J751" s="10">
        <v>6.60136934828459E-2</v>
      </c>
      <c r="K751" s="10">
        <v>-0.12553368000000001</v>
      </c>
      <c r="L751" s="10">
        <v>-4.9926676000000003E-2</v>
      </c>
      <c r="M751" s="10">
        <v>-0.11060472</v>
      </c>
      <c r="N751" s="10">
        <v>-0.237653898</v>
      </c>
      <c r="O751" s="9">
        <v>-0.13092974325000001</v>
      </c>
      <c r="P751" s="10">
        <v>7.8302333255403894E-2</v>
      </c>
      <c r="Q751" s="10">
        <v>6.1312553932403001E-3</v>
      </c>
    </row>
    <row r="752" spans="1:17" x14ac:dyDescent="0.2">
      <c r="A752" s="10">
        <v>1771</v>
      </c>
      <c r="B752" s="10" t="s">
        <v>2834</v>
      </c>
      <c r="C752" s="9" t="s">
        <v>1320</v>
      </c>
      <c r="D752" s="10">
        <v>-0.83749367600000002</v>
      </c>
      <c r="E752" s="10">
        <v>-0.79165671000000004</v>
      </c>
      <c r="F752" s="10">
        <v>-0.911137164</v>
      </c>
      <c r="G752" s="10">
        <v>-0.71635892599999995</v>
      </c>
      <c r="H752" s="9">
        <v>-0.81416161924999997</v>
      </c>
      <c r="I752" s="10">
        <v>8.1691449775050495E-2</v>
      </c>
      <c r="J752" s="10">
        <v>6.6734929663495998E-3</v>
      </c>
      <c r="K752" s="10">
        <v>0.160439148</v>
      </c>
      <c r="L752" s="10">
        <v>-0.12415308799999999</v>
      </c>
      <c r="M752" s="10">
        <v>-0.17618041600000001</v>
      </c>
      <c r="N752" s="10">
        <v>0.33676623300000003</v>
      </c>
      <c r="O752" s="9">
        <v>4.921796925E-2</v>
      </c>
      <c r="P752" s="10">
        <v>0.24215429664676499</v>
      </c>
      <c r="Q752" s="10">
        <v>5.8638703384489697E-2</v>
      </c>
    </row>
    <row r="753" spans="1:17" x14ac:dyDescent="0.2">
      <c r="A753" s="10">
        <v>1771</v>
      </c>
      <c r="B753" s="10" t="s">
        <v>2824</v>
      </c>
      <c r="C753" s="9" t="s">
        <v>1322</v>
      </c>
      <c r="D753" s="10">
        <v>-0.11607564099999999</v>
      </c>
      <c r="E753" s="10">
        <v>-0.382786299</v>
      </c>
      <c r="F753" s="10">
        <v>8.0961279999999997E-2</v>
      </c>
      <c r="G753" s="10">
        <v>0.265031668</v>
      </c>
      <c r="H753" s="9">
        <v>-3.8217248250000002E-2</v>
      </c>
      <c r="I753" s="10">
        <v>0.27746061994392701</v>
      </c>
      <c r="J753" s="10">
        <v>7.69843956196683E-2</v>
      </c>
      <c r="K753" s="10">
        <v>0.24889723599999999</v>
      </c>
      <c r="L753" s="10">
        <v>-0.16473713600000001</v>
      </c>
      <c r="M753" s="10">
        <v>2.1315313999999998E-2</v>
      </c>
      <c r="N753" s="10">
        <v>0.453121149</v>
      </c>
      <c r="O753" s="9">
        <v>0.13964914075000001</v>
      </c>
      <c r="P753" s="10">
        <v>0.26885792177224199</v>
      </c>
      <c r="Q753" s="10">
        <v>7.2284582099689201E-2</v>
      </c>
    </row>
    <row r="754" spans="1:17" x14ac:dyDescent="0.2">
      <c r="A754" s="10">
        <v>1771</v>
      </c>
      <c r="B754" s="10" t="s">
        <v>2833</v>
      </c>
      <c r="C754" s="9" t="s">
        <v>1323</v>
      </c>
      <c r="D754" s="10">
        <v>-0.60571615599999995</v>
      </c>
      <c r="E754" s="10">
        <v>-0.84958713299999999</v>
      </c>
      <c r="F754" s="10">
        <v>-0.922176934</v>
      </c>
      <c r="G754" s="10">
        <v>-0.69242516399999998</v>
      </c>
      <c r="H754" s="9">
        <v>-0.76747634674999998</v>
      </c>
      <c r="I754" s="10">
        <v>0.14430695554700701</v>
      </c>
      <c r="J754" s="10">
        <v>2.08244974192461E-2</v>
      </c>
      <c r="K754" s="10">
        <v>-0.51981840999999995</v>
      </c>
      <c r="L754" s="10">
        <v>-0.20997676700000001</v>
      </c>
      <c r="M754" s="10">
        <v>-0.69504540800000003</v>
      </c>
      <c r="N754" s="10">
        <v>-0.39628627100000002</v>
      </c>
      <c r="O754" s="9">
        <v>-0.455281714</v>
      </c>
      <c r="P754" s="10">
        <v>0.20437432438914699</v>
      </c>
      <c r="Q754" s="10">
        <v>4.17688644695203E-2</v>
      </c>
    </row>
    <row r="755" spans="1:17" x14ac:dyDescent="0.2">
      <c r="A755" s="10">
        <v>1771</v>
      </c>
      <c r="B755" s="10" t="s">
        <v>2825</v>
      </c>
      <c r="C755" s="9" t="s">
        <v>1324</v>
      </c>
      <c r="D755" s="10">
        <v>-0.25321955499999999</v>
      </c>
      <c r="E755" s="10">
        <v>-0.13532409100000001</v>
      </c>
      <c r="F755" s="10">
        <v>0.187031695</v>
      </c>
      <c r="G755" s="10">
        <v>0.12906200600000001</v>
      </c>
      <c r="H755" s="9">
        <v>-1.811248625E-2</v>
      </c>
      <c r="I755" s="10">
        <v>0.21036346350548099</v>
      </c>
      <c r="J755" s="10">
        <v>4.4252786778021802E-2</v>
      </c>
      <c r="K755" s="10">
        <v>-0.79587269400000005</v>
      </c>
      <c r="L755" s="10">
        <v>-0.17113482999999999</v>
      </c>
      <c r="M755" s="10">
        <v>-0.24547867500000001</v>
      </c>
      <c r="N755" s="10">
        <v>-0.679135033</v>
      </c>
      <c r="O755" s="9">
        <v>-0.47290530800000002</v>
      </c>
      <c r="P755" s="10">
        <v>0.31071258245271899</v>
      </c>
      <c r="Q755" s="10">
        <v>9.6542308894437906E-2</v>
      </c>
    </row>
    <row r="756" spans="1:17" x14ac:dyDescent="0.2">
      <c r="A756" s="10">
        <v>1771</v>
      </c>
      <c r="B756" s="10" t="s">
        <v>74</v>
      </c>
      <c r="C756" s="9" t="s">
        <v>1325</v>
      </c>
      <c r="D756" s="10">
        <v>-3.4446693E-2</v>
      </c>
      <c r="E756" s="10">
        <v>-5.6910589999999997E-2</v>
      </c>
      <c r="F756" s="10">
        <v>-0.25146400699999999</v>
      </c>
      <c r="G756" s="10">
        <v>0.36316048499999998</v>
      </c>
      <c r="H756" s="9">
        <v>5.0847987500000002E-3</v>
      </c>
      <c r="I756" s="10">
        <v>0.25783822698312397</v>
      </c>
      <c r="J756" s="10">
        <v>6.6480551293801204E-2</v>
      </c>
      <c r="K756" s="10">
        <v>0.115955169</v>
      </c>
      <c r="L756" s="10">
        <v>0.30095453500000002</v>
      </c>
      <c r="M756" s="10">
        <v>7.9114330999999996E-2</v>
      </c>
      <c r="N756" s="10">
        <v>-4.057822E-3</v>
      </c>
      <c r="O756" s="9">
        <v>0.12299155325</v>
      </c>
      <c r="P756" s="10">
        <v>0.128824283373976</v>
      </c>
      <c r="Q756" s="10">
        <v>1.6595695986818499E-2</v>
      </c>
    </row>
    <row r="757" spans="1:17" x14ac:dyDescent="0.2">
      <c r="A757" s="10">
        <v>1771</v>
      </c>
      <c r="B757" s="10" t="s">
        <v>2818</v>
      </c>
      <c r="C757" s="9" t="s">
        <v>1326</v>
      </c>
      <c r="D757" s="10">
        <v>-0.17158911399999999</v>
      </c>
      <c r="E757" s="10">
        <v>-2.9893978000000002E-2</v>
      </c>
      <c r="F757" s="10">
        <v>-0.25393890899999999</v>
      </c>
      <c r="G757" s="10">
        <v>-0.15585401400000001</v>
      </c>
      <c r="H757" s="9">
        <v>-0.15281900374999999</v>
      </c>
      <c r="I757" s="10">
        <v>9.2551473100867601E-2</v>
      </c>
      <c r="J757" s="10">
        <v>8.5657751731406002E-3</v>
      </c>
      <c r="K757" s="10">
        <v>-0.238785941</v>
      </c>
      <c r="L757" s="10">
        <v>-9.6348458999999997E-2</v>
      </c>
      <c r="M757" s="10">
        <v>-0.22517717500000001</v>
      </c>
      <c r="N757" s="10">
        <v>-7.7768422000000004E-2</v>
      </c>
      <c r="O757" s="9">
        <v>-0.15951999924999999</v>
      </c>
      <c r="P757" s="10">
        <v>8.4198016859862099E-2</v>
      </c>
      <c r="Q757" s="10">
        <v>7.0893060431336001E-3</v>
      </c>
    </row>
    <row r="758" spans="1:17" x14ac:dyDescent="0.2">
      <c r="A758" s="10">
        <v>1772</v>
      </c>
      <c r="B758" s="10" t="s">
        <v>2831</v>
      </c>
      <c r="C758" s="9" t="s">
        <v>1328</v>
      </c>
      <c r="D758" s="10">
        <v>-1.1353567609999999</v>
      </c>
      <c r="E758" s="10">
        <v>-1.2280615399999999</v>
      </c>
      <c r="F758" s="10">
        <v>-1.302803999</v>
      </c>
      <c r="G758" s="10">
        <v>-0.98155960799999997</v>
      </c>
      <c r="H758" s="9">
        <v>-1.1619454769999999</v>
      </c>
      <c r="I758" s="10">
        <v>0.13839373608182501</v>
      </c>
      <c r="J758" s="10">
        <v>1.9152826186686001E-2</v>
      </c>
      <c r="K758" s="10">
        <v>-0.20000727200000001</v>
      </c>
      <c r="L758" s="10">
        <v>-0.164243898</v>
      </c>
      <c r="M758" s="10">
        <v>-0.31204452799999999</v>
      </c>
      <c r="N758" s="10">
        <v>-0.10416070099999999</v>
      </c>
      <c r="O758" s="9">
        <v>-0.19511409974999999</v>
      </c>
      <c r="P758" s="10">
        <v>8.7411208826745496E-2</v>
      </c>
      <c r="Q758" s="10">
        <v>7.6407194285528996E-3</v>
      </c>
    </row>
    <row r="759" spans="1:17" x14ac:dyDescent="0.2">
      <c r="A759" s="10">
        <v>1772</v>
      </c>
      <c r="B759" s="10" t="s">
        <v>79</v>
      </c>
      <c r="C759" s="9" t="s">
        <v>1331</v>
      </c>
      <c r="D759" s="10">
        <v>9.8141403000000002E-2</v>
      </c>
      <c r="E759" s="10">
        <v>-0.74870839499999997</v>
      </c>
      <c r="F759" s="10">
        <v>-1.3090531560000001</v>
      </c>
      <c r="G759" s="10">
        <v>-1.528498226</v>
      </c>
      <c r="H759" s="9">
        <v>-0.87202959349999998</v>
      </c>
      <c r="I759" s="10">
        <v>0.725346018597536</v>
      </c>
      <c r="J759" s="10">
        <v>0.52612684669529697</v>
      </c>
      <c r="K759" s="10">
        <v>-0.12082314199999999</v>
      </c>
      <c r="L759" s="10">
        <v>-0.263591672</v>
      </c>
      <c r="M759" s="10">
        <v>-0.202019543</v>
      </c>
      <c r="N759" s="10">
        <v>-1.668753245</v>
      </c>
      <c r="O759" s="9">
        <v>-0.56379690049999998</v>
      </c>
      <c r="P759" s="10">
        <v>0.73895428581855604</v>
      </c>
      <c r="Q759" s="10">
        <v>0.54605343652961302</v>
      </c>
    </row>
    <row r="760" spans="1:17" x14ac:dyDescent="0.2">
      <c r="A760" s="10">
        <v>1772</v>
      </c>
      <c r="B760" s="10" t="s">
        <v>2824</v>
      </c>
      <c r="C760" s="9" t="s">
        <v>1332</v>
      </c>
      <c r="D760" s="10">
        <v>0.17944676500000001</v>
      </c>
      <c r="E760" s="10">
        <v>-0.231048588</v>
      </c>
      <c r="F760" s="10">
        <v>-0.15150518800000001</v>
      </c>
      <c r="G760" s="10">
        <v>-0.138808549</v>
      </c>
      <c r="H760" s="9">
        <v>-8.5478889749999995E-2</v>
      </c>
      <c r="I760" s="10">
        <v>0.18127296563436299</v>
      </c>
      <c r="J760" s="10">
        <v>3.2859888069877101E-2</v>
      </c>
      <c r="K760" s="10">
        <v>-0.140187593</v>
      </c>
      <c r="L760" s="10">
        <v>-0.10257516</v>
      </c>
      <c r="M760" s="10">
        <v>-0.20743851099999999</v>
      </c>
      <c r="N760" s="10">
        <v>-3.2978192000000003E-2</v>
      </c>
      <c r="O760" s="9">
        <v>-0.120794864</v>
      </c>
      <c r="P760" s="10">
        <v>7.2862713369119106E-2</v>
      </c>
      <c r="Q760" s="10">
        <v>5.3089749995104E-3</v>
      </c>
    </row>
    <row r="761" spans="1:17" x14ac:dyDescent="0.2">
      <c r="A761" s="10">
        <v>1772</v>
      </c>
      <c r="B761" s="10" t="s">
        <v>2817</v>
      </c>
      <c r="C761" s="9" t="s">
        <v>1333</v>
      </c>
      <c r="D761" s="10">
        <v>0.64873124999999998</v>
      </c>
      <c r="E761" s="10">
        <v>0.55609019699999995</v>
      </c>
      <c r="F761" s="10">
        <v>0.22724459899999999</v>
      </c>
      <c r="G761" s="10">
        <v>0.13716473600000001</v>
      </c>
      <c r="H761" s="9">
        <v>0.3923076955</v>
      </c>
      <c r="I761" s="10">
        <v>0.24827505090698501</v>
      </c>
      <c r="J761" s="10">
        <v>6.1640500902866303E-2</v>
      </c>
      <c r="K761" s="10">
        <v>-0.29514130999999999</v>
      </c>
      <c r="L761" s="10">
        <v>0.23151375900000001</v>
      </c>
      <c r="M761" s="10">
        <v>2.7439650000000001E-3</v>
      </c>
      <c r="N761" s="10">
        <v>-0.32531726399999999</v>
      </c>
      <c r="O761" s="9">
        <v>-9.6550212750000003E-2</v>
      </c>
      <c r="P761" s="10">
        <v>0.26410735881456199</v>
      </c>
      <c r="Q761" s="10">
        <v>6.9752696980004095E-2</v>
      </c>
    </row>
    <row r="762" spans="1:17" x14ac:dyDescent="0.2">
      <c r="A762" s="10">
        <v>1772</v>
      </c>
      <c r="B762" s="10" t="s">
        <v>74</v>
      </c>
      <c r="C762" s="9" t="s">
        <v>1337</v>
      </c>
      <c r="D762" s="10">
        <v>-0.20953513100000001</v>
      </c>
      <c r="E762" s="10">
        <v>-3.6270683999999997E-2</v>
      </c>
      <c r="F762" s="10">
        <v>-0.48315478099999998</v>
      </c>
      <c r="G762" s="10">
        <v>-0.18969298800000001</v>
      </c>
      <c r="H762" s="9">
        <v>-0.22966339575</v>
      </c>
      <c r="I762" s="10">
        <v>0.18588652801420699</v>
      </c>
      <c r="J762" s="10">
        <v>3.4553801297176598E-2</v>
      </c>
      <c r="K762" s="10">
        <v>0.49021757700000002</v>
      </c>
      <c r="L762" s="10">
        <v>0.33329535799999999</v>
      </c>
      <c r="M762" s="10">
        <v>0.330391025</v>
      </c>
      <c r="N762" s="10">
        <v>0.37543612900000001</v>
      </c>
      <c r="O762" s="9">
        <v>0.38233502224999999</v>
      </c>
      <c r="P762" s="10">
        <v>7.4809330673658497E-2</v>
      </c>
      <c r="Q762" s="10">
        <v>5.5964359558407003E-3</v>
      </c>
    </row>
    <row r="763" spans="1:17" x14ac:dyDescent="0.2">
      <c r="A763" s="10">
        <v>1772</v>
      </c>
      <c r="B763" s="10" t="s">
        <v>2830</v>
      </c>
      <c r="C763" s="9" t="s">
        <v>1339</v>
      </c>
      <c r="D763" s="10">
        <v>8.5288581000000002E-2</v>
      </c>
      <c r="E763" s="10">
        <v>-0.226791293</v>
      </c>
      <c r="F763" s="10">
        <v>0.16540316799999999</v>
      </c>
      <c r="G763" s="10">
        <v>0.34267314500000001</v>
      </c>
      <c r="H763" s="9">
        <v>9.1643400250000007E-2</v>
      </c>
      <c r="I763" s="10">
        <v>0.237975820677021</v>
      </c>
      <c r="J763" s="10">
        <v>5.66324912269019E-2</v>
      </c>
      <c r="K763" s="10">
        <v>0.37834071499999999</v>
      </c>
      <c r="L763" s="10">
        <v>0.28673444100000001</v>
      </c>
      <c r="M763" s="10">
        <v>-3.7032819000000002E-2</v>
      </c>
      <c r="N763" s="10">
        <v>0.35698696800000002</v>
      </c>
      <c r="O763" s="9">
        <v>0.246257326</v>
      </c>
      <c r="P763" s="10">
        <v>0.192871959565595</v>
      </c>
      <c r="Q763" s="10">
        <v>3.7199592786672502E-2</v>
      </c>
    </row>
    <row r="764" spans="1:17" x14ac:dyDescent="0.2">
      <c r="A764" s="10">
        <v>1772</v>
      </c>
      <c r="B764" s="10" t="s">
        <v>2835</v>
      </c>
      <c r="C764" s="9" t="s">
        <v>1340</v>
      </c>
      <c r="D764" s="10">
        <v>-0.59798922300000001</v>
      </c>
      <c r="E764" s="10">
        <v>-0.42662024999999998</v>
      </c>
      <c r="F764" s="10">
        <v>-0.45012334700000001</v>
      </c>
      <c r="G764" s="10">
        <v>-0.34986993</v>
      </c>
      <c r="H764" s="9">
        <v>-0.45615068749999998</v>
      </c>
      <c r="I764" s="10">
        <v>0.10379811356667699</v>
      </c>
      <c r="J764" s="10">
        <v>1.07740483800009E-2</v>
      </c>
      <c r="K764" s="10">
        <v>-5.5285600999999997E-2</v>
      </c>
      <c r="L764" s="10">
        <v>-0.39137250600000001</v>
      </c>
      <c r="M764" s="10">
        <v>8.5286336000000004E-2</v>
      </c>
      <c r="N764" s="10">
        <v>0.15914610500000001</v>
      </c>
      <c r="O764" s="9">
        <v>-5.055641625E-2</v>
      </c>
      <c r="P764" s="10">
        <v>0.243998888643877</v>
      </c>
      <c r="Q764" s="10">
        <v>5.9535457659446997E-2</v>
      </c>
    </row>
    <row r="765" spans="1:17" x14ac:dyDescent="0.2">
      <c r="A765" s="10">
        <v>1773</v>
      </c>
      <c r="B765" s="10" t="s">
        <v>2822</v>
      </c>
      <c r="C765" s="9" t="s">
        <v>1341</v>
      </c>
      <c r="D765" s="10">
        <v>0.241564424</v>
      </c>
      <c r="E765" s="10">
        <v>8.2489299000000002E-2</v>
      </c>
      <c r="F765" s="10">
        <v>0.21698541499999999</v>
      </c>
      <c r="G765" s="10">
        <v>0.69153805099999999</v>
      </c>
      <c r="H765" s="9">
        <v>0.30814429724999998</v>
      </c>
      <c r="I765" s="10">
        <v>0.26498664745277101</v>
      </c>
      <c r="J765" s="10">
        <v>7.0217923328259504E-2</v>
      </c>
      <c r="K765" s="10">
        <v>5.8268316000000001E-2</v>
      </c>
      <c r="L765" s="10">
        <v>-0.156957864</v>
      </c>
      <c r="M765" s="10">
        <v>-0.102521712</v>
      </c>
      <c r="N765" s="10">
        <v>0.53514673800000001</v>
      </c>
      <c r="O765" s="9">
        <v>8.3483869749999995E-2</v>
      </c>
      <c r="P765" s="10">
        <v>0.31466674142527201</v>
      </c>
      <c r="Q765" s="10">
        <v>9.9015158159199299E-2</v>
      </c>
    </row>
    <row r="766" spans="1:17" x14ac:dyDescent="0.2">
      <c r="A766" s="10">
        <v>1773</v>
      </c>
      <c r="B766" s="10" t="s">
        <v>82</v>
      </c>
      <c r="C766" s="9" t="s">
        <v>1344</v>
      </c>
      <c r="D766" s="10">
        <v>-0.393310043</v>
      </c>
      <c r="E766" s="10">
        <v>-0.114994874</v>
      </c>
      <c r="F766" s="10">
        <v>0.161688161</v>
      </c>
      <c r="G766" s="10">
        <v>-0.29399857499999998</v>
      </c>
      <c r="H766" s="9">
        <v>-0.160153833</v>
      </c>
      <c r="I766" s="10">
        <v>0.243514430717134</v>
      </c>
      <c r="J766" s="10">
        <v>5.9299277967490099E-2</v>
      </c>
      <c r="K766" s="10">
        <v>0.231904684</v>
      </c>
      <c r="L766" s="10">
        <v>0.27315498999999999</v>
      </c>
      <c r="M766" s="10">
        <v>5.2681120000000001E-3</v>
      </c>
      <c r="N766" s="10">
        <v>0.18854958099999999</v>
      </c>
      <c r="O766" s="9">
        <v>0.17471934175000001</v>
      </c>
      <c r="P766" s="10">
        <v>0.118130909017844</v>
      </c>
      <c r="Q766" s="10">
        <v>1.3954911665382199E-2</v>
      </c>
    </row>
    <row r="767" spans="1:17" x14ac:dyDescent="0.2">
      <c r="A767" s="10">
        <v>1773</v>
      </c>
      <c r="B767" s="10" t="s">
        <v>2814</v>
      </c>
      <c r="C767" s="9" t="s">
        <v>1345</v>
      </c>
      <c r="D767" s="10">
        <v>-0.16244007599999999</v>
      </c>
      <c r="E767" s="10">
        <v>-0.17154317999999999</v>
      </c>
      <c r="F767" s="10">
        <v>-0.29740687700000001</v>
      </c>
      <c r="G767" s="10">
        <v>-0.46303134899999998</v>
      </c>
      <c r="H767" s="9">
        <v>-0.2736053705</v>
      </c>
      <c r="I767" s="10">
        <v>0.140502819038482</v>
      </c>
      <c r="J767" s="10">
        <v>1.97410421577606E-2</v>
      </c>
      <c r="K767" s="10">
        <v>-0.13797920399999999</v>
      </c>
      <c r="L767" s="10">
        <v>-0.13878563699999999</v>
      </c>
      <c r="M767" s="10">
        <v>4.5561974999999998E-2</v>
      </c>
      <c r="N767" s="10">
        <v>7.4328296000000002E-2</v>
      </c>
      <c r="O767" s="9">
        <v>-3.9218642499999998E-2</v>
      </c>
      <c r="P767" s="10">
        <v>0.115105596805661</v>
      </c>
      <c r="Q767" s="10">
        <v>1.32492984159874E-2</v>
      </c>
    </row>
    <row r="768" spans="1:17" x14ac:dyDescent="0.2">
      <c r="A768" s="10">
        <v>1773</v>
      </c>
      <c r="B768" s="10" t="s">
        <v>74</v>
      </c>
      <c r="C768" s="9" t="s">
        <v>1346</v>
      </c>
      <c r="D768" s="10">
        <v>0.28717089899999998</v>
      </c>
      <c r="E768" s="10">
        <v>0.21444691499999999</v>
      </c>
      <c r="F768" s="10">
        <v>-6.9517124E-2</v>
      </c>
      <c r="G768" s="10">
        <v>5.6973389999999999E-2</v>
      </c>
      <c r="H768" s="9">
        <v>0.12226852000000001</v>
      </c>
      <c r="I768" s="10">
        <v>0.15993210887836801</v>
      </c>
      <c r="J768" s="10">
        <v>2.5578279450282401E-2</v>
      </c>
      <c r="K768" s="10">
        <v>-0.20218243899999999</v>
      </c>
      <c r="L768" s="10">
        <v>-0.14629515700000001</v>
      </c>
      <c r="M768" s="10">
        <v>-0.160705027</v>
      </c>
      <c r="N768" s="10">
        <v>-0.159887733</v>
      </c>
      <c r="O768" s="9">
        <v>-0.16726758875</v>
      </c>
      <c r="P768" s="10">
        <v>2.4196550367781001E-2</v>
      </c>
      <c r="Q768" s="10">
        <v>5.8547304970049999E-4</v>
      </c>
    </row>
    <row r="769" spans="1:17" x14ac:dyDescent="0.2">
      <c r="A769" s="10">
        <v>1774</v>
      </c>
      <c r="B769" s="10" t="s">
        <v>2831</v>
      </c>
      <c r="C769" s="9" t="s">
        <v>1349</v>
      </c>
      <c r="D769" s="10">
        <v>-2.3533507029999998</v>
      </c>
      <c r="E769" s="10">
        <v>-0.88381715299999997</v>
      </c>
      <c r="F769" s="10">
        <v>-2.2585166619999999</v>
      </c>
      <c r="G769" s="10">
        <v>-1.5392229630000001</v>
      </c>
      <c r="H769" s="9">
        <v>-1.7587268700000001</v>
      </c>
      <c r="I769" s="10">
        <v>0.68726906837819501</v>
      </c>
      <c r="J769" s="10">
        <v>0.472338772349433</v>
      </c>
      <c r="K769" s="10">
        <v>0.346017185</v>
      </c>
      <c r="L769" s="10">
        <v>-0.79996580500000003</v>
      </c>
      <c r="M769" s="10">
        <v>-0.31923518699999998</v>
      </c>
      <c r="N769" s="10">
        <v>-0.19893833499999999</v>
      </c>
      <c r="O769" s="9">
        <v>-0.24303053550000001</v>
      </c>
      <c r="P769" s="10">
        <v>0.470781400968805</v>
      </c>
      <c r="Q769" s="10">
        <v>0.22163512749815001</v>
      </c>
    </row>
    <row r="770" spans="1:17" x14ac:dyDescent="0.2">
      <c r="A770" s="10">
        <v>1774</v>
      </c>
      <c r="B770" s="10" t="s">
        <v>2834</v>
      </c>
      <c r="C770" s="9" t="s">
        <v>1351</v>
      </c>
      <c r="D770" s="10">
        <v>-2.9644734999999998E-2</v>
      </c>
      <c r="E770" s="10">
        <v>-9.6509278000000004E-2</v>
      </c>
      <c r="F770" s="10">
        <v>0.58238261499999999</v>
      </c>
      <c r="G770" s="10">
        <v>3.0481819E-2</v>
      </c>
      <c r="H770" s="9">
        <v>0.12167760525</v>
      </c>
      <c r="I770" s="10">
        <v>0.31148555029064001</v>
      </c>
      <c r="J770" s="10">
        <v>9.7023248039862994E-2</v>
      </c>
      <c r="K770" s="10">
        <v>0.43531579100000001</v>
      </c>
      <c r="L770" s="10">
        <v>0.53756971200000003</v>
      </c>
      <c r="M770" s="10">
        <v>0.36274913800000003</v>
      </c>
      <c r="N770" s="10">
        <v>0.28085665900000001</v>
      </c>
      <c r="O770" s="9">
        <v>0.40412282500000002</v>
      </c>
      <c r="P770" s="10">
        <v>0.109067872498705</v>
      </c>
      <c r="Q770" s="10">
        <v>1.1895800811393799E-2</v>
      </c>
    </row>
    <row r="771" spans="1:17" x14ac:dyDescent="0.2">
      <c r="A771" s="10">
        <v>1774</v>
      </c>
      <c r="B771" s="10" t="s">
        <v>2820</v>
      </c>
      <c r="C771" s="9" t="s">
        <v>1352</v>
      </c>
      <c r="D771" s="10">
        <v>-0.59978745300000003</v>
      </c>
      <c r="E771" s="10">
        <v>-0.79353684999999996</v>
      </c>
      <c r="F771" s="10">
        <v>-0.99250811500000002</v>
      </c>
      <c r="G771" s="10">
        <v>-0.39857863799999999</v>
      </c>
      <c r="H771" s="9">
        <v>-0.69610276424999995</v>
      </c>
      <c r="I771" s="10">
        <v>0.25504690934622098</v>
      </c>
      <c r="J771" s="10">
        <v>6.5048925967059704E-2</v>
      </c>
      <c r="K771" s="10">
        <v>-0.38420666199999998</v>
      </c>
      <c r="L771" s="10">
        <v>8.6434679999999996E-3</v>
      </c>
      <c r="M771" s="10">
        <v>-0.69171849900000004</v>
      </c>
      <c r="N771" s="10">
        <v>-0.33196247000000001</v>
      </c>
      <c r="O771" s="9">
        <v>-0.3498110405</v>
      </c>
      <c r="P771" s="10">
        <v>0.28687510353762502</v>
      </c>
      <c r="Q771" s="10">
        <v>8.2297325029723506E-2</v>
      </c>
    </row>
    <row r="772" spans="1:17" x14ac:dyDescent="0.2">
      <c r="A772" s="10">
        <v>1774</v>
      </c>
      <c r="B772" s="10" t="s">
        <v>2817</v>
      </c>
      <c r="C772" s="9" t="s">
        <v>1354</v>
      </c>
      <c r="D772" s="10">
        <v>0.38425630999999999</v>
      </c>
      <c r="E772" s="10">
        <v>0.17630327300000001</v>
      </c>
      <c r="F772" s="10">
        <v>-7.9659100000000003E-4</v>
      </c>
      <c r="G772" s="10">
        <v>0.14286805299999999</v>
      </c>
      <c r="H772" s="9">
        <v>0.17565776150000001</v>
      </c>
      <c r="I772" s="10">
        <v>0.15887634040463899</v>
      </c>
      <c r="J772" s="10">
        <v>2.5241691540370901E-2</v>
      </c>
      <c r="K772" s="10">
        <v>0.16371529000000001</v>
      </c>
      <c r="L772" s="10">
        <v>4.7715300000000002E-2</v>
      </c>
      <c r="M772" s="10">
        <v>2.6886374000000001E-2</v>
      </c>
      <c r="N772" s="10">
        <v>0.168288087</v>
      </c>
      <c r="O772" s="9">
        <v>0.10165126300000001</v>
      </c>
      <c r="P772" s="10">
        <v>7.4813738694136003E-2</v>
      </c>
      <c r="Q772" s="10">
        <v>5.5970954973943998E-3</v>
      </c>
    </row>
    <row r="773" spans="1:17" x14ac:dyDescent="0.2">
      <c r="A773" s="10">
        <v>1774</v>
      </c>
      <c r="B773" s="10" t="s">
        <v>2833</v>
      </c>
      <c r="C773" s="9" t="s">
        <v>1356</v>
      </c>
      <c r="D773" s="10">
        <v>0.24420549699999999</v>
      </c>
      <c r="E773" s="10">
        <v>0.37864595899999998</v>
      </c>
      <c r="F773" s="10">
        <v>0.60742081400000003</v>
      </c>
      <c r="G773" s="10">
        <v>0.238628478</v>
      </c>
      <c r="H773" s="9">
        <v>0.36722518700000001</v>
      </c>
      <c r="I773" s="10">
        <v>0.17271878006007901</v>
      </c>
      <c r="J773" s="10">
        <v>2.9831776985441899E-2</v>
      </c>
      <c r="K773" s="10">
        <v>1.3904690000000001E-2</v>
      </c>
      <c r="L773" s="10">
        <v>7.0748751999999998E-2</v>
      </c>
      <c r="M773" s="10">
        <v>0.14528255900000001</v>
      </c>
      <c r="N773" s="10">
        <v>-0.15750072400000001</v>
      </c>
      <c r="O773" s="9">
        <v>1.8108819250000002E-2</v>
      </c>
      <c r="P773" s="10">
        <v>0.12884164568072101</v>
      </c>
      <c r="Q773" s="10">
        <v>1.6600169661716499E-2</v>
      </c>
    </row>
    <row r="774" spans="1:17" x14ac:dyDescent="0.2">
      <c r="A774" s="10">
        <v>1774</v>
      </c>
      <c r="B774" s="10" t="s">
        <v>2825</v>
      </c>
      <c r="C774" s="9" t="s">
        <v>1357</v>
      </c>
      <c r="D774" s="10">
        <v>0.275629189</v>
      </c>
      <c r="E774" s="10">
        <v>0.28676069100000001</v>
      </c>
      <c r="F774" s="10">
        <v>0.26558226800000001</v>
      </c>
      <c r="G774" s="10">
        <v>0.33448085399999999</v>
      </c>
      <c r="H774" s="9">
        <v>0.29061325025000001</v>
      </c>
      <c r="I774" s="10">
        <v>3.0497437244711399E-2</v>
      </c>
      <c r="J774" s="10">
        <v>9.3009367849509995E-4</v>
      </c>
      <c r="K774" s="10">
        <v>-3.3673331000000001E-2</v>
      </c>
      <c r="L774" s="10">
        <v>1.4432947999999999E-2</v>
      </c>
      <c r="M774" s="10">
        <v>7.9270829999999997E-3</v>
      </c>
      <c r="N774" s="10">
        <v>0.25343827200000002</v>
      </c>
      <c r="O774" s="9">
        <v>6.0531242999999998E-2</v>
      </c>
      <c r="P774" s="10">
        <v>0.13035831906881501</v>
      </c>
      <c r="Q774" s="10">
        <v>1.6993291350446901E-2</v>
      </c>
    </row>
    <row r="775" spans="1:17" x14ac:dyDescent="0.2">
      <c r="A775" s="10">
        <v>1774</v>
      </c>
      <c r="B775" s="10" t="s">
        <v>74</v>
      </c>
      <c r="C775" s="9" t="s">
        <v>1358</v>
      </c>
      <c r="D775" s="10">
        <v>-0.43685538200000001</v>
      </c>
      <c r="E775" s="10">
        <v>-3.5232240000000001E-3</v>
      </c>
      <c r="F775" s="10">
        <v>-0.13385567300000001</v>
      </c>
      <c r="G775" s="10">
        <v>-0.63714994199999997</v>
      </c>
      <c r="H775" s="9">
        <v>-0.302846055</v>
      </c>
      <c r="I775" s="10">
        <v>0.28744245508313598</v>
      </c>
      <c r="J775" s="10">
        <v>8.2623164984220704E-2</v>
      </c>
      <c r="K775" s="10">
        <v>0.137325314</v>
      </c>
      <c r="L775" s="10">
        <v>-5.4944237999999999E-2</v>
      </c>
      <c r="M775" s="10">
        <v>-6.8910489999999998E-3</v>
      </c>
      <c r="N775" s="10">
        <v>0.34866546500000001</v>
      </c>
      <c r="O775" s="9">
        <v>0.10603887325</v>
      </c>
      <c r="P775" s="10">
        <v>0.18121371714649101</v>
      </c>
      <c r="Q775" s="10">
        <v>3.2838411282048403E-2</v>
      </c>
    </row>
    <row r="776" spans="1:17" x14ac:dyDescent="0.2">
      <c r="A776" s="10">
        <v>1774</v>
      </c>
      <c r="B776" s="10" t="s">
        <v>2818</v>
      </c>
      <c r="C776" s="9" t="s">
        <v>1359</v>
      </c>
      <c r="D776" s="10">
        <v>-0.50744151000000004</v>
      </c>
      <c r="E776" s="10">
        <v>-0.731022124</v>
      </c>
      <c r="F776" s="10">
        <v>-0.542920823</v>
      </c>
      <c r="G776" s="10">
        <v>-0.51667905999999997</v>
      </c>
      <c r="H776" s="9">
        <v>-0.57451587900000001</v>
      </c>
      <c r="I776" s="10">
        <v>0.10541429519824699</v>
      </c>
      <c r="J776" s="10">
        <v>1.1112173632143301E-2</v>
      </c>
      <c r="K776" s="10">
        <v>-0.58924030100000002</v>
      </c>
      <c r="L776" s="10">
        <v>-0.34160030699999999</v>
      </c>
      <c r="M776" s="10">
        <v>-0.14102367099999999</v>
      </c>
      <c r="N776" s="10">
        <v>-0.44467797999999997</v>
      </c>
      <c r="O776" s="9">
        <v>-0.37913556474999999</v>
      </c>
      <c r="P776" s="10">
        <v>0.18845510332795901</v>
      </c>
      <c r="Q776" s="10">
        <v>3.5515325970351903E-2</v>
      </c>
    </row>
    <row r="777" spans="1:17" x14ac:dyDescent="0.2">
      <c r="A777" s="10">
        <v>1774</v>
      </c>
      <c r="B777" s="10" t="s">
        <v>2832</v>
      </c>
      <c r="C777" s="9" t="s">
        <v>60</v>
      </c>
      <c r="D777" s="10">
        <v>-0.80002398399999997</v>
      </c>
      <c r="E777" s="10">
        <v>-0.88548186299999998</v>
      </c>
      <c r="F777" s="10">
        <v>-0.194711832</v>
      </c>
      <c r="G777" s="10">
        <v>-0.34596156300000003</v>
      </c>
      <c r="H777" s="9">
        <v>-0.55654481050000004</v>
      </c>
      <c r="I777" s="10">
        <v>0.33800892537202698</v>
      </c>
      <c r="J777" s="10">
        <v>0.11425003363115201</v>
      </c>
      <c r="K777" s="10">
        <v>9.1595149000000001E-2</v>
      </c>
      <c r="L777" s="10">
        <v>-4.9555276000000002E-2</v>
      </c>
      <c r="M777" s="10">
        <v>0.48773792300000002</v>
      </c>
      <c r="N777" s="10">
        <v>-5.0289401999999997E-2</v>
      </c>
      <c r="O777" s="9">
        <v>0.11987209825</v>
      </c>
      <c r="P777" s="10">
        <v>0.25415574109225803</v>
      </c>
      <c r="Q777" s="10">
        <v>6.4595140730155001E-2</v>
      </c>
    </row>
    <row r="778" spans="1:17" x14ac:dyDescent="0.2">
      <c r="A778" s="10">
        <v>1775</v>
      </c>
      <c r="B778" s="10" t="s">
        <v>2831</v>
      </c>
      <c r="C778" s="9" t="s">
        <v>2615</v>
      </c>
      <c r="D778" s="10">
        <v>-1.1608039509999999</v>
      </c>
      <c r="E778" s="10">
        <v>-0.76956217400000004</v>
      </c>
      <c r="F778" s="10">
        <v>-1.4734314559999999</v>
      </c>
      <c r="G778" s="10">
        <v>-1.1761078300000001</v>
      </c>
      <c r="H778" s="9">
        <v>-1.1449763525000001</v>
      </c>
      <c r="I778" s="10">
        <v>0.28869721289477601</v>
      </c>
      <c r="J778" s="10">
        <v>8.3346080733211897E-2</v>
      </c>
      <c r="K778" s="10">
        <v>-0.60910577099999996</v>
      </c>
      <c r="L778" s="10">
        <v>-0.377011243</v>
      </c>
      <c r="M778" s="10">
        <v>-0.35991109100000002</v>
      </c>
      <c r="N778" s="10">
        <v>-0.34162413200000002</v>
      </c>
      <c r="O778" s="9">
        <v>-0.42191305925</v>
      </c>
      <c r="P778" s="10">
        <v>0.125628871868289</v>
      </c>
      <c r="Q778" s="10">
        <v>1.5782613446899001E-2</v>
      </c>
    </row>
    <row r="779" spans="1:17" x14ac:dyDescent="0.2">
      <c r="A779" s="10">
        <v>1775</v>
      </c>
      <c r="B779" s="10" t="s">
        <v>2819</v>
      </c>
      <c r="C779" s="9" t="s">
        <v>1362</v>
      </c>
      <c r="D779" s="10">
        <v>-0.516853271</v>
      </c>
      <c r="E779" s="10">
        <v>-0.60077994700000004</v>
      </c>
      <c r="F779" s="10">
        <v>-1.1461906580000001</v>
      </c>
      <c r="G779" s="10">
        <v>-0.52827334299999995</v>
      </c>
      <c r="H779" s="9">
        <v>-0.69802430500000001</v>
      </c>
      <c r="I779" s="10">
        <v>0.30108020957031101</v>
      </c>
      <c r="J779" s="10">
        <v>9.0649292594902495E-2</v>
      </c>
      <c r="K779" s="10">
        <v>2.8211258999999999E-2</v>
      </c>
      <c r="L779" s="10">
        <v>-5.8462401999999997E-2</v>
      </c>
      <c r="M779" s="10">
        <v>-0.26470304900000002</v>
      </c>
      <c r="N779" s="10">
        <v>8.5025089999999998E-2</v>
      </c>
      <c r="O779" s="9">
        <v>-5.2482275250000002E-2</v>
      </c>
      <c r="P779" s="10">
        <v>0.15328963945719101</v>
      </c>
      <c r="Q779" s="10">
        <v>2.3497713564915802E-2</v>
      </c>
    </row>
    <row r="780" spans="1:17" x14ac:dyDescent="0.2">
      <c r="A780" s="10">
        <v>1775</v>
      </c>
      <c r="B780" s="10" t="s">
        <v>2824</v>
      </c>
      <c r="C780" s="9" t="s">
        <v>1363</v>
      </c>
      <c r="D780" s="10">
        <v>-0.36520580200000002</v>
      </c>
      <c r="E780" s="10">
        <v>-0.28829711099999999</v>
      </c>
      <c r="F780" s="10">
        <v>-4.8851484000000001E-2</v>
      </c>
      <c r="G780" s="10">
        <v>-0.27232922300000001</v>
      </c>
      <c r="H780" s="9">
        <v>-0.24367090499999999</v>
      </c>
      <c r="I780" s="10">
        <v>0.136061426618175</v>
      </c>
      <c r="J780" s="10">
        <v>1.8512711813373099E-2</v>
      </c>
      <c r="K780" s="10">
        <v>0.35872678600000002</v>
      </c>
      <c r="L780" s="10">
        <v>-0.23116893299999999</v>
      </c>
      <c r="M780" s="10">
        <v>-0.22595605599999999</v>
      </c>
      <c r="N780" s="10">
        <v>2.2287989000000001E-2</v>
      </c>
      <c r="O780" s="9">
        <v>-1.9027553499999999E-2</v>
      </c>
      <c r="P780" s="10">
        <v>0.27822573874835599</v>
      </c>
      <c r="Q780" s="10">
        <v>7.7409561702068697E-2</v>
      </c>
    </row>
    <row r="781" spans="1:17" x14ac:dyDescent="0.2">
      <c r="A781" s="10">
        <v>1775</v>
      </c>
      <c r="B781" s="10" t="s">
        <v>2814</v>
      </c>
      <c r="C781" s="9" t="s">
        <v>1364</v>
      </c>
      <c r="D781" s="10">
        <v>-0.62521538099999996</v>
      </c>
      <c r="E781" s="10">
        <v>-0.99922851300000004</v>
      </c>
      <c r="F781" s="10">
        <v>-1.2890657599999999</v>
      </c>
      <c r="G781" s="10">
        <v>-0.90570653400000001</v>
      </c>
      <c r="H781" s="9">
        <v>-0.95480404699999999</v>
      </c>
      <c r="I781" s="10">
        <v>0.273705243218274</v>
      </c>
      <c r="J781" s="10">
        <v>7.4914560165174698E-2</v>
      </c>
      <c r="K781" s="10">
        <v>-0.42427739599999997</v>
      </c>
      <c r="L781" s="10">
        <v>-0.280593225</v>
      </c>
      <c r="M781" s="10">
        <v>-0.30634509799999998</v>
      </c>
      <c r="N781" s="10">
        <v>-0.95640794699999998</v>
      </c>
      <c r="O781" s="9">
        <v>-0.49190591649999998</v>
      </c>
      <c r="P781" s="10">
        <v>0.31592278807487401</v>
      </c>
      <c r="Q781" s="10">
        <v>9.9807208025001898E-2</v>
      </c>
    </row>
    <row r="782" spans="1:17" x14ac:dyDescent="0.2">
      <c r="A782" s="10">
        <v>1775</v>
      </c>
      <c r="B782" s="10" t="s">
        <v>2833</v>
      </c>
      <c r="C782" s="9" t="s">
        <v>1365</v>
      </c>
      <c r="D782" s="10">
        <v>-0.64197895999999999</v>
      </c>
      <c r="E782" s="10">
        <v>-0.52338795900000001</v>
      </c>
      <c r="F782" s="10">
        <v>-1.185141888</v>
      </c>
      <c r="G782" s="10">
        <v>-0.75772167199999996</v>
      </c>
      <c r="H782" s="9">
        <v>-0.77705761949999996</v>
      </c>
      <c r="I782" s="10">
        <v>0.28838700269684198</v>
      </c>
      <c r="J782" s="10">
        <v>8.3167063324468299E-2</v>
      </c>
      <c r="K782" s="10">
        <v>-0.19873606999999999</v>
      </c>
      <c r="L782" s="10">
        <v>-0.45579099299999998</v>
      </c>
      <c r="M782" s="10">
        <v>-0.16448796199999999</v>
      </c>
      <c r="N782" s="10">
        <v>-0.197558915</v>
      </c>
      <c r="O782" s="9">
        <v>-0.254143485</v>
      </c>
      <c r="P782" s="10">
        <v>0.1353657089592</v>
      </c>
      <c r="Q782" s="10">
        <v>1.8323875162026899E-2</v>
      </c>
    </row>
    <row r="783" spans="1:17" x14ac:dyDescent="0.2">
      <c r="A783" s="10">
        <v>1775</v>
      </c>
      <c r="B783" s="10" t="s">
        <v>2825</v>
      </c>
      <c r="C783" s="9" t="s">
        <v>33</v>
      </c>
      <c r="D783" s="10">
        <v>-0.64993022600000006</v>
      </c>
      <c r="E783" s="10">
        <v>-0.82047611099999995</v>
      </c>
      <c r="F783" s="10">
        <v>-1.245690497</v>
      </c>
      <c r="G783" s="10">
        <v>-1.0100260539999999</v>
      </c>
      <c r="H783" s="9">
        <v>-0.93153072199999998</v>
      </c>
      <c r="I783" s="10">
        <v>0.25592306613879601</v>
      </c>
      <c r="J783" s="10">
        <v>6.5496615781882705E-2</v>
      </c>
      <c r="K783" s="10">
        <v>0.32358979599999999</v>
      </c>
      <c r="L783" s="10">
        <v>0.23860142500000001</v>
      </c>
      <c r="M783" s="10">
        <v>0.16701105199999999</v>
      </c>
      <c r="N783" s="10">
        <v>4.0331840000000004E-3</v>
      </c>
      <c r="O783" s="9">
        <v>0.1833088645</v>
      </c>
      <c r="P783" s="10">
        <v>0.13557457394385899</v>
      </c>
      <c r="Q783" s="10">
        <v>1.8380465100059001E-2</v>
      </c>
    </row>
    <row r="784" spans="1:17" x14ac:dyDescent="0.2">
      <c r="A784" s="10">
        <v>1775</v>
      </c>
      <c r="B784" s="10" t="s">
        <v>74</v>
      </c>
      <c r="C784" s="9" t="s">
        <v>1366</v>
      </c>
      <c r="D784" s="10">
        <v>-0.77411722400000005</v>
      </c>
      <c r="E784" s="10">
        <v>-0.54738969900000001</v>
      </c>
      <c r="F784" s="10">
        <v>-0.74805549500000001</v>
      </c>
      <c r="G784" s="10">
        <v>-0.83027099100000001</v>
      </c>
      <c r="H784" s="9">
        <v>-0.72495835249999996</v>
      </c>
      <c r="I784" s="10">
        <v>0.123249680422105</v>
      </c>
      <c r="J784" s="10">
        <v>1.51904837241511E-2</v>
      </c>
      <c r="K784" s="10">
        <v>0.19118845800000001</v>
      </c>
      <c r="L784" s="10">
        <v>-0.28531238199999998</v>
      </c>
      <c r="M784" s="10">
        <v>-0.41000019300000001</v>
      </c>
      <c r="N784" s="10">
        <v>-0.104608228</v>
      </c>
      <c r="O784" s="9">
        <v>-0.15218308650000001</v>
      </c>
      <c r="P784" s="10">
        <v>0.26099837448917101</v>
      </c>
      <c r="Q784" s="10">
        <v>6.8120151485989697E-2</v>
      </c>
    </row>
    <row r="785" spans="1:17" x14ac:dyDescent="0.2">
      <c r="A785" s="10">
        <v>1775</v>
      </c>
      <c r="B785" s="10" t="s">
        <v>2818</v>
      </c>
      <c r="C785" s="9" t="s">
        <v>1367</v>
      </c>
      <c r="D785" s="10">
        <v>-9.8137160000000001E-2</v>
      </c>
      <c r="E785" s="10">
        <v>-0.23426222299999999</v>
      </c>
      <c r="F785" s="10">
        <v>-0.28453588600000002</v>
      </c>
      <c r="G785" s="10">
        <v>3.2640477000000001E-2</v>
      </c>
      <c r="H785" s="9">
        <v>-0.14607369775000001</v>
      </c>
      <c r="I785" s="10">
        <v>0.14281183595764399</v>
      </c>
      <c r="J785" s="10">
        <v>2.0395220489593E-2</v>
      </c>
      <c r="K785" s="10">
        <v>0.108336344</v>
      </c>
      <c r="L785" s="10">
        <v>1.1509616E-2</v>
      </c>
      <c r="M785" s="10">
        <v>-0.123514131</v>
      </c>
      <c r="N785" s="10">
        <v>-1.5005414999999999E-2</v>
      </c>
      <c r="O785" s="9">
        <v>-4.6683967499999996E-3</v>
      </c>
      <c r="P785" s="10">
        <v>9.5329187597916601E-2</v>
      </c>
      <c r="Q785" s="10">
        <v>9.0876540080786997E-3</v>
      </c>
    </row>
    <row r="786" spans="1:17" x14ac:dyDescent="0.2">
      <c r="A786" s="10">
        <v>1775</v>
      </c>
      <c r="B786" s="10" t="s">
        <v>2830</v>
      </c>
      <c r="C786" s="9" t="s">
        <v>1368</v>
      </c>
      <c r="D786" s="10">
        <v>-0.42472899600000003</v>
      </c>
      <c r="E786" s="10">
        <v>-4.7078791000000002E-2</v>
      </c>
      <c r="F786" s="10">
        <v>7.6150827000000004E-2</v>
      </c>
      <c r="G786" s="10">
        <v>0.13421996999999999</v>
      </c>
      <c r="H786" s="9">
        <v>-6.5359247250000002E-2</v>
      </c>
      <c r="I786" s="10">
        <v>0.25122218351471898</v>
      </c>
      <c r="J786" s="10">
        <v>6.3112585489903103E-2</v>
      </c>
      <c r="K786" s="10">
        <v>4.7613257999999999E-2</v>
      </c>
      <c r="L786" s="10">
        <v>-9.7108650000000008E-3</v>
      </c>
      <c r="M786" s="10">
        <v>-7.5844251000000001E-2</v>
      </c>
      <c r="N786" s="10">
        <v>0.42515908899999999</v>
      </c>
      <c r="O786" s="9">
        <v>9.6804308000000006E-2</v>
      </c>
      <c r="P786" s="10">
        <v>0.22464017792138599</v>
      </c>
      <c r="Q786" s="10">
        <v>5.04632095365522E-2</v>
      </c>
    </row>
    <row r="787" spans="1:17" x14ac:dyDescent="0.2">
      <c r="A787" s="10">
        <v>1776</v>
      </c>
      <c r="B787" s="10" t="s">
        <v>2834</v>
      </c>
      <c r="C787" s="9" t="s">
        <v>1370</v>
      </c>
      <c r="D787" s="10">
        <v>0.58125944900000004</v>
      </c>
      <c r="E787" s="10">
        <v>0.31159716500000001</v>
      </c>
      <c r="F787" s="10">
        <v>0.69204423599999998</v>
      </c>
      <c r="G787" s="10">
        <v>0.55882255999999997</v>
      </c>
      <c r="H787" s="9">
        <v>0.53593085250000005</v>
      </c>
      <c r="I787" s="10">
        <v>0.16049475981901601</v>
      </c>
      <c r="J787" s="10">
        <v>2.57585679293636E-2</v>
      </c>
      <c r="K787" s="10">
        <v>0.36772118799999998</v>
      </c>
      <c r="L787" s="10">
        <v>0.25277312800000001</v>
      </c>
      <c r="M787" s="10">
        <v>0.31906572</v>
      </c>
      <c r="N787" s="10">
        <v>0.241304138</v>
      </c>
      <c r="O787" s="9">
        <v>0.29521604325</v>
      </c>
      <c r="P787" s="10">
        <v>5.9255654241885301E-2</v>
      </c>
      <c r="Q787" s="10">
        <v>3.5112325596337998E-3</v>
      </c>
    </row>
    <row r="788" spans="1:17" x14ac:dyDescent="0.2">
      <c r="A788" s="10">
        <v>1776</v>
      </c>
      <c r="B788" s="10" t="s">
        <v>2824</v>
      </c>
      <c r="C788" s="9" t="s">
        <v>1371</v>
      </c>
      <c r="D788" s="10">
        <v>5.8289043999999998E-2</v>
      </c>
      <c r="E788" s="10">
        <v>0.253480119</v>
      </c>
      <c r="F788" s="10">
        <v>-0.13575159000000001</v>
      </c>
      <c r="G788" s="10">
        <v>0.23473445000000001</v>
      </c>
      <c r="H788" s="9">
        <v>0.102688006</v>
      </c>
      <c r="I788" s="10">
        <v>0.181658317988626</v>
      </c>
      <c r="J788" s="10">
        <v>3.2999744494456799E-2</v>
      </c>
      <c r="K788" s="10">
        <v>0.38499355400000002</v>
      </c>
      <c r="L788" s="10">
        <v>0.379523108</v>
      </c>
      <c r="M788" s="10">
        <v>0.13599343699999999</v>
      </c>
      <c r="N788" s="10">
        <v>0.63449251299999998</v>
      </c>
      <c r="O788" s="9">
        <v>0.383750653</v>
      </c>
      <c r="P788" s="10">
        <v>0.20353094390120999</v>
      </c>
      <c r="Q788" s="10">
        <v>4.1424845125317598E-2</v>
      </c>
    </row>
    <row r="789" spans="1:17" x14ac:dyDescent="0.2">
      <c r="A789" s="10">
        <v>1776</v>
      </c>
      <c r="B789" s="10" t="s">
        <v>2833</v>
      </c>
      <c r="C789" s="9" t="s">
        <v>1372</v>
      </c>
      <c r="D789" s="10">
        <v>9.4341805000000001E-2</v>
      </c>
      <c r="E789" s="10">
        <v>0.445820516</v>
      </c>
      <c r="F789" s="10">
        <v>7.6645877000000001E-2</v>
      </c>
      <c r="G789" s="10">
        <v>0.65352093200000005</v>
      </c>
      <c r="H789" s="9">
        <v>0.31758228225000001</v>
      </c>
      <c r="I789" s="10">
        <v>0.28117994419278403</v>
      </c>
      <c r="J789" s="10">
        <v>7.9062161016257598E-2</v>
      </c>
      <c r="K789" s="10">
        <v>0.648102395</v>
      </c>
      <c r="L789" s="10">
        <v>0.635513887</v>
      </c>
      <c r="M789" s="10">
        <v>0.36557669300000001</v>
      </c>
      <c r="N789" s="10">
        <v>0.489031414</v>
      </c>
      <c r="O789" s="9">
        <v>0.53455609724999997</v>
      </c>
      <c r="P789" s="10">
        <v>0.133805546583633</v>
      </c>
      <c r="Q789" s="10">
        <v>1.7903924296544801E-2</v>
      </c>
    </row>
    <row r="790" spans="1:17" x14ac:dyDescent="0.2">
      <c r="A790" s="10">
        <v>1776</v>
      </c>
      <c r="B790" s="10" t="s">
        <v>2825</v>
      </c>
      <c r="C790" s="9" t="s">
        <v>1373</v>
      </c>
      <c r="D790" s="10">
        <v>0.104941338</v>
      </c>
      <c r="E790" s="10">
        <v>-0.97023863700000001</v>
      </c>
      <c r="F790" s="10">
        <v>-0.42880396700000001</v>
      </c>
      <c r="G790" s="10">
        <v>-0.48215891599999999</v>
      </c>
      <c r="H790" s="9">
        <v>-0.44406504549999998</v>
      </c>
      <c r="I790" s="10">
        <v>0.43967817814185101</v>
      </c>
      <c r="J790" s="10">
        <v>0.19331690033413701</v>
      </c>
      <c r="K790" s="10">
        <v>-0.46731757400000001</v>
      </c>
      <c r="L790" s="10">
        <v>-0.45747673599999999</v>
      </c>
      <c r="M790" s="10">
        <v>0.44989409299999999</v>
      </c>
      <c r="N790" s="10">
        <v>0.16494730099999999</v>
      </c>
      <c r="O790" s="9">
        <v>-7.7488229000000006E-2</v>
      </c>
      <c r="P790" s="10">
        <v>0.45944360678241702</v>
      </c>
      <c r="Q790" s="10">
        <v>0.211088427813236</v>
      </c>
    </row>
    <row r="791" spans="1:17" x14ac:dyDescent="0.2">
      <c r="A791" s="10">
        <v>1776</v>
      </c>
      <c r="B791" s="10" t="s">
        <v>74</v>
      </c>
      <c r="C791" s="9" t="s">
        <v>1374</v>
      </c>
      <c r="D791" s="10">
        <v>-0.64016000399999995</v>
      </c>
      <c r="E791" s="10">
        <v>-0.27583376799999998</v>
      </c>
      <c r="F791" s="10">
        <v>-0.15320088300000001</v>
      </c>
      <c r="G791" s="10">
        <v>-0.32159548100000002</v>
      </c>
      <c r="H791" s="9">
        <v>-0.34769753399999997</v>
      </c>
      <c r="I791" s="10">
        <v>0.20753229599529299</v>
      </c>
      <c r="J791" s="10">
        <v>4.3069653881078002E-2</v>
      </c>
      <c r="K791" s="10">
        <v>0.197458887</v>
      </c>
      <c r="L791" s="10">
        <v>-0.19548747</v>
      </c>
      <c r="M791" s="10">
        <v>-0.19042527200000001</v>
      </c>
      <c r="N791" s="10">
        <v>-0.475331367</v>
      </c>
      <c r="O791" s="9">
        <v>-0.1659463055</v>
      </c>
      <c r="P791" s="10">
        <v>0.27643826942992999</v>
      </c>
      <c r="Q791" s="10">
        <v>7.6418116805415007E-2</v>
      </c>
    </row>
    <row r="792" spans="1:17" x14ac:dyDescent="0.2">
      <c r="A792" s="10">
        <v>1776</v>
      </c>
      <c r="B792" s="10" t="s">
        <v>2818</v>
      </c>
      <c r="C792" s="9" t="s">
        <v>1375</v>
      </c>
      <c r="D792" s="10">
        <v>-0.17812072100000001</v>
      </c>
      <c r="E792" s="10">
        <v>-1.8236367999999999E-2</v>
      </c>
      <c r="F792" s="10">
        <v>8.6969464999999996E-2</v>
      </c>
      <c r="G792" s="10">
        <v>0.45031021900000001</v>
      </c>
      <c r="H792" s="9">
        <v>8.5230648749999999E-2</v>
      </c>
      <c r="I792" s="10">
        <v>0.26667426047534798</v>
      </c>
      <c r="J792" s="10">
        <v>7.1115161200073995E-2</v>
      </c>
      <c r="K792" s="10">
        <v>0.22992163900000001</v>
      </c>
      <c r="L792" s="10">
        <v>7.6714846000000003E-2</v>
      </c>
      <c r="M792" s="10">
        <v>0.15285257599999999</v>
      </c>
      <c r="N792" s="10">
        <v>3.9076619E-2</v>
      </c>
      <c r="O792" s="9">
        <v>0.12464142</v>
      </c>
      <c r="P792" s="10">
        <v>8.4652398078044894E-2</v>
      </c>
      <c r="Q792" s="10">
        <v>7.1660285003636998E-3</v>
      </c>
    </row>
    <row r="793" spans="1:17" x14ac:dyDescent="0.2">
      <c r="A793" s="10">
        <v>1777</v>
      </c>
      <c r="B793" s="10" t="s">
        <v>2822</v>
      </c>
      <c r="C793" s="9" t="s">
        <v>1377</v>
      </c>
      <c r="D793" s="10">
        <v>0.72244224599999995</v>
      </c>
      <c r="E793" s="10">
        <v>0.238599544</v>
      </c>
      <c r="F793" s="10">
        <v>0.26808926</v>
      </c>
      <c r="G793" s="10">
        <v>-6.5470632000000001E-2</v>
      </c>
      <c r="H793" s="9">
        <v>0.29091510425</v>
      </c>
      <c r="I793" s="10">
        <v>0.324799632634939</v>
      </c>
      <c r="J793" s="10">
        <v>0.105494801359791</v>
      </c>
      <c r="K793" s="10">
        <v>7.6192630000000003E-3</v>
      </c>
      <c r="L793" s="10">
        <v>0.10905124300000001</v>
      </c>
      <c r="M793" s="10">
        <v>-5.0538079999999999E-2</v>
      </c>
      <c r="N793" s="10">
        <v>-0.14307003800000001</v>
      </c>
      <c r="O793" s="9">
        <v>-1.923440325E-2</v>
      </c>
      <c r="P793" s="10">
        <v>0.105662215001154</v>
      </c>
      <c r="Q793" s="10">
        <v>1.11645036789501E-2</v>
      </c>
    </row>
    <row r="794" spans="1:17" x14ac:dyDescent="0.2">
      <c r="A794" s="10">
        <v>1777</v>
      </c>
      <c r="B794" s="10" t="s">
        <v>2817</v>
      </c>
      <c r="C794" s="9" t="s">
        <v>1379</v>
      </c>
      <c r="D794" s="10">
        <v>9.2350994000000006E-2</v>
      </c>
      <c r="E794" s="10">
        <v>6.8295357000000001E-2</v>
      </c>
      <c r="F794" s="10">
        <v>0.23537117799999999</v>
      </c>
      <c r="G794" s="10">
        <v>0.344265659</v>
      </c>
      <c r="H794" s="9">
        <v>0.18507079700000001</v>
      </c>
      <c r="I794" s="10">
        <v>0.12923698860555399</v>
      </c>
      <c r="J794" s="10">
        <v>1.67021992238322E-2</v>
      </c>
      <c r="K794" s="10">
        <v>-0.26528104800000002</v>
      </c>
      <c r="L794" s="10">
        <v>-0.14192334000000001</v>
      </c>
      <c r="M794" s="10">
        <v>-0.45152068400000001</v>
      </c>
      <c r="N794" s="10">
        <v>-0.53109534800000002</v>
      </c>
      <c r="O794" s="9">
        <v>-0.34745510475000002</v>
      </c>
      <c r="P794" s="10">
        <v>0.17658733972132001</v>
      </c>
      <c r="Q794" s="10">
        <v>3.11830885498529E-2</v>
      </c>
    </row>
    <row r="795" spans="1:17" x14ac:dyDescent="0.2">
      <c r="A795" s="10">
        <v>1777</v>
      </c>
      <c r="B795" s="10" t="s">
        <v>2814</v>
      </c>
      <c r="C795" s="9" t="s">
        <v>1380</v>
      </c>
      <c r="D795" s="10">
        <v>-0.38063614600000001</v>
      </c>
      <c r="E795" s="10">
        <v>-0.14043471599999999</v>
      </c>
      <c r="F795" s="10">
        <v>0.19503482499999999</v>
      </c>
      <c r="G795" s="10">
        <v>0.38528949200000001</v>
      </c>
      <c r="H795" s="9">
        <v>1.4813363749999999E-2</v>
      </c>
      <c r="I795" s="10">
        <v>0.34166973221020103</v>
      </c>
      <c r="J795" s="10">
        <v>0.11673820590859101</v>
      </c>
      <c r="K795" s="10">
        <v>0.32998052500000002</v>
      </c>
      <c r="L795" s="10">
        <v>2.4060189999999999E-2</v>
      </c>
      <c r="M795" s="10">
        <v>0.57734385399999999</v>
      </c>
      <c r="N795" s="10">
        <v>0.65207902500000003</v>
      </c>
      <c r="O795" s="9">
        <v>0.39586589849999998</v>
      </c>
      <c r="P795" s="10">
        <v>0.28352529683597599</v>
      </c>
      <c r="Q795" s="10">
        <v>8.03865939459288E-2</v>
      </c>
    </row>
    <row r="796" spans="1:17" x14ac:dyDescent="0.2">
      <c r="A796" s="10">
        <v>1777</v>
      </c>
      <c r="B796" s="10" t="s">
        <v>2825</v>
      </c>
      <c r="C796" s="9" t="s">
        <v>1382</v>
      </c>
      <c r="D796" s="10">
        <v>2.76787E-3</v>
      </c>
      <c r="E796" s="10">
        <v>-0.45559011300000002</v>
      </c>
      <c r="F796" s="10">
        <v>0.38570906799999999</v>
      </c>
      <c r="G796" s="10">
        <v>-0.54002793299999996</v>
      </c>
      <c r="H796" s="9">
        <v>-0.15178527724999999</v>
      </c>
      <c r="I796" s="10">
        <v>0.43043256710333599</v>
      </c>
      <c r="J796" s="10">
        <v>0.18527219482316701</v>
      </c>
      <c r="K796" s="10">
        <v>0.36245588099999998</v>
      </c>
      <c r="L796" s="10">
        <v>0.19877333</v>
      </c>
      <c r="M796" s="10">
        <v>-0.75197789800000003</v>
      </c>
      <c r="N796" s="10">
        <v>-8.4667415999999995E-2</v>
      </c>
      <c r="O796" s="9">
        <v>-6.8854025750000006E-2</v>
      </c>
      <c r="P796" s="10">
        <v>0.49144715733415401</v>
      </c>
      <c r="Q796" s="10">
        <v>0.24152030845182099</v>
      </c>
    </row>
    <row r="797" spans="1:17" x14ac:dyDescent="0.2">
      <c r="A797" s="10">
        <v>1777</v>
      </c>
      <c r="B797" s="10" t="s">
        <v>74</v>
      </c>
      <c r="C797" s="9" t="s">
        <v>1383</v>
      </c>
      <c r="D797" s="10">
        <v>0.59722751799999996</v>
      </c>
      <c r="E797" s="10">
        <v>0.178094435</v>
      </c>
      <c r="F797" s="10">
        <v>0.32791267400000002</v>
      </c>
      <c r="G797" s="10">
        <v>-0.34770059599999997</v>
      </c>
      <c r="H797" s="9">
        <v>0.18888350775000001</v>
      </c>
      <c r="I797" s="10">
        <v>0.39753945056359602</v>
      </c>
      <c r="J797" s="10">
        <v>0.158037614754405</v>
      </c>
      <c r="K797" s="10">
        <v>0.14470997199999999</v>
      </c>
      <c r="L797" s="10">
        <v>6.5132305000000001E-2</v>
      </c>
      <c r="M797" s="10">
        <v>0.24060427000000001</v>
      </c>
      <c r="N797" s="10">
        <v>0.124615717</v>
      </c>
      <c r="O797" s="9">
        <v>0.14376556600000001</v>
      </c>
      <c r="P797" s="10">
        <v>7.28663913092754E-2</v>
      </c>
      <c r="Q797" s="10">
        <v>5.3095109824364004E-3</v>
      </c>
    </row>
    <row r="798" spans="1:17" x14ac:dyDescent="0.2">
      <c r="A798" s="10">
        <v>1778</v>
      </c>
      <c r="B798" s="10" t="s">
        <v>2831</v>
      </c>
      <c r="C798" s="9" t="s">
        <v>1384</v>
      </c>
      <c r="D798" s="10">
        <v>-1.4477810360000001</v>
      </c>
      <c r="E798" s="10">
        <v>-1.070535443</v>
      </c>
      <c r="F798" s="10">
        <v>-1.215085934</v>
      </c>
      <c r="G798" s="10">
        <v>-0.89333368899999999</v>
      </c>
      <c r="H798" s="9">
        <v>-1.1566840254999999</v>
      </c>
      <c r="I798" s="10">
        <v>0.234466223892982</v>
      </c>
      <c r="J798" s="10">
        <v>5.4974410146633998E-2</v>
      </c>
      <c r="K798" s="10">
        <v>0.34966382099999999</v>
      </c>
      <c r="L798" s="10">
        <v>-0.17982252400000001</v>
      </c>
      <c r="M798" s="10">
        <v>-7.9918155000000005E-2</v>
      </c>
      <c r="N798" s="10">
        <v>0.109628062</v>
      </c>
      <c r="O798" s="9">
        <v>4.9887801500000002E-2</v>
      </c>
      <c r="P798" s="10">
        <v>0.23313156555620901</v>
      </c>
      <c r="Q798" s="10">
        <v>5.4350326858689298E-2</v>
      </c>
    </row>
    <row r="799" spans="1:17" x14ac:dyDescent="0.2">
      <c r="A799" s="10">
        <v>1778</v>
      </c>
      <c r="B799" s="10" t="s">
        <v>2822</v>
      </c>
      <c r="C799" s="9" t="s">
        <v>1385</v>
      </c>
      <c r="D799" s="10">
        <v>-0.83876279899999995</v>
      </c>
      <c r="E799" s="10">
        <v>-0.31275259599999999</v>
      </c>
      <c r="F799" s="10">
        <v>-1.514863241</v>
      </c>
      <c r="G799" s="10">
        <v>-0.31451965900000001</v>
      </c>
      <c r="H799" s="9">
        <v>-0.74522457350000004</v>
      </c>
      <c r="I799" s="10">
        <v>0.56968757895243904</v>
      </c>
      <c r="J799" s="10">
        <v>0.32454393761269201</v>
      </c>
      <c r="K799" s="10">
        <v>-1.1188641770000001</v>
      </c>
      <c r="L799" s="10">
        <v>-0.90007546699999996</v>
      </c>
      <c r="M799" s="10">
        <v>-1.2988741530000001</v>
      </c>
      <c r="N799" s="10">
        <v>-1.1251333729999999</v>
      </c>
      <c r="O799" s="9">
        <v>-1.110736792</v>
      </c>
      <c r="P799" s="10">
        <v>0.16334745828675301</v>
      </c>
      <c r="Q799" s="10">
        <v>2.6682392128742499E-2</v>
      </c>
    </row>
    <row r="800" spans="1:17" x14ac:dyDescent="0.2">
      <c r="A800" s="10">
        <v>1778</v>
      </c>
      <c r="B800" s="10" t="s">
        <v>96</v>
      </c>
      <c r="C800" s="9" t="s">
        <v>1386</v>
      </c>
      <c r="D800" s="10">
        <v>0.47043173900000002</v>
      </c>
      <c r="E800" s="10">
        <v>-0.15414671699999999</v>
      </c>
      <c r="F800" s="10">
        <v>0.32192900099999999</v>
      </c>
      <c r="G800" s="10">
        <v>3.2963805999999998E-2</v>
      </c>
      <c r="H800" s="9">
        <v>0.16779445700000001</v>
      </c>
      <c r="I800" s="10">
        <v>0.281171481529224</v>
      </c>
      <c r="J800" s="10">
        <v>7.9057402025339105E-2</v>
      </c>
      <c r="K800" s="10">
        <v>0.58072927699999999</v>
      </c>
      <c r="L800" s="10">
        <v>-0.22421930800000001</v>
      </c>
      <c r="M800" s="10">
        <v>-0.49014851100000001</v>
      </c>
      <c r="N800" s="10">
        <v>-0.179161084</v>
      </c>
      <c r="O800" s="9">
        <v>-7.8199906250000006E-2</v>
      </c>
      <c r="P800" s="10">
        <v>0.46021884163735199</v>
      </c>
      <c r="Q800" s="10">
        <v>0.21180138219802599</v>
      </c>
    </row>
    <row r="801" spans="1:17" x14ac:dyDescent="0.2">
      <c r="A801" s="10">
        <v>1778</v>
      </c>
      <c r="B801" s="10" t="s">
        <v>2819</v>
      </c>
      <c r="C801" s="9" t="s">
        <v>1387</v>
      </c>
      <c r="D801" s="10">
        <v>0.20672348800000001</v>
      </c>
      <c r="E801" s="10">
        <v>1.1020174000000001E-2</v>
      </c>
      <c r="F801" s="10">
        <v>-0.31189858300000001</v>
      </c>
      <c r="G801" s="10">
        <v>-0.187166792</v>
      </c>
      <c r="H801" s="9">
        <v>-7.0330428249999993E-2</v>
      </c>
      <c r="I801" s="10">
        <v>0.22758346621224601</v>
      </c>
      <c r="J801" s="10">
        <v>5.1794234093180597E-2</v>
      </c>
      <c r="K801" s="10">
        <v>0.253818865</v>
      </c>
      <c r="L801" s="10">
        <v>-1.4300304E-2</v>
      </c>
      <c r="M801" s="10">
        <v>-0.127207127</v>
      </c>
      <c r="N801" s="10">
        <v>0.311009382</v>
      </c>
      <c r="O801" s="9">
        <v>0.10583020375</v>
      </c>
      <c r="P801" s="10">
        <v>0.210346440791748</v>
      </c>
      <c r="Q801" s="10">
        <v>4.4245625153756699E-2</v>
      </c>
    </row>
    <row r="802" spans="1:17" x14ac:dyDescent="0.2">
      <c r="A802" s="10">
        <v>1778</v>
      </c>
      <c r="B802" s="10" t="s">
        <v>2821</v>
      </c>
      <c r="C802" s="9" t="s">
        <v>34</v>
      </c>
      <c r="D802" s="10">
        <v>2.3815132999999999E-2</v>
      </c>
      <c r="E802" s="10">
        <v>-0.32641604899999999</v>
      </c>
      <c r="F802" s="10">
        <v>4.2292359000000002E-2</v>
      </c>
      <c r="G802" s="10">
        <v>-0.49620721899999998</v>
      </c>
      <c r="H802" s="9">
        <v>-0.18912894399999999</v>
      </c>
      <c r="I802" s="10">
        <v>0.26586075026089401</v>
      </c>
      <c r="J802" s="10">
        <v>7.0681938529285407E-2</v>
      </c>
      <c r="K802" s="10">
        <v>-0.26238614199999999</v>
      </c>
      <c r="L802" s="10">
        <v>6.0827313000000001E-2</v>
      </c>
      <c r="M802" s="10">
        <v>3.1095238000000001E-2</v>
      </c>
      <c r="N802" s="10">
        <v>3.021041E-2</v>
      </c>
      <c r="O802" s="9">
        <v>-3.5063295250000001E-2</v>
      </c>
      <c r="P802" s="10">
        <v>0.15221508195525399</v>
      </c>
      <c r="Q802" s="10">
        <v>2.3169431174644699E-2</v>
      </c>
    </row>
    <row r="803" spans="1:17" x14ac:dyDescent="0.2">
      <c r="A803" s="10">
        <v>1778</v>
      </c>
      <c r="B803" s="10" t="s">
        <v>2820</v>
      </c>
      <c r="C803" s="9" t="s">
        <v>2614</v>
      </c>
      <c r="D803" s="10">
        <v>-0.36830932700000002</v>
      </c>
      <c r="E803" s="10">
        <v>-0.26402271999999999</v>
      </c>
      <c r="F803" s="10">
        <v>-0.45083263600000001</v>
      </c>
      <c r="G803" s="10">
        <v>-0.25584476</v>
      </c>
      <c r="H803" s="9">
        <v>-0.33475236074999998</v>
      </c>
      <c r="I803" s="10">
        <v>9.2789711755066298E-2</v>
      </c>
      <c r="J803" s="10">
        <v>8.6099306075882003E-3</v>
      </c>
      <c r="K803" s="10">
        <v>-0.47248840600000003</v>
      </c>
      <c r="L803" s="10">
        <v>0.19186995000000001</v>
      </c>
      <c r="M803" s="10">
        <v>-0.31754695999999999</v>
      </c>
      <c r="N803" s="10">
        <v>0.180767873</v>
      </c>
      <c r="O803" s="9">
        <v>-0.10434938575</v>
      </c>
      <c r="P803" s="10">
        <v>0.34157346208685402</v>
      </c>
      <c r="Q803" s="10">
        <v>0.11667243000199901</v>
      </c>
    </row>
    <row r="804" spans="1:17" x14ac:dyDescent="0.2">
      <c r="A804" s="10">
        <v>1779</v>
      </c>
      <c r="B804" s="10" t="s">
        <v>2834</v>
      </c>
      <c r="C804" s="9" t="s">
        <v>1388</v>
      </c>
      <c r="D804" s="10">
        <v>-1.18807723</v>
      </c>
      <c r="E804" s="10">
        <v>-0.78973067299999999</v>
      </c>
      <c r="F804" s="10">
        <v>-0.71821688800000005</v>
      </c>
      <c r="G804" s="10">
        <v>-0.61679510999999998</v>
      </c>
      <c r="H804" s="9">
        <v>-0.82820497525000003</v>
      </c>
      <c r="I804" s="10">
        <v>0.25018647854111398</v>
      </c>
      <c r="J804" s="10">
        <v>6.2593274044803304E-2</v>
      </c>
      <c r="K804" s="10">
        <v>8.8899298000000002E-2</v>
      </c>
      <c r="L804" s="10">
        <v>-0.27066531199999999</v>
      </c>
      <c r="M804" s="10">
        <v>0.427224667</v>
      </c>
      <c r="N804" s="10">
        <v>8.2064370999999997E-2</v>
      </c>
      <c r="O804" s="9">
        <v>8.1880755999999999E-2</v>
      </c>
      <c r="P804" s="10">
        <v>0.28495639466025302</v>
      </c>
      <c r="Q804" s="10">
        <v>8.1200146857770106E-2</v>
      </c>
    </row>
    <row r="805" spans="1:17" x14ac:dyDescent="0.2">
      <c r="A805" s="10">
        <v>1779</v>
      </c>
      <c r="B805" s="10" t="s">
        <v>2825</v>
      </c>
      <c r="C805" s="9" t="s">
        <v>1390</v>
      </c>
      <c r="D805" s="10">
        <v>0.12909790199999999</v>
      </c>
      <c r="E805" s="10">
        <v>0.29149803000000002</v>
      </c>
      <c r="F805" s="10">
        <v>0.40090087299999999</v>
      </c>
      <c r="G805" s="10">
        <v>0.210591376</v>
      </c>
      <c r="H805" s="9">
        <v>0.25802204550000002</v>
      </c>
      <c r="I805" s="10">
        <v>0.116054734317398</v>
      </c>
      <c r="J805" s="10">
        <v>1.34687013574819E-2</v>
      </c>
      <c r="K805" s="10">
        <v>-0.208742965</v>
      </c>
      <c r="L805" s="10">
        <v>2.9434643E-2</v>
      </c>
      <c r="M805" s="10">
        <v>0.15192129200000001</v>
      </c>
      <c r="N805" s="10">
        <v>-0.11825234499999999</v>
      </c>
      <c r="O805" s="9">
        <v>-3.6409843499999997E-2</v>
      </c>
      <c r="P805" s="10">
        <v>0.15937483366671501</v>
      </c>
      <c r="Q805" s="10">
        <v>2.5400337606293E-2</v>
      </c>
    </row>
    <row r="806" spans="1:17" x14ac:dyDescent="0.2">
      <c r="A806" s="10">
        <v>1780</v>
      </c>
      <c r="B806" s="10" t="s">
        <v>2822</v>
      </c>
      <c r="C806" s="9" t="s">
        <v>1392</v>
      </c>
      <c r="D806" s="10">
        <v>-1.3710955389999999</v>
      </c>
      <c r="E806" s="10">
        <v>-1.0566805960000001</v>
      </c>
      <c r="F806" s="10">
        <v>-0.35071449999999998</v>
      </c>
      <c r="G806" s="10">
        <v>-0.72371079900000002</v>
      </c>
      <c r="H806" s="9">
        <v>-0.87555035849999996</v>
      </c>
      <c r="I806" s="10">
        <v>0.43851306291837699</v>
      </c>
      <c r="J806" s="10">
        <v>0.19229370635005599</v>
      </c>
      <c r="K806" s="10">
        <v>-5.8215485999999997E-2</v>
      </c>
      <c r="L806" s="10">
        <v>-0.39143710599999998</v>
      </c>
      <c r="M806" s="10">
        <v>-0.155085951</v>
      </c>
      <c r="N806" s="10">
        <v>5.5600800000000002E-3</v>
      </c>
      <c r="O806" s="9">
        <v>-0.14979461575</v>
      </c>
      <c r="P806" s="10">
        <v>0.17410811757860001</v>
      </c>
      <c r="Q806" s="10">
        <v>3.03136366067638E-2</v>
      </c>
    </row>
    <row r="807" spans="1:17" x14ac:dyDescent="0.2">
      <c r="A807" s="10">
        <v>1780</v>
      </c>
      <c r="B807" s="10" t="s">
        <v>2819</v>
      </c>
      <c r="C807" s="9" t="s">
        <v>1393</v>
      </c>
      <c r="D807" s="10">
        <v>-0.72453456999999999</v>
      </c>
      <c r="E807" s="10">
        <v>-0.75563086599999996</v>
      </c>
      <c r="F807" s="10">
        <v>-1.2190616489999999</v>
      </c>
      <c r="G807" s="10">
        <v>-1.222466539</v>
      </c>
      <c r="H807" s="9">
        <v>-0.980423406</v>
      </c>
      <c r="I807" s="10">
        <v>0.277815209377066</v>
      </c>
      <c r="J807" s="10">
        <v>7.7181290561222998E-2</v>
      </c>
      <c r="K807" s="10">
        <v>-7.9278517000000007E-2</v>
      </c>
      <c r="L807" s="10">
        <v>-0.17796968399999999</v>
      </c>
      <c r="M807" s="10">
        <v>-0.55014149700000003</v>
      </c>
      <c r="N807" s="10">
        <v>-0.81273522499999995</v>
      </c>
      <c r="O807" s="9">
        <v>-0.40503123099999999</v>
      </c>
      <c r="P807" s="10">
        <v>0.33909256987168002</v>
      </c>
      <c r="Q807" s="10">
        <v>0.11498377094218</v>
      </c>
    </row>
    <row r="808" spans="1:17" x14ac:dyDescent="0.2">
      <c r="A808" s="10">
        <v>1780</v>
      </c>
      <c r="B808" s="10" t="s">
        <v>79</v>
      </c>
      <c r="C808" s="9" t="s">
        <v>1394</v>
      </c>
      <c r="D808" s="10">
        <v>-0.57920919699999995</v>
      </c>
      <c r="E808" s="10">
        <v>-0.79519298000000005</v>
      </c>
      <c r="F808" s="10">
        <v>-0.49301741700000001</v>
      </c>
      <c r="G808" s="10">
        <v>-9.4115375000000001E-2</v>
      </c>
      <c r="H808" s="9">
        <v>-0.49038374200000001</v>
      </c>
      <c r="I808" s="10">
        <v>0.29316331509640903</v>
      </c>
      <c r="J808" s="10">
        <v>8.5944729318316607E-2</v>
      </c>
      <c r="K808" s="10">
        <v>-0.92453869200000005</v>
      </c>
      <c r="L808" s="10">
        <v>9.6088792000000006E-2</v>
      </c>
      <c r="M808" s="10">
        <v>-1.0161931420000001</v>
      </c>
      <c r="N808" s="10">
        <v>-0.67210042999999997</v>
      </c>
      <c r="O808" s="9">
        <v>-0.62918586799999998</v>
      </c>
      <c r="P808" s="10">
        <v>0.50493330016397597</v>
      </c>
      <c r="Q808" s="10">
        <v>0.25495763761448398</v>
      </c>
    </row>
    <row r="809" spans="1:17" x14ac:dyDescent="0.2">
      <c r="A809" s="10">
        <v>1780</v>
      </c>
      <c r="B809" s="10" t="s">
        <v>2820</v>
      </c>
      <c r="C809" s="9" t="s">
        <v>1395</v>
      </c>
      <c r="D809" s="10">
        <v>-1.2218035460000001</v>
      </c>
      <c r="E809" s="10">
        <v>-1.0187531940000001</v>
      </c>
      <c r="F809" s="10">
        <v>-1.307375164</v>
      </c>
      <c r="G809" s="10">
        <v>-1.179957932</v>
      </c>
      <c r="H809" s="9">
        <v>-1.181972459</v>
      </c>
      <c r="I809" s="10">
        <v>0.121046741246363</v>
      </c>
      <c r="J809" s="10">
        <v>1.46523135663641E-2</v>
      </c>
      <c r="K809" s="10">
        <v>3.0427111E-2</v>
      </c>
      <c r="L809" s="10">
        <v>-0.38499403500000001</v>
      </c>
      <c r="M809" s="10">
        <v>-0.113041856</v>
      </c>
      <c r="N809" s="10">
        <v>-0.115662101</v>
      </c>
      <c r="O809" s="9">
        <v>-0.14581772025</v>
      </c>
      <c r="P809" s="10">
        <v>0.17344659959136</v>
      </c>
      <c r="Q809" s="10">
        <v>3.00837229098058E-2</v>
      </c>
    </row>
    <row r="810" spans="1:17" x14ac:dyDescent="0.2">
      <c r="A810" s="10">
        <v>1780</v>
      </c>
      <c r="B810" s="10" t="s">
        <v>2817</v>
      </c>
      <c r="C810" s="9" t="s">
        <v>2613</v>
      </c>
      <c r="D810" s="10">
        <v>-0.63637884899999997</v>
      </c>
      <c r="E810" s="10">
        <v>-1.038538277</v>
      </c>
      <c r="F810" s="10">
        <v>0.174011052</v>
      </c>
      <c r="G810" s="10">
        <v>-0.63910054599999999</v>
      </c>
      <c r="H810" s="9">
        <v>-0.53500165499999996</v>
      </c>
      <c r="I810" s="10">
        <v>0.50903898441192796</v>
      </c>
      <c r="J810" s="10">
        <v>0.259120687651127</v>
      </c>
      <c r="K810" s="10">
        <v>-0.29547006399999998</v>
      </c>
      <c r="L810" s="10">
        <v>-1.1026105479999999</v>
      </c>
      <c r="M810" s="10">
        <v>-0.31185551700000003</v>
      </c>
      <c r="N810" s="10">
        <v>0.47843856600000001</v>
      </c>
      <c r="O810" s="9">
        <v>-0.30787439075</v>
      </c>
      <c r="P810" s="10">
        <v>0.64551357906754203</v>
      </c>
      <c r="Q810" s="10">
        <v>0.41668778076058699</v>
      </c>
    </row>
    <row r="811" spans="1:17" x14ac:dyDescent="0.2">
      <c r="A811" s="10">
        <v>1780</v>
      </c>
      <c r="B811" s="10" t="s">
        <v>2814</v>
      </c>
      <c r="C811" s="9" t="s">
        <v>1396</v>
      </c>
      <c r="D811" s="10">
        <v>-1.0178875439999999</v>
      </c>
      <c r="E811" s="10">
        <v>-1.5480766079999999</v>
      </c>
      <c r="F811" s="10">
        <v>-1.805751584</v>
      </c>
      <c r="G811" s="10">
        <v>-1.535786189</v>
      </c>
      <c r="H811" s="9">
        <v>-1.47687548125</v>
      </c>
      <c r="I811" s="10">
        <v>0.33033795293058799</v>
      </c>
      <c r="J811" s="10">
        <v>0.10912316314637099</v>
      </c>
      <c r="K811" s="10">
        <v>0.216267406</v>
      </c>
      <c r="L811" s="10">
        <v>-0.48535441299999998</v>
      </c>
      <c r="M811" s="10">
        <v>-0.44678199000000002</v>
      </c>
      <c r="N811" s="10">
        <v>-0.40129581199999997</v>
      </c>
      <c r="O811" s="9">
        <v>-0.2792912025</v>
      </c>
      <c r="P811" s="10">
        <v>0.33215391503369901</v>
      </c>
      <c r="Q811" s="10">
        <v>0.110326223272213</v>
      </c>
    </row>
    <row r="812" spans="1:17" x14ac:dyDescent="0.2">
      <c r="A812" s="10">
        <v>1780</v>
      </c>
      <c r="B812" s="10" t="s">
        <v>2825</v>
      </c>
      <c r="C812" s="9" t="s">
        <v>1397</v>
      </c>
      <c r="D812" s="10">
        <v>-1.521298762</v>
      </c>
      <c r="E812" s="10">
        <v>-1.1793199169999999</v>
      </c>
      <c r="F812" s="10">
        <v>-1.3872321519999999</v>
      </c>
      <c r="G812" s="10">
        <v>-1.167773325</v>
      </c>
      <c r="H812" s="9">
        <v>-1.3139060389999999</v>
      </c>
      <c r="I812" s="10">
        <v>0.17113021819367799</v>
      </c>
      <c r="J812" s="10">
        <v>2.9285551579015998E-2</v>
      </c>
      <c r="K812" s="10">
        <v>-0.218771563</v>
      </c>
      <c r="L812" s="10">
        <v>-0.73055824700000005</v>
      </c>
      <c r="M812" s="10">
        <v>-0.71268596100000003</v>
      </c>
      <c r="N812" s="10">
        <v>-0.18834156299999999</v>
      </c>
      <c r="O812" s="9">
        <v>-0.46258933349999998</v>
      </c>
      <c r="P812" s="10">
        <v>0.299452058781287</v>
      </c>
      <c r="Q812" s="10">
        <v>8.9671535508351802E-2</v>
      </c>
    </row>
    <row r="813" spans="1:17" x14ac:dyDescent="0.2">
      <c r="A813" s="10">
        <v>1780</v>
      </c>
      <c r="B813" s="10" t="s">
        <v>74</v>
      </c>
      <c r="C813" s="9" t="s">
        <v>1398</v>
      </c>
      <c r="D813" s="10">
        <v>-1.636723691</v>
      </c>
      <c r="E813" s="10">
        <v>-1.7907407559999999</v>
      </c>
      <c r="F813" s="10">
        <v>-1.4117209340000001</v>
      </c>
      <c r="G813" s="10">
        <v>-1.4874370910000001</v>
      </c>
      <c r="H813" s="9">
        <v>-1.5816556180000001</v>
      </c>
      <c r="I813" s="10">
        <v>0.16783326572588</v>
      </c>
      <c r="J813" s="10">
        <v>2.8168005084213899E-2</v>
      </c>
      <c r="K813" s="10">
        <v>-0.52418430299999996</v>
      </c>
      <c r="L813" s="10">
        <v>-0.50656429599999997</v>
      </c>
      <c r="M813" s="10">
        <v>-0.36079048899999999</v>
      </c>
      <c r="N813" s="10">
        <v>-0.73209749800000001</v>
      </c>
      <c r="O813" s="9">
        <v>-0.53090914649999998</v>
      </c>
      <c r="P813" s="10">
        <v>0.15281252749131999</v>
      </c>
      <c r="Q813" s="10">
        <v>2.33516685582855E-2</v>
      </c>
    </row>
    <row r="814" spans="1:17" x14ac:dyDescent="0.2">
      <c r="A814" s="10">
        <v>1780</v>
      </c>
      <c r="B814" s="10" t="s">
        <v>2818</v>
      </c>
      <c r="C814" s="9" t="s">
        <v>1399</v>
      </c>
      <c r="D814" s="10">
        <v>-9.9206371000000002E-2</v>
      </c>
      <c r="E814" s="10">
        <v>0.16975352299999999</v>
      </c>
      <c r="F814" s="10">
        <v>-0.81095688799999999</v>
      </c>
      <c r="G814" s="10">
        <v>-0.56983209499999998</v>
      </c>
      <c r="H814" s="9">
        <v>-0.32756045774999998</v>
      </c>
      <c r="I814" s="10">
        <v>0.44416004599658898</v>
      </c>
      <c r="J814" s="10">
        <v>0.19727814645969199</v>
      </c>
      <c r="K814" s="10">
        <v>0.48749118200000002</v>
      </c>
      <c r="L814" s="10">
        <v>5.5746642999999999E-2</v>
      </c>
      <c r="M814" s="10">
        <v>-0.196763456</v>
      </c>
      <c r="N814" s="10">
        <v>1.5794042000000001E-2</v>
      </c>
      <c r="O814" s="9">
        <v>9.0567102750000003E-2</v>
      </c>
      <c r="P814" s="10">
        <v>0.28688618516243902</v>
      </c>
      <c r="Q814" s="10">
        <v>8.2303683237057307E-2</v>
      </c>
    </row>
    <row r="815" spans="1:17" x14ac:dyDescent="0.2">
      <c r="A815" s="10">
        <v>1781</v>
      </c>
      <c r="B815" s="10" t="s">
        <v>2831</v>
      </c>
      <c r="C815" s="9" t="s">
        <v>2612</v>
      </c>
      <c r="D815" s="10">
        <v>-1.1138010650000001</v>
      </c>
      <c r="E815" s="10">
        <v>-1.3835489949999999</v>
      </c>
      <c r="F815" s="10">
        <v>-0.41405587399999999</v>
      </c>
      <c r="G815" s="10">
        <v>-1.626062927</v>
      </c>
      <c r="H815" s="9">
        <v>-1.1343672152499999</v>
      </c>
      <c r="I815" s="10">
        <v>0.52380900691702303</v>
      </c>
      <c r="J815" s="10">
        <v>0.27437587572739802</v>
      </c>
      <c r="K815" s="10">
        <v>5.8145506E-2</v>
      </c>
      <c r="L815" s="10">
        <v>-0.21305495699999999</v>
      </c>
      <c r="M815" s="10">
        <v>-0.130144966</v>
      </c>
      <c r="N815" s="10">
        <v>-0.13695502700000001</v>
      </c>
      <c r="O815" s="9">
        <v>-0.10550236125</v>
      </c>
      <c r="P815" s="10">
        <v>0.115390226997613</v>
      </c>
      <c r="Q815" s="10">
        <v>1.3314904486560799E-2</v>
      </c>
    </row>
    <row r="816" spans="1:17" x14ac:dyDescent="0.2">
      <c r="A816" s="10">
        <v>1781</v>
      </c>
      <c r="B816" s="10" t="s">
        <v>2822</v>
      </c>
      <c r="C816" s="9" t="s">
        <v>1400</v>
      </c>
      <c r="D816" s="10">
        <v>-0.158923224</v>
      </c>
      <c r="E816" s="10">
        <v>-0.39349773799999999</v>
      </c>
      <c r="F816" s="10">
        <v>-5.6061224999999999E-2</v>
      </c>
      <c r="G816" s="10">
        <v>-0.1113613</v>
      </c>
      <c r="H816" s="9">
        <v>-0.17996087175</v>
      </c>
      <c r="I816" s="10">
        <v>0.148433598599712</v>
      </c>
      <c r="J816" s="10">
        <v>2.2032533193260501E-2</v>
      </c>
      <c r="K816" s="10">
        <v>-8.7506175000000005E-2</v>
      </c>
      <c r="L816" s="10">
        <v>-0.494802988</v>
      </c>
      <c r="M816" s="10">
        <v>2.4455402000000001E-2</v>
      </c>
      <c r="N816" s="10">
        <v>-7.4199540999999994E-2</v>
      </c>
      <c r="O816" s="9">
        <v>-0.1580133255</v>
      </c>
      <c r="P816" s="10">
        <v>0.230013131528162</v>
      </c>
      <c r="Q816" s="10">
        <v>5.2906040675391702E-2</v>
      </c>
    </row>
    <row r="817" spans="1:17" x14ac:dyDescent="0.2">
      <c r="A817" s="10">
        <v>1781</v>
      </c>
      <c r="B817" s="10" t="s">
        <v>2821</v>
      </c>
      <c r="C817" s="9" t="s">
        <v>1401</v>
      </c>
      <c r="D817" s="10">
        <v>-0.12914430900000001</v>
      </c>
      <c r="E817" s="10">
        <v>-8.7936927999999998E-2</v>
      </c>
      <c r="F817" s="10">
        <v>-0.88462726700000005</v>
      </c>
      <c r="G817" s="10">
        <v>-0.566540712</v>
      </c>
      <c r="H817" s="9">
        <v>-0.41706230399999999</v>
      </c>
      <c r="I817" s="10">
        <v>0.37955283956052199</v>
      </c>
      <c r="J817" s="10">
        <v>0.14406035801845499</v>
      </c>
      <c r="K817" s="10">
        <v>2.0013680999999998E-2</v>
      </c>
      <c r="L817" s="10">
        <v>-5.7388061999999997E-2</v>
      </c>
      <c r="M817" s="10">
        <v>-0.87747858199999995</v>
      </c>
      <c r="N817" s="10">
        <v>-1.4230792000000001E-2</v>
      </c>
      <c r="O817" s="9">
        <v>-0.2322709385</v>
      </c>
      <c r="P817" s="10">
        <v>0.43130266188441202</v>
      </c>
      <c r="Q817" s="10">
        <v>0.18602198614857901</v>
      </c>
    </row>
    <row r="818" spans="1:17" x14ac:dyDescent="0.2">
      <c r="A818" s="10">
        <v>1781</v>
      </c>
      <c r="B818" s="10" t="s">
        <v>2820</v>
      </c>
      <c r="C818" s="9" t="s">
        <v>1402</v>
      </c>
      <c r="D818" s="10">
        <v>0.75583549000000005</v>
      </c>
      <c r="E818" s="10">
        <v>-0.108842652</v>
      </c>
      <c r="F818" s="10">
        <v>-0.17736880099999999</v>
      </c>
      <c r="G818" s="10">
        <v>9.0472364E-2</v>
      </c>
      <c r="H818" s="9">
        <v>0.14002410025000001</v>
      </c>
      <c r="I818" s="10">
        <v>0.42597024796362198</v>
      </c>
      <c r="J818" s="10">
        <v>0.18145065215018999</v>
      </c>
      <c r="K818" s="10">
        <v>0.574435264</v>
      </c>
      <c r="L818" s="10">
        <v>-0.166379417</v>
      </c>
      <c r="M818" s="10">
        <v>-0.17127371999999999</v>
      </c>
      <c r="N818" s="10">
        <v>0.53326046999999999</v>
      </c>
      <c r="O818" s="9">
        <v>0.19251064925</v>
      </c>
      <c r="P818" s="10">
        <v>0.41757953280648302</v>
      </c>
      <c r="Q818" s="10">
        <v>0.17437266621888001</v>
      </c>
    </row>
    <row r="819" spans="1:17" x14ac:dyDescent="0.2">
      <c r="A819" s="10">
        <v>1781</v>
      </c>
      <c r="B819" s="10" t="s">
        <v>82</v>
      </c>
      <c r="C819" s="9" t="s">
        <v>1403</v>
      </c>
      <c r="D819" s="10">
        <v>-0.260631891</v>
      </c>
      <c r="E819" s="10">
        <v>-0.143876434</v>
      </c>
      <c r="F819" s="10">
        <v>-0.19935836100000001</v>
      </c>
      <c r="G819" s="10">
        <v>-0.28021405900000002</v>
      </c>
      <c r="H819" s="9">
        <v>-0.22102018649999999</v>
      </c>
      <c r="I819" s="10">
        <v>6.1896135874854298E-2</v>
      </c>
      <c r="J819" s="10">
        <v>3.8311316362383998E-3</v>
      </c>
      <c r="K819" s="10">
        <v>-0.447936748</v>
      </c>
      <c r="L819" s="10">
        <v>-0.20271999199999999</v>
      </c>
      <c r="M819" s="10">
        <v>0.132447753</v>
      </c>
      <c r="N819" s="10">
        <v>-1.6914684999999999E-2</v>
      </c>
      <c r="O819" s="9">
        <v>-0.133780918</v>
      </c>
      <c r="P819" s="10">
        <v>0.25032106258763098</v>
      </c>
      <c r="Q819" s="10">
        <v>6.2660634375000898E-2</v>
      </c>
    </row>
    <row r="820" spans="1:17" x14ac:dyDescent="0.2">
      <c r="A820" s="10">
        <v>1781</v>
      </c>
      <c r="B820" s="10" t="s">
        <v>2833</v>
      </c>
      <c r="C820" s="9" t="s">
        <v>1404</v>
      </c>
      <c r="D820" s="10">
        <v>-0.39984300299999997</v>
      </c>
      <c r="E820" s="10">
        <v>-0.42365404200000001</v>
      </c>
      <c r="F820" s="10">
        <v>1.3829052E-2</v>
      </c>
      <c r="G820" s="10">
        <v>-0.20338513</v>
      </c>
      <c r="H820" s="9">
        <v>-0.25326328074999999</v>
      </c>
      <c r="I820" s="10">
        <v>0.203588449762683</v>
      </c>
      <c r="J820" s="10">
        <v>4.1448256876772699E-2</v>
      </c>
      <c r="K820" s="10">
        <v>-0.46858503899999998</v>
      </c>
      <c r="L820" s="10">
        <v>-0.50762255099999998</v>
      </c>
      <c r="M820" s="10">
        <v>-0.33974821500000002</v>
      </c>
      <c r="N820" s="10">
        <v>-0.40312221300000001</v>
      </c>
      <c r="O820" s="9">
        <v>-0.42976950450000001</v>
      </c>
      <c r="P820" s="10">
        <v>7.3895541758576599E-2</v>
      </c>
      <c r="Q820" s="10">
        <v>5.4605510917935E-3</v>
      </c>
    </row>
    <row r="821" spans="1:17" x14ac:dyDescent="0.2">
      <c r="A821" s="10">
        <v>1781</v>
      </c>
      <c r="B821" s="10" t="s">
        <v>2832</v>
      </c>
      <c r="C821" s="9" t="s">
        <v>1407</v>
      </c>
      <c r="D821" s="10">
        <v>-0.66796262200000001</v>
      </c>
      <c r="E821" s="10">
        <v>-0.376858258</v>
      </c>
      <c r="F821" s="10">
        <v>7.0863138000000006E-2</v>
      </c>
      <c r="G821" s="10">
        <v>-0.62296796899999995</v>
      </c>
      <c r="H821" s="9">
        <v>-0.39923142774999998</v>
      </c>
      <c r="I821" s="10">
        <v>0.33850847066008399</v>
      </c>
      <c r="J821" s="10">
        <v>0.11458798470862901</v>
      </c>
      <c r="K821" s="10">
        <v>-0.47797053299999998</v>
      </c>
      <c r="L821" s="10">
        <v>-0.12716609200000001</v>
      </c>
      <c r="M821" s="10">
        <v>0.188035496</v>
      </c>
      <c r="N821" s="10">
        <v>0.22481409099999999</v>
      </c>
      <c r="O821" s="9">
        <v>-4.8071759499999998E-2</v>
      </c>
      <c r="P821" s="10">
        <v>0.327252294309897</v>
      </c>
      <c r="Q821" s="10">
        <v>0.107094064131091</v>
      </c>
    </row>
    <row r="822" spans="1:17" x14ac:dyDescent="0.2">
      <c r="A822" s="10">
        <v>1782</v>
      </c>
      <c r="B822" s="10" t="s">
        <v>2831</v>
      </c>
      <c r="C822" s="9" t="s">
        <v>1408</v>
      </c>
      <c r="D822" s="10">
        <v>-1.077493609</v>
      </c>
      <c r="E822" s="10">
        <v>-0.69959094200000005</v>
      </c>
      <c r="F822" s="10">
        <v>-0.87964601799999997</v>
      </c>
      <c r="G822" s="10">
        <v>-0.83132313199999996</v>
      </c>
      <c r="H822" s="9">
        <v>-0.87201342525000003</v>
      </c>
      <c r="I822" s="10">
        <v>0.156700962644233</v>
      </c>
      <c r="J822" s="10">
        <v>2.4555191693629502E-2</v>
      </c>
      <c r="K822" s="10">
        <v>0.530432707</v>
      </c>
      <c r="L822" s="10">
        <v>-0.208711693</v>
      </c>
      <c r="M822" s="10">
        <v>-0.61309372799999995</v>
      </c>
      <c r="N822" s="10">
        <v>-4.2553345999999999E-2</v>
      </c>
      <c r="O822" s="9">
        <v>-8.3481514749999999E-2</v>
      </c>
      <c r="P822" s="10">
        <v>0.47424940015151901</v>
      </c>
      <c r="Q822" s="10">
        <v>0.224912493544075</v>
      </c>
    </row>
    <row r="823" spans="1:17" x14ac:dyDescent="0.2">
      <c r="A823" s="10">
        <v>1782</v>
      </c>
      <c r="B823" s="10" t="s">
        <v>2822</v>
      </c>
      <c r="C823" s="9" t="s">
        <v>1409</v>
      </c>
      <c r="D823" s="10">
        <v>-0.23735687499999999</v>
      </c>
      <c r="E823" s="10">
        <v>-0.103455771</v>
      </c>
      <c r="F823" s="10">
        <v>-0.82118569799999996</v>
      </c>
      <c r="G823" s="10">
        <v>-0.59880246400000003</v>
      </c>
      <c r="H823" s="9">
        <v>-0.44020020199999998</v>
      </c>
      <c r="I823" s="10">
        <v>0.32906273606098502</v>
      </c>
      <c r="J823" s="10">
        <v>0.108282284263941</v>
      </c>
      <c r="K823" s="10">
        <v>-0.55102086100000003</v>
      </c>
      <c r="L823" s="10">
        <v>-0.47780130999999998</v>
      </c>
      <c r="M823" s="10">
        <v>-0.82018437300000002</v>
      </c>
      <c r="N823" s="10">
        <v>-0.17348681299999999</v>
      </c>
      <c r="O823" s="9">
        <v>-0.50562333950000005</v>
      </c>
      <c r="P823" s="10">
        <v>0.26589366064645398</v>
      </c>
      <c r="Q823" s="10">
        <v>7.0699438771971698E-2</v>
      </c>
    </row>
    <row r="824" spans="1:17" x14ac:dyDescent="0.2">
      <c r="A824" s="10">
        <v>1782</v>
      </c>
      <c r="B824" s="10" t="s">
        <v>2819</v>
      </c>
      <c r="C824" s="9" t="s">
        <v>1410</v>
      </c>
      <c r="D824" s="10">
        <v>-4.1655921999999998E-2</v>
      </c>
      <c r="E824" s="10">
        <v>-0.39028210200000002</v>
      </c>
      <c r="F824" s="10">
        <v>0.17957986100000001</v>
      </c>
      <c r="G824" s="10">
        <v>-6.6378360000000003E-3</v>
      </c>
      <c r="H824" s="9">
        <v>-6.4749000000000001E-2</v>
      </c>
      <c r="I824" s="10">
        <v>0.23775238551081401</v>
      </c>
      <c r="J824" s="10">
        <v>5.6526196816082799E-2</v>
      </c>
      <c r="K824" s="10">
        <v>-0.30252317400000001</v>
      </c>
      <c r="L824" s="10">
        <v>-9.8240823000000005E-2</v>
      </c>
      <c r="M824" s="10">
        <v>0.19371487800000001</v>
      </c>
      <c r="N824" s="10">
        <v>0.35860251999999998</v>
      </c>
      <c r="O824" s="9">
        <v>3.7888350250000001E-2</v>
      </c>
      <c r="P824" s="10">
        <v>0.29526860262083898</v>
      </c>
      <c r="Q824" s="10">
        <v>8.7183547693663294E-2</v>
      </c>
    </row>
    <row r="825" spans="1:17" x14ac:dyDescent="0.2">
      <c r="A825" s="10">
        <v>1782</v>
      </c>
      <c r="B825" s="10" t="s">
        <v>2821</v>
      </c>
      <c r="C825" s="9" t="s">
        <v>1411</v>
      </c>
      <c r="D825" s="10">
        <v>-0.25636663700000001</v>
      </c>
      <c r="E825" s="10">
        <v>-0.59605898999999996</v>
      </c>
      <c r="F825" s="10">
        <v>-0.80784983499999996</v>
      </c>
      <c r="G825" s="10">
        <v>-0.76654972099999996</v>
      </c>
      <c r="H825" s="9">
        <v>-0.60670629600000003</v>
      </c>
      <c r="I825" s="10">
        <v>0.25090495251553502</v>
      </c>
      <c r="J825" s="10">
        <v>6.2953295196822995E-2</v>
      </c>
      <c r="K825" s="10">
        <v>-0.28623419500000002</v>
      </c>
      <c r="L825" s="10">
        <v>-0.41002857799999998</v>
      </c>
      <c r="M825" s="10">
        <v>-0.211747569</v>
      </c>
      <c r="N825" s="10">
        <v>-0.346518094</v>
      </c>
      <c r="O825" s="9">
        <v>-0.31363210925000001</v>
      </c>
      <c r="P825" s="10">
        <v>8.4665759367155299E-2</v>
      </c>
      <c r="Q825" s="10">
        <v>7.1682908092169997E-3</v>
      </c>
    </row>
    <row r="826" spans="1:17" x14ac:dyDescent="0.2">
      <c r="A826" s="10">
        <v>1782</v>
      </c>
      <c r="B826" s="10" t="s">
        <v>2820</v>
      </c>
      <c r="C826" s="9" t="s">
        <v>1412</v>
      </c>
      <c r="D826" s="10">
        <v>0.16089289300000001</v>
      </c>
      <c r="E826" s="10">
        <v>0.31183184000000003</v>
      </c>
      <c r="F826" s="10">
        <v>-1.8854244999999999E-2</v>
      </c>
      <c r="G826" s="10">
        <v>0.30997860300000002</v>
      </c>
      <c r="H826" s="9">
        <v>0.19096227275</v>
      </c>
      <c r="I826" s="10">
        <v>0.15673914409262399</v>
      </c>
      <c r="J826" s="10">
        <v>2.4567159290888301E-2</v>
      </c>
      <c r="K826" s="10">
        <v>-2.6543483E-2</v>
      </c>
      <c r="L826" s="10">
        <v>0.38705058799999997</v>
      </c>
      <c r="M826" s="10">
        <v>-4.3225152000000003E-2</v>
      </c>
      <c r="N826" s="10">
        <v>0.296182469</v>
      </c>
      <c r="O826" s="9">
        <v>0.15336610549999999</v>
      </c>
      <c r="P826" s="10">
        <v>0.22062074064203999</v>
      </c>
      <c r="Q826" s="10">
        <v>4.8673511201442497E-2</v>
      </c>
    </row>
    <row r="827" spans="1:17" x14ac:dyDescent="0.2">
      <c r="A827" s="10">
        <v>1782</v>
      </c>
      <c r="B827" s="10" t="s">
        <v>2824</v>
      </c>
      <c r="C827" s="9" t="s">
        <v>1413</v>
      </c>
      <c r="D827" s="10">
        <v>-0.149830766</v>
      </c>
      <c r="E827" s="10">
        <v>-0.69022985000000003</v>
      </c>
      <c r="F827" s="10">
        <v>-0.366826916</v>
      </c>
      <c r="G827" s="10">
        <v>-0.64782770700000003</v>
      </c>
      <c r="H827" s="9">
        <v>-0.46367881</v>
      </c>
      <c r="I827" s="10">
        <v>0.25371708265008502</v>
      </c>
      <c r="J827" s="10">
        <v>6.4372358028470397E-2</v>
      </c>
      <c r="K827" s="10">
        <v>-0.40491401700000001</v>
      </c>
      <c r="L827" s="10">
        <v>-0.48374663400000001</v>
      </c>
      <c r="M827" s="10">
        <v>-0.142797391</v>
      </c>
      <c r="N827" s="10">
        <v>-0.15100818999999999</v>
      </c>
      <c r="O827" s="9">
        <v>-0.29561655799999997</v>
      </c>
      <c r="P827" s="10">
        <v>0.17474184572088</v>
      </c>
      <c r="Q827" s="10">
        <v>3.0534712645939901E-2</v>
      </c>
    </row>
    <row r="828" spans="1:17" x14ac:dyDescent="0.2">
      <c r="A828" s="10">
        <v>1782</v>
      </c>
      <c r="B828" s="10" t="s">
        <v>2817</v>
      </c>
      <c r="C828" s="9" t="s">
        <v>1414</v>
      </c>
      <c r="D828" s="10">
        <v>-0.49218506299999998</v>
      </c>
      <c r="E828" s="10">
        <v>-7.3312460999999995E-2</v>
      </c>
      <c r="F828" s="10">
        <v>0.29920391699999999</v>
      </c>
      <c r="G828" s="10">
        <v>0.52316710700000002</v>
      </c>
      <c r="H828" s="9">
        <v>6.4218374999999994E-2</v>
      </c>
      <c r="I828" s="10">
        <v>0.44510360599996601</v>
      </c>
      <c r="J828" s="10">
        <v>0.19811722007417301</v>
      </c>
      <c r="K828" s="10">
        <v>2.6410237E-2</v>
      </c>
      <c r="L828" s="10">
        <v>-8.2333109000000002E-2</v>
      </c>
      <c r="M828" s="10">
        <v>-7.8209402999999997E-2</v>
      </c>
      <c r="N828" s="10">
        <v>-5.4994593000000001E-2</v>
      </c>
      <c r="O828" s="9">
        <v>-4.7281716750000001E-2</v>
      </c>
      <c r="P828" s="10">
        <v>5.05803465883135E-2</v>
      </c>
      <c r="Q828" s="10">
        <v>2.5583714609939E-3</v>
      </c>
    </row>
    <row r="829" spans="1:17" x14ac:dyDescent="0.2">
      <c r="A829" s="10">
        <v>1782</v>
      </c>
      <c r="B829" s="10" t="s">
        <v>2833</v>
      </c>
      <c r="C829" s="9" t="s">
        <v>2611</v>
      </c>
      <c r="D829" s="10">
        <v>-1.0230013069999999</v>
      </c>
      <c r="E829" s="10">
        <v>0.37745845099999997</v>
      </c>
      <c r="F829" s="10">
        <v>-1.8831509E-2</v>
      </c>
      <c r="G829" s="10">
        <v>0.222024526</v>
      </c>
      <c r="H829" s="9">
        <v>-0.11058745975000001</v>
      </c>
      <c r="I829" s="10">
        <v>0.62974537902656502</v>
      </c>
      <c r="J829" s="10">
        <v>0.396579242405312</v>
      </c>
      <c r="K829" s="10">
        <v>0.44336467499999999</v>
      </c>
      <c r="L829" s="10">
        <v>0.17428505799999999</v>
      </c>
      <c r="M829" s="10">
        <v>0.235440065</v>
      </c>
      <c r="N829" s="10">
        <v>0.47969351599999999</v>
      </c>
      <c r="O829" s="9">
        <v>0.33319582824999999</v>
      </c>
      <c r="P829" s="10">
        <v>0.15100504347025301</v>
      </c>
      <c r="Q829" s="10">
        <v>2.28025231534532E-2</v>
      </c>
    </row>
    <row r="830" spans="1:17" x14ac:dyDescent="0.2">
      <c r="A830" s="10">
        <v>1782</v>
      </c>
      <c r="B830" s="10" t="s">
        <v>2825</v>
      </c>
      <c r="C830" s="9" t="s">
        <v>1415</v>
      </c>
      <c r="D830" s="10">
        <v>-0.46188222699999998</v>
      </c>
      <c r="E830" s="10">
        <v>-0.47938676499999999</v>
      </c>
      <c r="F830" s="10">
        <v>-1.0899682639999999</v>
      </c>
      <c r="G830" s="10">
        <v>-0.72394862299999996</v>
      </c>
      <c r="H830" s="9">
        <v>-0.68879646999999999</v>
      </c>
      <c r="I830" s="10">
        <v>0.29298292349905702</v>
      </c>
      <c r="J830" s="10">
        <v>8.5838993462054605E-2</v>
      </c>
      <c r="K830" s="10">
        <v>-0.22482563799999999</v>
      </c>
      <c r="L830" s="10">
        <v>3.9810699999999997E-4</v>
      </c>
      <c r="M830" s="10">
        <v>-0.25257047500000002</v>
      </c>
      <c r="N830" s="10">
        <v>-0.27565744800000003</v>
      </c>
      <c r="O830" s="9">
        <v>-0.18816386374999999</v>
      </c>
      <c r="P830" s="10">
        <v>0.12741407740369201</v>
      </c>
      <c r="Q830" s="10">
        <v>1.62343471206341E-2</v>
      </c>
    </row>
    <row r="831" spans="1:17" x14ac:dyDescent="0.2">
      <c r="A831" s="10">
        <v>1782</v>
      </c>
      <c r="B831" s="10" t="s">
        <v>74</v>
      </c>
      <c r="C831" s="9" t="s">
        <v>1416</v>
      </c>
      <c r="D831" s="10">
        <v>0.17667665799999999</v>
      </c>
      <c r="E831" s="10">
        <v>-3.4811051000000003E-2</v>
      </c>
      <c r="F831" s="10">
        <v>-0.20222485100000001</v>
      </c>
      <c r="G831" s="10">
        <v>-0.27326484899999998</v>
      </c>
      <c r="H831" s="9">
        <v>-8.3406022999999996E-2</v>
      </c>
      <c r="I831" s="10">
        <v>0.20014058388810901</v>
      </c>
      <c r="J831" s="10">
        <v>4.00562533190734E-2</v>
      </c>
      <c r="K831" s="10">
        <v>0.498506913</v>
      </c>
      <c r="L831" s="10">
        <v>-0.449327435</v>
      </c>
      <c r="M831" s="10">
        <v>-5.9116266000000001E-2</v>
      </c>
      <c r="N831" s="10">
        <v>-6.8853943000000001E-2</v>
      </c>
      <c r="O831" s="9">
        <v>-1.9697682750000001E-2</v>
      </c>
      <c r="P831" s="10">
        <v>0.39033655977972798</v>
      </c>
      <c r="Q831" s="10">
        <v>0.15236262990067301</v>
      </c>
    </row>
    <row r="832" spans="1:17" x14ac:dyDescent="0.2">
      <c r="A832" s="10">
        <v>1782</v>
      </c>
      <c r="B832" s="10" t="s">
        <v>2818</v>
      </c>
      <c r="C832" s="9" t="s">
        <v>1417</v>
      </c>
      <c r="D832" s="10">
        <v>-0.30233776899999998</v>
      </c>
      <c r="E832" s="10">
        <v>-9.1956850000000003E-3</v>
      </c>
      <c r="F832" s="10">
        <v>0.35988288400000001</v>
      </c>
      <c r="G832" s="10">
        <v>0.35198890999999999</v>
      </c>
      <c r="H832" s="9">
        <v>0.100084585</v>
      </c>
      <c r="I832" s="10">
        <v>0.31876682885100199</v>
      </c>
      <c r="J832" s="10">
        <v>0.101612291175724</v>
      </c>
      <c r="K832" s="10">
        <v>7.4496120000000004E-3</v>
      </c>
      <c r="L832" s="10">
        <v>-0.23118362100000001</v>
      </c>
      <c r="M832" s="10">
        <v>-0.53555631100000001</v>
      </c>
      <c r="N832" s="10">
        <v>8.9004274999999994E-2</v>
      </c>
      <c r="O832" s="9">
        <v>-0.16757151125</v>
      </c>
      <c r="P832" s="10">
        <v>0.28042993244147502</v>
      </c>
      <c r="Q832" s="10">
        <v>7.8640947009130296E-2</v>
      </c>
    </row>
    <row r="833" spans="1:17" x14ac:dyDescent="0.2">
      <c r="A833" s="10">
        <v>1783</v>
      </c>
      <c r="B833" s="10" t="s">
        <v>2831</v>
      </c>
      <c r="C833" s="9" t="s">
        <v>1418</v>
      </c>
      <c r="D833" s="10">
        <v>-1.069619825</v>
      </c>
      <c r="E833" s="10">
        <v>-1.675394952</v>
      </c>
      <c r="F833" s="10">
        <v>-1.0152265170000001</v>
      </c>
      <c r="G833" s="10">
        <v>-0.96251992099999995</v>
      </c>
      <c r="H833" s="9">
        <v>-1.1806903040000001</v>
      </c>
      <c r="I833" s="10">
        <v>0.33268900436936599</v>
      </c>
      <c r="J833" s="10">
        <v>0.11068197362828</v>
      </c>
      <c r="K833" s="10">
        <v>-0.76025017699999997</v>
      </c>
      <c r="L833" s="10">
        <v>-0.43601067100000002</v>
      </c>
      <c r="M833" s="10">
        <v>-7.0383761000000003E-2</v>
      </c>
      <c r="N833" s="10">
        <v>-0.55701299900000001</v>
      </c>
      <c r="O833" s="9">
        <v>-0.455914402</v>
      </c>
      <c r="P833" s="10">
        <v>0.28975347217810798</v>
      </c>
      <c r="Q833" s="10">
        <v>8.3957074639270005E-2</v>
      </c>
    </row>
    <row r="834" spans="1:17" x14ac:dyDescent="0.2">
      <c r="A834" s="10">
        <v>1783</v>
      </c>
      <c r="B834" s="10" t="s">
        <v>2822</v>
      </c>
      <c r="C834" s="9" t="s">
        <v>1419</v>
      </c>
      <c r="D834" s="10">
        <v>-0.31275576700000002</v>
      </c>
      <c r="E834" s="10">
        <v>-0.48879347200000001</v>
      </c>
      <c r="F834" s="10">
        <v>-0.31328481200000002</v>
      </c>
      <c r="G834" s="10">
        <v>-0.77172715999999997</v>
      </c>
      <c r="H834" s="9">
        <v>-0.47164030275000002</v>
      </c>
      <c r="I834" s="10">
        <v>0.216538765013463</v>
      </c>
      <c r="J834" s="10">
        <v>4.6889036753555699E-2</v>
      </c>
      <c r="K834" s="10">
        <v>-9.3575869000000006E-2</v>
      </c>
      <c r="L834" s="10">
        <v>-0.15321473299999999</v>
      </c>
      <c r="M834" s="10">
        <v>-0.226782016</v>
      </c>
      <c r="N834" s="10">
        <v>-0.59153022799999999</v>
      </c>
      <c r="O834" s="9">
        <v>-0.26627571150000001</v>
      </c>
      <c r="P834" s="10">
        <v>0.223575694077567</v>
      </c>
      <c r="Q834" s="10">
        <v>4.9986090982265897E-2</v>
      </c>
    </row>
    <row r="835" spans="1:17" x14ac:dyDescent="0.2">
      <c r="A835" s="10">
        <v>1783</v>
      </c>
      <c r="B835" s="10" t="s">
        <v>2819</v>
      </c>
      <c r="C835" s="9" t="s">
        <v>1420</v>
      </c>
      <c r="D835" s="10">
        <v>-1.501301561</v>
      </c>
      <c r="E835" s="10">
        <v>-1.2242322859999999</v>
      </c>
      <c r="F835" s="10">
        <v>-1.412347537</v>
      </c>
      <c r="G835" s="10">
        <v>-1.340185733</v>
      </c>
      <c r="H835" s="9">
        <v>-1.36951677925</v>
      </c>
      <c r="I835" s="10">
        <v>0.117146058069066</v>
      </c>
      <c r="J835" s="10">
        <v>1.3723198921121E-2</v>
      </c>
      <c r="K835" s="10">
        <v>-0.70339396300000001</v>
      </c>
      <c r="L835" s="10">
        <v>-0.69204737000000005</v>
      </c>
      <c r="M835" s="10">
        <v>-0.467212921</v>
      </c>
      <c r="N835" s="10">
        <v>-0.68777772299999995</v>
      </c>
      <c r="O835" s="9">
        <v>-0.63760799425000003</v>
      </c>
      <c r="P835" s="10">
        <v>0.113787699960858</v>
      </c>
      <c r="Q835" s="10">
        <v>1.29476406623823E-2</v>
      </c>
    </row>
    <row r="836" spans="1:17" x14ac:dyDescent="0.2">
      <c r="A836" s="10">
        <v>1783</v>
      </c>
      <c r="B836" s="10" t="s">
        <v>79</v>
      </c>
      <c r="C836" s="9" t="s">
        <v>1423</v>
      </c>
      <c r="D836" s="10">
        <v>-8.9044298999999993E-2</v>
      </c>
      <c r="E836" s="10">
        <v>-0.26057359499999999</v>
      </c>
      <c r="F836" s="10">
        <v>0.21664736900000001</v>
      </c>
      <c r="G836" s="10">
        <v>0.123829941</v>
      </c>
      <c r="H836" s="9">
        <v>-2.2851460000000001E-3</v>
      </c>
      <c r="I836" s="10">
        <v>0.214535571882882</v>
      </c>
      <c r="J836" s="10">
        <v>4.6025511603115202E-2</v>
      </c>
      <c r="K836" s="10">
        <v>-0.24955780299999999</v>
      </c>
      <c r="L836" s="10">
        <v>-9.1515729999999997E-3</v>
      </c>
      <c r="M836" s="10">
        <v>7.7756601999999994E-2</v>
      </c>
      <c r="N836" s="10">
        <v>-0.10263694</v>
      </c>
      <c r="O836" s="9">
        <v>-7.0897428750000005E-2</v>
      </c>
      <c r="P836" s="10">
        <v>0.14004463272121501</v>
      </c>
      <c r="Q836" s="10">
        <v>1.9612499154020201E-2</v>
      </c>
    </row>
    <row r="837" spans="1:17" x14ac:dyDescent="0.2">
      <c r="A837" s="10">
        <v>1783</v>
      </c>
      <c r="B837" s="10" t="s">
        <v>2820</v>
      </c>
      <c r="C837" s="9" t="s">
        <v>1424</v>
      </c>
      <c r="D837" s="10">
        <v>-0.88163188400000003</v>
      </c>
      <c r="E837" s="10">
        <v>-1.308936941</v>
      </c>
      <c r="F837" s="10">
        <v>-0.92935886000000001</v>
      </c>
      <c r="G837" s="10">
        <v>-0.54804593000000001</v>
      </c>
      <c r="H837" s="9">
        <v>-0.91699340375000005</v>
      </c>
      <c r="I837" s="10">
        <v>0.31152598413072402</v>
      </c>
      <c r="J837" s="10">
        <v>9.7048438788616395E-2</v>
      </c>
      <c r="K837" s="10">
        <v>0.18435135899999999</v>
      </c>
      <c r="L837" s="10">
        <v>-0.13013474999999999</v>
      </c>
      <c r="M837" s="10">
        <v>-0.44887777400000001</v>
      </c>
      <c r="N837" s="10">
        <v>0.300633129</v>
      </c>
      <c r="O837" s="9">
        <v>-2.3507009249999999E-2</v>
      </c>
      <c r="P837" s="10">
        <v>0.33693802252923299</v>
      </c>
      <c r="Q837" s="10">
        <v>0.11352723102591</v>
      </c>
    </row>
    <row r="838" spans="1:17" x14ac:dyDescent="0.2">
      <c r="A838" s="10">
        <v>1783</v>
      </c>
      <c r="B838" s="10" t="s">
        <v>2824</v>
      </c>
      <c r="C838" s="9" t="s">
        <v>35</v>
      </c>
      <c r="D838" s="10">
        <v>-0.12903939</v>
      </c>
      <c r="E838" s="10">
        <v>0.42191484099999998</v>
      </c>
      <c r="F838" s="10">
        <v>2.9970764E-2</v>
      </c>
      <c r="G838" s="10">
        <v>-8.3736645999999998E-2</v>
      </c>
      <c r="H838" s="9">
        <v>5.9777392499999998E-2</v>
      </c>
      <c r="I838" s="10">
        <v>0.250519475828965</v>
      </c>
      <c r="J838" s="10">
        <v>6.2760007769619597E-2</v>
      </c>
      <c r="K838" s="10">
        <v>0.168954097</v>
      </c>
      <c r="L838" s="10">
        <v>0.195318781</v>
      </c>
      <c r="M838" s="10">
        <v>-0.22037828600000001</v>
      </c>
      <c r="N838" s="10">
        <v>0.14643963500000001</v>
      </c>
      <c r="O838" s="9">
        <v>7.258355675E-2</v>
      </c>
      <c r="P838" s="10">
        <v>0.19632674966470201</v>
      </c>
      <c r="Q838" s="10">
        <v>3.85441926339068E-2</v>
      </c>
    </row>
    <row r="839" spans="1:17" x14ac:dyDescent="0.2">
      <c r="A839" s="10">
        <v>1783</v>
      </c>
      <c r="B839" s="10" t="s">
        <v>82</v>
      </c>
      <c r="C839" s="9" t="s">
        <v>1425</v>
      </c>
      <c r="D839" s="10">
        <v>-2.6714794340000001</v>
      </c>
      <c r="E839" s="10">
        <v>-1.3058719160000001</v>
      </c>
      <c r="F839" s="10">
        <v>-1.606674814</v>
      </c>
      <c r="G839" s="10">
        <v>-2.517607296</v>
      </c>
      <c r="H839" s="9">
        <v>-2.0254083650000001</v>
      </c>
      <c r="I839" s="10">
        <v>0.67150033557920197</v>
      </c>
      <c r="J839" s="10">
        <v>0.450912700682981</v>
      </c>
      <c r="K839" s="10">
        <v>-0.238067588</v>
      </c>
      <c r="L839" s="10">
        <v>-1.016808624</v>
      </c>
      <c r="M839" s="10">
        <v>-0.28658842699999998</v>
      </c>
      <c r="N839" s="10">
        <v>-0.22967689599999999</v>
      </c>
      <c r="O839" s="9">
        <v>-0.44278538350000002</v>
      </c>
      <c r="P839" s="10">
        <v>0.38350348676941698</v>
      </c>
      <c r="Q839" s="10">
        <v>0.1470749243643</v>
      </c>
    </row>
    <row r="840" spans="1:17" x14ac:dyDescent="0.2">
      <c r="A840" s="10">
        <v>1783</v>
      </c>
      <c r="B840" s="10" t="s">
        <v>2833</v>
      </c>
      <c r="C840" s="9" t="s">
        <v>1426</v>
      </c>
      <c r="D840" s="10">
        <v>-0.41127050799999998</v>
      </c>
      <c r="E840" s="10">
        <v>-0.81440590800000001</v>
      </c>
      <c r="F840" s="10">
        <v>-0.57864939599999998</v>
      </c>
      <c r="G840" s="10">
        <v>-0.25370552800000001</v>
      </c>
      <c r="H840" s="9">
        <v>-0.51450783499999997</v>
      </c>
      <c r="I840" s="10">
        <v>0.23995053869444</v>
      </c>
      <c r="J840" s="10">
        <v>5.7576261019752398E-2</v>
      </c>
      <c r="K840" s="10">
        <v>0.27816865400000002</v>
      </c>
      <c r="L840" s="10">
        <v>0.35617196800000001</v>
      </c>
      <c r="M840" s="10">
        <v>4.8349639999999999E-2</v>
      </c>
      <c r="N840" s="10">
        <v>0.18881825099999999</v>
      </c>
      <c r="O840" s="9">
        <v>0.217877128</v>
      </c>
      <c r="P840" s="10">
        <v>0.13209153189881301</v>
      </c>
      <c r="Q840" s="10">
        <v>1.7448172799375099E-2</v>
      </c>
    </row>
    <row r="841" spans="1:17" x14ac:dyDescent="0.2">
      <c r="A841" s="10">
        <v>1783</v>
      </c>
      <c r="B841" s="10" t="s">
        <v>2825</v>
      </c>
      <c r="C841" s="9" t="s">
        <v>1427</v>
      </c>
      <c r="D841" s="10">
        <v>-0.711257853</v>
      </c>
      <c r="E841" s="10">
        <v>-0.78989693500000002</v>
      </c>
      <c r="F841" s="10">
        <v>-1.0652889699999999</v>
      </c>
      <c r="G841" s="10">
        <v>-0.75421411000000005</v>
      </c>
      <c r="H841" s="9">
        <v>-0.83016446675</v>
      </c>
      <c r="I841" s="10">
        <v>0.160012755351711</v>
      </c>
      <c r="J841" s="10">
        <v>2.5604081875246799E-2</v>
      </c>
      <c r="K841" s="10">
        <v>-0.240916307</v>
      </c>
      <c r="L841" s="10">
        <v>-0.55946209099999999</v>
      </c>
      <c r="M841" s="10">
        <v>-0.39701102500000002</v>
      </c>
      <c r="N841" s="10">
        <v>0.11043684099999999</v>
      </c>
      <c r="O841" s="9">
        <v>-0.27173814549999997</v>
      </c>
      <c r="P841" s="10">
        <v>0.28605714416709499</v>
      </c>
      <c r="Q841" s="10">
        <v>8.1828689729034496E-2</v>
      </c>
    </row>
    <row r="842" spans="1:17" x14ac:dyDescent="0.2">
      <c r="A842" s="10">
        <v>1783</v>
      </c>
      <c r="B842" s="10" t="s">
        <v>74</v>
      </c>
      <c r="C842" s="9" t="s">
        <v>1428</v>
      </c>
      <c r="D842" s="10">
        <v>-0.66061089399999995</v>
      </c>
      <c r="E842" s="10">
        <v>-0.91050979899999995</v>
      </c>
      <c r="F842" s="10">
        <v>-0.77269918599999998</v>
      </c>
      <c r="G842" s="10">
        <v>-0.286276539</v>
      </c>
      <c r="H842" s="9">
        <v>-0.65752410475</v>
      </c>
      <c r="I842" s="10">
        <v>0.26776939343352402</v>
      </c>
      <c r="J842" s="10">
        <v>7.1700448059757602E-2</v>
      </c>
      <c r="K842" s="10">
        <v>0.333624582</v>
      </c>
      <c r="L842" s="10">
        <v>-0.21936628599999999</v>
      </c>
      <c r="M842" s="10">
        <v>-6.6636530000000003E-3</v>
      </c>
      <c r="N842" s="10">
        <v>0.36789797699999999</v>
      </c>
      <c r="O842" s="9">
        <v>0.11887315475</v>
      </c>
      <c r="P842" s="10">
        <v>0.28183739223264198</v>
      </c>
      <c r="Q842" s="10">
        <v>7.9432315660496397E-2</v>
      </c>
    </row>
    <row r="843" spans="1:17" x14ac:dyDescent="0.2">
      <c r="A843" s="10">
        <v>1783</v>
      </c>
      <c r="B843" s="10" t="s">
        <v>2818</v>
      </c>
      <c r="C843" s="9" t="s">
        <v>36</v>
      </c>
      <c r="D843" s="10">
        <v>-0.91551023200000003</v>
      </c>
      <c r="E843" s="10">
        <v>-0.304402542</v>
      </c>
      <c r="F843" s="10">
        <v>-0.58407008999999999</v>
      </c>
      <c r="G843" s="10">
        <v>-0.65203238200000002</v>
      </c>
      <c r="H843" s="9">
        <v>-0.61400381174999996</v>
      </c>
      <c r="I843" s="10">
        <v>0.25106524220863802</v>
      </c>
      <c r="J843" s="10">
        <v>6.3033755845282494E-2</v>
      </c>
      <c r="K843" s="10">
        <v>0.27071608600000002</v>
      </c>
      <c r="L843" s="10">
        <v>-0.58102504700000002</v>
      </c>
      <c r="M843" s="10">
        <v>-0.34223451700000002</v>
      </c>
      <c r="N843" s="10">
        <v>0.446260781</v>
      </c>
      <c r="O843" s="9">
        <v>-5.1570674249999997E-2</v>
      </c>
      <c r="P843" s="10">
        <v>0.488709973970611</v>
      </c>
      <c r="Q843" s="10">
        <v>0.23883743865835499</v>
      </c>
    </row>
    <row r="844" spans="1:17" x14ac:dyDescent="0.2">
      <c r="A844" s="10">
        <v>1783</v>
      </c>
      <c r="B844" s="10" t="s">
        <v>2830</v>
      </c>
      <c r="C844" s="9" t="s">
        <v>1429</v>
      </c>
      <c r="D844" s="10">
        <v>0.28380765600000002</v>
      </c>
      <c r="E844" s="10">
        <v>0.47501257800000002</v>
      </c>
      <c r="F844" s="10">
        <v>-0.18216695099999999</v>
      </c>
      <c r="G844" s="10">
        <v>-0.12089515300000001</v>
      </c>
      <c r="H844" s="9">
        <v>0.11393953275</v>
      </c>
      <c r="I844" s="10">
        <v>0.317309156634701</v>
      </c>
      <c r="J844" s="10">
        <v>0.100685100884225</v>
      </c>
      <c r="K844" s="10">
        <v>0.24354184700000001</v>
      </c>
      <c r="L844" s="10">
        <v>0.386522951</v>
      </c>
      <c r="M844" s="10">
        <v>-0.28348532100000001</v>
      </c>
      <c r="N844" s="10">
        <v>-0.31731253599999998</v>
      </c>
      <c r="O844" s="9">
        <v>7.3167352500000003E-3</v>
      </c>
      <c r="P844" s="10">
        <v>0.36034689636342998</v>
      </c>
      <c r="Q844" s="10">
        <v>0.129849885718756</v>
      </c>
    </row>
    <row r="845" spans="1:17" x14ac:dyDescent="0.2">
      <c r="A845" s="10">
        <v>1784</v>
      </c>
      <c r="B845" s="10" t="s">
        <v>2822</v>
      </c>
      <c r="C845" s="9" t="s">
        <v>1431</v>
      </c>
      <c r="D845" s="10">
        <v>-0.10191506</v>
      </c>
      <c r="E845" s="10">
        <v>-9.5962982000000002E-2</v>
      </c>
      <c r="F845" s="10">
        <v>0.14591104099999999</v>
      </c>
      <c r="G845" s="10">
        <v>0.23315302600000001</v>
      </c>
      <c r="H845" s="9">
        <v>4.529650625E-2</v>
      </c>
      <c r="I845" s="10">
        <v>0.170331876908944</v>
      </c>
      <c r="J845" s="10">
        <v>2.9012948291323701E-2</v>
      </c>
      <c r="K845" s="10">
        <v>-0.203971666</v>
      </c>
      <c r="L845" s="10">
        <v>0.165041876</v>
      </c>
      <c r="M845" s="10">
        <v>0.19746451600000001</v>
      </c>
      <c r="N845" s="10">
        <v>5.6021438E-2</v>
      </c>
      <c r="O845" s="9">
        <v>5.3639040999999998E-2</v>
      </c>
      <c r="P845" s="10">
        <v>0.18208542965827701</v>
      </c>
      <c r="Q845" s="10">
        <v>3.3155103693839401E-2</v>
      </c>
    </row>
    <row r="846" spans="1:17" x14ac:dyDescent="0.2">
      <c r="A846" s="10">
        <v>1784</v>
      </c>
      <c r="B846" s="10" t="s">
        <v>2823</v>
      </c>
      <c r="C846" s="9" t="s">
        <v>2610</v>
      </c>
      <c r="D846" s="10">
        <v>-0.628272316</v>
      </c>
      <c r="E846" s="10">
        <v>-1.441420261</v>
      </c>
      <c r="F846" s="10">
        <v>-1.1637482210000001</v>
      </c>
      <c r="G846" s="10">
        <v>-2.4396128720000001</v>
      </c>
      <c r="H846" s="9">
        <v>-1.4182634172499999</v>
      </c>
      <c r="I846" s="10">
        <v>0.75994624224501295</v>
      </c>
      <c r="J846" s="10">
        <v>0.57751829110231601</v>
      </c>
      <c r="K846" s="10">
        <v>-0.38581454599999998</v>
      </c>
      <c r="L846" s="10">
        <v>-0.91670712099999996</v>
      </c>
      <c r="M846" s="10">
        <v>-1.123122014</v>
      </c>
      <c r="N846" s="10">
        <v>-0.74826104999999998</v>
      </c>
      <c r="O846" s="9">
        <v>-0.79347618274999998</v>
      </c>
      <c r="P846" s="10">
        <v>0.312028127209587</v>
      </c>
      <c r="Q846" s="10">
        <v>9.7361552169922594E-2</v>
      </c>
    </row>
    <row r="847" spans="1:17" x14ac:dyDescent="0.2">
      <c r="A847" s="10">
        <v>1784</v>
      </c>
      <c r="B847" s="10" t="s">
        <v>2826</v>
      </c>
      <c r="C847" s="9" t="s">
        <v>1432</v>
      </c>
      <c r="D847" s="10">
        <v>-0.343762436</v>
      </c>
      <c r="E847" s="10">
        <v>-0.45552037000000001</v>
      </c>
      <c r="F847" s="10">
        <v>-3.8390566000000001E-2</v>
      </c>
      <c r="G847" s="10">
        <v>0.23580152300000001</v>
      </c>
      <c r="H847" s="9">
        <v>-0.15046796200000001</v>
      </c>
      <c r="I847" s="10">
        <v>0.31208181782017802</v>
      </c>
      <c r="J847" s="10">
        <v>9.7395061013947001E-2</v>
      </c>
      <c r="K847" s="10">
        <v>-0.62071878899999999</v>
      </c>
      <c r="L847" s="10">
        <v>-1.3819817919999999</v>
      </c>
      <c r="M847" s="10">
        <v>0.176252202</v>
      </c>
      <c r="N847" s="10">
        <v>-0.13866073100000001</v>
      </c>
      <c r="O847" s="9">
        <v>-0.49127727775000002</v>
      </c>
      <c r="P847" s="10">
        <v>0.67824373001579397</v>
      </c>
      <c r="Q847" s="10">
        <v>0.46001455730573698</v>
      </c>
    </row>
    <row r="848" spans="1:17" x14ac:dyDescent="0.2">
      <c r="A848" s="10">
        <v>1784</v>
      </c>
      <c r="B848" s="10" t="s">
        <v>2824</v>
      </c>
      <c r="C848" s="9" t="s">
        <v>1433</v>
      </c>
      <c r="D848" s="10">
        <v>-0.309918794</v>
      </c>
      <c r="E848" s="10">
        <v>-0.27068178999999998</v>
      </c>
      <c r="F848" s="10">
        <v>8.9920407999999993E-2</v>
      </c>
      <c r="G848" s="10">
        <v>-5.4328907000000003E-2</v>
      </c>
      <c r="H848" s="9">
        <v>-0.13625227074999999</v>
      </c>
      <c r="I848" s="10">
        <v>0.18805750457824899</v>
      </c>
      <c r="J848" s="10">
        <v>3.5365625028198101E-2</v>
      </c>
      <c r="K848" s="10">
        <v>0.270738547</v>
      </c>
      <c r="L848" s="10">
        <v>-0.47486339999999999</v>
      </c>
      <c r="M848" s="10">
        <v>-4.0811690999999997E-2</v>
      </c>
      <c r="N848" s="10">
        <v>0.51255709599999999</v>
      </c>
      <c r="O848" s="9">
        <v>6.6905137749999996E-2</v>
      </c>
      <c r="P848" s="10">
        <v>0.42632921172503402</v>
      </c>
      <c r="Q848" s="10">
        <v>0.18175659677008901</v>
      </c>
    </row>
    <row r="849" spans="1:17" x14ac:dyDescent="0.2">
      <c r="A849" s="10">
        <v>1785</v>
      </c>
      <c r="B849" s="10" t="s">
        <v>2831</v>
      </c>
      <c r="C849" s="9" t="s">
        <v>1436</v>
      </c>
      <c r="D849" s="10">
        <v>-0.51180171399999996</v>
      </c>
      <c r="E849" s="10">
        <v>-0.53518397900000003</v>
      </c>
      <c r="F849" s="10">
        <v>-1.089868504</v>
      </c>
      <c r="G849" s="10">
        <v>-0.79669744600000003</v>
      </c>
      <c r="H849" s="9">
        <v>-0.73338791074999998</v>
      </c>
      <c r="I849" s="10">
        <v>0.27047597044761101</v>
      </c>
      <c r="J849" s="10">
        <v>7.3157250589577102E-2</v>
      </c>
      <c r="K849" s="10">
        <v>-0.26105319399999999</v>
      </c>
      <c r="L849" s="10">
        <v>-0.149369114</v>
      </c>
      <c r="M849" s="10">
        <v>-0.47846551700000001</v>
      </c>
      <c r="N849" s="10">
        <v>-0.10065323499999999</v>
      </c>
      <c r="O849" s="9">
        <v>-0.24738526499999999</v>
      </c>
      <c r="P849" s="10">
        <v>0.168049942608646</v>
      </c>
      <c r="Q849" s="10">
        <v>2.82407832107694E-2</v>
      </c>
    </row>
    <row r="850" spans="1:17" x14ac:dyDescent="0.2">
      <c r="A850" s="10">
        <v>1785</v>
      </c>
      <c r="B850" s="10" t="s">
        <v>2819</v>
      </c>
      <c r="C850" s="9" t="s">
        <v>1437</v>
      </c>
      <c r="D850" s="10">
        <v>0.102014115</v>
      </c>
      <c r="E850" s="10">
        <v>0.42669797199999998</v>
      </c>
      <c r="F850" s="10">
        <v>0.64998265200000005</v>
      </c>
      <c r="G850" s="10">
        <v>0.85850535500000003</v>
      </c>
      <c r="H850" s="9">
        <v>0.50930002350000003</v>
      </c>
      <c r="I850" s="10">
        <v>0.32374932467593498</v>
      </c>
      <c r="J850" s="10">
        <v>0.104813625228124</v>
      </c>
      <c r="K850" s="10">
        <v>1.062848888</v>
      </c>
      <c r="L850" s="10">
        <v>-0.288659308</v>
      </c>
      <c r="M850" s="10">
        <v>0.57780885400000004</v>
      </c>
      <c r="N850" s="10">
        <v>0.70473401499999999</v>
      </c>
      <c r="O850" s="9">
        <v>0.51418311225000002</v>
      </c>
      <c r="P850" s="10">
        <v>0.57327944517611495</v>
      </c>
      <c r="Q850" s="10">
        <v>0.32864932226143401</v>
      </c>
    </row>
    <row r="851" spans="1:17" x14ac:dyDescent="0.2">
      <c r="A851" s="10">
        <v>1785</v>
      </c>
      <c r="B851" s="10" t="s">
        <v>2821</v>
      </c>
      <c r="C851" s="9" t="s">
        <v>1438</v>
      </c>
      <c r="D851" s="10">
        <v>-0.44774480100000003</v>
      </c>
      <c r="E851" s="10">
        <v>-0.54630608300000005</v>
      </c>
      <c r="F851" s="10">
        <v>-0.78417972700000005</v>
      </c>
      <c r="G851" s="10">
        <v>-0.41824545600000002</v>
      </c>
      <c r="H851" s="9">
        <v>-0.54911901649999995</v>
      </c>
      <c r="I851" s="10">
        <v>0.16599806286201799</v>
      </c>
      <c r="J851" s="10">
        <v>2.7555356873942598E-2</v>
      </c>
      <c r="K851" s="10">
        <v>-6.1457467000000002E-2</v>
      </c>
      <c r="L851" s="10">
        <v>-0.67633503500000003</v>
      </c>
      <c r="M851" s="10">
        <v>-0.45083056700000002</v>
      </c>
      <c r="N851" s="10">
        <v>-0.61394567499999997</v>
      </c>
      <c r="O851" s="9">
        <v>-0.45064218625000002</v>
      </c>
      <c r="P851" s="10">
        <v>0.27632714464309599</v>
      </c>
      <c r="Q851" s="10">
        <v>7.6356690866606597E-2</v>
      </c>
    </row>
    <row r="852" spans="1:17" x14ac:dyDescent="0.2">
      <c r="A852" s="10">
        <v>1785</v>
      </c>
      <c r="B852" s="10" t="s">
        <v>2820</v>
      </c>
      <c r="C852" s="9" t="s">
        <v>1439</v>
      </c>
      <c r="D852" s="10">
        <v>0.32481464100000002</v>
      </c>
      <c r="E852" s="10">
        <v>0.227686256</v>
      </c>
      <c r="F852" s="10">
        <v>9.4729554999999993E-2</v>
      </c>
      <c r="G852" s="10">
        <v>0.44623895499999999</v>
      </c>
      <c r="H852" s="9">
        <v>0.27336735174999999</v>
      </c>
      <c r="I852" s="10">
        <v>0.148917918910624</v>
      </c>
      <c r="J852" s="10">
        <v>2.21765465726711E-2</v>
      </c>
      <c r="K852" s="10">
        <v>0.30517545899999998</v>
      </c>
      <c r="L852" s="10">
        <v>0.13508761999999999</v>
      </c>
      <c r="M852" s="10">
        <v>0.31166110400000002</v>
      </c>
      <c r="N852" s="10">
        <v>0.336307462</v>
      </c>
      <c r="O852" s="9">
        <v>0.27205791125000001</v>
      </c>
      <c r="P852" s="10">
        <v>9.2293102489936593E-2</v>
      </c>
      <c r="Q852" s="10">
        <v>8.5180167672179001E-3</v>
      </c>
    </row>
    <row r="853" spans="1:17" x14ac:dyDescent="0.2">
      <c r="A853" s="10">
        <v>1785</v>
      </c>
      <c r="B853" s="10" t="s">
        <v>2824</v>
      </c>
      <c r="C853" s="9" t="s">
        <v>1440</v>
      </c>
      <c r="D853" s="10">
        <v>-3.4298088999999997E-2</v>
      </c>
      <c r="E853" s="10">
        <v>-0.28431302899999999</v>
      </c>
      <c r="F853" s="10">
        <v>-0.19049817299999999</v>
      </c>
      <c r="G853" s="10">
        <v>-0.583825186</v>
      </c>
      <c r="H853" s="9">
        <v>-0.27323361925</v>
      </c>
      <c r="I853" s="10">
        <v>0.23131883936726999</v>
      </c>
      <c r="J853" s="10">
        <v>5.3508405446221097E-2</v>
      </c>
      <c r="K853" s="10">
        <v>-0.138270648</v>
      </c>
      <c r="L853" s="10">
        <v>-0.11059954</v>
      </c>
      <c r="M853" s="10">
        <v>-0.27649541999999999</v>
      </c>
      <c r="N853" s="10">
        <v>-6.9903198999999999E-2</v>
      </c>
      <c r="O853" s="9">
        <v>-0.14881720174999999</v>
      </c>
      <c r="P853" s="10">
        <v>8.9630661999044098E-2</v>
      </c>
      <c r="Q853" s="10">
        <v>8.0336555703867992E-3</v>
      </c>
    </row>
    <row r="854" spans="1:17" x14ac:dyDescent="0.2">
      <c r="A854" s="10">
        <v>1785</v>
      </c>
      <c r="B854" s="10" t="s">
        <v>2817</v>
      </c>
      <c r="C854" s="9" t="s">
        <v>1441</v>
      </c>
      <c r="D854" s="10">
        <v>2.507533E-2</v>
      </c>
      <c r="E854" s="10">
        <v>-6.5374891000000004E-2</v>
      </c>
      <c r="F854" s="10">
        <v>0.142263469</v>
      </c>
      <c r="G854" s="10">
        <v>0.14560256699999999</v>
      </c>
      <c r="H854" s="9">
        <v>6.1891618750000002E-2</v>
      </c>
      <c r="I854" s="10">
        <v>0.101684742858819</v>
      </c>
      <c r="J854" s="10">
        <v>1.0339786930264201E-2</v>
      </c>
      <c r="K854" s="10">
        <v>-7.7370599999999998E-4</v>
      </c>
      <c r="L854" s="10">
        <v>0.270363572</v>
      </c>
      <c r="M854" s="10">
        <v>-0.55670098499999998</v>
      </c>
      <c r="N854" s="10">
        <v>-0.235647562</v>
      </c>
      <c r="O854" s="9">
        <v>-0.13068967049999999</v>
      </c>
      <c r="P854" s="10">
        <v>0.351294586836495</v>
      </c>
      <c r="Q854" s="10">
        <v>0.123407886740624</v>
      </c>
    </row>
    <row r="855" spans="1:17" x14ac:dyDescent="0.2">
      <c r="A855" s="10">
        <v>1785</v>
      </c>
      <c r="B855" s="10" t="s">
        <v>2814</v>
      </c>
      <c r="C855" s="9" t="s">
        <v>1442</v>
      </c>
      <c r="D855" s="10">
        <v>-0.64084723300000002</v>
      </c>
      <c r="E855" s="10">
        <v>-2.4222735540000002</v>
      </c>
      <c r="F855" s="10">
        <v>-0.93173083899999998</v>
      </c>
      <c r="G855" s="10">
        <v>-1.1231796089999999</v>
      </c>
      <c r="H855" s="9">
        <v>-1.27950780875</v>
      </c>
      <c r="I855" s="10">
        <v>0.78722893880151501</v>
      </c>
      <c r="J855" s="10">
        <v>0.61972940208655902</v>
      </c>
      <c r="K855" s="10">
        <v>-0.811611623</v>
      </c>
      <c r="L855" s="10">
        <v>-0.65958761200000005</v>
      </c>
      <c r="M855" s="10">
        <v>-0.87057366999999997</v>
      </c>
      <c r="N855" s="10">
        <v>-0.47431422000000001</v>
      </c>
      <c r="O855" s="9">
        <v>-0.70402178150000005</v>
      </c>
      <c r="P855" s="10">
        <v>0.17706407953651701</v>
      </c>
      <c r="Q855" s="10">
        <v>3.1351688262114097E-2</v>
      </c>
    </row>
    <row r="856" spans="1:17" x14ac:dyDescent="0.2">
      <c r="A856" s="10">
        <v>1785</v>
      </c>
      <c r="B856" s="10" t="s">
        <v>2825</v>
      </c>
      <c r="C856" s="9" t="s">
        <v>1443</v>
      </c>
      <c r="D856" s="10">
        <v>-6.2202519999999999E-3</v>
      </c>
      <c r="E856" s="10">
        <v>-5.5558758999999999E-2</v>
      </c>
      <c r="F856" s="10">
        <v>-2.6658813999999999E-2</v>
      </c>
      <c r="G856" s="10">
        <v>-3.5741351999999997E-2</v>
      </c>
      <c r="H856" s="9">
        <v>-3.104479425E-2</v>
      </c>
      <c r="I856" s="10">
        <v>2.0481592086055801E-2</v>
      </c>
      <c r="J856" s="10">
        <v>4.194956143795E-4</v>
      </c>
      <c r="K856" s="10">
        <v>0.37962597599999998</v>
      </c>
      <c r="L856" s="10">
        <v>0.32297338199999998</v>
      </c>
      <c r="M856" s="10">
        <v>0.263851948</v>
      </c>
      <c r="N856" s="10">
        <v>0.69685738100000005</v>
      </c>
      <c r="O856" s="9">
        <v>0.41582717149999998</v>
      </c>
      <c r="P856" s="10">
        <v>0.19322422207513901</v>
      </c>
      <c r="Q856" s="10">
        <v>3.7335599996542797E-2</v>
      </c>
    </row>
    <row r="857" spans="1:17" x14ac:dyDescent="0.2">
      <c r="A857" s="10">
        <v>1786</v>
      </c>
      <c r="B857" s="10" t="s">
        <v>2831</v>
      </c>
      <c r="C857" s="9" t="s">
        <v>1444</v>
      </c>
      <c r="D857" s="10">
        <v>-1.2055645509999999</v>
      </c>
      <c r="E857" s="10">
        <v>-1.0354557959999999</v>
      </c>
      <c r="F857" s="10">
        <v>-0.80418719999999999</v>
      </c>
      <c r="G857" s="10">
        <v>-1.2505521319999999</v>
      </c>
      <c r="H857" s="9">
        <v>-1.0739399197499999</v>
      </c>
      <c r="I857" s="10">
        <v>0.20229061162995499</v>
      </c>
      <c r="J857" s="10">
        <v>4.0921491553621597E-2</v>
      </c>
      <c r="K857" s="10">
        <v>0.13002766900000001</v>
      </c>
      <c r="L857" s="10">
        <v>-0.34689302599999999</v>
      </c>
      <c r="M857" s="10">
        <v>-2.4278570999999999E-2</v>
      </c>
      <c r="N857" s="10">
        <v>-8.2976225000000001E-2</v>
      </c>
      <c r="O857" s="9">
        <v>-8.1030038250000005E-2</v>
      </c>
      <c r="P857" s="10">
        <v>0.19870665206351801</v>
      </c>
      <c r="Q857" s="10">
        <v>3.9484333574292298E-2</v>
      </c>
    </row>
    <row r="858" spans="1:17" x14ac:dyDescent="0.2">
      <c r="A858" s="10">
        <v>1786</v>
      </c>
      <c r="B858" s="10" t="s">
        <v>2819</v>
      </c>
      <c r="C858" s="9" t="s">
        <v>1445</v>
      </c>
      <c r="D858" s="10">
        <v>-0.43602107000000001</v>
      </c>
      <c r="E858" s="10">
        <v>-0.69584173999999999</v>
      </c>
      <c r="F858" s="10">
        <v>0.149436926</v>
      </c>
      <c r="G858" s="10">
        <v>-0.121476564</v>
      </c>
      <c r="H858" s="9">
        <v>-0.27597561199999998</v>
      </c>
      <c r="I858" s="10">
        <v>0.36821547015692202</v>
      </c>
      <c r="J858" s="10">
        <v>0.13558263246288299</v>
      </c>
      <c r="K858" s="10">
        <v>-0.29499246200000001</v>
      </c>
      <c r="L858" s="10">
        <v>-5.1951290999999997E-2</v>
      </c>
      <c r="M858" s="10">
        <v>-0.160233657</v>
      </c>
      <c r="N858" s="10">
        <v>-0.53260751200000001</v>
      </c>
      <c r="O858" s="9">
        <v>-0.25994623049999999</v>
      </c>
      <c r="P858" s="10">
        <v>0.20718502595761701</v>
      </c>
      <c r="Q858" s="10">
        <v>4.2925634981058398E-2</v>
      </c>
    </row>
    <row r="859" spans="1:17" x14ac:dyDescent="0.2">
      <c r="A859" s="10">
        <v>1786</v>
      </c>
      <c r="B859" s="10" t="s">
        <v>2826</v>
      </c>
      <c r="C859" s="9" t="s">
        <v>1446</v>
      </c>
      <c r="D859" s="10">
        <v>-0.385481026</v>
      </c>
      <c r="E859" s="10">
        <v>-0.40416906699999999</v>
      </c>
      <c r="F859" s="10">
        <v>-0.59820048800000003</v>
      </c>
      <c r="G859" s="10">
        <v>-2.7846757999999999E-2</v>
      </c>
      <c r="H859" s="9">
        <v>-0.35392433475000001</v>
      </c>
      <c r="I859" s="10">
        <v>0.23770975508470499</v>
      </c>
      <c r="J859" s="10">
        <v>5.6505927662430497E-2</v>
      </c>
      <c r="K859" s="10">
        <v>-0.98353743800000004</v>
      </c>
      <c r="L859" s="10">
        <v>-0.87622275800000005</v>
      </c>
      <c r="M859" s="10">
        <v>-0.23960656299999999</v>
      </c>
      <c r="N859" s="10">
        <v>-1.1717261379999999</v>
      </c>
      <c r="O859" s="9">
        <v>-0.81777322424999999</v>
      </c>
      <c r="P859" s="10">
        <v>0.40433215548969698</v>
      </c>
      <c r="Q859" s="10">
        <v>0.16348449196294501</v>
      </c>
    </row>
    <row r="860" spans="1:17" x14ac:dyDescent="0.2">
      <c r="A860" s="10">
        <v>1786</v>
      </c>
      <c r="B860" s="10" t="s">
        <v>2821</v>
      </c>
      <c r="C860" s="9" t="s">
        <v>1447</v>
      </c>
      <c r="D860" s="10">
        <v>-0.97373934299999998</v>
      </c>
      <c r="E860" s="10">
        <v>0.12733218499999999</v>
      </c>
      <c r="F860" s="10">
        <v>-3.5316770999999997E-2</v>
      </c>
      <c r="G860" s="10">
        <v>2.0209327999999999E-2</v>
      </c>
      <c r="H860" s="9">
        <v>-0.21537865</v>
      </c>
      <c r="I860" s="10">
        <v>0.51006066069340406</v>
      </c>
      <c r="J860" s="10">
        <v>0.260161877586992</v>
      </c>
      <c r="K860" s="10">
        <v>0.71409200100000003</v>
      </c>
      <c r="L860" s="10">
        <v>0.31749513499999998</v>
      </c>
      <c r="M860" s="10">
        <v>-0.57753951000000003</v>
      </c>
      <c r="N860" s="10">
        <v>0.42030241499999998</v>
      </c>
      <c r="O860" s="9">
        <v>0.21858751025000001</v>
      </c>
      <c r="P860" s="10">
        <v>0.55672092163475295</v>
      </c>
      <c r="Q860" s="10">
        <v>0.30993818458584899</v>
      </c>
    </row>
    <row r="861" spans="1:17" x14ac:dyDescent="0.2">
      <c r="A861" s="10">
        <v>1786</v>
      </c>
      <c r="B861" s="10" t="s">
        <v>2817</v>
      </c>
      <c r="C861" s="9" t="s">
        <v>1448</v>
      </c>
      <c r="D861" s="10">
        <v>-9.9411919999999997E-3</v>
      </c>
      <c r="E861" s="10">
        <v>-0.54700458799999996</v>
      </c>
      <c r="F861" s="10">
        <v>7.8266140999999997E-2</v>
      </c>
      <c r="G861" s="10">
        <v>-0.100437225</v>
      </c>
      <c r="H861" s="9">
        <v>-0.14477921575</v>
      </c>
      <c r="I861" s="10">
        <v>0.27789805447433602</v>
      </c>
      <c r="J861" s="10">
        <v>7.7227328680621404E-2</v>
      </c>
      <c r="K861" s="10">
        <v>-0.23132434800000001</v>
      </c>
      <c r="L861" s="10">
        <v>6.4663444E-2</v>
      </c>
      <c r="M861" s="10">
        <v>-0.235147408</v>
      </c>
      <c r="N861" s="10">
        <v>-3.1020385000000001E-2</v>
      </c>
      <c r="O861" s="9">
        <v>-0.10820717425</v>
      </c>
      <c r="P861" s="10">
        <v>0.149570175843485</v>
      </c>
      <c r="Q861" s="10">
        <v>2.2371237501851101E-2</v>
      </c>
    </row>
    <row r="862" spans="1:17" x14ac:dyDescent="0.2">
      <c r="A862" s="10">
        <v>1786</v>
      </c>
      <c r="B862" s="10" t="s">
        <v>2814</v>
      </c>
      <c r="C862" s="9" t="s">
        <v>37</v>
      </c>
      <c r="D862" s="10">
        <v>-0.51592247999999996</v>
      </c>
      <c r="E862" s="10">
        <v>-0.86057893900000004</v>
      </c>
      <c r="F862" s="10">
        <v>-0.81909813300000001</v>
      </c>
      <c r="G862" s="10">
        <v>-0.79349866099999999</v>
      </c>
      <c r="H862" s="9">
        <v>-0.74727455325000003</v>
      </c>
      <c r="I862" s="10">
        <v>0.15669179979889</v>
      </c>
      <c r="J862" s="10">
        <v>2.4552320124215401E-2</v>
      </c>
      <c r="K862" s="10">
        <v>0.323557492</v>
      </c>
      <c r="L862" s="10">
        <v>6.9995827999999996E-2</v>
      </c>
      <c r="M862" s="10">
        <v>0.14035818899999999</v>
      </c>
      <c r="N862" s="10">
        <v>9.9068338000000006E-2</v>
      </c>
      <c r="O862" s="9">
        <v>0.15824496175</v>
      </c>
      <c r="P862" s="10">
        <v>0.11392680647846</v>
      </c>
      <c r="Q862" s="10">
        <v>1.29793172343805E-2</v>
      </c>
    </row>
    <row r="863" spans="1:17" x14ac:dyDescent="0.2">
      <c r="A863" s="10">
        <v>1786</v>
      </c>
      <c r="B863" s="10" t="s">
        <v>2825</v>
      </c>
      <c r="C863" s="9" t="s">
        <v>1449</v>
      </c>
      <c r="D863" s="10">
        <v>-0.390675512</v>
      </c>
      <c r="E863" s="10">
        <v>-0.50847890699999998</v>
      </c>
      <c r="F863" s="10">
        <v>-0.37636947900000001</v>
      </c>
      <c r="G863" s="10">
        <v>7.3536276999999997E-2</v>
      </c>
      <c r="H863" s="9">
        <v>-0.30049690525</v>
      </c>
      <c r="I863" s="10">
        <v>0.25628510363708801</v>
      </c>
      <c r="J863" s="10">
        <v>6.5682054346273E-2</v>
      </c>
      <c r="K863" s="10">
        <v>-0.289376933</v>
      </c>
      <c r="L863" s="10">
        <v>-0.29261282999999999</v>
      </c>
      <c r="M863" s="10">
        <v>-0.43678958000000001</v>
      </c>
      <c r="N863" s="10">
        <v>-0.37905133200000002</v>
      </c>
      <c r="O863" s="9">
        <v>-0.34945766875000001</v>
      </c>
      <c r="P863" s="10">
        <v>7.1516147658896106E-2</v>
      </c>
      <c r="Q863" s="10">
        <v>5.1145593759690001E-3</v>
      </c>
    </row>
    <row r="864" spans="1:17" x14ac:dyDescent="0.2">
      <c r="A864" s="10">
        <v>1786</v>
      </c>
      <c r="B864" s="10" t="s">
        <v>74</v>
      </c>
      <c r="C864" s="9" t="s">
        <v>1450</v>
      </c>
      <c r="D864" s="10">
        <v>-0.62025118800000001</v>
      </c>
      <c r="E864" s="10">
        <v>-0.54669938399999995</v>
      </c>
      <c r="F864" s="10">
        <v>-0.95160242500000003</v>
      </c>
      <c r="G864" s="10">
        <v>-0.77417529699999998</v>
      </c>
      <c r="H864" s="9">
        <v>-0.72318207374999999</v>
      </c>
      <c r="I864" s="10">
        <v>0.17936654528764201</v>
      </c>
      <c r="J864" s="10">
        <v>3.2172357568424001E-2</v>
      </c>
      <c r="K864" s="10">
        <v>-0.16121935200000001</v>
      </c>
      <c r="L864" s="10">
        <v>-0.58746459900000003</v>
      </c>
      <c r="M864" s="10">
        <v>-0.90165196599999997</v>
      </c>
      <c r="N864" s="10">
        <v>7.1504402999999994E-2</v>
      </c>
      <c r="O864" s="9">
        <v>-0.3947078785</v>
      </c>
      <c r="P864" s="10">
        <v>0.43436476398594498</v>
      </c>
      <c r="Q864" s="10">
        <v>0.18867274819256599</v>
      </c>
    </row>
    <row r="865" spans="1:17" x14ac:dyDescent="0.2">
      <c r="A865" s="10">
        <v>1786</v>
      </c>
      <c r="B865" s="10" t="s">
        <v>2835</v>
      </c>
      <c r="C865" s="9" t="s">
        <v>1451</v>
      </c>
      <c r="D865" s="10">
        <v>-1.1189598119999999</v>
      </c>
      <c r="E865" s="10">
        <v>-0.39768849000000001</v>
      </c>
      <c r="F865" s="10">
        <v>-1.307315394</v>
      </c>
      <c r="G865" s="10">
        <v>-1.5791368830000001</v>
      </c>
      <c r="H865" s="9">
        <v>-1.1007751445</v>
      </c>
      <c r="I865" s="10">
        <v>0.50535477748882895</v>
      </c>
      <c r="J865" s="10">
        <v>0.25538345113078398</v>
      </c>
      <c r="K865" s="10">
        <v>-0.72068342900000004</v>
      </c>
      <c r="L865" s="10">
        <v>-0.54188395300000003</v>
      </c>
      <c r="M865" s="10">
        <v>-0.71101413800000002</v>
      </c>
      <c r="N865" s="10">
        <v>-0.32716222299999997</v>
      </c>
      <c r="O865" s="9">
        <v>-0.57518593574999999</v>
      </c>
      <c r="P865" s="10">
        <v>0.18461094695771799</v>
      </c>
      <c r="Q865" s="10">
        <v>3.4081201736625502E-2</v>
      </c>
    </row>
    <row r="866" spans="1:17" x14ac:dyDescent="0.2">
      <c r="A866" s="10">
        <v>1787</v>
      </c>
      <c r="B866" s="10" t="s">
        <v>2822</v>
      </c>
      <c r="C866" s="9" t="s">
        <v>1453</v>
      </c>
      <c r="D866" s="10">
        <v>-0.14232592399999999</v>
      </c>
      <c r="E866" s="10">
        <v>9.2361512000000007E-2</v>
      </c>
      <c r="F866" s="10">
        <v>-3.1583326000000002E-2</v>
      </c>
      <c r="G866" s="10">
        <v>0.294742487</v>
      </c>
      <c r="H866" s="9">
        <v>5.3298687249999997E-2</v>
      </c>
      <c r="I866" s="10">
        <v>0.187345454010547</v>
      </c>
      <c r="J866" s="10">
        <v>3.5098319138418002E-2</v>
      </c>
      <c r="K866" s="10">
        <v>0.14132428</v>
      </c>
      <c r="L866" s="10">
        <v>-7.5879508999999998E-2</v>
      </c>
      <c r="M866" s="10">
        <v>0.23082801999999999</v>
      </c>
      <c r="N866" s="10">
        <v>0.44731736799999999</v>
      </c>
      <c r="O866" s="9">
        <v>0.18589753975000001</v>
      </c>
      <c r="P866" s="10">
        <v>0.21669723378849401</v>
      </c>
      <c r="Q866" s="10">
        <v>4.6957691131585301E-2</v>
      </c>
    </row>
    <row r="867" spans="1:17" x14ac:dyDescent="0.2">
      <c r="A867" s="10">
        <v>1787</v>
      </c>
      <c r="B867" s="10" t="s">
        <v>79</v>
      </c>
      <c r="C867" s="9" t="s">
        <v>1454</v>
      </c>
      <c r="D867" s="10">
        <v>2.1115795999999999E-2</v>
      </c>
      <c r="E867" s="10">
        <v>0.10280172</v>
      </c>
      <c r="F867" s="10">
        <v>0.80709193899999998</v>
      </c>
      <c r="G867" s="10">
        <v>0.50742102700000002</v>
      </c>
      <c r="H867" s="9">
        <v>0.3596076205</v>
      </c>
      <c r="I867" s="10">
        <v>0.36634091782996198</v>
      </c>
      <c r="J867" s="10">
        <v>0.134205668076499</v>
      </c>
      <c r="K867" s="10">
        <v>0.133944796</v>
      </c>
      <c r="L867" s="10">
        <v>-0.33723803400000002</v>
      </c>
      <c r="M867" s="10">
        <v>-0.38458200199999998</v>
      </c>
      <c r="N867" s="10">
        <v>0.58089073999999996</v>
      </c>
      <c r="O867" s="9">
        <v>-1.7461252499999999E-3</v>
      </c>
      <c r="P867" s="10">
        <v>0.45350335251303198</v>
      </c>
      <c r="Q867" s="10">
        <v>0.205665290740559</v>
      </c>
    </row>
    <row r="868" spans="1:17" x14ac:dyDescent="0.2">
      <c r="A868" s="10">
        <v>1787</v>
      </c>
      <c r="B868" s="10" t="s">
        <v>2835</v>
      </c>
      <c r="C868" s="9" t="s">
        <v>2609</v>
      </c>
      <c r="D868" s="10">
        <v>-0.81241863199999997</v>
      </c>
      <c r="E868" s="10">
        <v>3.3290684000000001E-2</v>
      </c>
      <c r="F868" s="10">
        <v>-0.57235404099999998</v>
      </c>
      <c r="G868" s="10">
        <v>-0.845997416</v>
      </c>
      <c r="H868" s="9">
        <v>-0.54936985125000004</v>
      </c>
      <c r="I868" s="10">
        <v>0.40710528758535203</v>
      </c>
      <c r="J868" s="10">
        <v>0.165734715179952</v>
      </c>
      <c r="K868" s="10">
        <v>-0.105449318</v>
      </c>
      <c r="L868" s="10">
        <v>0.34821734799999998</v>
      </c>
      <c r="M868" s="10">
        <v>0.13243242299999999</v>
      </c>
      <c r="N868" s="10">
        <v>0.42602064899999997</v>
      </c>
      <c r="O868" s="9">
        <v>0.20030527549999999</v>
      </c>
      <c r="P868" s="10">
        <v>0.238689482088009</v>
      </c>
      <c r="Q868" s="10">
        <v>5.6972668859442202E-2</v>
      </c>
    </row>
    <row r="869" spans="1:17" x14ac:dyDescent="0.2">
      <c r="A869" s="10">
        <v>1788</v>
      </c>
      <c r="B869" s="10" t="s">
        <v>2822</v>
      </c>
      <c r="C869" s="9" t="s">
        <v>61</v>
      </c>
      <c r="D869" s="10">
        <v>-0.54806156299999997</v>
      </c>
      <c r="E869" s="10">
        <v>-0.52274408400000005</v>
      </c>
      <c r="F869" s="10">
        <v>-0.49913605599999999</v>
      </c>
      <c r="G869" s="10">
        <v>-0.16699910300000001</v>
      </c>
      <c r="H869" s="9">
        <v>-0.4342352015</v>
      </c>
      <c r="I869" s="10">
        <v>0.17927401383548699</v>
      </c>
      <c r="J869" s="10">
        <v>3.2139172036686398E-2</v>
      </c>
      <c r="K869" s="10">
        <v>-0.36204650199999999</v>
      </c>
      <c r="L869" s="10">
        <v>-0.55659231200000003</v>
      </c>
      <c r="M869" s="10">
        <v>-0.27568170400000003</v>
      </c>
      <c r="N869" s="10">
        <v>2.4050152000000002E-2</v>
      </c>
      <c r="O869" s="9">
        <v>-0.2925675915</v>
      </c>
      <c r="P869" s="10">
        <v>0.241570073156882</v>
      </c>
      <c r="Q869" s="10">
        <v>5.8356100245021497E-2</v>
      </c>
    </row>
    <row r="870" spans="1:17" x14ac:dyDescent="0.2">
      <c r="A870" s="10">
        <v>1788</v>
      </c>
      <c r="B870" s="10" t="s">
        <v>2819</v>
      </c>
      <c r="C870" s="9" t="s">
        <v>1458</v>
      </c>
      <c r="D870" s="10">
        <v>9.2787632999999994E-2</v>
      </c>
      <c r="E870" s="10">
        <v>0.16545284399999999</v>
      </c>
      <c r="F870" s="10">
        <v>0.36520014899999997</v>
      </c>
      <c r="G870" s="10">
        <v>-0.154251429</v>
      </c>
      <c r="H870" s="9">
        <v>0.11729729925</v>
      </c>
      <c r="I870" s="10">
        <v>0.21456484253656199</v>
      </c>
      <c r="J870" s="10">
        <v>4.6038071652739598E-2</v>
      </c>
      <c r="K870" s="10">
        <v>-0.431221672</v>
      </c>
      <c r="L870" s="10">
        <v>-0.50619794900000004</v>
      </c>
      <c r="M870" s="10">
        <v>0.31444941700000001</v>
      </c>
      <c r="N870" s="10">
        <v>-1.9985070000000001E-3</v>
      </c>
      <c r="O870" s="9">
        <v>-0.15624217774999999</v>
      </c>
      <c r="P870" s="10">
        <v>0.38445825582842302</v>
      </c>
      <c r="Q870" s="10">
        <v>0.147808150474633</v>
      </c>
    </row>
    <row r="871" spans="1:17" x14ac:dyDescent="0.2">
      <c r="A871" s="10">
        <v>1788</v>
      </c>
      <c r="B871" s="10" t="s">
        <v>2826</v>
      </c>
      <c r="C871" s="9" t="s">
        <v>1459</v>
      </c>
      <c r="D871" s="10">
        <v>0.57259121700000004</v>
      </c>
      <c r="E871" s="10">
        <v>0.275347868</v>
      </c>
      <c r="F871" s="10">
        <v>-0.176274985</v>
      </c>
      <c r="G871" s="10">
        <v>0.18192508700000001</v>
      </c>
      <c r="H871" s="9">
        <v>0.2133972965</v>
      </c>
      <c r="I871" s="10">
        <v>0.30859527581908103</v>
      </c>
      <c r="J871" s="10">
        <v>9.52310442578546E-2</v>
      </c>
      <c r="K871" s="10">
        <v>1.1121146989999999</v>
      </c>
      <c r="L871" s="10">
        <v>0.36627647899999999</v>
      </c>
      <c r="M871" s="10">
        <v>0.214453846</v>
      </c>
      <c r="N871" s="10">
        <v>0.98943916899999995</v>
      </c>
      <c r="O871" s="9">
        <v>0.67057104825000002</v>
      </c>
      <c r="P871" s="10">
        <v>0.446197176523146</v>
      </c>
      <c r="Q871" s="10">
        <v>0.199091920337228</v>
      </c>
    </row>
    <row r="872" spans="1:17" x14ac:dyDescent="0.2">
      <c r="A872" s="10">
        <v>1788</v>
      </c>
      <c r="B872" s="10" t="s">
        <v>2824</v>
      </c>
      <c r="C872" s="9" t="s">
        <v>1461</v>
      </c>
      <c r="D872" s="10">
        <v>-0.92319164099999995</v>
      </c>
      <c r="E872" s="10">
        <v>-0.67162793799999998</v>
      </c>
      <c r="F872" s="10">
        <v>-0.69853695199999999</v>
      </c>
      <c r="G872" s="10">
        <v>-1.003071265</v>
      </c>
      <c r="H872" s="9">
        <v>-0.82410694875000001</v>
      </c>
      <c r="I872" s="10">
        <v>0.16417843497467499</v>
      </c>
      <c r="J872" s="10">
        <v>2.6954558510733601E-2</v>
      </c>
      <c r="K872" s="10">
        <v>0.19685975999999999</v>
      </c>
      <c r="L872" s="10">
        <v>0.33750284899999999</v>
      </c>
      <c r="M872" s="10">
        <v>-0.25004130800000002</v>
      </c>
      <c r="N872" s="10">
        <v>-5.9941042999999999E-2</v>
      </c>
      <c r="O872" s="9">
        <v>5.609506425E-2</v>
      </c>
      <c r="P872" s="10">
        <v>0.262163369859086</v>
      </c>
      <c r="Q872" s="10">
        <v>6.8729632495872106E-2</v>
      </c>
    </row>
    <row r="873" spans="1:17" x14ac:dyDescent="0.2">
      <c r="A873" s="10">
        <v>1788</v>
      </c>
      <c r="B873" s="10" t="s">
        <v>2825</v>
      </c>
      <c r="C873" s="9" t="s">
        <v>1463</v>
      </c>
      <c r="D873" s="10">
        <v>-1.113935473</v>
      </c>
      <c r="E873" s="10">
        <v>-1.332597265</v>
      </c>
      <c r="F873" s="10">
        <v>-1.5268119659999999</v>
      </c>
      <c r="G873" s="10">
        <v>-1.8452343879999999</v>
      </c>
      <c r="H873" s="9">
        <v>-1.4546447732500001</v>
      </c>
      <c r="I873" s="10">
        <v>0.31024010723247197</v>
      </c>
      <c r="J873" s="10">
        <v>9.6248924135615796E-2</v>
      </c>
      <c r="K873" s="10">
        <v>-0.75062293899999999</v>
      </c>
      <c r="L873" s="10">
        <v>-0.49800064500000002</v>
      </c>
      <c r="M873" s="10">
        <v>-0.106870095</v>
      </c>
      <c r="N873" s="10">
        <v>-0.30664098099999998</v>
      </c>
      <c r="O873" s="9">
        <v>-0.41553366474999998</v>
      </c>
      <c r="P873" s="10">
        <v>0.27460058291637301</v>
      </c>
      <c r="Q873" s="10">
        <v>7.5405480138012002E-2</v>
      </c>
    </row>
    <row r="874" spans="1:17" x14ac:dyDescent="0.2">
      <c r="A874" s="10">
        <v>1788</v>
      </c>
      <c r="B874" s="10" t="s">
        <v>74</v>
      </c>
      <c r="C874" s="9" t="s">
        <v>1464</v>
      </c>
      <c r="D874" s="10">
        <v>0.61382654800000003</v>
      </c>
      <c r="E874" s="10">
        <v>-2.8282463000000001E-2</v>
      </c>
      <c r="F874" s="10">
        <v>4.6403304999999999E-2</v>
      </c>
      <c r="G874" s="10">
        <v>-0.78668835699999995</v>
      </c>
      <c r="H874" s="9">
        <v>-3.8685242000000002E-2</v>
      </c>
      <c r="I874" s="10">
        <v>0.57521838600082997</v>
      </c>
      <c r="J874" s="10">
        <v>0.33087619159339998</v>
      </c>
      <c r="K874" s="10">
        <v>0.289978703</v>
      </c>
      <c r="L874" s="10">
        <v>0.23688284600000001</v>
      </c>
      <c r="M874" s="10">
        <v>-0.119171153</v>
      </c>
      <c r="N874" s="10">
        <v>6.7648009999999995E-2</v>
      </c>
      <c r="O874" s="9">
        <v>0.11883460175</v>
      </c>
      <c r="P874" s="10">
        <v>0.184835510506212</v>
      </c>
      <c r="Q874" s="10">
        <v>3.4164165944092002E-2</v>
      </c>
    </row>
    <row r="875" spans="1:17" x14ac:dyDescent="0.2">
      <c r="A875" s="10">
        <v>1788</v>
      </c>
      <c r="B875" s="10" t="s">
        <v>2830</v>
      </c>
      <c r="C875" s="9" t="s">
        <v>38</v>
      </c>
      <c r="D875" s="10">
        <v>-1.4389634440000001</v>
      </c>
      <c r="E875" s="10">
        <v>-1.2418162319999999</v>
      </c>
      <c r="F875" s="10">
        <v>-1.1816998249999999</v>
      </c>
      <c r="G875" s="10">
        <v>-1.9727256479999999</v>
      </c>
      <c r="H875" s="9">
        <v>-1.45880128725</v>
      </c>
      <c r="I875" s="10">
        <v>0.35980528214579299</v>
      </c>
      <c r="J875" s="10">
        <v>0.12945984106001299</v>
      </c>
      <c r="K875" s="10">
        <v>-0.41120240899999999</v>
      </c>
      <c r="L875" s="10">
        <v>-0.123582733</v>
      </c>
      <c r="M875" s="10">
        <v>-0.114302974</v>
      </c>
      <c r="N875" s="10">
        <v>-8.0254115000000001E-2</v>
      </c>
      <c r="O875" s="9">
        <v>-0.18233555774999999</v>
      </c>
      <c r="P875" s="10">
        <v>0.153710749377758</v>
      </c>
      <c r="Q875" s="10">
        <v>2.3626994474271999E-2</v>
      </c>
    </row>
    <row r="876" spans="1:17" x14ac:dyDescent="0.2">
      <c r="A876" s="10">
        <v>1788</v>
      </c>
      <c r="B876" s="10" t="s">
        <v>2835</v>
      </c>
      <c r="C876" s="9" t="s">
        <v>1465</v>
      </c>
      <c r="D876" s="10">
        <v>-0.23025918300000001</v>
      </c>
      <c r="E876" s="10">
        <v>-0.69717504900000005</v>
      </c>
      <c r="F876" s="10">
        <v>-0.67951593200000004</v>
      </c>
      <c r="G876" s="10">
        <v>-0.190430775</v>
      </c>
      <c r="H876" s="9">
        <v>-0.44934523450000002</v>
      </c>
      <c r="I876" s="10">
        <v>0.27654629645129197</v>
      </c>
      <c r="J876" s="10">
        <v>7.6477854080926194E-2</v>
      </c>
      <c r="K876" s="10">
        <v>-1.066600094</v>
      </c>
      <c r="L876" s="10">
        <v>-0.82586262899999996</v>
      </c>
      <c r="M876" s="10">
        <v>0.23451881199999999</v>
      </c>
      <c r="N876" s="10">
        <v>-5.6336144999999997E-2</v>
      </c>
      <c r="O876" s="9">
        <v>-0.428570014</v>
      </c>
      <c r="P876" s="10">
        <v>0.61729751047478698</v>
      </c>
      <c r="Q876" s="10">
        <v>0.38105621643837001</v>
      </c>
    </row>
    <row r="877" spans="1:17" x14ac:dyDescent="0.2">
      <c r="A877" s="10">
        <v>1788</v>
      </c>
      <c r="B877" s="10" t="s">
        <v>2832</v>
      </c>
      <c r="C877" s="9" t="s">
        <v>1466</v>
      </c>
      <c r="D877" s="10">
        <v>-0.81114082399999998</v>
      </c>
      <c r="E877" s="10">
        <v>-0.83947073299999997</v>
      </c>
      <c r="F877" s="10">
        <v>-0.54067569299999996</v>
      </c>
      <c r="G877" s="10">
        <v>-1.2181872499999999</v>
      </c>
      <c r="H877" s="9">
        <v>-0.85236862474999997</v>
      </c>
      <c r="I877" s="10">
        <v>0.27859279570069401</v>
      </c>
      <c r="J877" s="10">
        <v>7.76139458163288E-2</v>
      </c>
      <c r="K877" s="10">
        <v>-7.8353986E-2</v>
      </c>
      <c r="L877" s="10">
        <v>-0.422878423</v>
      </c>
      <c r="M877" s="10">
        <v>-0.37559225099999999</v>
      </c>
      <c r="N877" s="10">
        <v>-0.11508104500000001</v>
      </c>
      <c r="O877" s="9">
        <v>-0.24797642624999999</v>
      </c>
      <c r="P877" s="10">
        <v>0.176360862804749</v>
      </c>
      <c r="Q877" s="10">
        <v>3.11031539292357E-2</v>
      </c>
    </row>
    <row r="878" spans="1:17" x14ac:dyDescent="0.2">
      <c r="A878" s="10">
        <v>1789</v>
      </c>
      <c r="B878" s="10" t="s">
        <v>2819</v>
      </c>
      <c r="C878" s="9" t="s">
        <v>1467</v>
      </c>
      <c r="D878" s="10">
        <v>-2.0848141099999999</v>
      </c>
      <c r="E878" s="10">
        <v>-2.0300985229999999</v>
      </c>
      <c r="F878" s="10">
        <v>-1.1838302359999999</v>
      </c>
      <c r="G878" s="10">
        <v>-0.58299494399999996</v>
      </c>
      <c r="H878" s="9">
        <v>-1.47043445325</v>
      </c>
      <c r="I878" s="10">
        <v>0.72119740559727996</v>
      </c>
      <c r="J878" s="10">
        <v>0.52012569784024798</v>
      </c>
      <c r="K878" s="10">
        <v>5.0451590999999997E-2</v>
      </c>
      <c r="L878" s="10">
        <v>-0.81614396499999997</v>
      </c>
      <c r="M878" s="10">
        <v>-0.27037038899999999</v>
      </c>
      <c r="N878" s="10">
        <v>-0.315822669</v>
      </c>
      <c r="O878" s="9">
        <v>-0.33797135774999998</v>
      </c>
      <c r="P878" s="10">
        <v>0.35804184337829797</v>
      </c>
      <c r="Q878" s="10">
        <v>0.12819396160973001</v>
      </c>
    </row>
    <row r="879" spans="1:17" x14ac:dyDescent="0.2">
      <c r="A879" s="10">
        <v>1789</v>
      </c>
      <c r="B879" s="10" t="s">
        <v>2826</v>
      </c>
      <c r="C879" s="9" t="s">
        <v>1468</v>
      </c>
      <c r="D879" s="10">
        <v>-0.52898916699999998</v>
      </c>
      <c r="E879" s="10">
        <v>-0.52572134400000003</v>
      </c>
      <c r="F879" s="10">
        <v>-1.2314222939999999</v>
      </c>
      <c r="G879" s="10">
        <v>-1.995202436</v>
      </c>
      <c r="H879" s="9">
        <v>-1.0703338105</v>
      </c>
      <c r="I879" s="10">
        <v>0.70023525467372805</v>
      </c>
      <c r="J879" s="10">
        <v>0.49032941188798101</v>
      </c>
      <c r="K879" s="10">
        <v>-0.27273198500000001</v>
      </c>
      <c r="L879" s="10">
        <v>-3.6001280000000002E-3</v>
      </c>
      <c r="M879" s="10">
        <v>-0.67897278299999997</v>
      </c>
      <c r="N879" s="10">
        <v>-0.34316443200000002</v>
      </c>
      <c r="O879" s="9">
        <v>-0.32461733199999998</v>
      </c>
      <c r="P879" s="10">
        <v>0.27788241822103499</v>
      </c>
      <c r="Q879" s="10">
        <v>7.7218638356370398E-2</v>
      </c>
    </row>
    <row r="880" spans="1:17" x14ac:dyDescent="0.2">
      <c r="A880" s="10">
        <v>1789</v>
      </c>
      <c r="B880" s="10" t="s">
        <v>2821</v>
      </c>
      <c r="C880" s="9" t="s">
        <v>1469</v>
      </c>
      <c r="D880" s="10">
        <v>-0.39057505599999998</v>
      </c>
      <c r="E880" s="10">
        <v>-0.17520770599999999</v>
      </c>
      <c r="F880" s="10">
        <v>-0.30758480300000002</v>
      </c>
      <c r="G880" s="10">
        <v>0.24793574800000001</v>
      </c>
      <c r="H880" s="9">
        <v>-0.15635795450000001</v>
      </c>
      <c r="I880" s="10">
        <v>0.28374631942110601</v>
      </c>
      <c r="J880" s="10">
        <v>8.0511973785024504E-2</v>
      </c>
      <c r="K880" s="10">
        <v>-0.209036153</v>
      </c>
      <c r="L880" s="10">
        <v>-0.125318386</v>
      </c>
      <c r="M880" s="10">
        <v>-0.41392406799999998</v>
      </c>
      <c r="N880" s="10">
        <v>-9.9612673999999998E-2</v>
      </c>
      <c r="O880" s="9">
        <v>-0.21197282025</v>
      </c>
      <c r="P880" s="10">
        <v>0.142509325920362</v>
      </c>
      <c r="Q880" s="10">
        <v>2.0308907974276001E-2</v>
      </c>
    </row>
    <row r="881" spans="1:17" x14ac:dyDescent="0.2">
      <c r="A881" s="10">
        <v>1789</v>
      </c>
      <c r="B881" s="10" t="s">
        <v>2834</v>
      </c>
      <c r="C881" s="9" t="s">
        <v>1470</v>
      </c>
      <c r="D881" s="10">
        <v>-1.024227843</v>
      </c>
      <c r="E881" s="10">
        <v>-1.1623332</v>
      </c>
      <c r="F881" s="10">
        <v>-1.074888319</v>
      </c>
      <c r="G881" s="10">
        <v>-1.1631068499999999</v>
      </c>
      <c r="H881" s="9">
        <v>-1.1061390529999999</v>
      </c>
      <c r="I881" s="10">
        <v>6.8530204414534501E-2</v>
      </c>
      <c r="J881" s="10">
        <v>4.6963889170977997E-3</v>
      </c>
      <c r="K881" s="10">
        <v>0.265395347</v>
      </c>
      <c r="L881" s="10">
        <v>0.25684404300000002</v>
      </c>
      <c r="M881" s="10">
        <v>-1.610568902</v>
      </c>
      <c r="N881" s="10">
        <v>0.33544446</v>
      </c>
      <c r="O881" s="9">
        <v>-0.18822126275000001</v>
      </c>
      <c r="P881" s="10">
        <v>0.94888526722794597</v>
      </c>
      <c r="Q881" s="10">
        <v>0.90038325036225098</v>
      </c>
    </row>
    <row r="882" spans="1:17" x14ac:dyDescent="0.2">
      <c r="A882" s="10">
        <v>1789</v>
      </c>
      <c r="B882" s="10" t="s">
        <v>79</v>
      </c>
      <c r="C882" s="9" t="s">
        <v>1471</v>
      </c>
      <c r="D882" s="10">
        <v>-0.61279236400000003</v>
      </c>
      <c r="E882" s="10">
        <v>-1.379452235</v>
      </c>
      <c r="F882" s="10">
        <v>-1.1288804050000001</v>
      </c>
      <c r="G882" s="10">
        <v>-1.045905407</v>
      </c>
      <c r="H882" s="9">
        <v>-1.0417576024999999</v>
      </c>
      <c r="I882" s="10">
        <v>0.31919504364275197</v>
      </c>
      <c r="J882" s="10">
        <v>0.101885475886098</v>
      </c>
      <c r="K882" s="10">
        <v>0.23845661500000001</v>
      </c>
      <c r="L882" s="10">
        <v>0.17052268500000001</v>
      </c>
      <c r="M882" s="10">
        <v>0.15056866099999999</v>
      </c>
      <c r="N882" s="10">
        <v>0.17589290099999999</v>
      </c>
      <c r="O882" s="9">
        <v>0.18386021524999999</v>
      </c>
      <c r="P882" s="10">
        <v>3.7993254925799698E-2</v>
      </c>
      <c r="Q882" s="10">
        <v>1.4434874198568E-3</v>
      </c>
    </row>
    <row r="883" spans="1:17" x14ac:dyDescent="0.2">
      <c r="A883" s="10">
        <v>1789</v>
      </c>
      <c r="B883" s="10" t="s">
        <v>2824</v>
      </c>
      <c r="C883" s="9" t="s">
        <v>1472</v>
      </c>
      <c r="D883" s="10">
        <v>-1.2255574730000001</v>
      </c>
      <c r="E883" s="10">
        <v>-0.321360178</v>
      </c>
      <c r="F883" s="10">
        <v>-0.74682919599999997</v>
      </c>
      <c r="G883" s="10">
        <v>-0.75380954700000002</v>
      </c>
      <c r="H883" s="9">
        <v>-0.76188909849999997</v>
      </c>
      <c r="I883" s="10">
        <v>0.36938966378072802</v>
      </c>
      <c r="J883" s="10">
        <v>0.13644872370803901</v>
      </c>
      <c r="K883" s="10">
        <v>-0.18153708900000001</v>
      </c>
      <c r="L883" s="10">
        <v>-4.2811071999999999E-2</v>
      </c>
      <c r="M883" s="10">
        <v>-0.39040789999999997</v>
      </c>
      <c r="N883" s="10">
        <v>0.27045328299999999</v>
      </c>
      <c r="O883" s="9">
        <v>-8.6075694499999994E-2</v>
      </c>
      <c r="P883" s="10">
        <v>0.277317933367487</v>
      </c>
      <c r="Q883" s="10">
        <v>7.6905236167213897E-2</v>
      </c>
    </row>
    <row r="884" spans="1:17" x14ac:dyDescent="0.2">
      <c r="A884" s="10">
        <v>1789</v>
      </c>
      <c r="B884" s="10" t="s">
        <v>2814</v>
      </c>
      <c r="C884" s="9" t="s">
        <v>1474</v>
      </c>
      <c r="D884" s="10">
        <v>-1.073601633</v>
      </c>
      <c r="E884" s="10">
        <v>-0.96613069699999998</v>
      </c>
      <c r="F884" s="10">
        <v>-0.50370750099999995</v>
      </c>
      <c r="G884" s="10">
        <v>-0.87155201999999998</v>
      </c>
      <c r="H884" s="9">
        <v>-0.85374796274999998</v>
      </c>
      <c r="I884" s="10">
        <v>0.247528331440137</v>
      </c>
      <c r="J884" s="10">
        <v>6.1270274865538703E-2</v>
      </c>
      <c r="K884" s="10">
        <v>0.163620182</v>
      </c>
      <c r="L884" s="10">
        <v>-0.22326104499999999</v>
      </c>
      <c r="M884" s="10">
        <v>0.27550909899999998</v>
      </c>
      <c r="N884" s="10">
        <v>3.8778442000000003E-2</v>
      </c>
      <c r="O884" s="9">
        <v>6.3661669500000004E-2</v>
      </c>
      <c r="P884" s="10">
        <v>0.21433218510358701</v>
      </c>
      <c r="Q884" s="10">
        <v>4.5938285571278402E-2</v>
      </c>
    </row>
    <row r="885" spans="1:17" x14ac:dyDescent="0.2">
      <c r="A885" s="10">
        <v>1789</v>
      </c>
      <c r="B885" s="10" t="s">
        <v>2825</v>
      </c>
      <c r="C885" s="9" t="s">
        <v>1475</v>
      </c>
      <c r="D885" s="10">
        <v>-1.175815676</v>
      </c>
      <c r="E885" s="10">
        <v>-3.3032015050000001</v>
      </c>
      <c r="F885" s="10">
        <v>-0.70161713599999997</v>
      </c>
      <c r="G885" s="10">
        <v>-1.0353437720000001</v>
      </c>
      <c r="H885" s="9">
        <v>-1.55399452225</v>
      </c>
      <c r="I885" s="10">
        <v>1.18297507970055</v>
      </c>
      <c r="J885" s="10">
        <v>1.3994300391925301</v>
      </c>
      <c r="K885" s="10">
        <v>-0.26244888700000002</v>
      </c>
      <c r="L885" s="10">
        <v>-0.318240894</v>
      </c>
      <c r="M885" s="10">
        <v>-0.48539861499999998</v>
      </c>
      <c r="N885" s="10">
        <v>-0.49729767600000002</v>
      </c>
      <c r="O885" s="9">
        <v>-0.39084651775000001</v>
      </c>
      <c r="P885" s="10">
        <v>0.11836310851145</v>
      </c>
      <c r="Q885" s="10">
        <v>1.40098254564933E-2</v>
      </c>
    </row>
    <row r="886" spans="1:17" x14ac:dyDescent="0.2">
      <c r="A886" s="10">
        <v>1789</v>
      </c>
      <c r="B886" s="10" t="s">
        <v>74</v>
      </c>
      <c r="C886" s="9" t="s">
        <v>1476</v>
      </c>
      <c r="D886" s="10">
        <v>-0.109079625</v>
      </c>
      <c r="E886" s="10">
        <v>-0.27322241000000003</v>
      </c>
      <c r="F886" s="10">
        <v>-6.2002036000000003E-2</v>
      </c>
      <c r="G886" s="10">
        <v>-4.6619713E-2</v>
      </c>
      <c r="H886" s="9">
        <v>-0.12273094599999999</v>
      </c>
      <c r="I886" s="10">
        <v>0.103786575240533</v>
      </c>
      <c r="J886" s="10">
        <v>1.0771653200158901E-2</v>
      </c>
      <c r="K886" s="10">
        <v>0.50013103699999995</v>
      </c>
      <c r="L886" s="10">
        <v>0.112265351</v>
      </c>
      <c r="M886" s="10">
        <v>-0.147139199</v>
      </c>
      <c r="N886" s="10">
        <v>0.127289767</v>
      </c>
      <c r="O886" s="9">
        <v>0.14813673875</v>
      </c>
      <c r="P886" s="10">
        <v>0.26633889320744902</v>
      </c>
      <c r="Q886" s="10">
        <v>7.0936406034969299E-2</v>
      </c>
    </row>
    <row r="887" spans="1:17" x14ac:dyDescent="0.2">
      <c r="A887" s="10">
        <v>1789</v>
      </c>
      <c r="B887" s="10" t="s">
        <v>2818</v>
      </c>
      <c r="C887" s="9" t="s">
        <v>1477</v>
      </c>
      <c r="D887" s="10">
        <v>-0.69704124099999998</v>
      </c>
      <c r="E887" s="10">
        <v>-1.091423864</v>
      </c>
      <c r="F887" s="10">
        <v>-0.494426688</v>
      </c>
      <c r="G887" s="10">
        <v>-0.91119704899999998</v>
      </c>
      <c r="H887" s="9">
        <v>-0.79852221074999996</v>
      </c>
      <c r="I887" s="10">
        <v>0.25901059941582999</v>
      </c>
      <c r="J887" s="10">
        <v>6.7086490609747695E-2</v>
      </c>
      <c r="K887" s="10">
        <v>-0.30374453800000001</v>
      </c>
      <c r="L887" s="10">
        <v>-0.147595851</v>
      </c>
      <c r="M887" s="10">
        <v>0.16059427400000001</v>
      </c>
      <c r="N887" s="10">
        <v>0.27929116700000001</v>
      </c>
      <c r="O887" s="9">
        <v>-2.86373675E-3</v>
      </c>
      <c r="P887" s="10">
        <v>0.26944792474281898</v>
      </c>
      <c r="Q887" s="10">
        <v>7.2602184148211901E-2</v>
      </c>
    </row>
    <row r="888" spans="1:17" x14ac:dyDescent="0.2">
      <c r="A888" s="10">
        <v>1789</v>
      </c>
      <c r="B888" s="10" t="s">
        <v>2832</v>
      </c>
      <c r="C888" s="9" t="s">
        <v>1478</v>
      </c>
      <c r="D888" s="10">
        <v>-0.32004591500000001</v>
      </c>
      <c r="E888" s="10">
        <v>-0.33902112299999998</v>
      </c>
      <c r="F888" s="10">
        <v>-0.95084266399999995</v>
      </c>
      <c r="G888" s="10">
        <v>-0.36015362400000001</v>
      </c>
      <c r="H888" s="9">
        <v>-0.4925158315</v>
      </c>
      <c r="I888" s="10">
        <v>0.30599005266989299</v>
      </c>
      <c r="J888" s="10">
        <v>9.3629912332924295E-2</v>
      </c>
      <c r="K888" s="10">
        <v>-4.0176639999999998E-3</v>
      </c>
      <c r="L888" s="10">
        <v>0.175199194</v>
      </c>
      <c r="M888" s="10">
        <v>0.23588507</v>
      </c>
      <c r="N888" s="10">
        <v>0.31759794099999999</v>
      </c>
      <c r="O888" s="9">
        <v>0.18116613549999999</v>
      </c>
      <c r="P888" s="10">
        <v>0.13654845700693599</v>
      </c>
      <c r="Q888" s="10">
        <v>1.86454811109752E-2</v>
      </c>
    </row>
    <row r="889" spans="1:17" x14ac:dyDescent="0.2">
      <c r="A889" s="10">
        <v>1790</v>
      </c>
      <c r="B889" s="10" t="s">
        <v>2824</v>
      </c>
      <c r="C889" s="9" t="s">
        <v>1479</v>
      </c>
      <c r="D889" s="10">
        <v>0.48238103999999998</v>
      </c>
      <c r="E889" s="10">
        <v>-7.3570109999999994E-2</v>
      </c>
      <c r="F889" s="10">
        <v>-1.8194489000000001E-2</v>
      </c>
      <c r="G889" s="10">
        <v>-0.60085272000000001</v>
      </c>
      <c r="H889" s="9">
        <v>-5.255906975E-2</v>
      </c>
      <c r="I889" s="10">
        <v>0.44287290733208501</v>
      </c>
      <c r="J889" s="10">
        <v>0.196136412048773</v>
      </c>
      <c r="K889" s="10">
        <v>0.36020349899999998</v>
      </c>
      <c r="L889" s="10">
        <v>-0.98798449300000002</v>
      </c>
      <c r="M889" s="10">
        <v>9.4920852999999999E-2</v>
      </c>
      <c r="N889" s="10">
        <v>-0.263002603</v>
      </c>
      <c r="O889" s="9">
        <v>-0.198965686</v>
      </c>
      <c r="P889" s="10">
        <v>0.584719556653025</v>
      </c>
      <c r="Q889" s="10">
        <v>0.34189695993251001</v>
      </c>
    </row>
    <row r="890" spans="1:17" x14ac:dyDescent="0.2">
      <c r="A890" s="10">
        <v>1790</v>
      </c>
      <c r="B890" s="10" t="s">
        <v>2818</v>
      </c>
      <c r="C890" s="9" t="s">
        <v>1481</v>
      </c>
      <c r="D890" s="10">
        <v>6.6733002999999999E-2</v>
      </c>
      <c r="E890" s="10">
        <v>9.9210084000000004E-2</v>
      </c>
      <c r="F890" s="10">
        <v>6.8699452999999994E-2</v>
      </c>
      <c r="G890" s="10">
        <v>-0.36362824100000002</v>
      </c>
      <c r="H890" s="9">
        <v>-3.2246425250000002E-2</v>
      </c>
      <c r="I890" s="10">
        <v>0.22142095593862399</v>
      </c>
      <c r="J890" s="10">
        <v>4.9027239728774298E-2</v>
      </c>
      <c r="K890" s="10">
        <v>0.21479251799999999</v>
      </c>
      <c r="L890" s="10">
        <v>6.2102083000000002E-2</v>
      </c>
      <c r="M890" s="10">
        <v>-0.20580822400000001</v>
      </c>
      <c r="N890" s="10">
        <v>-1.3107687999999999E-2</v>
      </c>
      <c r="O890" s="9">
        <v>1.449467225E-2</v>
      </c>
      <c r="P890" s="10">
        <v>0.17481509179503399</v>
      </c>
      <c r="Q890" s="10">
        <v>3.0560316319306301E-2</v>
      </c>
    </row>
    <row r="891" spans="1:17" x14ac:dyDescent="0.2">
      <c r="A891" s="10">
        <v>1790</v>
      </c>
      <c r="B891" s="10" t="s">
        <v>2832</v>
      </c>
      <c r="C891" s="9" t="s">
        <v>1482</v>
      </c>
      <c r="D891" s="10">
        <v>-0.35078184800000001</v>
      </c>
      <c r="E891" s="10">
        <v>-0.481137431</v>
      </c>
      <c r="F891" s="10">
        <v>-1.0713703000000001</v>
      </c>
      <c r="G891" s="10">
        <v>-1.0386061049999999</v>
      </c>
      <c r="H891" s="9">
        <v>-0.73547392099999997</v>
      </c>
      <c r="I891" s="10">
        <v>0.37300158157684299</v>
      </c>
      <c r="J891" s="10">
        <v>0.139130179858826</v>
      </c>
      <c r="K891" s="10">
        <v>4.9656675999999997E-2</v>
      </c>
      <c r="L891" s="10">
        <v>0.13863150099999999</v>
      </c>
      <c r="M891" s="10">
        <v>0.131944007</v>
      </c>
      <c r="N891" s="10">
        <v>-0.228802066</v>
      </c>
      <c r="O891" s="9">
        <v>2.2857529500000001E-2</v>
      </c>
      <c r="P891" s="10">
        <v>0.17258255832170299</v>
      </c>
      <c r="Q891" s="10">
        <v>2.9784739436864299E-2</v>
      </c>
    </row>
    <row r="892" spans="1:17" x14ac:dyDescent="0.2">
      <c r="A892" s="10">
        <v>1791</v>
      </c>
      <c r="B892" s="10" t="s">
        <v>2822</v>
      </c>
      <c r="C892" s="9" t="s">
        <v>1483</v>
      </c>
      <c r="D892" s="10">
        <v>0.19867307200000001</v>
      </c>
      <c r="E892" s="10">
        <v>-0.35359662200000003</v>
      </c>
      <c r="F892" s="10">
        <v>-4.1161270999999999E-2</v>
      </c>
      <c r="G892" s="10">
        <v>0.33035072999999998</v>
      </c>
      <c r="H892" s="9">
        <v>3.3566477499999997E-2</v>
      </c>
      <c r="I892" s="10">
        <v>0.300455533088063</v>
      </c>
      <c r="J892" s="10">
        <v>9.0273527363232395E-2</v>
      </c>
      <c r="K892" s="10">
        <v>0.77541218999999995</v>
      </c>
      <c r="L892" s="10">
        <v>0.73108677600000005</v>
      </c>
      <c r="M892" s="10">
        <v>0.14749558199999999</v>
      </c>
      <c r="N892" s="10">
        <v>0.609890182</v>
      </c>
      <c r="O892" s="9">
        <v>0.5659711825</v>
      </c>
      <c r="P892" s="10">
        <v>0.28762209092858199</v>
      </c>
      <c r="Q892" s="10">
        <v>8.2726467190129604E-2</v>
      </c>
    </row>
    <row r="893" spans="1:17" x14ac:dyDescent="0.2">
      <c r="A893" s="10">
        <v>1791</v>
      </c>
      <c r="B893" s="10" t="s">
        <v>2821</v>
      </c>
      <c r="C893" s="9" t="s">
        <v>1484</v>
      </c>
      <c r="D893" s="10">
        <v>9.2270039999999998E-2</v>
      </c>
      <c r="E893" s="10">
        <v>-5.9946698999999999E-2</v>
      </c>
      <c r="F893" s="10">
        <v>-1.5776427999999999E-2</v>
      </c>
      <c r="G893" s="10">
        <v>2.5761684E-2</v>
      </c>
      <c r="H893" s="9">
        <v>1.0577148999999999E-2</v>
      </c>
      <c r="I893" s="10">
        <v>6.4736446974189399E-2</v>
      </c>
      <c r="J893" s="10">
        <v>4.1908075668419999E-3</v>
      </c>
      <c r="K893" s="10">
        <v>-0.53486747099999998</v>
      </c>
      <c r="L893" s="10">
        <v>-1.4047129999999999E-3</v>
      </c>
      <c r="M893" s="10">
        <v>-9.9589053999999996E-2</v>
      </c>
      <c r="N893" s="10">
        <v>-0.27333966799999998</v>
      </c>
      <c r="O893" s="9">
        <v>-0.22730022650000001</v>
      </c>
      <c r="P893" s="10">
        <v>0.23384907288228099</v>
      </c>
      <c r="Q893" s="10">
        <v>5.4685388887902697E-2</v>
      </c>
    </row>
    <row r="894" spans="1:17" x14ac:dyDescent="0.2">
      <c r="A894" s="10">
        <v>1791</v>
      </c>
      <c r="B894" s="10" t="s">
        <v>2824</v>
      </c>
      <c r="C894" s="9" t="s">
        <v>1485</v>
      </c>
      <c r="D894" s="10">
        <v>6.7141431000000001E-2</v>
      </c>
      <c r="E894" s="10">
        <v>-0.33795365700000002</v>
      </c>
      <c r="F894" s="10">
        <v>-0.167198392</v>
      </c>
      <c r="G894" s="10">
        <v>-0.179799605</v>
      </c>
      <c r="H894" s="9">
        <v>-0.15445255599999999</v>
      </c>
      <c r="I894" s="10">
        <v>0.16691462725109399</v>
      </c>
      <c r="J894" s="10">
        <v>2.78604927903718E-2</v>
      </c>
      <c r="K894" s="10">
        <v>0.108183776</v>
      </c>
      <c r="L894" s="10">
        <v>-0.10078893899999999</v>
      </c>
      <c r="M894" s="10">
        <v>9.2709607999999999E-2</v>
      </c>
      <c r="N894" s="10">
        <v>0.30029718999999999</v>
      </c>
      <c r="O894" s="9">
        <v>0.10010040874999999</v>
      </c>
      <c r="P894" s="10">
        <v>0.16386503188509</v>
      </c>
      <c r="Q894" s="10">
        <v>2.6851748674701699E-2</v>
      </c>
    </row>
    <row r="895" spans="1:17" x14ac:dyDescent="0.2">
      <c r="A895" s="10">
        <v>1791</v>
      </c>
      <c r="B895" s="10" t="s">
        <v>2833</v>
      </c>
      <c r="C895" s="9" t="s">
        <v>1488</v>
      </c>
      <c r="D895" s="10">
        <v>8.8342456999999999E-2</v>
      </c>
      <c r="E895" s="10">
        <v>-6.2782583000000003E-2</v>
      </c>
      <c r="F895" s="10">
        <v>-0.14856016899999999</v>
      </c>
      <c r="G895" s="10">
        <v>-0.15428576099999999</v>
      </c>
      <c r="H895" s="9">
        <v>-6.9321514000000001E-2</v>
      </c>
      <c r="I895" s="10">
        <v>0.113134688291725</v>
      </c>
      <c r="J895" s="10">
        <v>1.2799457694865801E-2</v>
      </c>
      <c r="K895" s="10">
        <v>-8.0682689000000002E-2</v>
      </c>
      <c r="L895" s="10">
        <v>-1.86107E-3</v>
      </c>
      <c r="M895" s="10">
        <v>9.5644858999999999E-2</v>
      </c>
      <c r="N895" s="10">
        <v>0.17927087</v>
      </c>
      <c r="O895" s="9">
        <v>4.8092992500000001E-2</v>
      </c>
      <c r="P895" s="10">
        <v>0.113354017807166</v>
      </c>
      <c r="Q895" s="10">
        <v>1.2849133353027301E-2</v>
      </c>
    </row>
    <row r="896" spans="1:17" x14ac:dyDescent="0.2">
      <c r="A896" s="10">
        <v>1791</v>
      </c>
      <c r="B896" s="10" t="s">
        <v>2825</v>
      </c>
      <c r="C896" s="9" t="s">
        <v>1489</v>
      </c>
      <c r="D896" s="10">
        <v>0.25805007499999999</v>
      </c>
      <c r="E896" s="10">
        <v>-7.5247833E-2</v>
      </c>
      <c r="F896" s="10">
        <v>0.101397364</v>
      </c>
      <c r="G896" s="10">
        <v>0.14995285899999999</v>
      </c>
      <c r="H896" s="9">
        <v>0.1085381165</v>
      </c>
      <c r="I896" s="10">
        <v>0.13892116734648399</v>
      </c>
      <c r="J896" s="10">
        <v>1.9299090736909899E-2</v>
      </c>
      <c r="K896" s="10">
        <v>-4.7371583000000002E-2</v>
      </c>
      <c r="L896" s="10">
        <v>0.17398293400000001</v>
      </c>
      <c r="M896" s="10">
        <v>0.172554811</v>
      </c>
      <c r="N896" s="10">
        <v>0.115162368</v>
      </c>
      <c r="O896" s="9">
        <v>0.10358213275</v>
      </c>
      <c r="P896" s="10">
        <v>0.104298656604958</v>
      </c>
      <c r="Q896" s="10">
        <v>1.0878209769599001E-2</v>
      </c>
    </row>
    <row r="897" spans="1:17" x14ac:dyDescent="0.2">
      <c r="A897" s="10">
        <v>1791</v>
      </c>
      <c r="B897" s="10" t="s">
        <v>2818</v>
      </c>
      <c r="C897" s="9" t="s">
        <v>1490</v>
      </c>
      <c r="D897" s="10">
        <v>-1.8220903159999999</v>
      </c>
      <c r="E897" s="10">
        <v>-0.624899702</v>
      </c>
      <c r="F897" s="10">
        <v>0.277218568</v>
      </c>
      <c r="G897" s="10">
        <v>-3.1674533999999997E-2</v>
      </c>
      <c r="H897" s="9">
        <v>-0.55036149599999995</v>
      </c>
      <c r="I897" s="10">
        <v>0.92678207842176896</v>
      </c>
      <c r="J897" s="10">
        <v>0.85892502088377398</v>
      </c>
      <c r="K897" s="10">
        <v>-0.17223086600000001</v>
      </c>
      <c r="L897" s="10">
        <v>-1.264252315</v>
      </c>
      <c r="M897" s="10">
        <v>0.17039148200000001</v>
      </c>
      <c r="N897" s="10">
        <v>-0.309615221</v>
      </c>
      <c r="O897" s="9">
        <v>-0.39392673</v>
      </c>
      <c r="P897" s="10">
        <v>0.61432324687823003</v>
      </c>
      <c r="Q897" s="10">
        <v>0.37739305165501003</v>
      </c>
    </row>
    <row r="898" spans="1:17" x14ac:dyDescent="0.2">
      <c r="A898" s="10">
        <v>1792</v>
      </c>
      <c r="B898" s="10" t="s">
        <v>2831</v>
      </c>
      <c r="C898" s="9" t="s">
        <v>1491</v>
      </c>
      <c r="D898" s="10">
        <v>-0.98998831600000003</v>
      </c>
      <c r="E898" s="10">
        <v>-1.1655775450000001</v>
      </c>
      <c r="F898" s="10">
        <v>-1.806181094</v>
      </c>
      <c r="G898" s="10">
        <v>-0.78183197299999996</v>
      </c>
      <c r="H898" s="9">
        <v>-1.18589473225</v>
      </c>
      <c r="I898" s="10">
        <v>0.44227216206443298</v>
      </c>
      <c r="J898" s="10">
        <v>0.19560466533714799</v>
      </c>
      <c r="K898" s="10">
        <v>0.101293086</v>
      </c>
      <c r="L898" s="10">
        <v>-5.3075789999999998E-3</v>
      </c>
      <c r="M898" s="10">
        <v>0.33254728700000002</v>
      </c>
      <c r="N898" s="10">
        <v>0.30881698699999999</v>
      </c>
      <c r="O898" s="9">
        <v>0.18433744499999999</v>
      </c>
      <c r="P898" s="10">
        <v>0.16362855734037399</v>
      </c>
      <c r="Q898" s="10">
        <v>2.6774304777292E-2</v>
      </c>
    </row>
    <row r="899" spans="1:17" x14ac:dyDescent="0.2">
      <c r="A899" s="10">
        <v>1792</v>
      </c>
      <c r="B899" s="10" t="s">
        <v>2822</v>
      </c>
      <c r="C899" s="9" t="s">
        <v>2608</v>
      </c>
      <c r="D899" s="10">
        <v>-0.42851963500000001</v>
      </c>
      <c r="E899" s="10">
        <v>-0.67400805699999999</v>
      </c>
      <c r="F899" s="10">
        <v>-3.7360258E-2</v>
      </c>
      <c r="G899" s="10">
        <v>-0.58829537899999995</v>
      </c>
      <c r="H899" s="9">
        <v>-0.43204583200000002</v>
      </c>
      <c r="I899" s="10">
        <v>0.28210445799008999</v>
      </c>
      <c r="J899" s="10">
        <v>7.9582925217882697E-2</v>
      </c>
      <c r="K899" s="10">
        <v>-0.30784012799999999</v>
      </c>
      <c r="L899" s="10">
        <v>7.4917320999999995E-2</v>
      </c>
      <c r="M899" s="10">
        <v>5.7380803000000001E-2</v>
      </c>
      <c r="N899" s="10">
        <v>-2.3672939999999998E-3</v>
      </c>
      <c r="O899" s="9">
        <v>-4.4477324499999998E-2</v>
      </c>
      <c r="P899" s="10">
        <v>0.178664844935955</v>
      </c>
      <c r="Q899" s="10">
        <v>3.1921126815989097E-2</v>
      </c>
    </row>
    <row r="900" spans="1:17" x14ac:dyDescent="0.2">
      <c r="A900" s="10">
        <v>1792</v>
      </c>
      <c r="B900" s="10" t="s">
        <v>2819</v>
      </c>
      <c r="C900" s="9" t="s">
        <v>2607</v>
      </c>
      <c r="D900" s="10">
        <v>-0.88194595799999997</v>
      </c>
      <c r="E900" s="10">
        <v>-1.203200531</v>
      </c>
      <c r="F900" s="10">
        <v>-2.7468516589999998</v>
      </c>
      <c r="G900" s="10">
        <v>-3.5076533909999998</v>
      </c>
      <c r="H900" s="9">
        <v>-2.08491288475</v>
      </c>
      <c r="I900" s="10">
        <v>1.2499199428483101</v>
      </c>
      <c r="J900" s="10">
        <v>1.5622998635299301</v>
      </c>
      <c r="K900" s="10">
        <v>-0.34937259399999998</v>
      </c>
      <c r="L900" s="10">
        <v>-0.86454047000000001</v>
      </c>
      <c r="M900" s="10">
        <v>-0.54326150200000001</v>
      </c>
      <c r="N900" s="10">
        <v>-2.2090256999999999E-2</v>
      </c>
      <c r="O900" s="9">
        <v>-0.44481620575000003</v>
      </c>
      <c r="P900" s="10">
        <v>0.35292428136189302</v>
      </c>
      <c r="Q900" s="10">
        <v>0.12455554837480801</v>
      </c>
    </row>
    <row r="901" spans="1:17" x14ac:dyDescent="0.2">
      <c r="A901" s="10">
        <v>1792</v>
      </c>
      <c r="B901" s="10" t="s">
        <v>2826</v>
      </c>
      <c r="C901" s="9" t="s">
        <v>1492</v>
      </c>
      <c r="D901" s="10">
        <v>-0.66051615200000002</v>
      </c>
      <c r="E901" s="10">
        <v>-0.66885481000000002</v>
      </c>
      <c r="F901" s="10">
        <v>-0.58042745900000003</v>
      </c>
      <c r="G901" s="10">
        <v>-0.47239263300000001</v>
      </c>
      <c r="H901" s="9">
        <v>-0.59554776325000003</v>
      </c>
      <c r="I901" s="10">
        <v>9.1269973791101106E-2</v>
      </c>
      <c r="J901" s="10">
        <v>8.3302081158281999E-3</v>
      </c>
      <c r="K901" s="10">
        <v>-3.725038E-3</v>
      </c>
      <c r="L901" s="10">
        <v>-0.17537465799999999</v>
      </c>
      <c r="M901" s="10">
        <v>-0.30775812800000002</v>
      </c>
      <c r="N901" s="10">
        <v>-0.38631527700000001</v>
      </c>
      <c r="O901" s="9">
        <v>-0.21829327525</v>
      </c>
      <c r="P901" s="10">
        <v>0.167448389156062</v>
      </c>
      <c r="Q901" s="10">
        <v>2.8038963030960099E-2</v>
      </c>
    </row>
    <row r="902" spans="1:17" x14ac:dyDescent="0.2">
      <c r="A902" s="10">
        <v>1792</v>
      </c>
      <c r="B902" s="10" t="s">
        <v>2821</v>
      </c>
      <c r="C902" s="9" t="s">
        <v>1493</v>
      </c>
      <c r="D902" s="10">
        <v>-0.72055033099999999</v>
      </c>
      <c r="E902" s="10">
        <v>-0.68245433099999997</v>
      </c>
      <c r="F902" s="10">
        <v>-0.55683157000000005</v>
      </c>
      <c r="G902" s="10">
        <v>-0.77967988099999996</v>
      </c>
      <c r="H902" s="9">
        <v>-0.684879028</v>
      </c>
      <c r="I902" s="10">
        <v>9.4272078303615295E-2</v>
      </c>
      <c r="J902" s="10">
        <v>8.8872247476829008E-3</v>
      </c>
      <c r="K902" s="10">
        <v>-0.29852224900000002</v>
      </c>
      <c r="L902" s="10">
        <v>-0.173860397</v>
      </c>
      <c r="M902" s="10">
        <v>-0.124933825</v>
      </c>
      <c r="N902" s="10">
        <v>-0.247468629</v>
      </c>
      <c r="O902" s="9">
        <v>-0.21119627475</v>
      </c>
      <c r="P902" s="10">
        <v>7.69776752610421E-2</v>
      </c>
      <c r="Q902" s="10">
        <v>5.9255624885943999E-3</v>
      </c>
    </row>
    <row r="903" spans="1:17" x14ac:dyDescent="0.2">
      <c r="A903" s="10">
        <v>1792</v>
      </c>
      <c r="B903" s="10" t="s">
        <v>79</v>
      </c>
      <c r="C903" s="9" t="s">
        <v>2606</v>
      </c>
      <c r="D903" s="10">
        <v>-0.44277008299999998</v>
      </c>
      <c r="E903" s="10">
        <v>-0.54371770699999999</v>
      </c>
      <c r="F903" s="10">
        <v>0.173470661</v>
      </c>
      <c r="G903" s="10">
        <v>-0.61140655099999996</v>
      </c>
      <c r="H903" s="9">
        <v>-0.35610592024999999</v>
      </c>
      <c r="I903" s="10">
        <v>0.35978633803155602</v>
      </c>
      <c r="J903" s="10">
        <v>0.12944620903415699</v>
      </c>
      <c r="K903" s="10">
        <v>-0.42791468700000002</v>
      </c>
      <c r="L903" s="10">
        <v>-0.85680057499999995</v>
      </c>
      <c r="M903" s="10">
        <v>-0.666065036</v>
      </c>
      <c r="N903" s="10">
        <v>-0.129811072</v>
      </c>
      <c r="O903" s="9">
        <v>-0.52014784250000001</v>
      </c>
      <c r="P903" s="10">
        <v>0.313845311704396</v>
      </c>
      <c r="Q903" s="10">
        <v>9.8498879678829906E-2</v>
      </c>
    </row>
    <row r="904" spans="1:17" x14ac:dyDescent="0.2">
      <c r="A904" s="10">
        <v>1792</v>
      </c>
      <c r="B904" s="10" t="s">
        <v>2824</v>
      </c>
      <c r="C904" s="9" t="s">
        <v>1494</v>
      </c>
      <c r="D904" s="10">
        <v>7.5245149999999997E-2</v>
      </c>
      <c r="E904" s="10">
        <v>6.1647175999999998E-2</v>
      </c>
      <c r="F904" s="10">
        <v>-0.23514845400000001</v>
      </c>
      <c r="G904" s="10">
        <v>-8.4186022999999999E-2</v>
      </c>
      <c r="H904" s="9">
        <v>-4.5610537749999999E-2</v>
      </c>
      <c r="I904" s="10">
        <v>0.145514036183303</v>
      </c>
      <c r="J904" s="10">
        <v>2.1174334726355801E-2</v>
      </c>
      <c r="K904" s="10">
        <v>3.0705812999999998E-2</v>
      </c>
      <c r="L904" s="10">
        <v>9.9873115999999998E-2</v>
      </c>
      <c r="M904" s="10">
        <v>-4.4593609999999999E-2</v>
      </c>
      <c r="N904" s="10">
        <v>8.6716843000000002E-2</v>
      </c>
      <c r="O904" s="9">
        <v>4.3175540499999998E-2</v>
      </c>
      <c r="P904" s="10">
        <v>6.5750482823045006E-2</v>
      </c>
      <c r="Q904" s="10">
        <v>4.3231259914635004E-3</v>
      </c>
    </row>
    <row r="905" spans="1:17" x14ac:dyDescent="0.2">
      <c r="A905" s="10">
        <v>1792</v>
      </c>
      <c r="B905" s="10" t="s">
        <v>2814</v>
      </c>
      <c r="C905" s="9" t="s">
        <v>1495</v>
      </c>
      <c r="D905" s="10">
        <v>0.22099885</v>
      </c>
      <c r="E905" s="10">
        <v>-5.9736046000000001E-2</v>
      </c>
      <c r="F905" s="10">
        <v>0.216580097</v>
      </c>
      <c r="G905" s="10">
        <v>-0.41295095799999998</v>
      </c>
      <c r="H905" s="9">
        <v>-8.7770142499999995E-3</v>
      </c>
      <c r="I905" s="10">
        <v>0.29974220874283702</v>
      </c>
      <c r="J905" s="10">
        <v>8.9845391702034899E-2</v>
      </c>
      <c r="K905" s="10">
        <v>0.38758129800000002</v>
      </c>
      <c r="L905" s="10">
        <v>0.216740198</v>
      </c>
      <c r="M905" s="10">
        <v>-6.1407149000000001E-2</v>
      </c>
      <c r="N905" s="10">
        <v>0.275757849</v>
      </c>
      <c r="O905" s="9">
        <v>0.20466804899999999</v>
      </c>
      <c r="P905" s="10">
        <v>0.19100851996354601</v>
      </c>
      <c r="Q905" s="10">
        <v>3.6484254698664398E-2</v>
      </c>
    </row>
    <row r="906" spans="1:17" x14ac:dyDescent="0.2">
      <c r="A906" s="10">
        <v>1792</v>
      </c>
      <c r="B906" s="10" t="s">
        <v>2825</v>
      </c>
      <c r="C906" s="9" t="s">
        <v>1496</v>
      </c>
      <c r="D906" s="10">
        <v>-0.34100522500000002</v>
      </c>
      <c r="E906" s="10">
        <v>-0.21049632600000001</v>
      </c>
      <c r="F906" s="10">
        <v>0.16826316499999999</v>
      </c>
      <c r="G906" s="10">
        <v>-0.50984083800000002</v>
      </c>
      <c r="H906" s="9">
        <v>-0.22326980599999999</v>
      </c>
      <c r="I906" s="10">
        <v>0.28835499789902902</v>
      </c>
      <c r="J906" s="10">
        <v>8.3148604813349195E-2</v>
      </c>
      <c r="K906" s="10">
        <v>-9.6618074999999998E-2</v>
      </c>
      <c r="L906" s="10">
        <v>-0.35390839200000002</v>
      </c>
      <c r="M906" s="10">
        <v>-0.20215839399999999</v>
      </c>
      <c r="N906" s="10">
        <v>-5.0425253000000003E-2</v>
      </c>
      <c r="O906" s="9">
        <v>-0.1757775285</v>
      </c>
      <c r="P906" s="10">
        <v>0.13466745046871401</v>
      </c>
      <c r="Q906" s="10">
        <v>1.81353222157437E-2</v>
      </c>
    </row>
    <row r="907" spans="1:17" x14ac:dyDescent="0.2">
      <c r="A907" s="10">
        <v>1792</v>
      </c>
      <c r="B907" s="10" t="s">
        <v>74</v>
      </c>
      <c r="C907" s="9" t="s">
        <v>1497</v>
      </c>
      <c r="D907" s="10">
        <v>0.19904151</v>
      </c>
      <c r="E907" s="10">
        <v>-0.127247211</v>
      </c>
      <c r="F907" s="10">
        <v>-0.16836773299999999</v>
      </c>
      <c r="G907" s="10">
        <v>2.2219961999999999E-2</v>
      </c>
      <c r="H907" s="9">
        <v>-1.8588367750000001E-2</v>
      </c>
      <c r="I907" s="10">
        <v>0.166602006728196</v>
      </c>
      <c r="J907" s="10">
        <v>2.7756228645861799E-2</v>
      </c>
      <c r="K907" s="10">
        <v>0.199429896</v>
      </c>
      <c r="L907" s="10">
        <v>0.32706133999999998</v>
      </c>
      <c r="M907" s="10">
        <v>-0.13874529099999999</v>
      </c>
      <c r="N907" s="10">
        <v>-0.315925342</v>
      </c>
      <c r="O907" s="9">
        <v>1.7955150749999999E-2</v>
      </c>
      <c r="P907" s="10">
        <v>0.296934858894358</v>
      </c>
      <c r="Q907" s="10">
        <v>8.8170310426612303E-2</v>
      </c>
    </row>
    <row r="908" spans="1:17" x14ac:dyDescent="0.2">
      <c r="A908" s="10">
        <v>1792</v>
      </c>
      <c r="B908" s="10" t="s">
        <v>2818</v>
      </c>
      <c r="C908" s="9" t="s">
        <v>1498</v>
      </c>
      <c r="D908" s="10">
        <v>-0.24650846500000001</v>
      </c>
      <c r="E908" s="10">
        <v>-0.16881695999999999</v>
      </c>
      <c r="F908" s="10">
        <v>-0.199333177</v>
      </c>
      <c r="G908" s="10">
        <v>-0.138950925</v>
      </c>
      <c r="H908" s="9">
        <v>-0.18840238174999999</v>
      </c>
      <c r="I908" s="10">
        <v>4.5915990371096303E-2</v>
      </c>
      <c r="J908" s="10">
        <v>2.1082781717585999E-3</v>
      </c>
      <c r="K908" s="10">
        <v>-0.10132208700000001</v>
      </c>
      <c r="L908" s="10">
        <v>-4.4140305999999997E-2</v>
      </c>
      <c r="M908" s="10">
        <v>-0.28076578499999999</v>
      </c>
      <c r="N908" s="10">
        <v>0.405359992</v>
      </c>
      <c r="O908" s="9">
        <v>-5.21704675E-3</v>
      </c>
      <c r="P908" s="10">
        <v>0.29169150985929299</v>
      </c>
      <c r="Q908" s="10">
        <v>8.5083936923994199E-2</v>
      </c>
    </row>
    <row r="909" spans="1:17" x14ac:dyDescent="0.2">
      <c r="A909" s="10">
        <v>1793</v>
      </c>
      <c r="B909" s="10" t="s">
        <v>2831</v>
      </c>
      <c r="C909" s="9" t="s">
        <v>1499</v>
      </c>
      <c r="D909" s="10">
        <v>-0.68657183700000002</v>
      </c>
      <c r="E909" s="10">
        <v>-1.1871738949999999</v>
      </c>
      <c r="F909" s="10">
        <v>-0.71945072600000004</v>
      </c>
      <c r="G909" s="10">
        <v>-0.99727367099999997</v>
      </c>
      <c r="H909" s="9">
        <v>-0.89761753224999996</v>
      </c>
      <c r="I909" s="10">
        <v>0.23808816961540999</v>
      </c>
      <c r="J909" s="10">
        <v>5.6685976510816499E-2</v>
      </c>
      <c r="K909" s="10">
        <v>-0.30676666800000002</v>
      </c>
      <c r="L909" s="10">
        <v>-0.41369518599999999</v>
      </c>
      <c r="M909" s="10">
        <v>0.14345437699999999</v>
      </c>
      <c r="N909" s="10">
        <v>-6.3441362000000001E-2</v>
      </c>
      <c r="O909" s="9">
        <v>-0.16011220975000001</v>
      </c>
      <c r="P909" s="10">
        <v>0.249873155396998</v>
      </c>
      <c r="Q909" s="10">
        <v>6.2436593788052601E-2</v>
      </c>
    </row>
    <row r="910" spans="1:17" x14ac:dyDescent="0.2">
      <c r="A910" s="10">
        <v>1793</v>
      </c>
      <c r="B910" s="10" t="s">
        <v>2823</v>
      </c>
      <c r="C910" s="9" t="s">
        <v>1500</v>
      </c>
      <c r="D910" s="10">
        <v>-0.353019003</v>
      </c>
      <c r="E910" s="10">
        <v>-0.88067523000000003</v>
      </c>
      <c r="F910" s="10">
        <v>-0.38001442400000002</v>
      </c>
      <c r="G910" s="10">
        <v>-0.23806744899999999</v>
      </c>
      <c r="H910" s="9">
        <v>-0.46294402649999999</v>
      </c>
      <c r="I910" s="10">
        <v>0.28520732999460502</v>
      </c>
      <c r="J910" s="10">
        <v>8.1343221082651795E-2</v>
      </c>
      <c r="K910" s="10">
        <v>-1.2747494100000001</v>
      </c>
      <c r="L910" s="10">
        <v>-1.129602276</v>
      </c>
      <c r="M910" s="10">
        <v>-1.1652348969999999</v>
      </c>
      <c r="N910" s="10">
        <v>-1.0477507020000001</v>
      </c>
      <c r="O910" s="9">
        <v>-1.1543343212499999</v>
      </c>
      <c r="P910" s="10">
        <v>9.4145911762945303E-2</v>
      </c>
      <c r="Q910" s="10">
        <v>8.8634527016762006E-3</v>
      </c>
    </row>
    <row r="911" spans="1:17" x14ac:dyDescent="0.2">
      <c r="A911" s="10">
        <v>1793</v>
      </c>
      <c r="B911" s="10" t="s">
        <v>2819</v>
      </c>
      <c r="C911" s="9" t="s">
        <v>2605</v>
      </c>
      <c r="D911" s="10">
        <v>2.4850048999999999E-2</v>
      </c>
      <c r="E911" s="10">
        <v>0.156770721</v>
      </c>
      <c r="F911" s="10">
        <v>-0.88170512999999995</v>
      </c>
      <c r="G911" s="10">
        <v>-5.1625150000000002E-2</v>
      </c>
      <c r="H911" s="9">
        <v>-0.18792737725</v>
      </c>
      <c r="I911" s="10">
        <v>0.47045966154492302</v>
      </c>
      <c r="J911" s="10">
        <v>0.221332293140963</v>
      </c>
      <c r="K911" s="10">
        <v>-0.89502953900000004</v>
      </c>
      <c r="L911" s="10">
        <v>0.13048542899999999</v>
      </c>
      <c r="M911" s="10">
        <v>-0.697501653</v>
      </c>
      <c r="N911" s="10">
        <v>-0.470311904</v>
      </c>
      <c r="O911" s="9">
        <v>-0.48308941675</v>
      </c>
      <c r="P911" s="10">
        <v>0.44433644442857401</v>
      </c>
      <c r="Q911" s="10">
        <v>0.197434875847427</v>
      </c>
    </row>
    <row r="912" spans="1:17" x14ac:dyDescent="0.2">
      <c r="A912" s="10">
        <v>1793</v>
      </c>
      <c r="B912" s="10" t="s">
        <v>2834</v>
      </c>
      <c r="C912" s="9" t="s">
        <v>1502</v>
      </c>
      <c r="D912" s="10">
        <v>0.54261934499999998</v>
      </c>
      <c r="E912" s="10">
        <v>0.24815240999999999</v>
      </c>
      <c r="F912" s="10">
        <v>0.887260457</v>
      </c>
      <c r="G912" s="10">
        <v>0.176826813</v>
      </c>
      <c r="H912" s="9">
        <v>0.46371475625000003</v>
      </c>
      <c r="I912" s="10">
        <v>0.32372246953866401</v>
      </c>
      <c r="J912" s="10">
        <v>0.104796237284211</v>
      </c>
      <c r="K912" s="10">
        <v>6.7625567999999997E-2</v>
      </c>
      <c r="L912" s="10">
        <v>0.81883150299999996</v>
      </c>
      <c r="M912" s="10">
        <v>0.23497925</v>
      </c>
      <c r="N912" s="10">
        <v>0.55791763400000005</v>
      </c>
      <c r="O912" s="9">
        <v>0.4198384885</v>
      </c>
      <c r="P912" s="10">
        <v>0.33490702962053298</v>
      </c>
      <c r="Q912" s="10">
        <v>0.112162718489248</v>
      </c>
    </row>
    <row r="913" spans="1:17" x14ac:dyDescent="0.2">
      <c r="A913" s="10">
        <v>1793</v>
      </c>
      <c r="B913" s="10" t="s">
        <v>79</v>
      </c>
      <c r="C913" s="9" t="s">
        <v>1503</v>
      </c>
      <c r="D913" s="10">
        <v>0.44247926900000001</v>
      </c>
      <c r="E913" s="10">
        <v>0.186673585</v>
      </c>
      <c r="F913" s="10">
        <v>0.48586594</v>
      </c>
      <c r="G913" s="10">
        <v>0.45228285099999999</v>
      </c>
      <c r="H913" s="9">
        <v>0.39182541124999998</v>
      </c>
      <c r="I913" s="10">
        <v>0.13802392085839299</v>
      </c>
      <c r="J913" s="10">
        <v>1.90506027291239E-2</v>
      </c>
      <c r="K913" s="10">
        <v>0.19070366699999999</v>
      </c>
      <c r="L913" s="10">
        <v>0.212660135</v>
      </c>
      <c r="M913" s="10">
        <v>0.128628088</v>
      </c>
      <c r="N913" s="10">
        <v>0.31739793399999999</v>
      </c>
      <c r="O913" s="9">
        <v>0.21234745575</v>
      </c>
      <c r="P913" s="10">
        <v>7.8555897034704794E-2</v>
      </c>
      <c r="Q913" s="10">
        <v>6.1710289589271003E-3</v>
      </c>
    </row>
    <row r="914" spans="1:17" x14ac:dyDescent="0.2">
      <c r="A914" s="10">
        <v>1793</v>
      </c>
      <c r="B914" s="10" t="s">
        <v>2824</v>
      </c>
      <c r="C914" s="9" t="s">
        <v>1504</v>
      </c>
      <c r="D914" s="10">
        <v>5.4807967999999999E-2</v>
      </c>
      <c r="E914" s="10">
        <v>0.236701098</v>
      </c>
      <c r="F914" s="10">
        <v>0.386564189</v>
      </c>
      <c r="G914" s="10">
        <v>0.332993345</v>
      </c>
      <c r="H914" s="9">
        <v>0.25276664999999998</v>
      </c>
      <c r="I914" s="10">
        <v>0.145812488917926</v>
      </c>
      <c r="J914" s="10">
        <v>2.1261281924440399E-2</v>
      </c>
      <c r="K914" s="10">
        <v>0.83318825200000002</v>
      </c>
      <c r="L914" s="10">
        <v>0.39816575799999998</v>
      </c>
      <c r="M914" s="10">
        <v>0.242439665</v>
      </c>
      <c r="N914" s="10">
        <v>0.197552587</v>
      </c>
      <c r="O914" s="9">
        <v>0.41783656549999998</v>
      </c>
      <c r="P914" s="10">
        <v>0.289938538334645</v>
      </c>
      <c r="Q914" s="10">
        <v>8.4064356011630495E-2</v>
      </c>
    </row>
    <row r="915" spans="1:17" x14ac:dyDescent="0.2">
      <c r="A915" s="10">
        <v>1793</v>
      </c>
      <c r="B915" s="10" t="s">
        <v>2817</v>
      </c>
      <c r="C915" s="9" t="s">
        <v>1505</v>
      </c>
      <c r="D915" s="10">
        <v>5.0901051000000003E-2</v>
      </c>
      <c r="E915" s="10">
        <v>7.8692129999999999E-3</v>
      </c>
      <c r="F915" s="10">
        <v>-1.6099347E-2</v>
      </c>
      <c r="G915" s="10">
        <v>-0.21747372600000001</v>
      </c>
      <c r="H915" s="9">
        <v>-4.3700702000000001E-2</v>
      </c>
      <c r="I915" s="10">
        <v>0.11911877331991</v>
      </c>
      <c r="J915" s="10">
        <v>1.4189282157240199E-2</v>
      </c>
      <c r="K915" s="10">
        <v>-0.20879477199999999</v>
      </c>
      <c r="L915" s="10">
        <v>9.8282802000000002E-2</v>
      </c>
      <c r="M915" s="10">
        <v>-2.1485111000000001E-2</v>
      </c>
      <c r="N915" s="10">
        <v>0.16136969200000001</v>
      </c>
      <c r="O915" s="9">
        <v>7.34315275E-3</v>
      </c>
      <c r="P915" s="10">
        <v>0.162830040128883</v>
      </c>
      <c r="Q915" s="10">
        <v>2.6513621968373601E-2</v>
      </c>
    </row>
    <row r="916" spans="1:17" x14ac:dyDescent="0.2">
      <c r="A916" s="10">
        <v>1793</v>
      </c>
      <c r="B916" s="10" t="s">
        <v>82</v>
      </c>
      <c r="C916" s="9" t="s">
        <v>1506</v>
      </c>
      <c r="D916" s="10">
        <v>0.30360704799999999</v>
      </c>
      <c r="E916" s="10">
        <v>-0.421320319</v>
      </c>
      <c r="F916" s="10">
        <v>5.8778609999999998E-3</v>
      </c>
      <c r="G916" s="10">
        <v>0.48099456600000001</v>
      </c>
      <c r="H916" s="9">
        <v>9.2289788750000004E-2</v>
      </c>
      <c r="I916" s="10">
        <v>0.394549849809603</v>
      </c>
      <c r="J916" s="10">
        <v>0.15566958398478001</v>
      </c>
      <c r="K916" s="10">
        <v>-4.8979531E-2</v>
      </c>
      <c r="L916" s="10">
        <v>-8.4616499999999994E-3</v>
      </c>
      <c r="M916" s="10">
        <v>3.4606218000000001E-2</v>
      </c>
      <c r="N916" s="10">
        <v>-0.27124729800000003</v>
      </c>
      <c r="O916" s="9">
        <v>-7.3520565250000003E-2</v>
      </c>
      <c r="P916" s="10">
        <v>0.13616434545008299</v>
      </c>
      <c r="Q916" s="10">
        <v>1.85407289718495E-2</v>
      </c>
    </row>
    <row r="917" spans="1:17" x14ac:dyDescent="0.2">
      <c r="A917" s="10">
        <v>1793</v>
      </c>
      <c r="B917" s="10" t="s">
        <v>2814</v>
      </c>
      <c r="C917" s="9" t="s">
        <v>1507</v>
      </c>
      <c r="D917" s="10">
        <v>-0.49766426499999999</v>
      </c>
      <c r="E917" s="10">
        <v>-0.18299457799999999</v>
      </c>
      <c r="F917" s="10">
        <v>-0.93664426999999995</v>
      </c>
      <c r="G917" s="10">
        <v>-0.46067056200000001</v>
      </c>
      <c r="H917" s="9">
        <v>-0.51949341900000001</v>
      </c>
      <c r="I917" s="10">
        <v>0.31154611373725799</v>
      </c>
      <c r="J917" s="10">
        <v>9.7060980984788506E-2</v>
      </c>
      <c r="K917" s="10">
        <v>0.259301375</v>
      </c>
      <c r="L917" s="10">
        <v>-0.83726254600000005</v>
      </c>
      <c r="M917" s="10">
        <v>-0.62632246300000005</v>
      </c>
      <c r="N917" s="10">
        <v>0.200671145</v>
      </c>
      <c r="O917" s="9">
        <v>-0.25090312225</v>
      </c>
      <c r="P917" s="10">
        <v>0.56243073739086502</v>
      </c>
      <c r="Q917" s="10">
        <v>0.316328334362032</v>
      </c>
    </row>
    <row r="918" spans="1:17" x14ac:dyDescent="0.2">
      <c r="A918" s="10">
        <v>1793</v>
      </c>
      <c r="B918" s="10" t="s">
        <v>2833</v>
      </c>
      <c r="C918" s="9" t="s">
        <v>1508</v>
      </c>
      <c r="D918" s="10">
        <v>0.55397580800000001</v>
      </c>
      <c r="E918" s="10">
        <v>0.49579028000000003</v>
      </c>
      <c r="F918" s="10">
        <v>0.29150848299999998</v>
      </c>
      <c r="G918" s="10">
        <v>0.653348017</v>
      </c>
      <c r="H918" s="9">
        <v>0.49865564725</v>
      </c>
      <c r="I918" s="10">
        <v>0.15265233640593301</v>
      </c>
      <c r="J918" s="10">
        <v>2.3302735810190101E-2</v>
      </c>
      <c r="K918" s="10">
        <v>0.51627709799999999</v>
      </c>
      <c r="L918" s="10">
        <v>0.66667491999999995</v>
      </c>
      <c r="M918" s="10">
        <v>0.50618356900000006</v>
      </c>
      <c r="N918" s="10">
        <v>0.79237685300000005</v>
      </c>
      <c r="O918" s="9">
        <v>0.62037811025</v>
      </c>
      <c r="P918" s="10">
        <v>0.136142543073281</v>
      </c>
      <c r="Q918" s="10">
        <v>1.8534792034460301E-2</v>
      </c>
    </row>
    <row r="919" spans="1:17" x14ac:dyDescent="0.2">
      <c r="A919" s="10">
        <v>1793</v>
      </c>
      <c r="B919" s="10" t="s">
        <v>2825</v>
      </c>
      <c r="C919" s="9" t="s">
        <v>1509</v>
      </c>
      <c r="D919" s="10">
        <v>-0.244549515</v>
      </c>
      <c r="E919" s="10">
        <v>-0.16376495899999999</v>
      </c>
      <c r="F919" s="10">
        <v>-7.8599057E-2</v>
      </c>
      <c r="G919" s="10">
        <v>8.4927939999999993E-2</v>
      </c>
      <c r="H919" s="9">
        <v>-0.10049639774999999</v>
      </c>
      <c r="I919" s="10">
        <v>0.140967951433455</v>
      </c>
      <c r="J919" s="10">
        <v>1.9871963331344899E-2</v>
      </c>
      <c r="K919" s="10">
        <v>-0.34118104999999999</v>
      </c>
      <c r="L919" s="10">
        <v>-0.27639517899999999</v>
      </c>
      <c r="M919" s="10">
        <v>-0.123522783</v>
      </c>
      <c r="N919" s="10">
        <v>-6.1955112E-2</v>
      </c>
      <c r="O919" s="9">
        <v>-0.200763531</v>
      </c>
      <c r="P919" s="10">
        <v>0.12996298980631599</v>
      </c>
      <c r="Q919" s="10">
        <v>1.6890378719396699E-2</v>
      </c>
    </row>
    <row r="920" spans="1:17" x14ac:dyDescent="0.2">
      <c r="A920" s="10">
        <v>1793</v>
      </c>
      <c r="B920" s="10" t="s">
        <v>2818</v>
      </c>
      <c r="C920" s="9" t="s">
        <v>1510</v>
      </c>
      <c r="D920" s="10">
        <v>-0.55961828199999997</v>
      </c>
      <c r="E920" s="10">
        <v>-0.46535489899999999</v>
      </c>
      <c r="F920" s="10">
        <v>-0.26182959099999997</v>
      </c>
      <c r="G920" s="10">
        <v>-0.51969729600000003</v>
      </c>
      <c r="H920" s="9">
        <v>-0.45162501724999998</v>
      </c>
      <c r="I920" s="10">
        <v>0.132296628634128</v>
      </c>
      <c r="J920" s="10">
        <v>1.75023979479564E-2</v>
      </c>
      <c r="K920" s="10">
        <v>0.163528233</v>
      </c>
      <c r="L920" s="10">
        <v>6.6740835999999998E-2</v>
      </c>
      <c r="M920" s="10">
        <v>0.30214197999999998</v>
      </c>
      <c r="N920" s="10">
        <v>0.111359765</v>
      </c>
      <c r="O920" s="9">
        <v>0.16094270350000001</v>
      </c>
      <c r="P920" s="10">
        <v>0.10210514234144601</v>
      </c>
      <c r="Q920" s="10">
        <v>1.0425460092567E-2</v>
      </c>
    </row>
    <row r="921" spans="1:17" x14ac:dyDescent="0.2">
      <c r="A921" s="10">
        <v>1793</v>
      </c>
      <c r="B921" s="10" t="s">
        <v>2830</v>
      </c>
      <c r="C921" s="9" t="s">
        <v>1511</v>
      </c>
      <c r="D921" s="10">
        <v>0.26587919900000001</v>
      </c>
      <c r="E921" s="10">
        <v>0.26111585700000001</v>
      </c>
      <c r="F921" s="10">
        <v>0.37464556900000001</v>
      </c>
      <c r="G921" s="10">
        <v>0.52481597499999999</v>
      </c>
      <c r="H921" s="9">
        <v>0.35661414975</v>
      </c>
      <c r="I921" s="10">
        <v>0.123787103937055</v>
      </c>
      <c r="J921" s="10">
        <v>1.5323247101123399E-2</v>
      </c>
      <c r="K921" s="10">
        <v>0.62423326999999995</v>
      </c>
      <c r="L921" s="10">
        <v>-1.6494958000000001E-2</v>
      </c>
      <c r="M921" s="10">
        <v>0.15481800400000001</v>
      </c>
      <c r="N921" s="10">
        <v>0.52277784900000002</v>
      </c>
      <c r="O921" s="9">
        <v>0.321333541</v>
      </c>
      <c r="P921" s="10">
        <v>0.30231527354339999</v>
      </c>
      <c r="Q921" s="10">
        <v>9.1394524617621195E-2</v>
      </c>
    </row>
    <row r="922" spans="1:17" x14ac:dyDescent="0.2">
      <c r="A922" s="10">
        <v>1793</v>
      </c>
      <c r="B922" s="10" t="s">
        <v>2835</v>
      </c>
      <c r="C922" s="9" t="s">
        <v>1512</v>
      </c>
      <c r="D922" s="10">
        <v>1.8860106000000001E-2</v>
      </c>
      <c r="E922" s="10">
        <v>-0.66733837699999998</v>
      </c>
      <c r="F922" s="10">
        <v>5.5609546000000003E-2</v>
      </c>
      <c r="G922" s="10">
        <v>-0.57904090200000002</v>
      </c>
      <c r="H922" s="9">
        <v>-0.29297740675</v>
      </c>
      <c r="I922" s="10">
        <v>0.38329012394738499</v>
      </c>
      <c r="J922" s="10">
        <v>0.14691131911560101</v>
      </c>
      <c r="K922" s="10">
        <v>0.39605353399999998</v>
      </c>
      <c r="L922" s="10">
        <v>-0.15232258400000001</v>
      </c>
      <c r="M922" s="10">
        <v>0.36043369400000003</v>
      </c>
      <c r="N922" s="10">
        <v>-0.52987710200000004</v>
      </c>
      <c r="O922" s="9">
        <v>1.857188525E-2</v>
      </c>
      <c r="P922" s="10">
        <v>0.443231731212402</v>
      </c>
      <c r="Q922" s="10">
        <v>0.19645436755354301</v>
      </c>
    </row>
    <row r="923" spans="1:17" x14ac:dyDescent="0.2">
      <c r="A923" s="10">
        <v>1794</v>
      </c>
      <c r="B923" s="10" t="s">
        <v>2822</v>
      </c>
      <c r="C923" s="9" t="s">
        <v>1513</v>
      </c>
      <c r="D923" s="10">
        <v>-0.27832493400000002</v>
      </c>
      <c r="E923" s="10">
        <v>-0.274062533</v>
      </c>
      <c r="F923" s="10">
        <v>-0.78395636000000002</v>
      </c>
      <c r="G923" s="10">
        <v>-0.62239313200000002</v>
      </c>
      <c r="H923" s="9">
        <v>-0.48968423975000003</v>
      </c>
      <c r="I923" s="10">
        <v>0.25519483235857099</v>
      </c>
      <c r="J923" s="10">
        <v>6.5124402462519104E-2</v>
      </c>
      <c r="K923" s="10">
        <v>0.27050890900000002</v>
      </c>
      <c r="L923" s="10">
        <v>-0.432390628</v>
      </c>
      <c r="M923" s="10">
        <v>-0.13568213500000001</v>
      </c>
      <c r="N923" s="10">
        <v>-0.12966396199999999</v>
      </c>
      <c r="O923" s="9">
        <v>-0.10680695375</v>
      </c>
      <c r="P923" s="10">
        <v>0.28851817281832098</v>
      </c>
      <c r="Q923" s="10">
        <v>8.32427360464226E-2</v>
      </c>
    </row>
    <row r="924" spans="1:17" x14ac:dyDescent="0.2">
      <c r="A924" s="10">
        <v>1794</v>
      </c>
      <c r="B924" s="10" t="s">
        <v>2823</v>
      </c>
      <c r="C924" s="9" t="s">
        <v>1514</v>
      </c>
      <c r="D924" s="10">
        <v>0.33926236199999998</v>
      </c>
      <c r="E924" s="10">
        <v>0.46613599500000003</v>
      </c>
      <c r="F924" s="10">
        <v>0.197394397</v>
      </c>
      <c r="G924" s="10">
        <v>0.17170865099999999</v>
      </c>
      <c r="H924" s="9">
        <v>0.29362535125</v>
      </c>
      <c r="I924" s="10">
        <v>0.136585427862258</v>
      </c>
      <c r="J924" s="10">
        <v>1.8655579104316301E-2</v>
      </c>
      <c r="K924" s="10">
        <v>-6.9315363000000005E-2</v>
      </c>
      <c r="L924" s="10">
        <v>0.29505798999999999</v>
      </c>
      <c r="M924" s="10">
        <v>8.8605222999999997E-2</v>
      </c>
      <c r="N924" s="10">
        <v>3.7009516999999999E-2</v>
      </c>
      <c r="O924" s="9">
        <v>8.7839341749999994E-2</v>
      </c>
      <c r="P924" s="10">
        <v>0.152993929145158</v>
      </c>
      <c r="Q924" s="10">
        <v>2.3407142355273899E-2</v>
      </c>
    </row>
    <row r="925" spans="1:17" x14ac:dyDescent="0.2">
      <c r="A925" s="10">
        <v>1794</v>
      </c>
      <c r="B925" s="10" t="s">
        <v>2821</v>
      </c>
      <c r="C925" s="9" t="s">
        <v>1515</v>
      </c>
      <c r="D925" s="10">
        <v>0.18484430700000001</v>
      </c>
      <c r="E925" s="10">
        <v>-7.9810175999999997E-2</v>
      </c>
      <c r="F925" s="10">
        <v>-2.8131270999999999E-2</v>
      </c>
      <c r="G925" s="10">
        <v>0.17781092500000001</v>
      </c>
      <c r="H925" s="9">
        <v>6.3678446250000006E-2</v>
      </c>
      <c r="I925" s="10">
        <v>0.13750805723500401</v>
      </c>
      <c r="J925" s="10">
        <v>1.8908465804545201E-2</v>
      </c>
      <c r="K925" s="10">
        <v>-0.171951833</v>
      </c>
      <c r="L925" s="10">
        <v>-0.19594931500000001</v>
      </c>
      <c r="M925" s="10">
        <v>0.119644996</v>
      </c>
      <c r="N925" s="10">
        <v>-0.112103481</v>
      </c>
      <c r="O925" s="9">
        <v>-9.0089907999999996E-2</v>
      </c>
      <c r="P925" s="10">
        <v>0.144199995570056</v>
      </c>
      <c r="Q925" s="10">
        <v>2.0793638722404199E-2</v>
      </c>
    </row>
    <row r="926" spans="1:17" x14ac:dyDescent="0.2">
      <c r="A926" s="10">
        <v>1794</v>
      </c>
      <c r="B926" s="10" t="s">
        <v>2824</v>
      </c>
      <c r="C926" s="9" t="s">
        <v>1516</v>
      </c>
      <c r="D926" s="10">
        <v>-4.0659991999999999E-2</v>
      </c>
      <c r="E926" s="10">
        <v>-9.4496499999999997E-2</v>
      </c>
      <c r="F926" s="10">
        <v>9.0967389999999995E-3</v>
      </c>
      <c r="G926" s="10">
        <v>6.2276651000000002E-2</v>
      </c>
      <c r="H926" s="9">
        <v>-1.5945775499999999E-2</v>
      </c>
      <c r="I926" s="10">
        <v>6.7148800825019395E-2</v>
      </c>
      <c r="J926" s="10">
        <v>4.5089614522381E-3</v>
      </c>
      <c r="K926" s="10">
        <v>2.4811929999999999E-2</v>
      </c>
      <c r="L926" s="10">
        <v>-0.247527214</v>
      </c>
      <c r="M926" s="10">
        <v>-5.6867081999999999E-2</v>
      </c>
      <c r="N926" s="10">
        <v>0.15458163999999999</v>
      </c>
      <c r="O926" s="9">
        <v>-3.1250181500000002E-2</v>
      </c>
      <c r="P926" s="10">
        <v>0.168432386638357</v>
      </c>
      <c r="Q926" s="10">
        <v>2.8369468868693001E-2</v>
      </c>
    </row>
    <row r="927" spans="1:17" x14ac:dyDescent="0.2">
      <c r="A927" s="10">
        <v>1794</v>
      </c>
      <c r="B927" s="10" t="s">
        <v>2817</v>
      </c>
      <c r="C927" s="9" t="s">
        <v>1517</v>
      </c>
      <c r="D927" s="10">
        <v>-0.310564964</v>
      </c>
      <c r="E927" s="10">
        <v>-0.16450957999999999</v>
      </c>
      <c r="F927" s="10">
        <v>9.7325106999999994E-2</v>
      </c>
      <c r="G927" s="10">
        <v>0.32595623299999998</v>
      </c>
      <c r="H927" s="9">
        <v>-1.2948301000000001E-2</v>
      </c>
      <c r="I927" s="10">
        <v>0.28199468497654501</v>
      </c>
      <c r="J927" s="10">
        <v>7.9521002355021006E-2</v>
      </c>
      <c r="K927" s="10">
        <v>0.33299435100000002</v>
      </c>
      <c r="L927" s="10">
        <v>-0.27479498099999999</v>
      </c>
      <c r="M927" s="10">
        <v>0.38962705199999997</v>
      </c>
      <c r="N927" s="10">
        <v>0.24337605600000001</v>
      </c>
      <c r="O927" s="9">
        <v>0.1728006195</v>
      </c>
      <c r="P927" s="10">
        <v>0.30441115138722702</v>
      </c>
      <c r="Q927" s="10">
        <v>9.2666149088897407E-2</v>
      </c>
    </row>
    <row r="928" spans="1:17" x14ac:dyDescent="0.2">
      <c r="A928" s="10">
        <v>1794</v>
      </c>
      <c r="B928" s="10" t="s">
        <v>2814</v>
      </c>
      <c r="C928" s="9" t="s">
        <v>1518</v>
      </c>
      <c r="D928" s="10">
        <v>-0.72491093699999998</v>
      </c>
      <c r="E928" s="10">
        <v>-0.442208025</v>
      </c>
      <c r="F928" s="10">
        <v>-0.76046321800000005</v>
      </c>
      <c r="G928" s="10">
        <v>-1.2240240840000001</v>
      </c>
      <c r="H928" s="9">
        <v>-0.78790156624999996</v>
      </c>
      <c r="I928" s="10">
        <v>0.32374246826686298</v>
      </c>
      <c r="J928" s="10">
        <v>0.104809185759521</v>
      </c>
      <c r="K928" s="10">
        <v>-0.72653541899999996</v>
      </c>
      <c r="L928" s="10">
        <v>-0.59408167300000003</v>
      </c>
      <c r="M928" s="10">
        <v>-0.45911950299999998</v>
      </c>
      <c r="N928" s="10">
        <v>-0.25658071100000002</v>
      </c>
      <c r="O928" s="9">
        <v>-0.50907932624999996</v>
      </c>
      <c r="P928" s="10">
        <v>0.200635727849788</v>
      </c>
      <c r="Q928" s="10">
        <v>4.02546952898142E-2</v>
      </c>
    </row>
    <row r="929" spans="1:17" x14ac:dyDescent="0.2">
      <c r="A929" s="10">
        <v>1794</v>
      </c>
      <c r="B929" s="10" t="s">
        <v>2833</v>
      </c>
      <c r="C929" s="9" t="s">
        <v>1519</v>
      </c>
      <c r="D929" s="10">
        <v>0.15088269200000001</v>
      </c>
      <c r="E929" s="10">
        <v>-5.2993527999999998E-2</v>
      </c>
      <c r="F929" s="10">
        <v>4.8795720000000001E-2</v>
      </c>
      <c r="G929" s="10">
        <v>-4.9553004999999997E-2</v>
      </c>
      <c r="H929" s="9">
        <v>2.4282970000000001E-2</v>
      </c>
      <c r="I929" s="10">
        <v>9.6698453745625093E-2</v>
      </c>
      <c r="J929" s="10">
        <v>9.3505909567948003E-3</v>
      </c>
      <c r="K929" s="10">
        <v>-0.38873255200000001</v>
      </c>
      <c r="L929" s="10">
        <v>-0.106487375</v>
      </c>
      <c r="M929" s="10">
        <v>-0.40591998400000001</v>
      </c>
      <c r="N929" s="10">
        <v>7.9819475000000001E-2</v>
      </c>
      <c r="O929" s="9">
        <v>-0.20533010900000001</v>
      </c>
      <c r="P929" s="10">
        <v>0.23448733112249401</v>
      </c>
      <c r="Q929" s="10">
        <v>5.4984308456950501E-2</v>
      </c>
    </row>
    <row r="930" spans="1:17" x14ac:dyDescent="0.2">
      <c r="A930" s="10">
        <v>1794</v>
      </c>
      <c r="B930" s="10" t="s">
        <v>2825</v>
      </c>
      <c r="C930" s="9" t="s">
        <v>1520</v>
      </c>
      <c r="D930" s="10">
        <v>0.37742446200000002</v>
      </c>
      <c r="E930" s="10">
        <v>0.66026681899999995</v>
      </c>
      <c r="F930" s="10">
        <v>0.45227707700000003</v>
      </c>
      <c r="G930" s="10">
        <v>-7.1687691999999997E-2</v>
      </c>
      <c r="H930" s="9">
        <v>0.35457016650000001</v>
      </c>
      <c r="I930" s="10">
        <v>0.30833702581480898</v>
      </c>
      <c r="J930" s="10">
        <v>9.50717214883227E-2</v>
      </c>
      <c r="K930" s="10">
        <v>0.75797336599999998</v>
      </c>
      <c r="L930" s="10">
        <v>0.45794893599999997</v>
      </c>
      <c r="M930" s="10">
        <v>0.14651140300000001</v>
      </c>
      <c r="N930" s="10">
        <v>0.66214436899999995</v>
      </c>
      <c r="O930" s="9">
        <v>0.50614451849999997</v>
      </c>
      <c r="P930" s="10">
        <v>0.27043946563938598</v>
      </c>
      <c r="Q930" s="10">
        <v>7.3137504575316994E-2</v>
      </c>
    </row>
    <row r="931" spans="1:17" x14ac:dyDescent="0.2">
      <c r="A931" s="10">
        <v>1794</v>
      </c>
      <c r="B931" s="10" t="s">
        <v>2818</v>
      </c>
      <c r="C931" s="9" t="s">
        <v>2604</v>
      </c>
      <c r="D931" s="10">
        <v>-0.265461854</v>
      </c>
      <c r="E931" s="10">
        <v>0.12132960299999999</v>
      </c>
      <c r="F931" s="10">
        <v>0.18578088700000001</v>
      </c>
      <c r="G931" s="10">
        <v>-0.99915253599999998</v>
      </c>
      <c r="H931" s="9">
        <v>-0.23937597499999999</v>
      </c>
      <c r="I931" s="10">
        <v>0.54430621499121501</v>
      </c>
      <c r="J931" s="10">
        <v>0.296269255678063</v>
      </c>
      <c r="K931" s="10">
        <v>-0.27555542100000002</v>
      </c>
      <c r="L931" s="10">
        <v>4.3930773999999999E-2</v>
      </c>
      <c r="M931" s="10">
        <v>0.233989212</v>
      </c>
      <c r="N931" s="10">
        <v>-0.467822407</v>
      </c>
      <c r="O931" s="9">
        <v>-0.1163644605</v>
      </c>
      <c r="P931" s="10">
        <v>0.31480507625119197</v>
      </c>
      <c r="Q931" s="10">
        <v>9.9102236033518906E-2</v>
      </c>
    </row>
    <row r="932" spans="1:17" x14ac:dyDescent="0.2">
      <c r="A932" s="10">
        <v>1794</v>
      </c>
      <c r="B932" s="10" t="s">
        <v>2830</v>
      </c>
      <c r="C932" s="9" t="s">
        <v>1522</v>
      </c>
      <c r="D932" s="10">
        <v>-0.108753881</v>
      </c>
      <c r="E932" s="10">
        <v>7.1007295999999998E-2</v>
      </c>
      <c r="F932" s="10">
        <v>1.165310493</v>
      </c>
      <c r="G932" s="10">
        <v>1.4016268270000001</v>
      </c>
      <c r="H932" s="9">
        <v>0.63229768399999997</v>
      </c>
      <c r="I932" s="10">
        <v>0.76161545556737997</v>
      </c>
      <c r="J932" s="10">
        <v>0.58005810215910802</v>
      </c>
      <c r="K932" s="10">
        <v>1.216561446</v>
      </c>
      <c r="L932" s="10">
        <v>-0.26151411000000002</v>
      </c>
      <c r="M932" s="10">
        <v>1.1512179220000001</v>
      </c>
      <c r="N932" s="10">
        <v>1.0906997220000001</v>
      </c>
      <c r="O932" s="9">
        <v>0.79924124524999995</v>
      </c>
      <c r="P932" s="10">
        <v>0.70903542419519405</v>
      </c>
      <c r="Q932" s="10">
        <v>0.50273123276365905</v>
      </c>
    </row>
    <row r="933" spans="1:17" x14ac:dyDescent="0.2">
      <c r="A933" s="10">
        <v>1794</v>
      </c>
      <c r="B933" s="10" t="s">
        <v>2835</v>
      </c>
      <c r="C933" s="9" t="s">
        <v>1523</v>
      </c>
      <c r="D933" s="10">
        <v>2.4040092999999998E-2</v>
      </c>
      <c r="E933" s="10">
        <v>-0.53151346899999996</v>
      </c>
      <c r="F933" s="10">
        <v>-1.237857151</v>
      </c>
      <c r="G933" s="10">
        <v>-0.48878634599999998</v>
      </c>
      <c r="H933" s="9">
        <v>-0.55852921799999999</v>
      </c>
      <c r="I933" s="10">
        <v>0.51848090982597295</v>
      </c>
      <c r="J933" s="10">
        <v>0.26882245385396802</v>
      </c>
      <c r="K933" s="10">
        <v>-0.57831109000000003</v>
      </c>
      <c r="L933" s="10">
        <v>-0.38435634899999999</v>
      </c>
      <c r="M933" s="10">
        <v>-0.84684538099999995</v>
      </c>
      <c r="N933" s="10">
        <v>-0.21212968700000001</v>
      </c>
      <c r="O933" s="9">
        <v>-0.50541062699999995</v>
      </c>
      <c r="P933" s="10">
        <v>0.272372304474371</v>
      </c>
      <c r="Q933" s="10">
        <v>7.4186672244679897E-2</v>
      </c>
    </row>
    <row r="934" spans="1:17" x14ac:dyDescent="0.2">
      <c r="A934" s="10">
        <v>1795</v>
      </c>
      <c r="B934" s="10" t="s">
        <v>96</v>
      </c>
      <c r="C934" s="9" t="s">
        <v>1526</v>
      </c>
      <c r="D934" s="10">
        <v>0.39680806600000001</v>
      </c>
      <c r="E934" s="10">
        <v>0.30682601500000001</v>
      </c>
      <c r="F934" s="10">
        <v>1.1308520000000001E-2</v>
      </c>
      <c r="G934" s="10">
        <v>0.13967874599999999</v>
      </c>
      <c r="H934" s="9">
        <v>0.213655337</v>
      </c>
      <c r="I934" s="10">
        <v>0.17189383132730399</v>
      </c>
      <c r="J934" s="10">
        <v>2.95474892483799E-2</v>
      </c>
      <c r="K934" s="10">
        <v>2.9119330999999998E-2</v>
      </c>
      <c r="L934" s="10">
        <v>0.14766716599999999</v>
      </c>
      <c r="M934" s="10">
        <v>-0.92329951700000001</v>
      </c>
      <c r="N934" s="10">
        <v>-0.40369840400000001</v>
      </c>
      <c r="O934" s="9">
        <v>-0.28755285600000002</v>
      </c>
      <c r="P934" s="10">
        <v>0.48557915484567199</v>
      </c>
      <c r="Q934" s="10">
        <v>0.23578711562063701</v>
      </c>
    </row>
    <row r="935" spans="1:17" x14ac:dyDescent="0.2">
      <c r="A935" s="10">
        <v>1795</v>
      </c>
      <c r="B935" s="10" t="s">
        <v>2826</v>
      </c>
      <c r="C935" s="9" t="s">
        <v>1527</v>
      </c>
      <c r="D935" s="10">
        <v>0.20282075899999999</v>
      </c>
      <c r="E935" s="10">
        <v>0.16328141500000001</v>
      </c>
      <c r="F935" s="10">
        <v>0.56969802400000003</v>
      </c>
      <c r="G935" s="10">
        <v>0.42529377400000001</v>
      </c>
      <c r="H935" s="9">
        <v>0.34027349325</v>
      </c>
      <c r="I935" s="10">
        <v>0.19155809681375299</v>
      </c>
      <c r="J935" s="10">
        <v>3.6694504454907198E-2</v>
      </c>
      <c r="K935" s="10">
        <v>-0.15999850500000001</v>
      </c>
      <c r="L935" s="10">
        <v>8.7088541000000005E-2</v>
      </c>
      <c r="M935" s="10">
        <v>0.51469583900000004</v>
      </c>
      <c r="N935" s="10">
        <v>0.38912243699999999</v>
      </c>
      <c r="O935" s="9">
        <v>0.20772707774999999</v>
      </c>
      <c r="P935" s="10">
        <v>0.30381455829656101</v>
      </c>
      <c r="Q935" s="10">
        <v>9.2303285832934706E-2</v>
      </c>
    </row>
    <row r="936" spans="1:17" x14ac:dyDescent="0.2">
      <c r="A936" s="10">
        <v>1795</v>
      </c>
      <c r="B936" s="10" t="s">
        <v>79</v>
      </c>
      <c r="C936" s="9" t="s">
        <v>1528</v>
      </c>
      <c r="D936" s="10">
        <v>0.18618459900000001</v>
      </c>
      <c r="E936" s="10">
        <v>-0.199893184</v>
      </c>
      <c r="F936" s="10">
        <v>-0.196415226</v>
      </c>
      <c r="G936" s="10">
        <v>-0.198838547</v>
      </c>
      <c r="H936" s="9">
        <v>-0.10224058925</v>
      </c>
      <c r="I936" s="10">
        <v>0.192288971885996</v>
      </c>
      <c r="J936" s="10">
        <v>3.6975048708973599E-2</v>
      </c>
      <c r="K936" s="10">
        <v>-9.4534402000000003E-2</v>
      </c>
      <c r="L936" s="10">
        <v>-0.27472154399999998</v>
      </c>
      <c r="M936" s="10">
        <v>-0.86581688700000004</v>
      </c>
      <c r="N936" s="10">
        <v>2.536178E-2</v>
      </c>
      <c r="O936" s="9">
        <v>-0.30242776324999998</v>
      </c>
      <c r="P936" s="10">
        <v>0.39532289488500699</v>
      </c>
      <c r="Q936" s="10">
        <v>0.15628019122026199</v>
      </c>
    </row>
    <row r="937" spans="1:17" x14ac:dyDescent="0.2">
      <c r="A937" s="10">
        <v>1795</v>
      </c>
      <c r="B937" s="10" t="s">
        <v>2817</v>
      </c>
      <c r="C937" s="9" t="s">
        <v>1529</v>
      </c>
      <c r="D937" s="10">
        <v>-0.15919567300000001</v>
      </c>
      <c r="E937" s="10">
        <v>-0.31557766500000001</v>
      </c>
      <c r="F937" s="10">
        <v>-0.39564012900000001</v>
      </c>
      <c r="G937" s="10">
        <v>-0.22690951100000001</v>
      </c>
      <c r="H937" s="9">
        <v>-0.27433074475000002</v>
      </c>
      <c r="I937" s="10">
        <v>0.103153822508707</v>
      </c>
      <c r="J937" s="10">
        <v>1.0640711098157901E-2</v>
      </c>
      <c r="K937" s="10">
        <v>1.2674830999999999E-2</v>
      </c>
      <c r="L937" s="10">
        <v>-5.9400942999999998E-2</v>
      </c>
      <c r="M937" s="10">
        <v>-1.494623E-2</v>
      </c>
      <c r="N937" s="10">
        <v>0.14000365300000001</v>
      </c>
      <c r="O937" s="9">
        <v>1.958282775E-2</v>
      </c>
      <c r="P937" s="10">
        <v>8.5595146754903498E-2</v>
      </c>
      <c r="Q937" s="10">
        <v>7.3265291479933997E-3</v>
      </c>
    </row>
    <row r="938" spans="1:17" x14ac:dyDescent="0.2">
      <c r="A938" s="10">
        <v>1795</v>
      </c>
      <c r="B938" s="10" t="s">
        <v>82</v>
      </c>
      <c r="C938" s="9" t="s">
        <v>1530</v>
      </c>
      <c r="D938" s="10">
        <v>0.173143462</v>
      </c>
      <c r="E938" s="10">
        <v>9.7333971000000005E-2</v>
      </c>
      <c r="F938" s="10">
        <v>-2.0683277999999999E-2</v>
      </c>
      <c r="G938" s="10">
        <v>-1.4630749E-2</v>
      </c>
      <c r="H938" s="9">
        <v>5.8790851499999998E-2</v>
      </c>
      <c r="I938" s="10">
        <v>9.3575210871114006E-2</v>
      </c>
      <c r="J938" s="10">
        <v>8.7563200895734005E-3</v>
      </c>
      <c r="K938" s="10">
        <v>-0.24395971799999999</v>
      </c>
      <c r="L938" s="10">
        <v>-1.7001998000000001E-2</v>
      </c>
      <c r="M938" s="10">
        <v>-0.22074712899999999</v>
      </c>
      <c r="N938" s="10">
        <v>-0.62188640699999997</v>
      </c>
      <c r="O938" s="9">
        <v>-0.27589881300000002</v>
      </c>
      <c r="P938" s="10">
        <v>0.25218828287380002</v>
      </c>
      <c r="Q938" s="10">
        <v>6.3598930018835903E-2</v>
      </c>
    </row>
    <row r="939" spans="1:17" x14ac:dyDescent="0.2">
      <c r="A939" s="10">
        <v>1795</v>
      </c>
      <c r="B939" s="10" t="s">
        <v>2814</v>
      </c>
      <c r="C939" s="9" t="s">
        <v>1531</v>
      </c>
      <c r="D939" s="10">
        <v>-7.8192355000000005E-2</v>
      </c>
      <c r="E939" s="10">
        <v>0.14539118400000001</v>
      </c>
      <c r="F939" s="10">
        <v>-0.132583961</v>
      </c>
      <c r="G939" s="10">
        <v>0.13352418099999999</v>
      </c>
      <c r="H939" s="9">
        <v>1.7034762249999998E-2</v>
      </c>
      <c r="I939" s="10">
        <v>0.14317718846692701</v>
      </c>
      <c r="J939" s="10">
        <v>2.0499707297294001E-2</v>
      </c>
      <c r="K939" s="10">
        <v>0.33915830200000002</v>
      </c>
      <c r="L939" s="10">
        <v>0.20225432600000001</v>
      </c>
      <c r="M939" s="10">
        <v>0.30232925500000002</v>
      </c>
      <c r="N939" s="10">
        <v>-3.8294025000000002E-2</v>
      </c>
      <c r="O939" s="9">
        <v>0.20136196475000001</v>
      </c>
      <c r="P939" s="10">
        <v>0.16991960254935801</v>
      </c>
      <c r="Q939" s="10">
        <v>2.8872671330532E-2</v>
      </c>
    </row>
    <row r="940" spans="1:17" x14ac:dyDescent="0.2">
      <c r="A940" s="10">
        <v>1795</v>
      </c>
      <c r="B940" s="10" t="s">
        <v>2833</v>
      </c>
      <c r="C940" s="9" t="s">
        <v>1532</v>
      </c>
      <c r="D940" s="10">
        <v>-3.7454042E-2</v>
      </c>
      <c r="E940" s="10">
        <v>2.8505704E-2</v>
      </c>
      <c r="F940" s="10">
        <v>0.16564247200000001</v>
      </c>
      <c r="G940" s="10">
        <v>-0.33778604400000001</v>
      </c>
      <c r="H940" s="9">
        <v>-4.5272977249999999E-2</v>
      </c>
      <c r="I940" s="10">
        <v>0.212566578203357</v>
      </c>
      <c r="J940" s="10">
        <v>4.5184550169084001E-2</v>
      </c>
      <c r="K940" s="10">
        <v>-0.20545936100000001</v>
      </c>
      <c r="L940" s="10">
        <v>-5.5527122999999998E-2</v>
      </c>
      <c r="M940" s="10">
        <v>8.1207034999999997E-2</v>
      </c>
      <c r="N940" s="10">
        <v>0.44674804899999998</v>
      </c>
      <c r="O940" s="9">
        <v>6.674215E-2</v>
      </c>
      <c r="P940" s="10">
        <v>0.279080128209022</v>
      </c>
      <c r="Q940" s="10">
        <v>7.7885717961164294E-2</v>
      </c>
    </row>
    <row r="941" spans="1:17" x14ac:dyDescent="0.2">
      <c r="A941" s="10">
        <v>1795</v>
      </c>
      <c r="B941" s="10" t="s">
        <v>2825</v>
      </c>
      <c r="C941" s="9" t="s">
        <v>1533</v>
      </c>
      <c r="D941" s="10">
        <v>0.214940521</v>
      </c>
      <c r="E941" s="10">
        <v>0.22814487999999999</v>
      </c>
      <c r="F941" s="10">
        <v>0.27301009199999998</v>
      </c>
      <c r="G941" s="10">
        <v>0.154264286</v>
      </c>
      <c r="H941" s="9">
        <v>0.21758994474999999</v>
      </c>
      <c r="I941" s="10">
        <v>4.8989651565991901E-2</v>
      </c>
      <c r="J941" s="10">
        <v>2.3999859605572001E-3</v>
      </c>
      <c r="K941" s="10">
        <v>9.1338857999999995E-2</v>
      </c>
      <c r="L941" s="10">
        <v>0.23436533700000001</v>
      </c>
      <c r="M941" s="10">
        <v>0.104319756</v>
      </c>
      <c r="N941" s="10">
        <v>-2.832668E-2</v>
      </c>
      <c r="O941" s="9">
        <v>0.100424318</v>
      </c>
      <c r="P941" s="10">
        <v>0.107416224841156</v>
      </c>
      <c r="Q941" s="10">
        <v>1.15382453591259E-2</v>
      </c>
    </row>
    <row r="942" spans="1:17" x14ac:dyDescent="0.2">
      <c r="A942" s="10">
        <v>1795</v>
      </c>
      <c r="B942" s="10" t="s">
        <v>74</v>
      </c>
      <c r="C942" s="9" t="s">
        <v>1534</v>
      </c>
      <c r="D942" s="10">
        <v>0.66688659100000003</v>
      </c>
      <c r="E942" s="10">
        <v>6.7287714999999998E-2</v>
      </c>
      <c r="F942" s="10">
        <v>-0.103655055</v>
      </c>
      <c r="G942" s="10">
        <v>0.85205114800000004</v>
      </c>
      <c r="H942" s="9">
        <v>0.37064259975000002</v>
      </c>
      <c r="I942" s="10">
        <v>0.46061449683473099</v>
      </c>
      <c r="J942" s="10">
        <v>0.212165714694312</v>
      </c>
      <c r="K942" s="10">
        <v>0.55840694800000001</v>
      </c>
      <c r="L942" s="10">
        <v>-0.398869682</v>
      </c>
      <c r="M942" s="10">
        <v>0.12745347800000001</v>
      </c>
      <c r="N942" s="10">
        <v>0.44840106499999999</v>
      </c>
      <c r="O942" s="9">
        <v>0.18384795225</v>
      </c>
      <c r="P942" s="10">
        <v>0.42934949584800702</v>
      </c>
      <c r="Q942" s="10">
        <v>0.184340989584937</v>
      </c>
    </row>
    <row r="943" spans="1:17" x14ac:dyDescent="0.2">
      <c r="A943" s="10">
        <v>1795</v>
      </c>
      <c r="B943" s="10" t="s">
        <v>2818</v>
      </c>
      <c r="C943" s="9" t="s">
        <v>1535</v>
      </c>
      <c r="D943" s="10">
        <v>0.13955108599999999</v>
      </c>
      <c r="E943" s="10">
        <v>0.38067015599999998</v>
      </c>
      <c r="F943" s="10">
        <v>0.301346524</v>
      </c>
      <c r="G943" s="10">
        <v>0.41546633300000002</v>
      </c>
      <c r="H943" s="9">
        <v>0.30925852450000002</v>
      </c>
      <c r="I943" s="10">
        <v>0.122804633644945</v>
      </c>
      <c r="J943" s="10">
        <v>1.5080978044669201E-2</v>
      </c>
      <c r="K943" s="10">
        <v>-4.0759839999999999E-2</v>
      </c>
      <c r="L943" s="10">
        <v>-0.23566240999999999</v>
      </c>
      <c r="M943" s="10">
        <v>0.53751322099999999</v>
      </c>
      <c r="N943" s="10">
        <v>0.16081089600000001</v>
      </c>
      <c r="O943" s="9">
        <v>0.10547546675</v>
      </c>
      <c r="P943" s="10">
        <v>0.33039292099026002</v>
      </c>
      <c r="Q943" s="10">
        <v>0.109159482240476</v>
      </c>
    </row>
    <row r="944" spans="1:17" x14ac:dyDescent="0.2">
      <c r="A944" s="10">
        <v>1795</v>
      </c>
      <c r="B944" s="10" t="s">
        <v>2830</v>
      </c>
      <c r="C944" s="9" t="s">
        <v>1536</v>
      </c>
      <c r="D944" s="10">
        <v>-0.122028815</v>
      </c>
      <c r="E944" s="10">
        <v>-4.8237777000000003E-2</v>
      </c>
      <c r="F944" s="10">
        <v>-0.22418180600000001</v>
      </c>
      <c r="G944" s="10">
        <v>-0.78546529600000004</v>
      </c>
      <c r="H944" s="9">
        <v>-0.29497842349999998</v>
      </c>
      <c r="I944" s="10">
        <v>0.33485422045014002</v>
      </c>
      <c r="J944" s="10">
        <v>0.11212734895327101</v>
      </c>
      <c r="K944" s="10">
        <v>0.12740662999999999</v>
      </c>
      <c r="L944" s="10">
        <v>0.14915605600000001</v>
      </c>
      <c r="M944" s="10">
        <v>-0.38546617</v>
      </c>
      <c r="N944" s="10">
        <v>-0.20032923</v>
      </c>
      <c r="O944" s="9">
        <v>-7.7308178500000005E-2</v>
      </c>
      <c r="P944" s="10">
        <v>0.26031373965809101</v>
      </c>
      <c r="Q944" s="10">
        <v>6.7763243054780695E-2</v>
      </c>
    </row>
    <row r="945" spans="1:17" x14ac:dyDescent="0.2">
      <c r="A945" s="10">
        <v>1796</v>
      </c>
      <c r="B945" s="10" t="s">
        <v>2822</v>
      </c>
      <c r="C945" s="9" t="s">
        <v>1538</v>
      </c>
      <c r="D945" s="10">
        <v>-0.47594202099999999</v>
      </c>
      <c r="E945" s="10">
        <v>-0.61934286900000002</v>
      </c>
      <c r="F945" s="10">
        <v>-1.3835800149999999</v>
      </c>
      <c r="G945" s="10">
        <v>-1.1551433579999999</v>
      </c>
      <c r="H945" s="9">
        <v>-0.90850206600000005</v>
      </c>
      <c r="I945" s="10">
        <v>0.43098809662045201</v>
      </c>
      <c r="J945" s="10">
        <v>0.18575073942852</v>
      </c>
      <c r="K945" s="10">
        <v>-1.8423835369999999</v>
      </c>
      <c r="L945" s="10">
        <v>-0.84909357900000004</v>
      </c>
      <c r="M945" s="10">
        <v>-0.789461572</v>
      </c>
      <c r="N945" s="10">
        <v>-1.743416243</v>
      </c>
      <c r="O945" s="9">
        <v>-1.3060887329999999</v>
      </c>
      <c r="P945" s="10">
        <v>0.56409681854051696</v>
      </c>
      <c r="Q945" s="10">
        <v>0.31820522068753399</v>
      </c>
    </row>
    <row r="946" spans="1:17" x14ac:dyDescent="0.2">
      <c r="A946" s="10">
        <v>1796</v>
      </c>
      <c r="B946" s="10" t="s">
        <v>2824</v>
      </c>
      <c r="C946" s="9" t="s">
        <v>1540</v>
      </c>
      <c r="D946" s="10">
        <v>-0.445363811</v>
      </c>
      <c r="E946" s="10">
        <v>-4.1985250000000002E-2</v>
      </c>
      <c r="F946" s="10">
        <v>-0.64060010300000003</v>
      </c>
      <c r="G946" s="10">
        <v>-0.69796719600000001</v>
      </c>
      <c r="H946" s="9">
        <v>-0.45647908999999998</v>
      </c>
      <c r="I946" s="10">
        <v>0.29672981290101003</v>
      </c>
      <c r="J946" s="10">
        <v>8.8048581864268893E-2</v>
      </c>
      <c r="K946" s="10">
        <v>-5.8262792000000001E-2</v>
      </c>
      <c r="L946" s="10">
        <v>0.13811082599999999</v>
      </c>
      <c r="M946" s="10">
        <v>-0.37232315199999999</v>
      </c>
      <c r="N946" s="10">
        <v>-0.31488635199999998</v>
      </c>
      <c r="O946" s="9">
        <v>-0.15184036725</v>
      </c>
      <c r="P946" s="10">
        <v>0.236660874509624</v>
      </c>
      <c r="Q946" s="10">
        <v>5.6008369523660097E-2</v>
      </c>
    </row>
    <row r="947" spans="1:17" x14ac:dyDescent="0.2">
      <c r="A947" s="10">
        <v>1796</v>
      </c>
      <c r="B947" s="10" t="s">
        <v>2814</v>
      </c>
      <c r="C947" s="9" t="s">
        <v>1541</v>
      </c>
      <c r="D947" s="10">
        <v>-0.20918773099999999</v>
      </c>
      <c r="E947" s="10">
        <v>-0.50797374200000001</v>
      </c>
      <c r="F947" s="10">
        <v>-0.67838392800000002</v>
      </c>
      <c r="G947" s="10">
        <v>-0.44658726900000001</v>
      </c>
      <c r="H947" s="9">
        <v>-0.46053316775000003</v>
      </c>
      <c r="I947" s="10">
        <v>0.19414648979028301</v>
      </c>
      <c r="J947" s="10">
        <v>3.7692859497888698E-2</v>
      </c>
      <c r="K947" s="10">
        <v>0.184757065</v>
      </c>
      <c r="L947" s="10">
        <v>-0.55449394600000002</v>
      </c>
      <c r="M947" s="10">
        <v>7.2027460000000001E-2</v>
      </c>
      <c r="N947" s="10">
        <v>0.10943979099999999</v>
      </c>
      <c r="O947" s="9">
        <v>-4.7067407499999998E-2</v>
      </c>
      <c r="P947" s="10">
        <v>0.34151738299885298</v>
      </c>
      <c r="Q947" s="10">
        <v>0.11663412289038499</v>
      </c>
    </row>
    <row r="948" spans="1:17" x14ac:dyDescent="0.2">
      <c r="A948" s="10">
        <v>1796</v>
      </c>
      <c r="B948" s="10" t="s">
        <v>2835</v>
      </c>
      <c r="C948" s="9" t="s">
        <v>1543</v>
      </c>
      <c r="D948" s="10">
        <v>9.1110400000000004E-4</v>
      </c>
      <c r="E948" s="10">
        <v>-4.4002968000000003E-2</v>
      </c>
      <c r="F948" s="10">
        <v>0.14126408300000001</v>
      </c>
      <c r="G948" s="10">
        <v>0.27807570599999998</v>
      </c>
      <c r="H948" s="9">
        <v>9.4061981249999996E-2</v>
      </c>
      <c r="I948" s="10">
        <v>0.145863069863297</v>
      </c>
      <c r="J948" s="10">
        <v>2.1276035149945201E-2</v>
      </c>
      <c r="K948" s="10">
        <v>-0.17797781100000001</v>
      </c>
      <c r="L948" s="10">
        <v>-0.39697222500000001</v>
      </c>
      <c r="M948" s="10">
        <v>-0.44728117499999998</v>
      </c>
      <c r="N948" s="10">
        <v>-2.5580604E-2</v>
      </c>
      <c r="O948" s="9">
        <v>-0.26195295374999999</v>
      </c>
      <c r="P948" s="10">
        <v>0.19621456412712099</v>
      </c>
      <c r="Q948" s="10">
        <v>3.85001551755964E-2</v>
      </c>
    </row>
    <row r="949" spans="1:17" x14ac:dyDescent="0.2">
      <c r="A949" s="10">
        <v>1797</v>
      </c>
      <c r="B949" s="10" t="s">
        <v>2822</v>
      </c>
      <c r="C949" s="9" t="s">
        <v>1544</v>
      </c>
      <c r="D949" s="10">
        <v>0.64544458900000001</v>
      </c>
      <c r="E949" s="10">
        <v>0.32469003200000002</v>
      </c>
      <c r="F949" s="10">
        <v>-6.7117942999999999E-2</v>
      </c>
      <c r="G949" s="10">
        <v>0.58517823099999999</v>
      </c>
      <c r="H949" s="9">
        <v>0.37204872700000002</v>
      </c>
      <c r="I949" s="10">
        <v>0.32418086148784298</v>
      </c>
      <c r="J949" s="10">
        <v>0.10509323095500001</v>
      </c>
      <c r="K949" s="10">
        <v>1.0611711539999999</v>
      </c>
      <c r="L949" s="10">
        <v>0.4328283</v>
      </c>
      <c r="M949" s="10">
        <v>0.585652214</v>
      </c>
      <c r="N949" s="10">
        <v>1.0243935879999999</v>
      </c>
      <c r="O949" s="9">
        <v>0.77601131374999999</v>
      </c>
      <c r="P949" s="10">
        <v>0.31465380787842101</v>
      </c>
      <c r="Q949" s="10">
        <v>9.9007018812390199E-2</v>
      </c>
    </row>
    <row r="950" spans="1:17" x14ac:dyDescent="0.2">
      <c r="A950" s="10">
        <v>1797</v>
      </c>
      <c r="B950" s="10" t="s">
        <v>96</v>
      </c>
      <c r="C950" s="9" t="s">
        <v>1545</v>
      </c>
      <c r="D950" s="10">
        <v>0.32447128600000003</v>
      </c>
      <c r="E950" s="10">
        <v>0.40672454200000002</v>
      </c>
      <c r="F950" s="10">
        <v>0.75661083799999995</v>
      </c>
      <c r="G950" s="10">
        <v>0.30773592999999999</v>
      </c>
      <c r="H950" s="9">
        <v>0.44888564925000002</v>
      </c>
      <c r="I950" s="10">
        <v>0.20966205171102201</v>
      </c>
      <c r="J950" s="10">
        <v>4.3958175927675203E-2</v>
      </c>
      <c r="K950" s="10">
        <v>0.22289381</v>
      </c>
      <c r="L950" s="10">
        <v>0.36999426000000002</v>
      </c>
      <c r="M950" s="10">
        <v>0.55908507900000004</v>
      </c>
      <c r="N950" s="10">
        <v>0.498589685</v>
      </c>
      <c r="O950" s="9">
        <v>0.41264070850000001</v>
      </c>
      <c r="P950" s="10">
        <v>0.149059032235074</v>
      </c>
      <c r="Q950" s="10">
        <v>2.2218595090857E-2</v>
      </c>
    </row>
    <row r="951" spans="1:17" x14ac:dyDescent="0.2">
      <c r="A951" s="10">
        <v>1797</v>
      </c>
      <c r="B951" s="10" t="s">
        <v>2824</v>
      </c>
      <c r="C951" s="9" t="s">
        <v>1547</v>
      </c>
      <c r="D951" s="10">
        <v>-0.59044675800000002</v>
      </c>
      <c r="E951" s="10">
        <v>-0.44464772000000002</v>
      </c>
      <c r="F951" s="10">
        <v>-0.39148116500000002</v>
      </c>
      <c r="G951" s="10">
        <v>-0.38262073299999999</v>
      </c>
      <c r="H951" s="9">
        <v>-0.45229909400000001</v>
      </c>
      <c r="I951" s="10">
        <v>9.6085404844232405E-2</v>
      </c>
      <c r="J951" s="10">
        <v>9.2324050240799992E-3</v>
      </c>
      <c r="K951" s="10">
        <v>-0.102059606</v>
      </c>
      <c r="L951" s="10">
        <v>-0.69780522300000003</v>
      </c>
      <c r="M951" s="10">
        <v>-0.67416880199999996</v>
      </c>
      <c r="N951" s="10">
        <v>-0.27604264000000001</v>
      </c>
      <c r="O951" s="9">
        <v>-0.43751906774999999</v>
      </c>
      <c r="P951" s="10">
        <v>0.29572490963276599</v>
      </c>
      <c r="Q951" s="10">
        <v>8.7453222177307693E-2</v>
      </c>
    </row>
    <row r="952" spans="1:17" x14ac:dyDescent="0.2">
      <c r="A952" s="10">
        <v>1797</v>
      </c>
      <c r="B952" s="10" t="s">
        <v>2814</v>
      </c>
      <c r="C952" s="9" t="s">
        <v>1548</v>
      </c>
      <c r="D952" s="10">
        <v>-0.24999893300000001</v>
      </c>
      <c r="E952" s="10">
        <v>-0.44692783600000002</v>
      </c>
      <c r="F952" s="10">
        <v>-7.1875598999999998E-2</v>
      </c>
      <c r="G952" s="10">
        <v>9.1815287999999995E-2</v>
      </c>
      <c r="H952" s="9">
        <v>-0.16924676999999999</v>
      </c>
      <c r="I952" s="10">
        <v>0.231849253692409</v>
      </c>
      <c r="J952" s="10">
        <v>5.3754076437727102E-2</v>
      </c>
      <c r="K952" s="10">
        <v>9.3108821999999994E-2</v>
      </c>
      <c r="L952" s="10">
        <v>0.23318269799999999</v>
      </c>
      <c r="M952" s="10">
        <v>0.119305895</v>
      </c>
      <c r="N952" s="10">
        <v>0.20803411799999999</v>
      </c>
      <c r="O952" s="9">
        <v>0.16340788325</v>
      </c>
      <c r="P952" s="10">
        <v>6.7692857775872001E-2</v>
      </c>
      <c r="Q952" s="10">
        <v>4.5823229938644003E-3</v>
      </c>
    </row>
    <row r="953" spans="1:17" x14ac:dyDescent="0.2">
      <c r="A953" s="10">
        <v>1797</v>
      </c>
      <c r="B953" s="10" t="s">
        <v>2835</v>
      </c>
      <c r="C953" s="9" t="s">
        <v>1551</v>
      </c>
      <c r="D953" s="10">
        <v>0.477598576</v>
      </c>
      <c r="E953" s="10">
        <v>1.075419895</v>
      </c>
      <c r="F953" s="10">
        <v>0.36135705499999998</v>
      </c>
      <c r="G953" s="10">
        <v>0.68711586899999999</v>
      </c>
      <c r="H953" s="9">
        <v>0.65037284849999999</v>
      </c>
      <c r="I953" s="10">
        <v>0.31379192650766402</v>
      </c>
      <c r="J953" s="10">
        <v>9.8465373141391796E-2</v>
      </c>
      <c r="K953" s="10">
        <v>0.72463180599999999</v>
      </c>
      <c r="L953" s="10">
        <v>1.1310835020000001</v>
      </c>
      <c r="M953" s="10">
        <v>5.6014579000000002E-2</v>
      </c>
      <c r="N953" s="10">
        <v>0.67557131400000003</v>
      </c>
      <c r="O953" s="9">
        <v>0.64682530024999996</v>
      </c>
      <c r="P953" s="10">
        <v>0.44363780269856301</v>
      </c>
      <c r="Q953" s="10">
        <v>0.19681449998320899</v>
      </c>
    </row>
    <row r="954" spans="1:17" x14ac:dyDescent="0.2">
      <c r="A954" s="10">
        <v>1798</v>
      </c>
      <c r="B954" s="10" t="s">
        <v>79</v>
      </c>
      <c r="C954" s="9" t="s">
        <v>1552</v>
      </c>
      <c r="D954" s="10">
        <v>-0.12433316899999999</v>
      </c>
      <c r="E954" s="10">
        <v>-0.32237117399999998</v>
      </c>
      <c r="F954" s="10">
        <v>0.20697948799999999</v>
      </c>
      <c r="G954" s="10">
        <v>0.230412582</v>
      </c>
      <c r="H954" s="9">
        <v>-2.3280682499999998E-3</v>
      </c>
      <c r="I954" s="10">
        <v>0.26788722597967901</v>
      </c>
      <c r="J954" s="10">
        <v>7.1763565843087601E-2</v>
      </c>
      <c r="K954" s="10">
        <v>1.024763986</v>
      </c>
      <c r="L954" s="10">
        <v>0.49637272700000001</v>
      </c>
      <c r="M954" s="10">
        <v>0.54031371399999994</v>
      </c>
      <c r="N954" s="10">
        <v>0.89296183799999995</v>
      </c>
      <c r="O954" s="9">
        <v>0.73860306625000005</v>
      </c>
      <c r="P954" s="10">
        <v>0.260581981263241</v>
      </c>
      <c r="Q954" s="10">
        <v>6.7902968959076396E-2</v>
      </c>
    </row>
    <row r="955" spans="1:17" x14ac:dyDescent="0.2">
      <c r="A955" s="10">
        <v>1798</v>
      </c>
      <c r="B955" s="10" t="s">
        <v>2824</v>
      </c>
      <c r="C955" s="9" t="s">
        <v>1554</v>
      </c>
      <c r="D955" s="10">
        <v>-7.6062465999999995E-2</v>
      </c>
      <c r="E955" s="10">
        <v>2.6664037000000002E-2</v>
      </c>
      <c r="F955" s="10">
        <v>0.17828881499999999</v>
      </c>
      <c r="G955" s="10">
        <v>0.244194736</v>
      </c>
      <c r="H955" s="9">
        <v>9.3271280499999998E-2</v>
      </c>
      <c r="I955" s="10">
        <v>0.145047478643964</v>
      </c>
      <c r="J955" s="10">
        <v>2.1038771060971202E-2</v>
      </c>
      <c r="K955" s="10">
        <v>-0.130117179</v>
      </c>
      <c r="L955" s="10">
        <v>0.32953028000000001</v>
      </c>
      <c r="M955" s="10">
        <v>-0.16406199699999999</v>
      </c>
      <c r="N955" s="10">
        <v>0.181044911</v>
      </c>
      <c r="O955" s="9">
        <v>5.4099003749999999E-2</v>
      </c>
      <c r="P955" s="10">
        <v>0.24049080061369699</v>
      </c>
      <c r="Q955" s="10">
        <v>5.7835825179817398E-2</v>
      </c>
    </row>
    <row r="956" spans="1:17" x14ac:dyDescent="0.2">
      <c r="A956" s="10">
        <v>1798</v>
      </c>
      <c r="B956" s="10" t="s">
        <v>2817</v>
      </c>
      <c r="C956" s="9" t="s">
        <v>1555</v>
      </c>
      <c r="D956" s="10">
        <v>0.29024027899999999</v>
      </c>
      <c r="E956" s="10">
        <v>0.31267481699999999</v>
      </c>
      <c r="F956" s="10">
        <v>0.13288561700000001</v>
      </c>
      <c r="G956" s="10">
        <v>0.28405803800000001</v>
      </c>
      <c r="H956" s="9">
        <v>0.25496468774999997</v>
      </c>
      <c r="I956" s="10">
        <v>8.2309474748337094E-2</v>
      </c>
      <c r="J956" s="10">
        <v>6.7748496333470999E-3</v>
      </c>
      <c r="K956" s="10">
        <v>-2.1724812999999999E-2</v>
      </c>
      <c r="L956" s="10">
        <v>0.32379067900000003</v>
      </c>
      <c r="M956" s="10">
        <v>-6.3334399999999999E-4</v>
      </c>
      <c r="N956" s="10">
        <v>0.139697513</v>
      </c>
      <c r="O956" s="9">
        <v>0.110282509</v>
      </c>
      <c r="P956" s="10">
        <v>0.159352063709467</v>
      </c>
      <c r="Q956" s="10">
        <v>2.5393080208466E-2</v>
      </c>
    </row>
    <row r="957" spans="1:17" x14ac:dyDescent="0.2">
      <c r="A957" s="10">
        <v>1798</v>
      </c>
      <c r="B957" s="10" t="s">
        <v>74</v>
      </c>
      <c r="C957" s="9" t="s">
        <v>1558</v>
      </c>
      <c r="D957" s="10">
        <v>-1.7466323999999998E-2</v>
      </c>
      <c r="E957" s="10">
        <v>-7.3030336000000001E-2</v>
      </c>
      <c r="F957" s="10">
        <v>0.69789017600000003</v>
      </c>
      <c r="G957" s="10">
        <v>2.1671640000000001E-3</v>
      </c>
      <c r="H957" s="9">
        <v>0.15239017025000001</v>
      </c>
      <c r="I957" s="10">
        <v>0.365058370290261</v>
      </c>
      <c r="J957" s="10">
        <v>0.13326761371898099</v>
      </c>
      <c r="K957" s="10">
        <v>0.29570169800000001</v>
      </c>
      <c r="L957" s="10">
        <v>0.31764792600000002</v>
      </c>
      <c r="M957" s="10">
        <v>0.38390788100000001</v>
      </c>
      <c r="N957" s="10">
        <v>0.31913389800000003</v>
      </c>
      <c r="O957" s="9">
        <v>0.32909785074999998</v>
      </c>
      <c r="P957" s="10">
        <v>3.8078093289502297E-2</v>
      </c>
      <c r="Q957" s="10">
        <v>1.4499411885640001E-3</v>
      </c>
    </row>
    <row r="958" spans="1:17" x14ac:dyDescent="0.2">
      <c r="A958" s="10">
        <v>1798</v>
      </c>
      <c r="B958" s="10" t="s">
        <v>2830</v>
      </c>
      <c r="C958" s="9" t="s">
        <v>1560</v>
      </c>
      <c r="D958" s="10">
        <v>-0.258333596</v>
      </c>
      <c r="E958" s="10">
        <v>-0.43134578200000001</v>
      </c>
      <c r="F958" s="10">
        <v>-0.29146994999999998</v>
      </c>
      <c r="G958" s="10">
        <v>-8.4088272000000006E-2</v>
      </c>
      <c r="H958" s="9">
        <v>-0.26630939999999997</v>
      </c>
      <c r="I958" s="10">
        <v>0.14275645180865501</v>
      </c>
      <c r="J958" s="10">
        <v>2.0379404532997001E-2</v>
      </c>
      <c r="K958" s="10">
        <v>-0.24120998499999999</v>
      </c>
      <c r="L958" s="10">
        <v>-0.15838913900000001</v>
      </c>
      <c r="M958" s="10">
        <v>-0.46636318599999999</v>
      </c>
      <c r="N958" s="10">
        <v>-0.38546278699999997</v>
      </c>
      <c r="O958" s="9">
        <v>-0.31285627399999999</v>
      </c>
      <c r="P958" s="10">
        <v>0.138839672865713</v>
      </c>
      <c r="Q958" s="10">
        <v>1.92764547614582E-2</v>
      </c>
    </row>
    <row r="959" spans="1:17" x14ac:dyDescent="0.2">
      <c r="A959" s="10">
        <v>1798</v>
      </c>
      <c r="B959" s="10" t="s">
        <v>2835</v>
      </c>
      <c r="C959" s="9" t="s">
        <v>1561</v>
      </c>
      <c r="D959" s="10">
        <v>-0.96132619600000002</v>
      </c>
      <c r="E959" s="10">
        <v>-0.72406685699999995</v>
      </c>
      <c r="F959" s="10">
        <v>5.4335135E-2</v>
      </c>
      <c r="G959" s="10">
        <v>-0.130099307</v>
      </c>
      <c r="H959" s="9">
        <v>-0.44028930649999998</v>
      </c>
      <c r="I959" s="10">
        <v>0.48058308761566298</v>
      </c>
      <c r="J959" s="10">
        <v>0.23096010410220399</v>
      </c>
      <c r="K959" s="10">
        <v>-0.74315040899999996</v>
      </c>
      <c r="L959" s="10">
        <v>2.2611701000000001E-2</v>
      </c>
      <c r="M959" s="10">
        <v>-3.8937398999999998E-2</v>
      </c>
      <c r="N959" s="10">
        <v>-0.37267697799999999</v>
      </c>
      <c r="O959" s="9">
        <v>-0.28303827124999997</v>
      </c>
      <c r="P959" s="10">
        <v>0.35248896834857302</v>
      </c>
      <c r="Q959" s="10">
        <v>0.124248472807441</v>
      </c>
    </row>
    <row r="960" spans="1:17" x14ac:dyDescent="0.2">
      <c r="A960" s="10">
        <v>1799</v>
      </c>
      <c r="B960" s="10" t="s">
        <v>79</v>
      </c>
      <c r="C960" s="9" t="s">
        <v>1563</v>
      </c>
      <c r="D960" s="10">
        <v>-0.39416596100000001</v>
      </c>
      <c r="E960" s="10">
        <v>0.102987234</v>
      </c>
      <c r="F960" s="10">
        <v>0.70700166900000005</v>
      </c>
      <c r="G960" s="10">
        <v>0.25826178399999999</v>
      </c>
      <c r="H960" s="9">
        <v>0.16852118150000001</v>
      </c>
      <c r="I960" s="10">
        <v>0.45421218601187102</v>
      </c>
      <c r="J960" s="10">
        <v>0.20630870992168199</v>
      </c>
      <c r="K960" s="10">
        <v>-0.64917102500000001</v>
      </c>
      <c r="L960" s="10">
        <v>-1.161607455</v>
      </c>
      <c r="M960" s="10">
        <v>0.29506560799999998</v>
      </c>
      <c r="N960" s="10">
        <v>-0.38772125099999999</v>
      </c>
      <c r="O960" s="9">
        <v>-0.47585853075000001</v>
      </c>
      <c r="P960" s="10">
        <v>0.60618506952974505</v>
      </c>
      <c r="Q960" s="10">
        <v>0.36746033852078203</v>
      </c>
    </row>
    <row r="961" spans="1:17" x14ac:dyDescent="0.2">
      <c r="A961" s="10">
        <v>1799</v>
      </c>
      <c r="B961" s="10" t="s">
        <v>2817</v>
      </c>
      <c r="C961" s="9" t="s">
        <v>1564</v>
      </c>
      <c r="D961" s="10">
        <v>-0.21199692000000001</v>
      </c>
      <c r="E961" s="10">
        <v>-0.84206261500000001</v>
      </c>
      <c r="F961" s="10">
        <v>0.28889981599999998</v>
      </c>
      <c r="G961" s="10">
        <v>0.51298360700000001</v>
      </c>
      <c r="H961" s="9">
        <v>-6.3044028000000002E-2</v>
      </c>
      <c r="I961" s="10">
        <v>0.60131223961705305</v>
      </c>
      <c r="J961" s="10">
        <v>0.36157640951327602</v>
      </c>
      <c r="K961" s="10">
        <v>0.28907531199999997</v>
      </c>
      <c r="L961" s="10">
        <v>-0.30591457999999999</v>
      </c>
      <c r="M961" s="10">
        <v>0.34413260699999998</v>
      </c>
      <c r="N961" s="10">
        <v>0.26564395800000001</v>
      </c>
      <c r="O961" s="9">
        <v>0.14823432424999999</v>
      </c>
      <c r="P961" s="10">
        <v>0.30454806426549402</v>
      </c>
      <c r="Q961" s="10">
        <v>9.2749523447859805E-2</v>
      </c>
    </row>
    <row r="962" spans="1:17" x14ac:dyDescent="0.2">
      <c r="A962" s="10">
        <v>1799</v>
      </c>
      <c r="B962" s="10" t="s">
        <v>2825</v>
      </c>
      <c r="C962" s="9" t="s">
        <v>1566</v>
      </c>
      <c r="D962" s="10">
        <v>-2.0053666000000001E-2</v>
      </c>
      <c r="E962" s="10">
        <v>2.2904759E-2</v>
      </c>
      <c r="F962" s="10">
        <v>1.2963740000000001E-3</v>
      </c>
      <c r="G962" s="10">
        <v>-0.43685708899999998</v>
      </c>
      <c r="H962" s="9">
        <v>-0.10817740525</v>
      </c>
      <c r="I962" s="10">
        <v>0.21982051015706999</v>
      </c>
      <c r="J962" s="10">
        <v>4.83210566857145E-2</v>
      </c>
      <c r="K962" s="10">
        <v>-0.50960097100000001</v>
      </c>
      <c r="L962" s="10">
        <v>-0.165979975</v>
      </c>
      <c r="M962" s="10">
        <v>-0.31241664899999999</v>
      </c>
      <c r="N962" s="10">
        <v>-5.8086034000000002E-2</v>
      </c>
      <c r="O962" s="9">
        <v>-0.26152090700000002</v>
      </c>
      <c r="P962" s="10">
        <v>0.195489055062706</v>
      </c>
      <c r="Q962" s="10">
        <v>3.8215970649309698E-2</v>
      </c>
    </row>
    <row r="963" spans="1:17" x14ac:dyDescent="0.2">
      <c r="A963" s="10">
        <v>1799</v>
      </c>
      <c r="B963" s="10" t="s">
        <v>74</v>
      </c>
      <c r="C963" s="9" t="s">
        <v>1567</v>
      </c>
      <c r="D963" s="10">
        <v>0.27420415100000001</v>
      </c>
      <c r="E963" s="10">
        <v>0.36207537099999998</v>
      </c>
      <c r="F963" s="10">
        <v>0.52169937300000002</v>
      </c>
      <c r="G963" s="10">
        <v>0.46497707999999999</v>
      </c>
      <c r="H963" s="9">
        <v>0.40573899400000002</v>
      </c>
      <c r="I963" s="10">
        <v>0.10979357483825</v>
      </c>
      <c r="J963" s="10">
        <v>1.20546290757626E-2</v>
      </c>
      <c r="K963" s="10">
        <v>6.2570171999999993E-2</v>
      </c>
      <c r="L963" s="10">
        <v>7.7949964999999996E-2</v>
      </c>
      <c r="M963" s="10">
        <v>-0.115778877</v>
      </c>
      <c r="N963" s="10">
        <v>6.0177362999999998E-2</v>
      </c>
      <c r="O963" s="9">
        <v>2.122965575E-2</v>
      </c>
      <c r="P963" s="10">
        <v>9.1677866670154096E-2</v>
      </c>
      <c r="Q963" s="10">
        <v>8.4048312371904996E-3</v>
      </c>
    </row>
    <row r="964" spans="1:17" x14ac:dyDescent="0.2">
      <c r="A964" s="10">
        <v>1800</v>
      </c>
      <c r="B964" s="10" t="s">
        <v>2825</v>
      </c>
      <c r="C964" s="9" t="s">
        <v>62</v>
      </c>
      <c r="D964" s="10">
        <v>-0.42747775700000001</v>
      </c>
      <c r="E964" s="10">
        <v>-0.373643167</v>
      </c>
      <c r="F964" s="10">
        <v>-0.27452148300000001</v>
      </c>
      <c r="G964" s="10">
        <v>-1.1092280029999999</v>
      </c>
      <c r="H964" s="9">
        <v>-0.54621760249999995</v>
      </c>
      <c r="I964" s="10">
        <v>0.38064882289762197</v>
      </c>
      <c r="J964" s="10">
        <v>0.14489352637334499</v>
      </c>
      <c r="K964" s="10">
        <v>-0.171244867</v>
      </c>
      <c r="L964" s="10">
        <v>-2.7017342999999999E-2</v>
      </c>
      <c r="M964" s="10">
        <v>9.6073183000000006E-2</v>
      </c>
      <c r="N964" s="10">
        <v>0.31497588300000001</v>
      </c>
      <c r="O964" s="9">
        <v>5.3196714249999999E-2</v>
      </c>
      <c r="P964" s="10">
        <v>0.205892401623127</v>
      </c>
      <c r="Q964" s="10">
        <v>4.23916810461391E-2</v>
      </c>
    </row>
    <row r="965" spans="1:17" x14ac:dyDescent="0.2">
      <c r="A965" s="10">
        <v>1801</v>
      </c>
      <c r="B965" s="10" t="s">
        <v>2823</v>
      </c>
      <c r="C965" s="9" t="s">
        <v>39</v>
      </c>
      <c r="D965" s="10">
        <v>-0.18600744299999999</v>
      </c>
      <c r="E965" s="10">
        <v>-4.6025033E-2</v>
      </c>
      <c r="F965" s="10">
        <v>-0.25775468400000001</v>
      </c>
      <c r="G965" s="10">
        <v>-4.6334749000000001E-2</v>
      </c>
      <c r="H965" s="9">
        <v>-0.13403047725</v>
      </c>
      <c r="I965" s="10">
        <v>0.10558532611973299</v>
      </c>
      <c r="J965" s="10">
        <v>1.11482610918103E-2</v>
      </c>
      <c r="K965" s="10">
        <v>-0.26825083100000002</v>
      </c>
      <c r="L965" s="10">
        <v>-0.28303492099999999</v>
      </c>
      <c r="M965" s="10">
        <v>-0.43775359600000002</v>
      </c>
      <c r="N965" s="10">
        <v>-0.44871572599999998</v>
      </c>
      <c r="O965" s="9">
        <v>-0.35943876850000001</v>
      </c>
      <c r="P965" s="10">
        <v>9.7050459736363795E-2</v>
      </c>
      <c r="Q965" s="10">
        <v>9.4187917350395008E-3</v>
      </c>
    </row>
    <row r="966" spans="1:17" x14ac:dyDescent="0.2">
      <c r="A966" s="10">
        <v>1801</v>
      </c>
      <c r="B966" s="10" t="s">
        <v>2835</v>
      </c>
      <c r="C966" s="9" t="s">
        <v>1573</v>
      </c>
      <c r="D966" s="10">
        <v>0.30900429899999998</v>
      </c>
      <c r="E966" s="10">
        <v>0.24156882199999999</v>
      </c>
      <c r="F966" s="10">
        <v>0.22527519700000001</v>
      </c>
      <c r="G966" s="10">
        <v>0.107729713</v>
      </c>
      <c r="H966" s="9">
        <v>0.22089450775</v>
      </c>
      <c r="I966" s="10">
        <v>8.3698314982921407E-2</v>
      </c>
      <c r="J966" s="10">
        <v>7.0054079309802997E-3</v>
      </c>
      <c r="K966" s="10">
        <v>0.48984063</v>
      </c>
      <c r="L966" s="10">
        <v>0.54571772900000004</v>
      </c>
      <c r="M966" s="10">
        <v>0.32460909999999998</v>
      </c>
      <c r="N966" s="10">
        <v>0.77905031599999996</v>
      </c>
      <c r="O966" s="9">
        <v>0.53480444375000002</v>
      </c>
      <c r="P966" s="10">
        <v>0.18795298435800001</v>
      </c>
      <c r="Q966" s="10">
        <v>3.5326324329078798E-2</v>
      </c>
    </row>
    <row r="967" spans="1:17" x14ac:dyDescent="0.2">
      <c r="A967" s="10">
        <v>1802</v>
      </c>
      <c r="B967" s="10" t="s">
        <v>2822</v>
      </c>
      <c r="C967" s="9" t="s">
        <v>1575</v>
      </c>
      <c r="D967" s="10">
        <v>0.47963930399999999</v>
      </c>
      <c r="E967" s="10">
        <v>0.16666377199999999</v>
      </c>
      <c r="F967" s="10">
        <v>-0.19892377999999999</v>
      </c>
      <c r="G967" s="10">
        <v>-0.43266037299999999</v>
      </c>
      <c r="H967" s="9">
        <v>3.6797309999999999E-3</v>
      </c>
      <c r="I967" s="10">
        <v>0.401888119497325</v>
      </c>
      <c r="J967" s="10">
        <v>0.161514060593096</v>
      </c>
      <c r="K967" s="10">
        <v>-0.62390526800000001</v>
      </c>
      <c r="L967" s="10">
        <v>-0.666906946</v>
      </c>
      <c r="M967" s="10">
        <v>-0.57535029599999998</v>
      </c>
      <c r="N967" s="10">
        <v>-0.58882664399999995</v>
      </c>
      <c r="O967" s="9">
        <v>-0.61374728850000004</v>
      </c>
      <c r="P967" s="10">
        <v>4.0924732898253401E-2</v>
      </c>
      <c r="Q967" s="10">
        <v>1.6748337627933E-3</v>
      </c>
    </row>
    <row r="968" spans="1:17" x14ac:dyDescent="0.2">
      <c r="A968" s="10">
        <v>1802</v>
      </c>
      <c r="B968" s="10" t="s">
        <v>2820</v>
      </c>
      <c r="C968" s="9" t="s">
        <v>1577</v>
      </c>
      <c r="D968" s="10">
        <v>-0.39629101300000003</v>
      </c>
      <c r="E968" s="10">
        <v>-0.40808018200000001</v>
      </c>
      <c r="F968" s="10">
        <v>-0.20300338800000001</v>
      </c>
      <c r="G968" s="10">
        <v>-0.32312294699999999</v>
      </c>
      <c r="H968" s="9">
        <v>-0.33262438249999998</v>
      </c>
      <c r="I968" s="10">
        <v>9.4231801088481407E-2</v>
      </c>
      <c r="J968" s="10">
        <v>8.8796323363791001E-3</v>
      </c>
      <c r="K968" s="10">
        <v>-0.69284428799999997</v>
      </c>
      <c r="L968" s="10">
        <v>-0.69023451300000005</v>
      </c>
      <c r="M968" s="10">
        <v>-0.31226169300000001</v>
      </c>
      <c r="N968" s="10">
        <v>-0.33595824000000002</v>
      </c>
      <c r="O968" s="9">
        <v>-0.50782468349999998</v>
      </c>
      <c r="P968" s="10">
        <v>0.21235862560159599</v>
      </c>
      <c r="Q968" s="10">
        <v>4.5096185867398997E-2</v>
      </c>
    </row>
    <row r="969" spans="1:17" x14ac:dyDescent="0.2">
      <c r="A969" s="10">
        <v>1802</v>
      </c>
      <c r="B969" s="10" t="s">
        <v>2817</v>
      </c>
      <c r="C969" s="9" t="s">
        <v>1579</v>
      </c>
      <c r="D969" s="10">
        <v>-7.5905168999999995E-2</v>
      </c>
      <c r="E969" s="10">
        <v>-0.143784828</v>
      </c>
      <c r="F969" s="10">
        <v>0.19529144700000001</v>
      </c>
      <c r="G969" s="10">
        <v>8.8949423E-2</v>
      </c>
      <c r="H969" s="9">
        <v>1.6137717999999999E-2</v>
      </c>
      <c r="I969" s="10">
        <v>0.15432078793434201</v>
      </c>
      <c r="J969" s="10">
        <v>2.38149055886764E-2</v>
      </c>
      <c r="K969" s="10">
        <v>0.479755084</v>
      </c>
      <c r="L969" s="10">
        <v>0.1054764</v>
      </c>
      <c r="M969" s="10">
        <v>-1.8774603000000001E-2</v>
      </c>
      <c r="N969" s="10">
        <v>0.20017674799999999</v>
      </c>
      <c r="O969" s="9">
        <v>0.191658407</v>
      </c>
      <c r="P969" s="10">
        <v>0.21196041097340301</v>
      </c>
      <c r="Q969" s="10">
        <v>4.4927215820014202E-2</v>
      </c>
    </row>
    <row r="970" spans="1:17" x14ac:dyDescent="0.2">
      <c r="A970" s="10">
        <v>1802</v>
      </c>
      <c r="B970" s="10" t="s">
        <v>82</v>
      </c>
      <c r="C970" s="9" t="s">
        <v>1580</v>
      </c>
      <c r="D970" s="10">
        <v>0.18060860300000001</v>
      </c>
      <c r="E970" s="10">
        <v>-0.118869742</v>
      </c>
      <c r="F970" s="10">
        <v>5.4694713999999998E-2</v>
      </c>
      <c r="G970" s="10">
        <v>0.379640329</v>
      </c>
      <c r="H970" s="9">
        <v>0.124018476</v>
      </c>
      <c r="I970" s="10">
        <v>0.210036064066846</v>
      </c>
      <c r="J970" s="10">
        <v>4.4115148208692598E-2</v>
      </c>
      <c r="K970" s="10">
        <v>1.2025668E-2</v>
      </c>
      <c r="L970" s="10">
        <v>3.6937761999999999E-2</v>
      </c>
      <c r="M970" s="10">
        <v>-4.6067819000000003E-2</v>
      </c>
      <c r="N970" s="10">
        <v>-0.29555244000000003</v>
      </c>
      <c r="O970" s="9">
        <v>-7.3164207499999995E-2</v>
      </c>
      <c r="P970" s="10">
        <v>0.152283177884384</v>
      </c>
      <c r="Q970" s="10">
        <v>2.31901662665671E-2</v>
      </c>
    </row>
    <row r="971" spans="1:17" x14ac:dyDescent="0.2">
      <c r="A971" s="10">
        <v>1802</v>
      </c>
      <c r="B971" s="10" t="s">
        <v>2814</v>
      </c>
      <c r="C971" s="9" t="s">
        <v>1581</v>
      </c>
      <c r="D971" s="10">
        <v>0.370121741</v>
      </c>
      <c r="E971" s="10">
        <v>0.36913695400000002</v>
      </c>
      <c r="F971" s="10">
        <v>0.56082409099999997</v>
      </c>
      <c r="G971" s="10">
        <v>0.50133923199999997</v>
      </c>
      <c r="H971" s="9">
        <v>0.4503555045</v>
      </c>
      <c r="I971" s="10">
        <v>9.6326802818663806E-2</v>
      </c>
      <c r="J971" s="10">
        <v>9.2788529412656997E-3</v>
      </c>
      <c r="K971" s="10">
        <v>7.5667440000000002E-3</v>
      </c>
      <c r="L971" s="10">
        <v>0.40958731599999998</v>
      </c>
      <c r="M971" s="10">
        <v>0.10302950600000001</v>
      </c>
      <c r="N971" s="10">
        <v>0.189704555</v>
      </c>
      <c r="O971" s="9">
        <v>0.17747203025</v>
      </c>
      <c r="P971" s="10">
        <v>0.17169414303053501</v>
      </c>
      <c r="Q971" s="10">
        <v>2.9478878750989899E-2</v>
      </c>
    </row>
    <row r="972" spans="1:17" x14ac:dyDescent="0.2">
      <c r="A972" s="10">
        <v>1802</v>
      </c>
      <c r="B972" s="10" t="s">
        <v>2825</v>
      </c>
      <c r="C972" s="9" t="s">
        <v>1583</v>
      </c>
      <c r="D972" s="10">
        <v>0.209791741</v>
      </c>
      <c r="E972" s="10">
        <v>0.162608111</v>
      </c>
      <c r="F972" s="10">
        <v>3.4829025999999999E-2</v>
      </c>
      <c r="G972" s="10">
        <v>-0.37096286499999997</v>
      </c>
      <c r="H972" s="9">
        <v>9.0665032499999999E-3</v>
      </c>
      <c r="I972" s="10">
        <v>0.26391392200942199</v>
      </c>
      <c r="J972" s="10">
        <v>6.9650558230395704E-2</v>
      </c>
      <c r="K972" s="10">
        <v>-0.72984790899999996</v>
      </c>
      <c r="L972" s="10">
        <v>-0.28419049000000002</v>
      </c>
      <c r="M972" s="10">
        <v>-5.6243973000000003E-2</v>
      </c>
      <c r="N972" s="10">
        <v>0.135681777</v>
      </c>
      <c r="O972" s="9">
        <v>-0.23365014849999999</v>
      </c>
      <c r="P972" s="10">
        <v>0.37266855960009299</v>
      </c>
      <c r="Q972" s="10">
        <v>0.138881855314408</v>
      </c>
    </row>
    <row r="973" spans="1:17" x14ac:dyDescent="0.2">
      <c r="A973" s="10">
        <v>1802</v>
      </c>
      <c r="B973" s="10" t="s">
        <v>74</v>
      </c>
      <c r="C973" s="9" t="s">
        <v>1584</v>
      </c>
      <c r="D973" s="10">
        <v>0.85450387100000003</v>
      </c>
      <c r="E973" s="10">
        <v>1.1386046379999999</v>
      </c>
      <c r="F973" s="10">
        <v>0.90984179799999998</v>
      </c>
      <c r="G973" s="10">
        <v>0.622264979</v>
      </c>
      <c r="H973" s="9">
        <v>0.88130382149999997</v>
      </c>
      <c r="I973" s="10">
        <v>0.212004312491376</v>
      </c>
      <c r="J973" s="10">
        <v>4.4945828514941097E-2</v>
      </c>
      <c r="K973" s="10">
        <v>0.752491825</v>
      </c>
      <c r="L973" s="10">
        <v>1.006567006</v>
      </c>
      <c r="M973" s="10">
        <v>0.45288675</v>
      </c>
      <c r="N973" s="10">
        <v>0.72516516200000003</v>
      </c>
      <c r="O973" s="9">
        <v>0.73427768574999996</v>
      </c>
      <c r="P973" s="10">
        <v>0.226375149992352</v>
      </c>
      <c r="Q973" s="10">
        <v>5.1245708534060103E-2</v>
      </c>
    </row>
    <row r="974" spans="1:17" x14ac:dyDescent="0.2">
      <c r="A974" s="10">
        <v>1803</v>
      </c>
      <c r="B974" s="10" t="s">
        <v>82</v>
      </c>
      <c r="C974" s="9" t="s">
        <v>1588</v>
      </c>
      <c r="D974" s="10">
        <v>-0.56810955900000004</v>
      </c>
      <c r="E974" s="10">
        <v>0.32127721599999998</v>
      </c>
      <c r="F974" s="10">
        <v>-0.50432464899999996</v>
      </c>
      <c r="G974" s="10">
        <v>-1.0513886290000001</v>
      </c>
      <c r="H974" s="9">
        <v>-0.45063640524999998</v>
      </c>
      <c r="I974" s="10">
        <v>0.56963036037439396</v>
      </c>
      <c r="J974" s="10">
        <v>0.32447874746026301</v>
      </c>
      <c r="K974" s="10">
        <v>-0.119737977</v>
      </c>
      <c r="L974" s="10">
        <v>-0.57820924200000001</v>
      </c>
      <c r="M974" s="10">
        <v>4.1643225999999998E-2</v>
      </c>
      <c r="N974" s="10">
        <v>6.3788530999999996E-2</v>
      </c>
      <c r="O974" s="9">
        <v>-0.14812886550000001</v>
      </c>
      <c r="P974" s="10">
        <v>0.29815969012808302</v>
      </c>
      <c r="Q974" s="10">
        <v>8.8899200817274496E-2</v>
      </c>
    </row>
    <row r="975" spans="1:17" x14ac:dyDescent="0.2">
      <c r="A975" s="10">
        <v>1803</v>
      </c>
      <c r="B975" s="10" t="s">
        <v>2825</v>
      </c>
      <c r="C975" s="9" t="s">
        <v>2603</v>
      </c>
      <c r="D975" s="10">
        <v>-1.1280010659999999</v>
      </c>
      <c r="E975" s="10">
        <v>-1.8128493219999999</v>
      </c>
      <c r="F975" s="10">
        <v>-0.75162012899999997</v>
      </c>
      <c r="G975" s="10">
        <v>-1.2592544370000001</v>
      </c>
      <c r="H975" s="9">
        <v>-1.2379312385000001</v>
      </c>
      <c r="I975" s="10">
        <v>0.43953332053386801</v>
      </c>
      <c r="J975" s="10">
        <v>0.193189539859528</v>
      </c>
      <c r="K975" s="10">
        <v>-0.60182602500000004</v>
      </c>
      <c r="L975" s="10">
        <v>-0.75098478000000002</v>
      </c>
      <c r="M975" s="10">
        <v>-1.1209384529999999</v>
      </c>
      <c r="N975" s="10">
        <v>-0.76037185699999998</v>
      </c>
      <c r="O975" s="9">
        <v>-0.80853027875000005</v>
      </c>
      <c r="P975" s="10">
        <v>0.22057216042858399</v>
      </c>
      <c r="Q975" s="10">
        <v>4.8652077956133202E-2</v>
      </c>
    </row>
    <row r="976" spans="1:17" x14ac:dyDescent="0.2">
      <c r="A976" s="10">
        <v>1803</v>
      </c>
      <c r="B976" s="10" t="s">
        <v>2818</v>
      </c>
      <c r="C976" s="9" t="s">
        <v>1589</v>
      </c>
      <c r="D976" s="10">
        <v>-0.52885445600000003</v>
      </c>
      <c r="E976" s="10">
        <v>-0.92188168800000003</v>
      </c>
      <c r="F976" s="10">
        <v>-0.389009508</v>
      </c>
      <c r="G976" s="10">
        <v>-0.30977294</v>
      </c>
      <c r="H976" s="9">
        <v>-0.53737964800000004</v>
      </c>
      <c r="I976" s="10">
        <v>0.27186578161108299</v>
      </c>
      <c r="J976" s="10">
        <v>7.3911003211005105E-2</v>
      </c>
      <c r="K976" s="10">
        <v>-3.2251410000000001E-2</v>
      </c>
      <c r="L976" s="10">
        <v>-0.13293882500000001</v>
      </c>
      <c r="M976" s="10">
        <v>-0.49892752800000001</v>
      </c>
      <c r="N976" s="10">
        <v>0.30535881399999998</v>
      </c>
      <c r="O976" s="9">
        <v>-8.9689737249999998E-2</v>
      </c>
      <c r="P976" s="10">
        <v>0.33101287600895002</v>
      </c>
      <c r="Q976" s="10">
        <v>0.10956952408371599</v>
      </c>
    </row>
    <row r="977" spans="1:17" x14ac:dyDescent="0.2">
      <c r="A977" s="10">
        <v>1803</v>
      </c>
      <c r="B977" s="10" t="s">
        <v>2830</v>
      </c>
      <c r="C977" s="9" t="s">
        <v>1590</v>
      </c>
      <c r="D977" s="10">
        <v>-1.0821432369999999</v>
      </c>
      <c r="E977" s="10">
        <v>-0.323734191</v>
      </c>
      <c r="F977" s="10">
        <v>-0.32350825500000002</v>
      </c>
      <c r="G977" s="10">
        <v>-0.43070454899999999</v>
      </c>
      <c r="H977" s="9">
        <v>-0.54002255774999997</v>
      </c>
      <c r="I977" s="10">
        <v>0.364922073322623</v>
      </c>
      <c r="J977" s="10">
        <v>0.133168119598082</v>
      </c>
      <c r="K977" s="10">
        <v>4.9551999999999999E-2</v>
      </c>
      <c r="L977" s="10">
        <v>-0.138931309</v>
      </c>
      <c r="M977" s="10">
        <v>-8.3305240000000003E-2</v>
      </c>
      <c r="N977" s="10">
        <v>-0.43339206299999999</v>
      </c>
      <c r="O977" s="9">
        <v>-0.15151915299999999</v>
      </c>
      <c r="P977" s="10">
        <v>0.20387376625742101</v>
      </c>
      <c r="Q977" s="10">
        <v>4.1564512567985802E-2</v>
      </c>
    </row>
    <row r="978" spans="1:17" x14ac:dyDescent="0.2">
      <c r="A978" s="10">
        <v>1803</v>
      </c>
      <c r="B978" s="10" t="s">
        <v>2835</v>
      </c>
      <c r="C978" s="9" t="s">
        <v>1591</v>
      </c>
      <c r="D978" s="10">
        <v>-0.58089101600000004</v>
      </c>
      <c r="E978" s="10">
        <v>-1.0924694850000001</v>
      </c>
      <c r="F978" s="10">
        <v>-1.417582101</v>
      </c>
      <c r="G978" s="10">
        <v>-0.62382106999999998</v>
      </c>
      <c r="H978" s="9">
        <v>-0.92869091800000003</v>
      </c>
      <c r="I978" s="10">
        <v>0.39989515454031399</v>
      </c>
      <c r="J978" s="10">
        <v>0.15991613462482099</v>
      </c>
      <c r="K978" s="10">
        <v>-0.20544077399999999</v>
      </c>
      <c r="L978" s="10">
        <v>-0.65619064299999996</v>
      </c>
      <c r="M978" s="10">
        <v>-0.623420855</v>
      </c>
      <c r="N978" s="10">
        <v>-0.125109792</v>
      </c>
      <c r="O978" s="9">
        <v>-0.40254051574999999</v>
      </c>
      <c r="P978" s="10">
        <v>0.27625026455462498</v>
      </c>
      <c r="Q978" s="10">
        <v>7.6314208666500502E-2</v>
      </c>
    </row>
    <row r="979" spans="1:17" x14ac:dyDescent="0.2">
      <c r="A979" s="10">
        <v>1804</v>
      </c>
      <c r="B979" s="10" t="s">
        <v>2822</v>
      </c>
      <c r="C979" s="9" t="s">
        <v>1592</v>
      </c>
      <c r="D979" s="10">
        <v>-8.0438000000000003E-3</v>
      </c>
      <c r="E979" s="10">
        <v>0.41962134400000001</v>
      </c>
      <c r="F979" s="10">
        <v>0.31913773099999998</v>
      </c>
      <c r="G979" s="10">
        <v>0.52668983199999997</v>
      </c>
      <c r="H979" s="9">
        <v>0.3143512765</v>
      </c>
      <c r="I979" s="10">
        <v>0.231034589590247</v>
      </c>
      <c r="J979" s="10">
        <v>5.3376981587134102E-2</v>
      </c>
      <c r="K979" s="10">
        <v>-0.11443672100000001</v>
      </c>
      <c r="L979" s="10">
        <v>0.13381789099999999</v>
      </c>
      <c r="M979" s="10">
        <v>0.34140218</v>
      </c>
      <c r="N979" s="10">
        <v>1.4799748E-2</v>
      </c>
      <c r="O979" s="9">
        <v>9.3895774500000001E-2</v>
      </c>
      <c r="P979" s="10">
        <v>0.19365932823622301</v>
      </c>
      <c r="Q979" s="10">
        <v>3.75039354129054E-2</v>
      </c>
    </row>
    <row r="980" spans="1:17" x14ac:dyDescent="0.2">
      <c r="A980" s="10">
        <v>1804</v>
      </c>
      <c r="B980" s="10" t="s">
        <v>2821</v>
      </c>
      <c r="C980" s="9" t="s">
        <v>1593</v>
      </c>
      <c r="D980" s="10">
        <v>-0.31457877499999998</v>
      </c>
      <c r="E980" s="10">
        <v>-3.1569346999999998E-2</v>
      </c>
      <c r="F980" s="10">
        <v>-0.48895012300000001</v>
      </c>
      <c r="G980" s="10">
        <v>-1.1235510280000001</v>
      </c>
      <c r="H980" s="9">
        <v>-0.48966231850000003</v>
      </c>
      <c r="I980" s="10">
        <v>0.46271619127215202</v>
      </c>
      <c r="J980" s="10">
        <v>0.21410627366540699</v>
      </c>
      <c r="K980" s="10">
        <v>5.0781262000000001E-2</v>
      </c>
      <c r="L980" s="10">
        <v>9.8382532999999994E-2</v>
      </c>
      <c r="M980" s="10">
        <v>0.103813632</v>
      </c>
      <c r="N980" s="10">
        <v>-7.8865349000000001E-2</v>
      </c>
      <c r="O980" s="9">
        <v>4.3528019500000001E-2</v>
      </c>
      <c r="P980" s="10">
        <v>8.5002193903770104E-2</v>
      </c>
      <c r="Q980" s="10">
        <v>7.2253729684540998E-3</v>
      </c>
    </row>
    <row r="981" spans="1:17" x14ac:dyDescent="0.2">
      <c r="A981" s="10">
        <v>1804</v>
      </c>
      <c r="B981" s="10" t="s">
        <v>79</v>
      </c>
      <c r="C981" s="9" t="s">
        <v>1595</v>
      </c>
      <c r="D981" s="10">
        <v>0.27245766700000001</v>
      </c>
      <c r="E981" s="10">
        <v>0.12661466199999999</v>
      </c>
      <c r="F981" s="10">
        <v>-0.83554905599999996</v>
      </c>
      <c r="G981" s="10">
        <v>-0.32259686999999998</v>
      </c>
      <c r="H981" s="9">
        <v>-0.18976839949999999</v>
      </c>
      <c r="I981" s="10">
        <v>0.49947547054922697</v>
      </c>
      <c r="J981" s="10">
        <v>0.24947574568037101</v>
      </c>
      <c r="K981" s="10">
        <v>5.1494626000000002E-2</v>
      </c>
      <c r="L981" s="10">
        <v>0.37324183999999999</v>
      </c>
      <c r="M981" s="10">
        <v>-0.46922520400000001</v>
      </c>
      <c r="N981" s="10">
        <v>9.9753416999999997E-2</v>
      </c>
      <c r="O981" s="9">
        <v>1.3816169749999999E-2</v>
      </c>
      <c r="P981" s="10">
        <v>0.35181465656376498</v>
      </c>
      <c r="Q981" s="10">
        <v>0.123773552573079</v>
      </c>
    </row>
    <row r="982" spans="1:17" x14ac:dyDescent="0.2">
      <c r="A982" s="10">
        <v>1804</v>
      </c>
      <c r="B982" s="10" t="s">
        <v>2824</v>
      </c>
      <c r="C982" s="9" t="s">
        <v>1596</v>
      </c>
      <c r="D982" s="10">
        <v>0.54276733600000004</v>
      </c>
      <c r="E982" s="10">
        <v>0.36015024600000001</v>
      </c>
      <c r="F982" s="10">
        <v>0.350412958</v>
      </c>
      <c r="G982" s="10">
        <v>0.42175668100000002</v>
      </c>
      <c r="H982" s="9">
        <v>0.418771805</v>
      </c>
      <c r="I982" s="10">
        <v>8.8493352547836801E-2</v>
      </c>
      <c r="J982" s="10">
        <v>7.8310734451556997E-3</v>
      </c>
      <c r="K982" s="10">
        <v>0.16634827799999999</v>
      </c>
      <c r="L982" s="10">
        <v>0.29313340999999998</v>
      </c>
      <c r="M982" s="10">
        <v>-0.113860055</v>
      </c>
      <c r="N982" s="10">
        <v>0.29089901899999998</v>
      </c>
      <c r="O982" s="9">
        <v>0.15913016299999999</v>
      </c>
      <c r="P982" s="10">
        <v>0.19139458536918999</v>
      </c>
      <c r="Q982" s="10">
        <v>3.6631887308644098E-2</v>
      </c>
    </row>
    <row r="983" spans="1:17" x14ac:dyDescent="0.2">
      <c r="A983" s="10">
        <v>1804</v>
      </c>
      <c r="B983" s="10" t="s">
        <v>2817</v>
      </c>
      <c r="C983" s="9" t="s">
        <v>1597</v>
      </c>
      <c r="D983" s="10">
        <v>-0.59801223999999997</v>
      </c>
      <c r="E983" s="10">
        <v>-0.59635533399999996</v>
      </c>
      <c r="F983" s="10">
        <v>-0.66204261600000003</v>
      </c>
      <c r="G983" s="10">
        <v>-0.28470603799999999</v>
      </c>
      <c r="H983" s="9">
        <v>-0.53527905725000002</v>
      </c>
      <c r="I983" s="10">
        <v>0.16982500954670199</v>
      </c>
      <c r="J983" s="10">
        <v>2.8840533867537599E-2</v>
      </c>
      <c r="K983" s="10">
        <v>-0.17038824699999999</v>
      </c>
      <c r="L983" s="10">
        <v>-0.20097832099999999</v>
      </c>
      <c r="M983" s="10">
        <v>3.304885E-3</v>
      </c>
      <c r="N983" s="10">
        <v>-0.14286010499999999</v>
      </c>
      <c r="O983" s="9">
        <v>-0.12773044724999999</v>
      </c>
      <c r="P983" s="10">
        <v>9.0524589163952299E-2</v>
      </c>
      <c r="Q983" s="10">
        <v>8.1947012433023006E-3</v>
      </c>
    </row>
    <row r="984" spans="1:17" x14ac:dyDescent="0.2">
      <c r="A984" s="10">
        <v>1805</v>
      </c>
      <c r="B984" s="10" t="s">
        <v>2831</v>
      </c>
      <c r="C984" s="9" t="s">
        <v>1599</v>
      </c>
      <c r="D984" s="10">
        <v>-0.79870715400000003</v>
      </c>
      <c r="E984" s="10">
        <v>-0.97929880400000002</v>
      </c>
      <c r="F984" s="10">
        <v>-0.94067931400000004</v>
      </c>
      <c r="G984" s="10">
        <v>-0.549008261</v>
      </c>
      <c r="H984" s="9">
        <v>-0.81692338325000002</v>
      </c>
      <c r="I984" s="10">
        <v>0.19475767113506201</v>
      </c>
      <c r="J984" s="10">
        <v>3.7930550465953103E-2</v>
      </c>
      <c r="K984" s="10">
        <v>-7.3920225000000006E-2</v>
      </c>
      <c r="L984" s="10">
        <v>-6.1703499000000002E-2</v>
      </c>
      <c r="M984" s="10">
        <v>8.2737407999999998E-2</v>
      </c>
      <c r="N984" s="10">
        <v>-5.3236173999999997E-2</v>
      </c>
      <c r="O984" s="9">
        <v>-2.653062275E-2</v>
      </c>
      <c r="P984" s="10">
        <v>7.33384724790027E-2</v>
      </c>
      <c r="Q984" s="10">
        <v>5.3785315455534E-3</v>
      </c>
    </row>
    <row r="985" spans="1:17" x14ac:dyDescent="0.2">
      <c r="A985" s="10">
        <v>1805</v>
      </c>
      <c r="B985" s="10" t="s">
        <v>2819</v>
      </c>
      <c r="C985" s="9" t="s">
        <v>2602</v>
      </c>
      <c r="D985" s="10">
        <v>0.36600061699999997</v>
      </c>
      <c r="E985" s="10">
        <v>-0.27228233400000001</v>
      </c>
      <c r="F985" s="10">
        <v>-7.9805688999999999E-2</v>
      </c>
      <c r="G985" s="10">
        <v>0.18556166800000001</v>
      </c>
      <c r="H985" s="9">
        <v>4.9868565500000003E-2</v>
      </c>
      <c r="I985" s="10">
        <v>0.28222255188678302</v>
      </c>
      <c r="J985" s="10">
        <v>7.9649568793488001E-2</v>
      </c>
      <c r="K985" s="10">
        <v>-0.10112030700000001</v>
      </c>
      <c r="L985" s="10">
        <v>7.444576E-2</v>
      </c>
      <c r="M985" s="10">
        <v>-8.9864848999999997E-2</v>
      </c>
      <c r="N985" s="10">
        <v>-0.75453401099999995</v>
      </c>
      <c r="O985" s="9">
        <v>-0.21776835175000001</v>
      </c>
      <c r="P985" s="10">
        <v>0.36672993351858801</v>
      </c>
      <c r="Q985" s="10">
        <v>0.134490844138548</v>
      </c>
    </row>
    <row r="986" spans="1:17" x14ac:dyDescent="0.2">
      <c r="A986" s="10">
        <v>1805</v>
      </c>
      <c r="B986" s="10" t="s">
        <v>2820</v>
      </c>
      <c r="C986" s="9" t="s">
        <v>1602</v>
      </c>
      <c r="D986" s="10">
        <v>0.31214054400000002</v>
      </c>
      <c r="E986" s="10">
        <v>0.14820731700000001</v>
      </c>
      <c r="F986" s="10">
        <v>0.56455999199999995</v>
      </c>
      <c r="G986" s="10">
        <v>0.57876580099999997</v>
      </c>
      <c r="H986" s="9">
        <v>0.40091841350000001</v>
      </c>
      <c r="I986" s="10">
        <v>0.20828879619552099</v>
      </c>
      <c r="J986" s="10">
        <v>4.3384222620579303E-2</v>
      </c>
      <c r="K986" s="10">
        <v>0.29462554000000002</v>
      </c>
      <c r="L986" s="10">
        <v>0.12966280499999999</v>
      </c>
      <c r="M986" s="10">
        <v>9.1205808999999999E-2</v>
      </c>
      <c r="N986" s="10">
        <v>0.14020538499999999</v>
      </c>
      <c r="O986" s="9">
        <v>0.16392488475</v>
      </c>
      <c r="P986" s="10">
        <v>8.9642307790275003E-2</v>
      </c>
      <c r="Q986" s="10">
        <v>8.0357433459663993E-3</v>
      </c>
    </row>
    <row r="987" spans="1:17" x14ac:dyDescent="0.2">
      <c r="A987" s="10">
        <v>1805</v>
      </c>
      <c r="B987" s="10" t="s">
        <v>2824</v>
      </c>
      <c r="C987" s="9" t="s">
        <v>1603</v>
      </c>
      <c r="D987" s="10">
        <v>0.49527485599999999</v>
      </c>
      <c r="E987" s="10">
        <v>0.22558766599999999</v>
      </c>
      <c r="F987" s="10">
        <v>0.60485407000000002</v>
      </c>
      <c r="G987" s="10">
        <v>0.14742255900000001</v>
      </c>
      <c r="H987" s="9">
        <v>0.36828478775000001</v>
      </c>
      <c r="I987" s="10">
        <v>0.21697472616457</v>
      </c>
      <c r="J987" s="10">
        <v>4.70780317941904E-2</v>
      </c>
      <c r="K987" s="10">
        <v>0.274151741</v>
      </c>
      <c r="L987" s="10">
        <v>0.39127175400000003</v>
      </c>
      <c r="M987" s="10">
        <v>0.13678586100000001</v>
      </c>
      <c r="N987" s="10">
        <v>8.4992948999999998E-2</v>
      </c>
      <c r="O987" s="9">
        <v>0.22180057624999999</v>
      </c>
      <c r="P987" s="10">
        <v>0.13832926084945199</v>
      </c>
      <c r="Q987" s="10">
        <v>1.9134984407155699E-2</v>
      </c>
    </row>
    <row r="988" spans="1:17" x14ac:dyDescent="0.2">
      <c r="A988" s="10">
        <v>1805</v>
      </c>
      <c r="B988" s="10" t="s">
        <v>2814</v>
      </c>
      <c r="C988" s="9" t="s">
        <v>1605</v>
      </c>
      <c r="D988" s="10">
        <v>-0.22030169499999999</v>
      </c>
      <c r="E988" s="10">
        <v>-0.53640644999999998</v>
      </c>
      <c r="F988" s="10">
        <v>-1.2966932E-2</v>
      </c>
      <c r="G988" s="10">
        <v>-0.29237595500000002</v>
      </c>
      <c r="H988" s="9">
        <v>-0.26551275824999998</v>
      </c>
      <c r="I988" s="10">
        <v>0.21596948717049799</v>
      </c>
      <c r="J988" s="10">
        <v>4.6642819388687903E-2</v>
      </c>
      <c r="K988" s="10">
        <v>-0.30328583100000001</v>
      </c>
      <c r="L988" s="10">
        <v>-0.78640785300000005</v>
      </c>
      <c r="M988" s="10">
        <v>-6.6659070000000004E-3</v>
      </c>
      <c r="N988" s="10">
        <v>0.14874404599999999</v>
      </c>
      <c r="O988" s="9">
        <v>-0.23690388625</v>
      </c>
      <c r="P988" s="10">
        <v>0.41153980236853599</v>
      </c>
      <c r="Q988" s="10">
        <v>0.16936500893353301</v>
      </c>
    </row>
    <row r="989" spans="1:17" x14ac:dyDescent="0.2">
      <c r="A989" s="10">
        <v>1805</v>
      </c>
      <c r="B989" s="10" t="s">
        <v>2833</v>
      </c>
      <c r="C989" s="9" t="s">
        <v>1606</v>
      </c>
      <c r="D989" s="10">
        <v>-0.163224219</v>
      </c>
      <c r="E989" s="10">
        <v>-0.111304639</v>
      </c>
      <c r="F989" s="10">
        <v>-7.8147549999999996E-3</v>
      </c>
      <c r="G989" s="10">
        <v>-7.961625E-3</v>
      </c>
      <c r="H989" s="9">
        <v>-7.2576309500000005E-2</v>
      </c>
      <c r="I989" s="10">
        <v>7.7644582118075595E-2</v>
      </c>
      <c r="J989" s="10">
        <v>6.0286811322904999E-3</v>
      </c>
      <c r="K989" s="10">
        <v>-2.6357531E-2</v>
      </c>
      <c r="L989" s="10">
        <v>-0.55133155</v>
      </c>
      <c r="M989" s="10">
        <v>-0.23304915000000001</v>
      </c>
      <c r="N989" s="10">
        <v>-0.44158909600000001</v>
      </c>
      <c r="O989" s="9">
        <v>-0.31308183150000002</v>
      </c>
      <c r="P989" s="10">
        <v>0.23230231739401999</v>
      </c>
      <c r="Q989" s="10">
        <v>5.3964366666632298E-2</v>
      </c>
    </row>
    <row r="990" spans="1:17" x14ac:dyDescent="0.2">
      <c r="A990" s="10">
        <v>1805</v>
      </c>
      <c r="B990" s="10" t="s">
        <v>2825</v>
      </c>
      <c r="C990" s="9" t="s">
        <v>1607</v>
      </c>
      <c r="D990" s="10">
        <v>0.43926962400000003</v>
      </c>
      <c r="E990" s="10">
        <v>0.80432647400000001</v>
      </c>
      <c r="F990" s="10">
        <v>0.32457495600000003</v>
      </c>
      <c r="G990" s="10">
        <v>0.22676758699999999</v>
      </c>
      <c r="H990" s="9">
        <v>0.44873466049999999</v>
      </c>
      <c r="I990" s="10">
        <v>0.25246791128368901</v>
      </c>
      <c r="J990" s="10">
        <v>6.3740046227948904E-2</v>
      </c>
      <c r="K990" s="10">
        <v>0.43319565500000001</v>
      </c>
      <c r="L990" s="10">
        <v>0.37661910300000001</v>
      </c>
      <c r="M990" s="10">
        <v>-8.6058149999999993E-3</v>
      </c>
      <c r="N990" s="10">
        <v>0.21636096299999999</v>
      </c>
      <c r="O990" s="9">
        <v>0.25439247650000002</v>
      </c>
      <c r="P990" s="10">
        <v>0.197926267600077</v>
      </c>
      <c r="Q990" s="10">
        <v>3.9174807406097599E-2</v>
      </c>
    </row>
    <row r="991" spans="1:17" x14ac:dyDescent="0.2">
      <c r="A991" s="10">
        <v>1805</v>
      </c>
      <c r="B991" s="10" t="s">
        <v>2832</v>
      </c>
      <c r="C991" s="9" t="s">
        <v>1611</v>
      </c>
      <c r="D991" s="10">
        <v>0.52707943000000002</v>
      </c>
      <c r="E991" s="10">
        <v>-0.225913683</v>
      </c>
      <c r="F991" s="10">
        <v>-0.16187594799999999</v>
      </c>
      <c r="G991" s="10">
        <v>7.1778475999999994E-2</v>
      </c>
      <c r="H991" s="9">
        <v>5.2767069E-2</v>
      </c>
      <c r="I991" s="10">
        <v>0.34111006809907202</v>
      </c>
      <c r="J991" s="10">
        <v>0.116356078558553</v>
      </c>
      <c r="K991" s="10">
        <v>-1.4838952000000001E-2</v>
      </c>
      <c r="L991" s="10">
        <v>-0.20407141300000001</v>
      </c>
      <c r="M991" s="10">
        <v>-0.15896507900000001</v>
      </c>
      <c r="N991" s="10">
        <v>0.54503418100000001</v>
      </c>
      <c r="O991" s="9">
        <v>4.178968425E-2</v>
      </c>
      <c r="P991" s="10">
        <v>0.34506616759747799</v>
      </c>
      <c r="Q991" s="10">
        <v>0.119070660020411</v>
      </c>
    </row>
    <row r="992" spans="1:17" x14ac:dyDescent="0.2">
      <c r="A992" s="10">
        <v>1806</v>
      </c>
      <c r="B992" s="10" t="s">
        <v>2822</v>
      </c>
      <c r="C992" s="9" t="s">
        <v>1612</v>
      </c>
      <c r="D992" s="10">
        <v>-0.25162031200000001</v>
      </c>
      <c r="E992" s="10">
        <v>-0.96880595599999997</v>
      </c>
      <c r="F992" s="10">
        <v>-0.61772786300000004</v>
      </c>
      <c r="G992" s="10">
        <v>-0.64631605400000003</v>
      </c>
      <c r="H992" s="9">
        <v>-0.62111754649999995</v>
      </c>
      <c r="I992" s="10">
        <v>0.293292738368025</v>
      </c>
      <c r="J992" s="10">
        <v>8.6020630379415097E-2</v>
      </c>
      <c r="K992" s="10">
        <v>-0.69785062499999995</v>
      </c>
      <c r="L992" s="10">
        <v>-0.37183454900000001</v>
      </c>
      <c r="M992" s="10">
        <v>-1.2658828440000001</v>
      </c>
      <c r="N992" s="10">
        <v>-0.35324194599999997</v>
      </c>
      <c r="O992" s="9">
        <v>-0.67220249124999998</v>
      </c>
      <c r="P992" s="10">
        <v>0.42625145871261599</v>
      </c>
      <c r="Q992" s="10">
        <v>0.18169030605463299</v>
      </c>
    </row>
    <row r="993" spans="1:17" x14ac:dyDescent="0.2">
      <c r="A993" s="10">
        <v>1806</v>
      </c>
      <c r="B993" s="10" t="s">
        <v>2834</v>
      </c>
      <c r="C993" s="9" t="s">
        <v>1613</v>
      </c>
      <c r="D993" s="10">
        <v>0.83934370899999999</v>
      </c>
      <c r="E993" s="10">
        <v>0.51981434100000001</v>
      </c>
      <c r="F993" s="10">
        <v>0.52022874299999999</v>
      </c>
      <c r="G993" s="10">
        <v>0.50810035899999995</v>
      </c>
      <c r="H993" s="9">
        <v>0.59687178799999996</v>
      </c>
      <c r="I993" s="10">
        <v>0.16174569089073301</v>
      </c>
      <c r="J993" s="10">
        <v>2.61616685217207E-2</v>
      </c>
      <c r="K993" s="10">
        <v>1.4088598000000001E-2</v>
      </c>
      <c r="L993" s="10">
        <v>0.172169087</v>
      </c>
      <c r="M993" s="10">
        <v>-0.12159336900000001</v>
      </c>
      <c r="N993" s="10">
        <v>0.18140930899999999</v>
      </c>
      <c r="O993" s="9">
        <v>6.1518406249999998E-2</v>
      </c>
      <c r="P993" s="10">
        <v>0.14421848085282099</v>
      </c>
      <c r="Q993" s="10">
        <v>2.0798970219495502E-2</v>
      </c>
    </row>
    <row r="994" spans="1:17" x14ac:dyDescent="0.2">
      <c r="A994" s="10">
        <v>1806</v>
      </c>
      <c r="B994" s="10" t="s">
        <v>2824</v>
      </c>
      <c r="C994" s="9" t="s">
        <v>1615</v>
      </c>
      <c r="D994" s="10">
        <v>4.8949429000000003E-2</v>
      </c>
      <c r="E994" s="10">
        <v>5.667635E-2</v>
      </c>
      <c r="F994" s="10">
        <v>-0.15641846200000001</v>
      </c>
      <c r="G994" s="10">
        <v>0.265331602</v>
      </c>
      <c r="H994" s="9">
        <v>5.3634729749999999E-2</v>
      </c>
      <c r="I994" s="10">
        <v>0.17221025190316799</v>
      </c>
      <c r="J994" s="10">
        <v>2.96563708605527E-2</v>
      </c>
      <c r="K994" s="10">
        <v>0.213167833</v>
      </c>
      <c r="L994" s="10">
        <v>-8.4037962999999993E-2</v>
      </c>
      <c r="M994" s="10">
        <v>0.21823031800000001</v>
      </c>
      <c r="N994" s="10">
        <v>0.16854944199999999</v>
      </c>
      <c r="O994" s="9">
        <v>0.12897740725000001</v>
      </c>
      <c r="P994" s="10">
        <v>0.143753960829274</v>
      </c>
      <c r="Q994" s="10">
        <v>2.0665201254104499E-2</v>
      </c>
    </row>
    <row r="995" spans="1:17" x14ac:dyDescent="0.2">
      <c r="A995" s="10">
        <v>1806</v>
      </c>
      <c r="B995" s="10" t="s">
        <v>2833</v>
      </c>
      <c r="C995" s="9" t="s">
        <v>1616</v>
      </c>
      <c r="D995" s="10">
        <v>-2.2760687000000002E-2</v>
      </c>
      <c r="E995" s="10">
        <v>-0.55121086100000005</v>
      </c>
      <c r="F995" s="10">
        <v>-0.65340003700000004</v>
      </c>
      <c r="G995" s="10">
        <v>-0.26893378899999998</v>
      </c>
      <c r="H995" s="9">
        <v>-0.37407634350000002</v>
      </c>
      <c r="I995" s="10">
        <v>0.28511752565638099</v>
      </c>
      <c r="J995" s="10">
        <v>8.1292003436417098E-2</v>
      </c>
      <c r="K995" s="10">
        <v>-0.54022448199999995</v>
      </c>
      <c r="L995" s="10">
        <v>-0.28750608900000002</v>
      </c>
      <c r="M995" s="10">
        <v>-0.37290901500000001</v>
      </c>
      <c r="N995" s="10">
        <v>-0.14289631699999999</v>
      </c>
      <c r="O995" s="9">
        <v>-0.33588397575000001</v>
      </c>
      <c r="P995" s="10">
        <v>0.16604271777886201</v>
      </c>
      <c r="Q995" s="10">
        <v>2.75701841273908E-2</v>
      </c>
    </row>
    <row r="996" spans="1:17" x14ac:dyDescent="0.2">
      <c r="A996" s="10">
        <v>1806</v>
      </c>
      <c r="B996" s="10" t="s">
        <v>2825</v>
      </c>
      <c r="C996" s="9" t="s">
        <v>1617</v>
      </c>
      <c r="D996" s="10">
        <v>0.17362487800000001</v>
      </c>
      <c r="E996" s="10">
        <v>0.21111466400000001</v>
      </c>
      <c r="F996" s="10">
        <v>0.12494937</v>
      </c>
      <c r="G996" s="10">
        <v>2.6416363000000002E-2</v>
      </c>
      <c r="H996" s="9">
        <v>0.13402631849999999</v>
      </c>
      <c r="I996" s="10">
        <v>7.9943631064198398E-2</v>
      </c>
      <c r="J996" s="10">
        <v>6.3909841477285999E-3</v>
      </c>
      <c r="K996" s="10">
        <v>0.13692796600000001</v>
      </c>
      <c r="L996" s="10">
        <v>0.180358295</v>
      </c>
      <c r="M996" s="10">
        <v>3.0600865000000001E-2</v>
      </c>
      <c r="N996" s="10">
        <v>-8.5753411000000002E-2</v>
      </c>
      <c r="O996" s="9">
        <v>6.5533428749999997E-2</v>
      </c>
      <c r="P996" s="10">
        <v>0.118869566823138</v>
      </c>
      <c r="Q996" s="10">
        <v>1.4129973916720599E-2</v>
      </c>
    </row>
    <row r="997" spans="1:17" x14ac:dyDescent="0.2">
      <c r="A997" s="10">
        <v>1806</v>
      </c>
      <c r="B997" s="10" t="s">
        <v>74</v>
      </c>
      <c r="C997" s="9" t="s">
        <v>1618</v>
      </c>
      <c r="D997" s="10">
        <v>0.569690166</v>
      </c>
      <c r="E997" s="10">
        <v>0.48347677100000003</v>
      </c>
      <c r="F997" s="10">
        <v>0.83160529699999997</v>
      </c>
      <c r="G997" s="10">
        <v>0.63666742899999995</v>
      </c>
      <c r="H997" s="9">
        <v>0.63035991575000005</v>
      </c>
      <c r="I997" s="10">
        <v>0.14809339952007</v>
      </c>
      <c r="J997" s="10">
        <v>2.1931654981411201E-2</v>
      </c>
      <c r="K997" s="10">
        <v>1.0854855670000001</v>
      </c>
      <c r="L997" s="10">
        <v>0.434127121</v>
      </c>
      <c r="M997" s="10">
        <v>0.97648296300000004</v>
      </c>
      <c r="N997" s="10">
        <v>1.19357756</v>
      </c>
      <c r="O997" s="9">
        <v>0.92241830275000003</v>
      </c>
      <c r="P997" s="10">
        <v>0.33737691144332399</v>
      </c>
      <c r="Q997" s="10">
        <v>0.113823180375036</v>
      </c>
    </row>
    <row r="998" spans="1:17" x14ac:dyDescent="0.2">
      <c r="A998" s="10">
        <v>1807</v>
      </c>
      <c r="B998" s="10" t="s">
        <v>2834</v>
      </c>
      <c r="C998" s="9" t="s">
        <v>1621</v>
      </c>
      <c r="D998" s="10">
        <v>-1.218356142</v>
      </c>
      <c r="E998" s="10">
        <v>-1.1147681840000001</v>
      </c>
      <c r="F998" s="10">
        <v>-1.9244126500000001</v>
      </c>
      <c r="G998" s="10">
        <v>-1.7456078450000001</v>
      </c>
      <c r="H998" s="9">
        <v>-1.5007862052500001</v>
      </c>
      <c r="I998" s="10">
        <v>0.39504162368817403</v>
      </c>
      <c r="J998" s="10">
        <v>0.15605788444618901</v>
      </c>
      <c r="K998" s="10">
        <v>-0.67236293400000002</v>
      </c>
      <c r="L998" s="10">
        <v>-0.51187175799999995</v>
      </c>
      <c r="M998" s="10">
        <v>-0.85095525999999999</v>
      </c>
      <c r="N998" s="10">
        <v>-0.885755238</v>
      </c>
      <c r="O998" s="9">
        <v>-0.73023629749999996</v>
      </c>
      <c r="P998" s="10">
        <v>0.17300443835845</v>
      </c>
      <c r="Q998" s="10">
        <v>2.9930535691722999E-2</v>
      </c>
    </row>
    <row r="999" spans="1:17" x14ac:dyDescent="0.2">
      <c r="A999" s="10">
        <v>1807</v>
      </c>
      <c r="B999" s="10" t="s">
        <v>2820</v>
      </c>
      <c r="C999" s="9" t="s">
        <v>1622</v>
      </c>
      <c r="D999" s="10">
        <v>-0.36095754000000002</v>
      </c>
      <c r="E999" s="10">
        <v>-1.1679243029999999</v>
      </c>
      <c r="F999" s="10">
        <v>-0.92099436099999998</v>
      </c>
      <c r="G999" s="10">
        <v>-0.95750798800000003</v>
      </c>
      <c r="H999" s="9">
        <v>-0.85184604799999997</v>
      </c>
      <c r="I999" s="10">
        <v>0.34487820329580099</v>
      </c>
      <c r="J999" s="10">
        <v>0.11894097510854</v>
      </c>
      <c r="K999" s="10">
        <v>0.126858217</v>
      </c>
      <c r="L999" s="10">
        <v>0.29217351600000002</v>
      </c>
      <c r="M999" s="10">
        <v>9.5588539E-2</v>
      </c>
      <c r="N999" s="10">
        <v>-6.7920234999999995E-2</v>
      </c>
      <c r="O999" s="9">
        <v>0.11167500925</v>
      </c>
      <c r="P999" s="10">
        <v>0.14756181418745701</v>
      </c>
      <c r="Q999" s="10">
        <v>2.1774489006293501E-2</v>
      </c>
    </row>
    <row r="1000" spans="1:17" x14ac:dyDescent="0.2">
      <c r="A1000" s="10">
        <v>1807</v>
      </c>
      <c r="B1000" s="10" t="s">
        <v>2824</v>
      </c>
      <c r="C1000" s="9" t="s">
        <v>1623</v>
      </c>
      <c r="D1000" s="10">
        <v>-5.6554592000000001E-2</v>
      </c>
      <c r="E1000" s="10">
        <v>-0.49361385200000002</v>
      </c>
      <c r="F1000" s="10">
        <v>-1.2909111170000001</v>
      </c>
      <c r="G1000" s="10">
        <v>-1.715932655</v>
      </c>
      <c r="H1000" s="9">
        <v>-0.88925305374999997</v>
      </c>
      <c r="I1000" s="10">
        <v>0.75158620464960502</v>
      </c>
      <c r="J1000" s="10">
        <v>0.564881823019597</v>
      </c>
      <c r="K1000" s="10">
        <v>-0.130063807</v>
      </c>
      <c r="L1000" s="10">
        <v>-0.760048846</v>
      </c>
      <c r="M1000" s="10">
        <v>-0.16125484000000001</v>
      </c>
      <c r="N1000" s="10">
        <v>-1.1302033810000001</v>
      </c>
      <c r="O1000" s="9">
        <v>-0.54539271874999995</v>
      </c>
      <c r="P1000" s="10">
        <v>0.48584660764252202</v>
      </c>
      <c r="Q1000" s="10">
        <v>0.236046926157746</v>
      </c>
    </row>
    <row r="1001" spans="1:17" x14ac:dyDescent="0.2">
      <c r="A1001" s="10">
        <v>1807</v>
      </c>
      <c r="B1001" s="10" t="s">
        <v>2818</v>
      </c>
      <c r="C1001" s="9" t="s">
        <v>1624</v>
      </c>
      <c r="D1001" s="10">
        <v>-0.18546405399999999</v>
      </c>
      <c r="E1001" s="10">
        <v>-0.54751356100000004</v>
      </c>
      <c r="F1001" s="10">
        <v>-0.53068490700000004</v>
      </c>
      <c r="G1001" s="10">
        <v>-0.72100705899999995</v>
      </c>
      <c r="H1001" s="9">
        <v>-0.49616739524999998</v>
      </c>
      <c r="I1001" s="10">
        <v>0.22428949151618299</v>
      </c>
      <c r="J1001" s="10">
        <v>5.0305776004588201E-2</v>
      </c>
      <c r="K1001" s="10">
        <v>-0.70972832399999997</v>
      </c>
      <c r="L1001" s="10">
        <v>-0.32660409800000001</v>
      </c>
      <c r="M1001" s="10">
        <v>-0.70760378099999999</v>
      </c>
      <c r="N1001" s="10">
        <v>-0.47717202800000003</v>
      </c>
      <c r="O1001" s="9">
        <v>-0.5552770575</v>
      </c>
      <c r="P1001" s="10">
        <v>0.18748363702412699</v>
      </c>
      <c r="Q1001" s="10">
        <v>3.5150114151794601E-2</v>
      </c>
    </row>
    <row r="1002" spans="1:17" x14ac:dyDescent="0.2">
      <c r="A1002" s="10">
        <v>1807</v>
      </c>
      <c r="B1002" s="10" t="s">
        <v>2830</v>
      </c>
      <c r="C1002" s="9" t="s">
        <v>1625</v>
      </c>
      <c r="D1002" s="10">
        <v>0.28565739400000001</v>
      </c>
      <c r="E1002" s="10">
        <v>-6.2192281000000002E-2</v>
      </c>
      <c r="F1002" s="10">
        <v>0.10992634</v>
      </c>
      <c r="G1002" s="10">
        <v>-0.191384215</v>
      </c>
      <c r="H1002" s="9">
        <v>3.5501809500000002E-2</v>
      </c>
      <c r="I1002" s="10">
        <v>0.207475485000613</v>
      </c>
      <c r="J1002" s="10">
        <v>4.3046076876239597E-2</v>
      </c>
      <c r="K1002" s="10">
        <v>0.24554509699999999</v>
      </c>
      <c r="L1002" s="10">
        <v>0.27190276099999999</v>
      </c>
      <c r="M1002" s="10">
        <v>0.280371274</v>
      </c>
      <c r="N1002" s="10">
        <v>0.42035218099999999</v>
      </c>
      <c r="O1002" s="9">
        <v>0.30454282799999999</v>
      </c>
      <c r="P1002" s="10">
        <v>7.8617590275048804E-2</v>
      </c>
      <c r="Q1002" s="10">
        <v>6.1807255006553997E-3</v>
      </c>
    </row>
    <row r="1003" spans="1:17" x14ac:dyDescent="0.2">
      <c r="A1003" s="10">
        <v>1808</v>
      </c>
      <c r="B1003" s="10" t="s">
        <v>2826</v>
      </c>
      <c r="C1003" s="9" t="s">
        <v>1626</v>
      </c>
      <c r="D1003" s="10">
        <v>4.4071984000000002E-2</v>
      </c>
      <c r="E1003" s="10">
        <v>-3.0028785999999998E-2</v>
      </c>
      <c r="F1003" s="10">
        <v>9.7884045000000003E-2</v>
      </c>
      <c r="G1003" s="10">
        <v>-0.34391813599999999</v>
      </c>
      <c r="H1003" s="9">
        <v>-5.7997723250000001E-2</v>
      </c>
      <c r="I1003" s="10">
        <v>0.19769513119015</v>
      </c>
      <c r="J1003" s="10">
        <v>3.9083364896290697E-2</v>
      </c>
      <c r="K1003" s="10">
        <v>0.18083964499999999</v>
      </c>
      <c r="L1003" s="10">
        <v>-8.8797802999999995E-2</v>
      </c>
      <c r="M1003" s="10">
        <v>0.77895622200000003</v>
      </c>
      <c r="N1003" s="10">
        <v>0.285700593</v>
      </c>
      <c r="O1003" s="9">
        <v>0.28917466424999999</v>
      </c>
      <c r="P1003" s="10">
        <v>0.36262823289516799</v>
      </c>
      <c r="Q1003" s="10">
        <v>0.13149923529267199</v>
      </c>
    </row>
    <row r="1004" spans="1:17" x14ac:dyDescent="0.2">
      <c r="A1004" s="10">
        <v>1808</v>
      </c>
      <c r="B1004" s="10" t="s">
        <v>2820</v>
      </c>
      <c r="C1004" s="9" t="s">
        <v>1627</v>
      </c>
      <c r="D1004" s="10">
        <v>-0.88339150099999997</v>
      </c>
      <c r="E1004" s="10">
        <v>-1.352137945</v>
      </c>
      <c r="F1004" s="10">
        <v>-0.48720374300000002</v>
      </c>
      <c r="G1004" s="10">
        <v>-0.67842181599999996</v>
      </c>
      <c r="H1004" s="9">
        <v>-0.85028875150000005</v>
      </c>
      <c r="I1004" s="10">
        <v>0.37162587457309998</v>
      </c>
      <c r="J1004" s="10">
        <v>0.138105790652222</v>
      </c>
      <c r="K1004" s="10">
        <v>-0.60881765899999996</v>
      </c>
      <c r="L1004" s="10">
        <v>0.217441404</v>
      </c>
      <c r="M1004" s="10">
        <v>0.32330756999999999</v>
      </c>
      <c r="N1004" s="10">
        <v>0.100765091</v>
      </c>
      <c r="O1004" s="9">
        <v>8.1741012499999995E-3</v>
      </c>
      <c r="P1004" s="10">
        <v>0.42124966101903</v>
      </c>
      <c r="Q1004" s="10">
        <v>0.17745127690864801</v>
      </c>
    </row>
    <row r="1005" spans="1:17" x14ac:dyDescent="0.2">
      <c r="A1005" s="10">
        <v>1808</v>
      </c>
      <c r="B1005" s="10" t="s">
        <v>2824</v>
      </c>
      <c r="C1005" s="9" t="s">
        <v>1628</v>
      </c>
      <c r="D1005" s="10">
        <v>0.34013349700000001</v>
      </c>
      <c r="E1005" s="10">
        <v>0.50301851500000005</v>
      </c>
      <c r="F1005" s="10">
        <v>0.25483826799999998</v>
      </c>
      <c r="G1005" s="10">
        <v>-0.140484994</v>
      </c>
      <c r="H1005" s="9">
        <v>0.23937632175000001</v>
      </c>
      <c r="I1005" s="10">
        <v>0.27336965535771501</v>
      </c>
      <c r="J1005" s="10">
        <v>7.4730968470396203E-2</v>
      </c>
      <c r="K1005" s="10">
        <v>0.37249617000000002</v>
      </c>
      <c r="L1005" s="10">
        <v>0.41821641900000001</v>
      </c>
      <c r="M1005" s="10">
        <v>0.116075895</v>
      </c>
      <c r="N1005" s="10">
        <v>0.22980541600000001</v>
      </c>
      <c r="O1005" s="9">
        <v>0.28414847500000001</v>
      </c>
      <c r="P1005" s="10">
        <v>0.13781761985746899</v>
      </c>
      <c r="Q1005" s="10">
        <v>1.8993696343178001E-2</v>
      </c>
    </row>
    <row r="1006" spans="1:17" x14ac:dyDescent="0.2">
      <c r="A1006" s="10">
        <v>1808</v>
      </c>
      <c r="B1006" s="10" t="s">
        <v>2817</v>
      </c>
      <c r="C1006" s="9" t="s">
        <v>1629</v>
      </c>
      <c r="D1006" s="10">
        <v>-0.16728094900000001</v>
      </c>
      <c r="E1006" s="10">
        <v>-0.90341033400000004</v>
      </c>
      <c r="F1006" s="10">
        <v>-0.79314157299999999</v>
      </c>
      <c r="G1006" s="10">
        <v>-0.89667913099999996</v>
      </c>
      <c r="H1006" s="9">
        <v>-0.69012799700000005</v>
      </c>
      <c r="I1006" s="10">
        <v>0.35219954508558998</v>
      </c>
      <c r="J1006" s="10">
        <v>0.12404451955849601</v>
      </c>
      <c r="K1006" s="10">
        <v>0.11597669400000001</v>
      </c>
      <c r="L1006" s="10">
        <v>-0.369707811</v>
      </c>
      <c r="M1006" s="10">
        <v>-1.0975124110000001</v>
      </c>
      <c r="N1006" s="10">
        <v>-0.18757432900000001</v>
      </c>
      <c r="O1006" s="9">
        <v>-0.38470446424999999</v>
      </c>
      <c r="P1006" s="10">
        <v>0.51570727517617199</v>
      </c>
      <c r="Q1006" s="10">
        <v>0.26595399366963202</v>
      </c>
    </row>
    <row r="1007" spans="1:17" x14ac:dyDescent="0.2">
      <c r="A1007" s="10">
        <v>1808</v>
      </c>
      <c r="B1007" s="10" t="s">
        <v>2814</v>
      </c>
      <c r="C1007" s="9" t="s">
        <v>1630</v>
      </c>
      <c r="D1007" s="10">
        <v>-1.345262288</v>
      </c>
      <c r="E1007" s="10">
        <v>-0.84475172499999995</v>
      </c>
      <c r="F1007" s="10">
        <v>-1.439769976</v>
      </c>
      <c r="G1007" s="10">
        <v>-0.60867810600000005</v>
      </c>
      <c r="H1007" s="9">
        <v>-1.05961552375</v>
      </c>
      <c r="I1007" s="10">
        <v>0.39817185913970599</v>
      </c>
      <c r="J1007" s="10">
        <v>0.15854082941077</v>
      </c>
      <c r="K1007" s="10">
        <v>-0.18412721600000001</v>
      </c>
      <c r="L1007" s="10">
        <v>-0.50414952800000001</v>
      </c>
      <c r="M1007" s="10">
        <v>-0.48086081600000002</v>
      </c>
      <c r="N1007" s="10">
        <v>0.30235879599999999</v>
      </c>
      <c r="O1007" s="9">
        <v>-0.21669469099999999</v>
      </c>
      <c r="P1007" s="10">
        <v>0.37545136733756701</v>
      </c>
      <c r="Q1007" s="10">
        <v>0.14096372923564901</v>
      </c>
    </row>
    <row r="1008" spans="1:17" x14ac:dyDescent="0.2">
      <c r="A1008" s="10">
        <v>1808</v>
      </c>
      <c r="B1008" s="10" t="s">
        <v>2833</v>
      </c>
      <c r="C1008" s="9" t="s">
        <v>1631</v>
      </c>
      <c r="D1008" s="10">
        <v>-0.60421339699999999</v>
      </c>
      <c r="E1008" s="10">
        <v>-1.3873213769999999</v>
      </c>
      <c r="F1008" s="10">
        <v>-0.62341541499999997</v>
      </c>
      <c r="G1008" s="10">
        <v>-0.16941709399999999</v>
      </c>
      <c r="H1008" s="9">
        <v>-0.69609182074999998</v>
      </c>
      <c r="I1008" s="10">
        <v>0.50626345971713205</v>
      </c>
      <c r="J1008" s="10">
        <v>0.25630269064476002</v>
      </c>
      <c r="K1008" s="10">
        <v>7.2219307999999996E-2</v>
      </c>
      <c r="L1008" s="10">
        <v>-0.33305036199999999</v>
      </c>
      <c r="M1008" s="10">
        <v>0.38705630800000002</v>
      </c>
      <c r="N1008" s="10">
        <v>0.52659211500000003</v>
      </c>
      <c r="O1008" s="9">
        <v>0.16320434249999999</v>
      </c>
      <c r="P1008" s="10">
        <v>0.38153522506756499</v>
      </c>
      <c r="Q1008" s="10">
        <v>0.14556912796735699</v>
      </c>
    </row>
    <row r="1009" spans="1:17" x14ac:dyDescent="0.2">
      <c r="A1009" s="10">
        <v>1808</v>
      </c>
      <c r="B1009" s="10" t="s">
        <v>74</v>
      </c>
      <c r="C1009" s="9" t="s">
        <v>2601</v>
      </c>
      <c r="D1009" s="10">
        <v>-0.56188303699999997</v>
      </c>
      <c r="E1009" s="10">
        <v>-1.3764368259999999</v>
      </c>
      <c r="F1009" s="10">
        <v>-1.9339389250000001</v>
      </c>
      <c r="G1009" s="10">
        <v>-1.0387890209999999</v>
      </c>
      <c r="H1009" s="9">
        <v>-1.227761952</v>
      </c>
      <c r="I1009" s="10">
        <v>0.57732014037466395</v>
      </c>
      <c r="J1009" s="10">
        <v>0.33329854448222201</v>
      </c>
      <c r="K1009" s="10">
        <v>-0.27269944899999998</v>
      </c>
      <c r="L1009" s="10">
        <v>-0.573357911</v>
      </c>
      <c r="M1009" s="10">
        <v>-0.28075433</v>
      </c>
      <c r="N1009" s="10">
        <v>-0.35821271399999999</v>
      </c>
      <c r="O1009" s="9">
        <v>-0.37125610125000003</v>
      </c>
      <c r="P1009" s="10">
        <v>0.14014189922752501</v>
      </c>
      <c r="Q1009" s="10">
        <v>1.9639751919097798E-2</v>
      </c>
    </row>
    <row r="1010" spans="1:17" x14ac:dyDescent="0.2">
      <c r="A1010" s="10">
        <v>1808</v>
      </c>
      <c r="B1010" s="10" t="s">
        <v>2818</v>
      </c>
      <c r="C1010" s="9" t="s">
        <v>1633</v>
      </c>
      <c r="D1010" s="10">
        <v>3.4054202999999998E-2</v>
      </c>
      <c r="E1010" s="10">
        <v>-0.29412298799999997</v>
      </c>
      <c r="F1010" s="10">
        <v>2.2171163000000001E-2</v>
      </c>
      <c r="G1010" s="10">
        <v>5.1046303000000001E-2</v>
      </c>
      <c r="H1010" s="9">
        <v>-4.6712829749999997E-2</v>
      </c>
      <c r="I1010" s="10">
        <v>0.16536520439897401</v>
      </c>
      <c r="J1010" s="10">
        <v>2.7345650825914499E-2</v>
      </c>
      <c r="K1010" s="10">
        <v>0.55119813699999998</v>
      </c>
      <c r="L1010" s="10">
        <v>0.60053546400000002</v>
      </c>
      <c r="M1010" s="10">
        <v>0.23978758</v>
      </c>
      <c r="N1010" s="10">
        <v>5.0639981000000001E-2</v>
      </c>
      <c r="O1010" s="9">
        <v>0.36054029025000001</v>
      </c>
      <c r="P1010" s="10">
        <v>0.26113056546269803</v>
      </c>
      <c r="Q1010" s="10">
        <v>6.8189172218868402E-2</v>
      </c>
    </row>
    <row r="1011" spans="1:17" x14ac:dyDescent="0.2">
      <c r="A1011" s="10">
        <v>1809</v>
      </c>
      <c r="B1011" s="10" t="s">
        <v>2822</v>
      </c>
      <c r="C1011" s="9" t="s">
        <v>63</v>
      </c>
      <c r="D1011" s="10">
        <v>-0.17011987200000001</v>
      </c>
      <c r="E1011" s="10">
        <v>-0.3705677</v>
      </c>
      <c r="F1011" s="10">
        <v>-0.29985182399999999</v>
      </c>
      <c r="G1011" s="10">
        <v>-0.69624879399999995</v>
      </c>
      <c r="H1011" s="9">
        <v>-0.3841970475</v>
      </c>
      <c r="I1011" s="10">
        <v>0.22398303909321499</v>
      </c>
      <c r="J1011" s="10">
        <v>5.0168401801432901E-2</v>
      </c>
      <c r="K1011" s="10">
        <v>0.212976532</v>
      </c>
      <c r="L1011" s="10">
        <v>-0.713544242</v>
      </c>
      <c r="M1011" s="10">
        <v>-0.28076209699999999</v>
      </c>
      <c r="N1011" s="10">
        <v>-1.3132656030000001</v>
      </c>
      <c r="O1011" s="9">
        <v>-0.52364885225000002</v>
      </c>
      <c r="P1011" s="10">
        <v>0.64837381314347398</v>
      </c>
      <c r="Q1011" s="10">
        <v>0.42038860157020802</v>
      </c>
    </row>
    <row r="1012" spans="1:17" x14ac:dyDescent="0.2">
      <c r="A1012" s="10">
        <v>1809</v>
      </c>
      <c r="B1012" s="10" t="s">
        <v>2819</v>
      </c>
      <c r="C1012" s="9" t="s">
        <v>1634</v>
      </c>
      <c r="D1012" s="10">
        <v>-1.2768605959999999</v>
      </c>
      <c r="E1012" s="10">
        <v>-0.76645681300000001</v>
      </c>
      <c r="F1012" s="10">
        <v>-0.70792361800000003</v>
      </c>
      <c r="G1012" s="10">
        <v>-0.54872618399999995</v>
      </c>
      <c r="H1012" s="9">
        <v>-0.82499180274999995</v>
      </c>
      <c r="I1012" s="10">
        <v>0.31498116521586</v>
      </c>
      <c r="J1012" s="10">
        <v>9.9213134440741396E-2</v>
      </c>
      <c r="K1012" s="10">
        <v>-0.12538993000000001</v>
      </c>
      <c r="L1012" s="10">
        <v>-0.107864269</v>
      </c>
      <c r="M1012" s="10">
        <v>4.1671996000000003E-2</v>
      </c>
      <c r="N1012" s="10">
        <v>0.30007477700000001</v>
      </c>
      <c r="O1012" s="9">
        <v>2.7123142999999999E-2</v>
      </c>
      <c r="P1012" s="10">
        <v>0.19680455826466201</v>
      </c>
      <c r="Q1012" s="10">
        <v>3.8732034153748797E-2</v>
      </c>
    </row>
    <row r="1013" spans="1:17" x14ac:dyDescent="0.2">
      <c r="A1013" s="10">
        <v>1809</v>
      </c>
      <c r="B1013" s="10" t="s">
        <v>2824</v>
      </c>
      <c r="C1013" s="9" t="s">
        <v>2600</v>
      </c>
      <c r="D1013" s="10">
        <v>-1.6192082999999999E-2</v>
      </c>
      <c r="E1013" s="10">
        <v>-1.0532320260000001</v>
      </c>
      <c r="F1013" s="10">
        <v>-0.43652036700000002</v>
      </c>
      <c r="G1013" s="10">
        <v>-0.16372932200000001</v>
      </c>
      <c r="H1013" s="9">
        <v>-0.41741844950000001</v>
      </c>
      <c r="I1013" s="10">
        <v>0.458244679147287</v>
      </c>
      <c r="J1013" s="10">
        <v>0.2099881859668</v>
      </c>
      <c r="K1013" s="10">
        <v>3.1033179999999999E-3</v>
      </c>
      <c r="L1013" s="10">
        <v>-0.90066397200000003</v>
      </c>
      <c r="M1013" s="10">
        <v>-0.348088175</v>
      </c>
      <c r="N1013" s="10">
        <v>-0.240328666</v>
      </c>
      <c r="O1013" s="9">
        <v>-0.37149437375</v>
      </c>
      <c r="P1013" s="10">
        <v>0.38214141684546399</v>
      </c>
      <c r="Q1013" s="10">
        <v>0.14603206246865899</v>
      </c>
    </row>
    <row r="1014" spans="1:17" x14ac:dyDescent="0.2">
      <c r="A1014" s="10">
        <v>1809</v>
      </c>
      <c r="B1014" s="10" t="s">
        <v>2817</v>
      </c>
      <c r="C1014" s="9" t="s">
        <v>1635</v>
      </c>
      <c r="D1014" s="10">
        <v>-0.989724194</v>
      </c>
      <c r="E1014" s="10">
        <v>-1.1666439390000001</v>
      </c>
      <c r="F1014" s="10">
        <v>-1.4237483500000001</v>
      </c>
      <c r="G1014" s="10">
        <v>-1.3353035259999999</v>
      </c>
      <c r="H1014" s="9">
        <v>-1.2288550025</v>
      </c>
      <c r="I1014" s="10">
        <v>0.191805861094623</v>
      </c>
      <c r="J1014" s="10">
        <v>3.6789488350250102E-2</v>
      </c>
      <c r="K1014" s="10">
        <v>-0.66492651800000002</v>
      </c>
      <c r="L1014" s="10">
        <v>-0.479546572</v>
      </c>
      <c r="M1014" s="10">
        <v>-0.689969375</v>
      </c>
      <c r="N1014" s="10">
        <v>-0.57404388799999995</v>
      </c>
      <c r="O1014" s="9">
        <v>-0.60212158849999997</v>
      </c>
      <c r="P1014" s="10">
        <v>9.5698632344446297E-2</v>
      </c>
      <c r="Q1014" s="10">
        <v>9.1582282325974994E-3</v>
      </c>
    </row>
    <row r="1015" spans="1:17" x14ac:dyDescent="0.2">
      <c r="A1015" s="10">
        <v>1810</v>
      </c>
      <c r="B1015" s="10" t="s">
        <v>2831</v>
      </c>
      <c r="C1015" s="9" t="s">
        <v>1639</v>
      </c>
      <c r="D1015" s="10">
        <v>-0.638112083</v>
      </c>
      <c r="E1015" s="10">
        <v>-1.027175339</v>
      </c>
      <c r="F1015" s="10">
        <v>-1.128158089</v>
      </c>
      <c r="G1015" s="10">
        <v>-0.94966350300000002</v>
      </c>
      <c r="H1015" s="9">
        <v>-0.93577725374999998</v>
      </c>
      <c r="I1015" s="10">
        <v>0.21147212389557299</v>
      </c>
      <c r="J1015" s="10">
        <v>4.4720459184904499E-2</v>
      </c>
      <c r="K1015" s="10">
        <v>-0.10051122899999999</v>
      </c>
      <c r="L1015" s="10">
        <v>-0.12601609899999999</v>
      </c>
      <c r="M1015" s="10">
        <v>-0.249862954</v>
      </c>
      <c r="N1015" s="10">
        <v>-0.162141062</v>
      </c>
      <c r="O1015" s="9">
        <v>-0.159632836</v>
      </c>
      <c r="P1015" s="10">
        <v>6.5251346889676307E-2</v>
      </c>
      <c r="Q1015" s="10">
        <v>4.2577382709167999E-3</v>
      </c>
    </row>
    <row r="1016" spans="1:17" x14ac:dyDescent="0.2">
      <c r="A1016" s="10">
        <v>1810</v>
      </c>
      <c r="B1016" s="10" t="s">
        <v>2822</v>
      </c>
      <c r="C1016" s="9" t="s">
        <v>1640</v>
      </c>
      <c r="D1016" s="10">
        <v>-2.5520230000000001E-3</v>
      </c>
      <c r="E1016" s="10">
        <v>-0.417397091</v>
      </c>
      <c r="F1016" s="10">
        <v>-0.29934582799999998</v>
      </c>
      <c r="G1016" s="10">
        <v>-2.8552075E-2</v>
      </c>
      <c r="H1016" s="9">
        <v>-0.18696175425</v>
      </c>
      <c r="I1016" s="10">
        <v>0.20398627397900701</v>
      </c>
      <c r="J1016" s="10">
        <v>4.1610399971838803E-2</v>
      </c>
      <c r="K1016" s="10">
        <v>-1.5224194999999999E-2</v>
      </c>
      <c r="L1016" s="10">
        <v>0.16521055300000001</v>
      </c>
      <c r="M1016" s="10">
        <v>6.5068629000000003E-2</v>
      </c>
      <c r="N1016" s="10">
        <v>-0.46670710700000001</v>
      </c>
      <c r="O1016" s="9">
        <v>-6.2913029999999995E-2</v>
      </c>
      <c r="P1016" s="10">
        <v>0.27913172264786201</v>
      </c>
      <c r="Q1016" s="10">
        <v>7.7914518588363096E-2</v>
      </c>
    </row>
    <row r="1017" spans="1:17" x14ac:dyDescent="0.2">
      <c r="A1017" s="10">
        <v>1810</v>
      </c>
      <c r="B1017" s="10" t="s">
        <v>2819</v>
      </c>
      <c r="C1017" s="9" t="s">
        <v>1641</v>
      </c>
      <c r="D1017" s="10">
        <v>-0.95869679200000002</v>
      </c>
      <c r="E1017" s="10">
        <v>-2.152220711</v>
      </c>
      <c r="F1017" s="10">
        <v>-1.191978392</v>
      </c>
      <c r="G1017" s="10">
        <v>-1.352434425</v>
      </c>
      <c r="H1017" s="9">
        <v>-1.41383257975</v>
      </c>
      <c r="I1017" s="10">
        <v>0.51812309724317995</v>
      </c>
      <c r="J1017" s="10">
        <v>0.26845154389686499</v>
      </c>
      <c r="K1017" s="10">
        <v>-0.54277096000000002</v>
      </c>
      <c r="L1017" s="10">
        <v>-0.63877334399999997</v>
      </c>
      <c r="M1017" s="10">
        <v>-2.9721750000000001E-3</v>
      </c>
      <c r="N1017" s="10">
        <v>-0.151979645</v>
      </c>
      <c r="O1017" s="9">
        <v>-0.33412403075000002</v>
      </c>
      <c r="P1017" s="10">
        <v>0.30505894183259302</v>
      </c>
      <c r="Q1017" s="10">
        <v>9.3060957992021506E-2</v>
      </c>
    </row>
    <row r="1018" spans="1:17" x14ac:dyDescent="0.2">
      <c r="A1018" s="10">
        <v>1810</v>
      </c>
      <c r="B1018" s="10" t="s">
        <v>2824</v>
      </c>
      <c r="C1018" s="9" t="s">
        <v>1642</v>
      </c>
      <c r="D1018" s="10">
        <v>-0.110573987</v>
      </c>
      <c r="E1018" s="10">
        <v>-0.23376080699999999</v>
      </c>
      <c r="F1018" s="10">
        <v>-0.45179784099999998</v>
      </c>
      <c r="G1018" s="10">
        <v>-0.43845427999999997</v>
      </c>
      <c r="H1018" s="9">
        <v>-0.30864672850000002</v>
      </c>
      <c r="I1018" s="10">
        <v>0.16551228917177399</v>
      </c>
      <c r="J1018" s="10">
        <v>2.7394317866880898E-2</v>
      </c>
      <c r="K1018" s="10">
        <v>-0.123366903</v>
      </c>
      <c r="L1018" s="10">
        <v>-2.1760199000000001E-2</v>
      </c>
      <c r="M1018" s="10">
        <v>-9.3275002999999995E-2</v>
      </c>
      <c r="N1018" s="10">
        <v>7.7625100000000002E-2</v>
      </c>
      <c r="O1018" s="9">
        <v>-4.01942515E-2</v>
      </c>
      <c r="P1018" s="10">
        <v>8.9361568952203901E-2</v>
      </c>
      <c r="Q1018" s="10">
        <v>7.9854900055994996E-3</v>
      </c>
    </row>
    <row r="1019" spans="1:17" x14ac:dyDescent="0.2">
      <c r="A1019" s="10">
        <v>1810</v>
      </c>
      <c r="B1019" s="10" t="s">
        <v>2833</v>
      </c>
      <c r="C1019" s="9" t="s">
        <v>1644</v>
      </c>
      <c r="D1019" s="10">
        <v>-0.50188546999999994</v>
      </c>
      <c r="E1019" s="10">
        <v>-0.57348501299999999</v>
      </c>
      <c r="F1019" s="10">
        <v>-1.000427371</v>
      </c>
      <c r="G1019" s="10">
        <v>-0.126711507</v>
      </c>
      <c r="H1019" s="9">
        <v>-0.55062734000000002</v>
      </c>
      <c r="I1019" s="10">
        <v>0.35820056972863501</v>
      </c>
      <c r="J1019" s="10">
        <v>0.12830764815391801</v>
      </c>
      <c r="K1019" s="10">
        <v>-0.67002558899999998</v>
      </c>
      <c r="L1019" s="10">
        <v>-0.174100592</v>
      </c>
      <c r="M1019" s="10">
        <v>0.40036696599999999</v>
      </c>
      <c r="N1019" s="10">
        <v>0.70013295399999997</v>
      </c>
      <c r="O1019" s="9">
        <v>6.4093434749999997E-2</v>
      </c>
      <c r="P1019" s="10">
        <v>0.60917794151302695</v>
      </c>
      <c r="Q1019" s="10">
        <v>0.37109776442604903</v>
      </c>
    </row>
    <row r="1020" spans="1:17" x14ac:dyDescent="0.2">
      <c r="A1020" s="10">
        <v>1810</v>
      </c>
      <c r="B1020" s="10" t="s">
        <v>2818</v>
      </c>
      <c r="C1020" s="9" t="s">
        <v>1645</v>
      </c>
      <c r="D1020" s="10">
        <v>-8.1183928000000002E-2</v>
      </c>
      <c r="E1020" s="10">
        <v>-0.13170468900000001</v>
      </c>
      <c r="F1020" s="10">
        <v>0.13780287399999999</v>
      </c>
      <c r="G1020" s="10">
        <v>-0.105992054</v>
      </c>
      <c r="H1020" s="9">
        <v>-4.5269449250000003E-2</v>
      </c>
      <c r="I1020" s="10">
        <v>0.123778849461854</v>
      </c>
      <c r="J1020" s="10">
        <v>1.5321203574100399E-2</v>
      </c>
      <c r="K1020" s="10">
        <v>-0.109913056</v>
      </c>
      <c r="L1020" s="10">
        <v>-0.409124767</v>
      </c>
      <c r="M1020" s="10">
        <v>-0.24313400399999999</v>
      </c>
      <c r="N1020" s="10">
        <v>0.29055607500000002</v>
      </c>
      <c r="O1020" s="9">
        <v>-0.117903938</v>
      </c>
      <c r="P1020" s="10">
        <v>0.29854959224496702</v>
      </c>
      <c r="Q1020" s="10">
        <v>8.9131859029636495E-2</v>
      </c>
    </row>
    <row r="1021" spans="1:17" x14ac:dyDescent="0.2">
      <c r="A1021" s="10">
        <v>1810</v>
      </c>
      <c r="B1021" s="10" t="s">
        <v>2835</v>
      </c>
      <c r="C1021" s="9" t="s">
        <v>1646</v>
      </c>
      <c r="D1021" s="10">
        <v>-5.0182680000000002E-3</v>
      </c>
      <c r="E1021" s="10">
        <v>-0.49932872099999998</v>
      </c>
      <c r="F1021" s="10">
        <v>1.53633E-2</v>
      </c>
      <c r="G1021" s="10">
        <v>-0.335050772</v>
      </c>
      <c r="H1021" s="9">
        <v>-0.20600861525</v>
      </c>
      <c r="I1021" s="10">
        <v>0.25304229370140902</v>
      </c>
      <c r="J1021" s="10">
        <v>6.4030402401670503E-2</v>
      </c>
      <c r="K1021" s="10">
        <v>0.47925157899999998</v>
      </c>
      <c r="L1021" s="10">
        <v>-0.19999466799999999</v>
      </c>
      <c r="M1021" s="10">
        <v>-0.16842248200000001</v>
      </c>
      <c r="N1021" s="10">
        <v>0.67488274999999998</v>
      </c>
      <c r="O1021" s="9">
        <v>0.19642929449999999</v>
      </c>
      <c r="P1021" s="10">
        <v>0.44690600449054002</v>
      </c>
      <c r="Q1021" s="10">
        <v>0.199724976849698</v>
      </c>
    </row>
    <row r="1022" spans="1:17" x14ac:dyDescent="0.2">
      <c r="A1022" s="10">
        <v>1811</v>
      </c>
      <c r="B1022" s="10" t="s">
        <v>2831</v>
      </c>
      <c r="C1022" s="9" t="s">
        <v>1647</v>
      </c>
      <c r="D1022" s="10">
        <v>-1.307716857</v>
      </c>
      <c r="E1022" s="10">
        <v>-1.359945274</v>
      </c>
      <c r="F1022" s="10">
        <v>-2.8761556559999999</v>
      </c>
      <c r="G1022" s="10">
        <v>-1.1965320180000001</v>
      </c>
      <c r="H1022" s="9">
        <v>-1.68508745125</v>
      </c>
      <c r="I1022" s="10">
        <v>0.79696421512218296</v>
      </c>
      <c r="J1022" s="10">
        <v>0.63515196018531705</v>
      </c>
      <c r="K1022" s="10">
        <v>-3.9731220999999997E-2</v>
      </c>
      <c r="L1022" s="10">
        <v>0.37803702900000002</v>
      </c>
      <c r="M1022" s="10">
        <v>-0.53935061299999998</v>
      </c>
      <c r="N1022" s="10">
        <v>-0.64537851800000001</v>
      </c>
      <c r="O1022" s="9">
        <v>-0.21160583075</v>
      </c>
      <c r="P1022" s="10">
        <v>0.473566246695243</v>
      </c>
      <c r="Q1022" s="10">
        <v>0.22426499000901901</v>
      </c>
    </row>
    <row r="1023" spans="1:17" x14ac:dyDescent="0.2">
      <c r="A1023" s="10">
        <v>1811</v>
      </c>
      <c r="B1023" s="10" t="s">
        <v>2822</v>
      </c>
      <c r="C1023" s="9" t="s">
        <v>1648</v>
      </c>
      <c r="D1023" s="10">
        <v>0.159324044</v>
      </c>
      <c r="E1023" s="10">
        <v>0.322590496</v>
      </c>
      <c r="F1023" s="10">
        <v>-7.7962798999999999E-2</v>
      </c>
      <c r="G1023" s="10">
        <v>-0.31075239999999998</v>
      </c>
      <c r="H1023" s="9">
        <v>2.3299835250000001E-2</v>
      </c>
      <c r="I1023" s="10">
        <v>0.27684080982218201</v>
      </c>
      <c r="J1023" s="10">
        <v>7.6640833983001894E-2</v>
      </c>
      <c r="K1023" s="10">
        <v>0.38984929000000001</v>
      </c>
      <c r="L1023" s="10">
        <v>0.351681089</v>
      </c>
      <c r="M1023" s="10">
        <v>-0.188433611</v>
      </c>
      <c r="N1023" s="10">
        <v>-0.26428570800000001</v>
      </c>
      <c r="O1023" s="9">
        <v>7.2202765000000002E-2</v>
      </c>
      <c r="P1023" s="10">
        <v>0.34648870178150998</v>
      </c>
      <c r="Q1023" s="10">
        <v>0.12005442046223599</v>
      </c>
    </row>
    <row r="1024" spans="1:17" x14ac:dyDescent="0.2">
      <c r="A1024" s="10">
        <v>1811</v>
      </c>
      <c r="B1024" s="10" t="s">
        <v>2819</v>
      </c>
      <c r="C1024" s="9" t="s">
        <v>1649</v>
      </c>
      <c r="D1024" s="10">
        <v>0.42104667800000001</v>
      </c>
      <c r="E1024" s="10">
        <v>0.41316453199999997</v>
      </c>
      <c r="F1024" s="10">
        <v>0.52550326599999997</v>
      </c>
      <c r="G1024" s="10">
        <v>0.33855835400000001</v>
      </c>
      <c r="H1024" s="9">
        <v>0.42456820774999998</v>
      </c>
      <c r="I1024" s="10">
        <v>7.6872244489192401E-2</v>
      </c>
      <c r="J1024" s="10">
        <v>5.9093419728060998E-3</v>
      </c>
      <c r="K1024" s="10">
        <v>0.45691538399999998</v>
      </c>
      <c r="L1024" s="10">
        <v>0.26834911</v>
      </c>
      <c r="M1024" s="10">
        <v>0.184640997</v>
      </c>
      <c r="N1024" s="10">
        <v>0.233090028</v>
      </c>
      <c r="O1024" s="9">
        <v>0.28574887975000002</v>
      </c>
      <c r="P1024" s="10">
        <v>0.11915883347635101</v>
      </c>
      <c r="Q1024" s="10">
        <v>1.41988275954448E-2</v>
      </c>
    </row>
    <row r="1025" spans="1:17" x14ac:dyDescent="0.2">
      <c r="A1025" s="10">
        <v>1811</v>
      </c>
      <c r="B1025" s="10" t="s">
        <v>2821</v>
      </c>
      <c r="C1025" s="9" t="s">
        <v>1650</v>
      </c>
      <c r="D1025" s="10">
        <v>-0.50313935499999995</v>
      </c>
      <c r="E1025" s="10">
        <v>-1.683129514</v>
      </c>
      <c r="F1025" s="10">
        <v>-1.8035759979999999</v>
      </c>
      <c r="G1025" s="10">
        <v>-1.247912457</v>
      </c>
      <c r="H1025" s="9">
        <v>-1.3094393310000001</v>
      </c>
      <c r="I1025" s="10">
        <v>0.58813847747681902</v>
      </c>
      <c r="J1025" s="10">
        <v>0.34590686868875098</v>
      </c>
      <c r="K1025" s="10">
        <v>-0.28043922100000002</v>
      </c>
      <c r="L1025" s="10">
        <v>-0.50668716199999997</v>
      </c>
      <c r="M1025" s="10">
        <v>-0.61733716299999997</v>
      </c>
      <c r="N1025" s="10">
        <v>-0.92955737199999999</v>
      </c>
      <c r="O1025" s="9">
        <v>-0.58350522950000006</v>
      </c>
      <c r="P1025" s="10">
        <v>0.26996710049914402</v>
      </c>
      <c r="Q1025" s="10">
        <v>7.2882235351915098E-2</v>
      </c>
    </row>
    <row r="1026" spans="1:17" x14ac:dyDescent="0.2">
      <c r="A1026" s="10">
        <v>1811</v>
      </c>
      <c r="B1026" s="10" t="s">
        <v>2824</v>
      </c>
      <c r="C1026" s="9" t="s">
        <v>1651</v>
      </c>
      <c r="D1026" s="10">
        <v>-3.9191742000000002E-2</v>
      </c>
      <c r="E1026" s="10">
        <v>-0.84030491799999996</v>
      </c>
      <c r="F1026" s="10">
        <v>-0.42344833999999998</v>
      </c>
      <c r="G1026" s="10">
        <v>-0.95634621099999995</v>
      </c>
      <c r="H1026" s="9">
        <v>-0.56482280274999996</v>
      </c>
      <c r="I1026" s="10">
        <v>0.41851153937628799</v>
      </c>
      <c r="J1026" s="10">
        <v>0.17515190859110999</v>
      </c>
      <c r="K1026" s="10">
        <v>8.2721132000000003E-2</v>
      </c>
      <c r="L1026" s="10">
        <v>-0.28747326000000001</v>
      </c>
      <c r="M1026" s="10">
        <v>8.2995082999999997E-2</v>
      </c>
      <c r="N1026" s="10">
        <v>-0.225118124</v>
      </c>
      <c r="O1026" s="9">
        <v>-8.6718792000000003E-2</v>
      </c>
      <c r="P1026" s="10">
        <v>0.19745836585016299</v>
      </c>
      <c r="Q1026" s="10">
        <v>3.8989806244216801E-2</v>
      </c>
    </row>
    <row r="1027" spans="1:17" x14ac:dyDescent="0.2">
      <c r="A1027" s="10">
        <v>1811</v>
      </c>
      <c r="B1027" s="10" t="s">
        <v>2817</v>
      </c>
      <c r="C1027" s="9" t="s">
        <v>1652</v>
      </c>
      <c r="D1027" s="10">
        <v>-0.84180656099999995</v>
      </c>
      <c r="E1027" s="10">
        <v>-0.703023697</v>
      </c>
      <c r="F1027" s="10">
        <v>-1.3913423110000001</v>
      </c>
      <c r="G1027" s="10">
        <v>-0.39480479800000001</v>
      </c>
      <c r="H1027" s="9">
        <v>-0.83274434200000003</v>
      </c>
      <c r="I1027" s="10">
        <v>0.41662625326234998</v>
      </c>
      <c r="J1027" s="10">
        <v>0.173577434907424</v>
      </c>
      <c r="K1027" s="10">
        <v>-0.39758143699999998</v>
      </c>
      <c r="L1027" s="10">
        <v>0.13942955600000001</v>
      </c>
      <c r="M1027" s="10">
        <v>-0.63000421100000004</v>
      </c>
      <c r="N1027" s="10">
        <v>-1.270486019</v>
      </c>
      <c r="O1027" s="9">
        <v>-0.53966052750000004</v>
      </c>
      <c r="P1027" s="10">
        <v>0.58412832198638998</v>
      </c>
      <c r="Q1027" s="10">
        <v>0.34120589654663602</v>
      </c>
    </row>
    <row r="1028" spans="1:17" x14ac:dyDescent="0.2">
      <c r="A1028" s="10">
        <v>1811</v>
      </c>
      <c r="B1028" s="10" t="s">
        <v>2814</v>
      </c>
      <c r="C1028" s="9" t="s">
        <v>1653</v>
      </c>
      <c r="D1028" s="10">
        <v>-0.31442967500000002</v>
      </c>
      <c r="E1028" s="10">
        <v>-0.494252001</v>
      </c>
      <c r="F1028" s="10">
        <v>-0.53598577999999997</v>
      </c>
      <c r="G1028" s="10">
        <v>-1.4470697159999999</v>
      </c>
      <c r="H1028" s="9">
        <v>-0.69793429299999998</v>
      </c>
      <c r="I1028" s="10">
        <v>0.50859069035849702</v>
      </c>
      <c r="J1028" s="10">
        <v>0.25866449031933297</v>
      </c>
      <c r="K1028" s="10">
        <v>0.516046059</v>
      </c>
      <c r="L1028" s="10">
        <v>-0.56217873799999996</v>
      </c>
      <c r="M1028" s="10">
        <v>0.48027186300000002</v>
      </c>
      <c r="N1028" s="10">
        <v>0.42526506600000002</v>
      </c>
      <c r="O1028" s="9">
        <v>0.21485106225</v>
      </c>
      <c r="P1028" s="10">
        <v>0.51936371038308704</v>
      </c>
      <c r="Q1028" s="10">
        <v>0.26973866366288701</v>
      </c>
    </row>
    <row r="1029" spans="1:17" x14ac:dyDescent="0.2">
      <c r="A1029" s="10">
        <v>1811</v>
      </c>
      <c r="B1029" s="10" t="s">
        <v>2825</v>
      </c>
      <c r="C1029" s="9" t="s">
        <v>1654</v>
      </c>
      <c r="D1029" s="10">
        <v>-1.5670753829999999</v>
      </c>
      <c r="E1029" s="10">
        <v>-0.890134863</v>
      </c>
      <c r="F1029" s="10">
        <v>-1.3222075849999999</v>
      </c>
      <c r="G1029" s="10">
        <v>-1.4373552709999999</v>
      </c>
      <c r="H1029" s="9">
        <v>-1.3041932755000001</v>
      </c>
      <c r="I1029" s="10">
        <v>0.29360290859025001</v>
      </c>
      <c r="J1029" s="10">
        <v>8.6202667932655103E-2</v>
      </c>
      <c r="K1029" s="10">
        <v>-0.43483903200000001</v>
      </c>
      <c r="L1029" s="10">
        <v>-0.30658428399999998</v>
      </c>
      <c r="M1029" s="10">
        <v>-0.66665600000000003</v>
      </c>
      <c r="N1029" s="10">
        <v>-0.58813086599999997</v>
      </c>
      <c r="O1029" s="9">
        <v>-0.4990525455</v>
      </c>
      <c r="P1029" s="10">
        <v>0.16040913538436699</v>
      </c>
      <c r="Q1029" s="10">
        <v>2.5731090714760398E-2</v>
      </c>
    </row>
    <row r="1030" spans="1:17" x14ac:dyDescent="0.2">
      <c r="A1030" s="10">
        <v>1811</v>
      </c>
      <c r="B1030" s="10" t="s">
        <v>74</v>
      </c>
      <c r="C1030" s="9" t="s">
        <v>1655</v>
      </c>
      <c r="D1030" s="10">
        <v>0.15149547099999999</v>
      </c>
      <c r="E1030" s="10">
        <v>-3.0339997E-2</v>
      </c>
      <c r="F1030" s="10">
        <v>2.7948269000000001E-2</v>
      </c>
      <c r="G1030" s="10">
        <v>0.20216304900000001</v>
      </c>
      <c r="H1030" s="9">
        <v>8.7816697999999999E-2</v>
      </c>
      <c r="I1030" s="10">
        <v>0.10751016615813801</v>
      </c>
      <c r="J1030" s="10">
        <v>1.1558435827350499E-2</v>
      </c>
      <c r="K1030" s="10">
        <v>-2.4510895000000001E-2</v>
      </c>
      <c r="L1030" s="10">
        <v>3.6842978999999998E-2</v>
      </c>
      <c r="M1030" s="10">
        <v>0.12394567500000001</v>
      </c>
      <c r="N1030" s="10">
        <v>3.9644358999999997E-2</v>
      </c>
      <c r="O1030" s="9">
        <v>4.3980529749999997E-2</v>
      </c>
      <c r="P1030" s="10">
        <v>6.0978812513365302E-2</v>
      </c>
      <c r="Q1030" s="10">
        <v>3.7184155755401E-3</v>
      </c>
    </row>
    <row r="1031" spans="1:17" x14ac:dyDescent="0.2">
      <c r="A1031" s="10">
        <v>1811</v>
      </c>
      <c r="B1031" s="10" t="s">
        <v>2818</v>
      </c>
      <c r="C1031" s="9" t="s">
        <v>1656</v>
      </c>
      <c r="D1031" s="10">
        <v>-0.50892747299999996</v>
      </c>
      <c r="E1031" s="10">
        <v>-9.7260797999999996E-2</v>
      </c>
      <c r="F1031" s="10">
        <v>0.20495392300000001</v>
      </c>
      <c r="G1031" s="10">
        <v>-0.54358846199999999</v>
      </c>
      <c r="H1031" s="9">
        <v>-0.2362057025</v>
      </c>
      <c r="I1031" s="10">
        <v>0.35720620869944902</v>
      </c>
      <c r="J1031" s="10">
        <v>0.127596275533434</v>
      </c>
      <c r="K1031" s="10">
        <v>0.45268803600000002</v>
      </c>
      <c r="L1031" s="10">
        <v>0.26686547599999999</v>
      </c>
      <c r="M1031" s="10">
        <v>-0.364162867</v>
      </c>
      <c r="N1031" s="10">
        <v>-0.15374238000000001</v>
      </c>
      <c r="O1031" s="9">
        <v>5.0412065999999998E-2</v>
      </c>
      <c r="P1031" s="10">
        <v>0.37515749920692798</v>
      </c>
      <c r="Q1031" s="10">
        <v>0.14074314921119599</v>
      </c>
    </row>
    <row r="1032" spans="1:17" x14ac:dyDescent="0.2">
      <c r="A1032" s="10">
        <v>1812</v>
      </c>
      <c r="B1032" s="10" t="s">
        <v>2822</v>
      </c>
      <c r="C1032" s="9" t="s">
        <v>1658</v>
      </c>
      <c r="D1032" s="10">
        <v>-1.157358114</v>
      </c>
      <c r="E1032" s="10">
        <v>-1.162926243</v>
      </c>
      <c r="F1032" s="10">
        <v>-0.46413328700000001</v>
      </c>
      <c r="G1032" s="10">
        <v>-0.54019234199999999</v>
      </c>
      <c r="H1032" s="9">
        <v>-0.83115249624999998</v>
      </c>
      <c r="I1032" s="10">
        <v>0.38115825033874101</v>
      </c>
      <c r="J1032" s="10">
        <v>0.14528161180129001</v>
      </c>
      <c r="K1032" s="10">
        <v>-0.35151151000000003</v>
      </c>
      <c r="L1032" s="10">
        <v>-0.18399326699999999</v>
      </c>
      <c r="M1032" s="10">
        <v>-0.23451450800000001</v>
      </c>
      <c r="N1032" s="10">
        <v>-0.53603711499999995</v>
      </c>
      <c r="O1032" s="9">
        <v>-0.32651409999999997</v>
      </c>
      <c r="P1032" s="10">
        <v>0.156312589691914</v>
      </c>
      <c r="Q1032" s="10">
        <v>2.4433625696192798E-2</v>
      </c>
    </row>
    <row r="1033" spans="1:17" x14ac:dyDescent="0.2">
      <c r="A1033" s="10">
        <v>1812</v>
      </c>
      <c r="B1033" s="10" t="s">
        <v>2824</v>
      </c>
      <c r="C1033" s="9" t="s">
        <v>1660</v>
      </c>
      <c r="D1033" s="10">
        <v>0.33121844299999997</v>
      </c>
      <c r="E1033" s="10">
        <v>0.20725347499999999</v>
      </c>
      <c r="F1033" s="10">
        <v>0.38252240500000001</v>
      </c>
      <c r="G1033" s="10">
        <v>0.181414359</v>
      </c>
      <c r="H1033" s="9">
        <v>0.27560217050000002</v>
      </c>
      <c r="I1033" s="10">
        <v>9.6726408534657596E-2</v>
      </c>
      <c r="J1033" s="10">
        <v>9.3559981080135E-3</v>
      </c>
      <c r="K1033" s="10">
        <v>0.59857466699999995</v>
      </c>
      <c r="L1033" s="10">
        <v>0.238424317</v>
      </c>
      <c r="M1033" s="10">
        <v>6.0040793000000002E-2</v>
      </c>
      <c r="N1033" s="10">
        <v>0.275956323</v>
      </c>
      <c r="O1033" s="9">
        <v>0.293249025</v>
      </c>
      <c r="P1033" s="10">
        <v>0.22428747422673401</v>
      </c>
      <c r="Q1033" s="10">
        <v>5.0304871095008002E-2</v>
      </c>
    </row>
    <row r="1034" spans="1:17" x14ac:dyDescent="0.2">
      <c r="A1034" s="10">
        <v>1812</v>
      </c>
      <c r="B1034" s="10" t="s">
        <v>2833</v>
      </c>
      <c r="C1034" s="9" t="s">
        <v>1661</v>
      </c>
      <c r="D1034" s="10">
        <v>0.244922686</v>
      </c>
      <c r="E1034" s="10">
        <v>0.41806595200000002</v>
      </c>
      <c r="F1034" s="10">
        <v>5.4175158000000001E-2</v>
      </c>
      <c r="G1034" s="10">
        <v>0.335114203</v>
      </c>
      <c r="H1034" s="9">
        <v>0.26306949950000003</v>
      </c>
      <c r="I1034" s="10">
        <v>0.15618417796617501</v>
      </c>
      <c r="J1034" s="10">
        <v>2.4393497446969999E-2</v>
      </c>
      <c r="K1034" s="10">
        <v>-8.1778948000000004E-2</v>
      </c>
      <c r="L1034" s="10">
        <v>0.177619362</v>
      </c>
      <c r="M1034" s="10">
        <v>0.378456238</v>
      </c>
      <c r="N1034" s="10">
        <v>1.5050173E-2</v>
      </c>
      <c r="O1034" s="9">
        <v>0.122336706</v>
      </c>
      <c r="P1034" s="10">
        <v>0.20151673801227199</v>
      </c>
      <c r="Q1034" s="10">
        <v>4.0608995699107003E-2</v>
      </c>
    </row>
    <row r="1035" spans="1:17" x14ac:dyDescent="0.2">
      <c r="A1035" s="10">
        <v>1812</v>
      </c>
      <c r="B1035" s="10" t="s">
        <v>2818</v>
      </c>
      <c r="C1035" s="9" t="s">
        <v>1662</v>
      </c>
      <c r="D1035" s="10">
        <v>-0.387514095</v>
      </c>
      <c r="E1035" s="10">
        <v>-1.0844016670000001</v>
      </c>
      <c r="F1035" s="10">
        <v>-1.3627380739999999</v>
      </c>
      <c r="G1035" s="10">
        <v>-1.283908491</v>
      </c>
      <c r="H1035" s="9">
        <v>-1.0296405817500001</v>
      </c>
      <c r="I1035" s="10">
        <v>0.44382102641389898</v>
      </c>
      <c r="J1035" s="10">
        <v>0.196977103487086</v>
      </c>
      <c r="K1035" s="10">
        <v>0.12708858100000001</v>
      </c>
      <c r="L1035" s="10">
        <v>-0.239509518</v>
      </c>
      <c r="M1035" s="10">
        <v>-0.53973670500000004</v>
      </c>
      <c r="N1035" s="10">
        <v>-1.330140624</v>
      </c>
      <c r="O1035" s="9">
        <v>-0.49557456649999998</v>
      </c>
      <c r="P1035" s="10">
        <v>0.61960457904642696</v>
      </c>
      <c r="Q1035" s="10">
        <v>0.38390983437530002</v>
      </c>
    </row>
    <row r="1036" spans="1:17" x14ac:dyDescent="0.2">
      <c r="A1036" s="10">
        <v>1813</v>
      </c>
      <c r="B1036" s="10" t="s">
        <v>2831</v>
      </c>
      <c r="C1036" s="9" t="s">
        <v>2599</v>
      </c>
      <c r="D1036" s="10">
        <v>-0.63792092600000005</v>
      </c>
      <c r="E1036" s="10">
        <v>-0.99131340000000001</v>
      </c>
      <c r="F1036" s="10">
        <v>-1.1752123299999999</v>
      </c>
      <c r="G1036" s="10">
        <v>-0.75554017500000004</v>
      </c>
      <c r="H1036" s="9">
        <v>-0.88999670774999995</v>
      </c>
      <c r="I1036" s="10">
        <v>0.240301048858829</v>
      </c>
      <c r="J1036" s="10">
        <v>5.77445940826537E-2</v>
      </c>
      <c r="K1036" s="10">
        <v>0.17108304399999999</v>
      </c>
      <c r="L1036" s="10">
        <v>-0.25542080099999998</v>
      </c>
      <c r="M1036" s="10">
        <v>-0.10445903500000001</v>
      </c>
      <c r="N1036" s="10">
        <v>3.5774116000000002E-2</v>
      </c>
      <c r="O1036" s="9">
        <v>-3.8255668999999999E-2</v>
      </c>
      <c r="P1036" s="10">
        <v>0.18334547176841601</v>
      </c>
      <c r="Q1036" s="10">
        <v>3.3615562017983297E-2</v>
      </c>
    </row>
    <row r="1037" spans="1:17" x14ac:dyDescent="0.2">
      <c r="A1037" s="10">
        <v>1813</v>
      </c>
      <c r="B1037" s="10" t="s">
        <v>2822</v>
      </c>
      <c r="C1037" s="9" t="s">
        <v>1663</v>
      </c>
      <c r="D1037" s="10">
        <v>0.27190367199999999</v>
      </c>
      <c r="E1037" s="10">
        <v>-0.46548788000000002</v>
      </c>
      <c r="F1037" s="10">
        <v>-0.60653881700000001</v>
      </c>
      <c r="G1037" s="10">
        <v>-0.106029253</v>
      </c>
      <c r="H1037" s="9">
        <v>-0.22653806949999999</v>
      </c>
      <c r="I1037" s="10">
        <v>0.39347347414293299</v>
      </c>
      <c r="J1037" s="10">
        <v>0.15482137485410899</v>
      </c>
      <c r="K1037" s="10">
        <v>0.74438821899999996</v>
      </c>
      <c r="L1037" s="10">
        <v>0.25018938200000002</v>
      </c>
      <c r="M1037" s="10">
        <v>3.3047004999999997E-2</v>
      </c>
      <c r="N1037" s="10">
        <v>0.24819143199999999</v>
      </c>
      <c r="O1037" s="9">
        <v>0.31895400925</v>
      </c>
      <c r="P1037" s="10">
        <v>0.30137075627025101</v>
      </c>
      <c r="Q1037" s="10">
        <v>9.0824332734903299E-2</v>
      </c>
    </row>
    <row r="1038" spans="1:17" x14ac:dyDescent="0.2">
      <c r="A1038" s="10">
        <v>1813</v>
      </c>
      <c r="B1038" s="10" t="s">
        <v>2819</v>
      </c>
      <c r="C1038" s="9" t="s">
        <v>1664</v>
      </c>
      <c r="D1038" s="10">
        <v>0.69714415299999999</v>
      </c>
      <c r="E1038" s="10">
        <v>0.53950083900000001</v>
      </c>
      <c r="F1038" s="10">
        <v>0.51807365800000005</v>
      </c>
      <c r="G1038" s="10">
        <v>0.57976678400000003</v>
      </c>
      <c r="H1038" s="9">
        <v>0.58362135849999996</v>
      </c>
      <c r="I1038" s="10">
        <v>7.9886177146931595E-2</v>
      </c>
      <c r="J1038" s="10">
        <v>6.3818012991508997E-3</v>
      </c>
      <c r="K1038" s="10">
        <v>0.64789261300000001</v>
      </c>
      <c r="L1038" s="10">
        <v>0.53046370899999995</v>
      </c>
      <c r="M1038" s="10">
        <v>0.954292484</v>
      </c>
      <c r="N1038" s="10">
        <v>1.1507950010000001</v>
      </c>
      <c r="O1038" s="9">
        <v>0.82086095174999996</v>
      </c>
      <c r="P1038" s="10">
        <v>0.28337787226000399</v>
      </c>
      <c r="Q1038" s="10">
        <v>8.0303018486607106E-2</v>
      </c>
    </row>
    <row r="1039" spans="1:17" x14ac:dyDescent="0.2">
      <c r="A1039" s="10">
        <v>1813</v>
      </c>
      <c r="B1039" s="10" t="s">
        <v>2821</v>
      </c>
      <c r="C1039" s="9" t="s">
        <v>1665</v>
      </c>
      <c r="D1039" s="10">
        <v>-0.57048605500000005</v>
      </c>
      <c r="E1039" s="10">
        <v>-0.85549702800000005</v>
      </c>
      <c r="F1039" s="10">
        <v>-0.86178338899999996</v>
      </c>
      <c r="G1039" s="10">
        <v>-0.76395451700000006</v>
      </c>
      <c r="H1039" s="9">
        <v>-0.76293024750000005</v>
      </c>
      <c r="I1039" s="10">
        <v>0.135863128173835</v>
      </c>
      <c r="J1039" s="10">
        <v>1.8458789597179899E-2</v>
      </c>
      <c r="K1039" s="10">
        <v>-0.49965432799999998</v>
      </c>
      <c r="L1039" s="10">
        <v>-0.28020425300000001</v>
      </c>
      <c r="M1039" s="10">
        <v>-0.497610636</v>
      </c>
      <c r="N1039" s="10">
        <v>-0.427963714</v>
      </c>
      <c r="O1039" s="9">
        <v>-0.42635823299999998</v>
      </c>
      <c r="P1039" s="10">
        <v>0.102976997293255</v>
      </c>
      <c r="Q1039" s="10">
        <v>1.0604261971535E-2</v>
      </c>
    </row>
    <row r="1040" spans="1:17" x14ac:dyDescent="0.2">
      <c r="A1040" s="10">
        <v>1813</v>
      </c>
      <c r="B1040" s="10" t="s">
        <v>79</v>
      </c>
      <c r="C1040" s="9" t="s">
        <v>1666</v>
      </c>
      <c r="D1040" s="10">
        <v>0.55902820499999994</v>
      </c>
      <c r="E1040" s="10">
        <v>-4.4027361000000001E-2</v>
      </c>
      <c r="F1040" s="10">
        <v>-1.1453012680000001</v>
      </c>
      <c r="G1040" s="10">
        <v>-0.33957757199999999</v>
      </c>
      <c r="H1040" s="9">
        <v>-0.242469499</v>
      </c>
      <c r="I1040" s="10">
        <v>0.70859321490041605</v>
      </c>
      <c r="J1040" s="10">
        <v>0.50210434420290795</v>
      </c>
      <c r="K1040" s="10">
        <v>0.69528358099999998</v>
      </c>
      <c r="L1040" s="10">
        <v>0.17645665499999999</v>
      </c>
      <c r="M1040" s="10">
        <v>0.17092526999999999</v>
      </c>
      <c r="N1040" s="10">
        <v>0.568976975</v>
      </c>
      <c r="O1040" s="9">
        <v>0.40291062025000002</v>
      </c>
      <c r="P1040" s="10">
        <v>0.26966558516412897</v>
      </c>
      <c r="Q1040" s="10">
        <v>7.2719527821912405E-2</v>
      </c>
    </row>
    <row r="1041" spans="1:17" x14ac:dyDescent="0.2">
      <c r="A1041" s="10">
        <v>1813</v>
      </c>
      <c r="B1041" s="10" t="s">
        <v>2820</v>
      </c>
      <c r="C1041" s="9" t="s">
        <v>1667</v>
      </c>
      <c r="D1041" s="10">
        <v>2.5810487999999999E-2</v>
      </c>
      <c r="E1041" s="10">
        <v>-0.35374685500000003</v>
      </c>
      <c r="F1041" s="10">
        <v>-0.381665331</v>
      </c>
      <c r="G1041" s="10">
        <v>-0.166364816</v>
      </c>
      <c r="H1041" s="9">
        <v>-0.21899162850000001</v>
      </c>
      <c r="I1041" s="10">
        <v>0.189137835269162</v>
      </c>
      <c r="J1041" s="10">
        <v>3.5773120730304801E-2</v>
      </c>
      <c r="K1041" s="10">
        <v>-0.13691121000000001</v>
      </c>
      <c r="L1041" s="10">
        <v>0.104217185</v>
      </c>
      <c r="M1041" s="10">
        <v>-0.21439909900000001</v>
      </c>
      <c r="N1041" s="10">
        <v>-0.99647185000000005</v>
      </c>
      <c r="O1041" s="9">
        <v>-0.31089124350000003</v>
      </c>
      <c r="P1041" s="10">
        <v>0.47676533760593898</v>
      </c>
      <c r="Q1041" s="10">
        <v>0.227305187142505</v>
      </c>
    </row>
    <row r="1042" spans="1:17" x14ac:dyDescent="0.2">
      <c r="A1042" s="10">
        <v>1813</v>
      </c>
      <c r="B1042" s="10" t="s">
        <v>74</v>
      </c>
      <c r="C1042" s="9" t="s">
        <v>1671</v>
      </c>
      <c r="D1042" s="10">
        <v>0.10491094500000001</v>
      </c>
      <c r="E1042" s="10">
        <v>-0.16569825299999999</v>
      </c>
      <c r="F1042" s="10">
        <v>8.5484171999999997E-2</v>
      </c>
      <c r="G1042" s="10">
        <v>0.27258384499999999</v>
      </c>
      <c r="H1042" s="9">
        <v>7.4320177249999994E-2</v>
      </c>
      <c r="I1042" s="10">
        <v>0.180718712054276</v>
      </c>
      <c r="J1042" s="10">
        <v>3.26592528865563E-2</v>
      </c>
      <c r="K1042" s="10">
        <v>-0.217982494</v>
      </c>
      <c r="L1042" s="10">
        <v>-0.82202420099999995</v>
      </c>
      <c r="M1042" s="10">
        <v>-0.162655727</v>
      </c>
      <c r="N1042" s="10">
        <v>0.273113308</v>
      </c>
      <c r="O1042" s="9">
        <v>-0.23238727875000001</v>
      </c>
      <c r="P1042" s="10">
        <v>0.45028603147266399</v>
      </c>
      <c r="Q1042" s="10">
        <v>0.20275751013940099</v>
      </c>
    </row>
    <row r="1043" spans="1:17" x14ac:dyDescent="0.2">
      <c r="A1043" s="10">
        <v>1813</v>
      </c>
      <c r="B1043" s="10" t="s">
        <v>2830</v>
      </c>
      <c r="C1043" s="9" t="s">
        <v>1673</v>
      </c>
      <c r="D1043" s="10">
        <v>-0.60871233800000002</v>
      </c>
      <c r="E1043" s="10">
        <v>-0.46431183999999998</v>
      </c>
      <c r="F1043" s="10">
        <v>-0.38128390600000001</v>
      </c>
      <c r="G1043" s="10">
        <v>-0.50777243800000005</v>
      </c>
      <c r="H1043" s="9">
        <v>-0.49052013049999998</v>
      </c>
      <c r="I1043" s="10">
        <v>9.4668662998453695E-2</v>
      </c>
      <c r="J1043" s="10">
        <v>8.9621557539147998E-3</v>
      </c>
      <c r="K1043" s="10">
        <v>-0.35530748299999998</v>
      </c>
      <c r="L1043" s="10">
        <v>-0.18722293500000001</v>
      </c>
      <c r="M1043" s="10">
        <v>-0.44369345100000002</v>
      </c>
      <c r="N1043" s="10">
        <v>-0.21765232600000001</v>
      </c>
      <c r="O1043" s="9">
        <v>-0.30096904899999999</v>
      </c>
      <c r="P1043" s="10">
        <v>0.12000385426781</v>
      </c>
      <c r="Q1043" s="10">
        <v>1.44009250391298E-2</v>
      </c>
    </row>
    <row r="1044" spans="1:17" x14ac:dyDescent="0.2">
      <c r="A1044" s="10">
        <v>1814</v>
      </c>
      <c r="B1044" s="10" t="s">
        <v>2814</v>
      </c>
      <c r="C1044" s="9" t="s">
        <v>1675</v>
      </c>
      <c r="D1044" s="10">
        <v>-0.263328006</v>
      </c>
      <c r="E1044" s="10">
        <v>-0.25564361099999999</v>
      </c>
      <c r="F1044" s="10">
        <v>-0.61614700200000005</v>
      </c>
      <c r="G1044" s="10">
        <v>-0.198304751</v>
      </c>
      <c r="H1044" s="9">
        <v>-0.33335584275000002</v>
      </c>
      <c r="I1044" s="10">
        <v>0.19074653864598801</v>
      </c>
      <c r="J1044" s="10">
        <v>3.6384242005425303E-2</v>
      </c>
      <c r="K1044" s="10">
        <v>-5.082741E-3</v>
      </c>
      <c r="L1044" s="10">
        <v>-0.10685643</v>
      </c>
      <c r="M1044" s="10">
        <v>-5.5851630999999999E-2</v>
      </c>
      <c r="N1044" s="10">
        <v>0.15495885400000001</v>
      </c>
      <c r="O1044" s="9">
        <v>-3.2079869999999998E-3</v>
      </c>
      <c r="P1044" s="10">
        <v>0.11333522148094199</v>
      </c>
      <c r="Q1044" s="10">
        <v>1.28448724281342E-2</v>
      </c>
    </row>
    <row r="1045" spans="1:17" x14ac:dyDescent="0.2">
      <c r="A1045" s="10">
        <v>1814</v>
      </c>
      <c r="B1045" s="10" t="s">
        <v>2818</v>
      </c>
      <c r="C1045" s="9" t="s">
        <v>1677</v>
      </c>
      <c r="D1045" s="10">
        <v>0.87296017999999997</v>
      </c>
      <c r="E1045" s="10">
        <v>9.1054800000000005E-2</v>
      </c>
      <c r="F1045" s="10">
        <v>0.74705799900000003</v>
      </c>
      <c r="G1045" s="10">
        <v>8.8568088000000003E-2</v>
      </c>
      <c r="H1045" s="9">
        <v>0.44991026675000001</v>
      </c>
      <c r="I1045" s="10">
        <v>0.41897232209391699</v>
      </c>
      <c r="J1045" s="10">
        <v>0.17553780668076899</v>
      </c>
      <c r="K1045" s="10">
        <v>0.41507100899999999</v>
      </c>
      <c r="L1045" s="10">
        <v>7.8266816000000003E-2</v>
      </c>
      <c r="M1045" s="10">
        <v>0.46032499500000001</v>
      </c>
      <c r="N1045" s="10">
        <v>0.49199602100000001</v>
      </c>
      <c r="O1045" s="9">
        <v>0.36141471024999999</v>
      </c>
      <c r="P1045" s="10">
        <v>0.19138656480212299</v>
      </c>
      <c r="Q1045" s="10">
        <v>3.6628817186757499E-2</v>
      </c>
    </row>
    <row r="1046" spans="1:17" x14ac:dyDescent="0.2">
      <c r="A1046" s="63">
        <v>1815</v>
      </c>
      <c r="B1046" s="63" t="s">
        <v>96</v>
      </c>
      <c r="C1046" s="64" t="s">
        <v>1679</v>
      </c>
      <c r="D1046" s="63">
        <v>-0.74725831099999995</v>
      </c>
      <c r="E1046" s="63">
        <v>-0.27878799999999998</v>
      </c>
      <c r="F1046" s="63">
        <v>-0.350410006</v>
      </c>
      <c r="G1046" s="63">
        <v>1.0984653E-2</v>
      </c>
      <c r="H1046" s="64">
        <v>-0.34136791599999999</v>
      </c>
      <c r="I1046" s="63">
        <v>0.31246191816619301</v>
      </c>
      <c r="J1046" s="63">
        <v>9.7632450304096896E-2</v>
      </c>
      <c r="K1046" s="63">
        <v>0.45902233599999998</v>
      </c>
      <c r="L1046" s="63">
        <v>0.20938224599999999</v>
      </c>
      <c r="M1046" s="63">
        <v>7.7082840999999999E-2</v>
      </c>
      <c r="N1046" s="63">
        <v>0.101585236</v>
      </c>
      <c r="O1046" s="64">
        <v>0.21176816474999999</v>
      </c>
      <c r="P1046" s="63">
        <v>0.17456682772926399</v>
      </c>
      <c r="Q1046" s="63">
        <v>3.04735773434586E-2</v>
      </c>
    </row>
    <row r="1047" spans="1:17" x14ac:dyDescent="0.2">
      <c r="A1047" s="10">
        <v>1815</v>
      </c>
      <c r="B1047" s="10" t="s">
        <v>2819</v>
      </c>
      <c r="C1047" s="9" t="s">
        <v>1680</v>
      </c>
      <c r="D1047" s="10">
        <v>-0.34894611399999997</v>
      </c>
      <c r="E1047" s="10">
        <v>-0.62302049000000004</v>
      </c>
      <c r="F1047" s="10">
        <v>-0.49736591299999999</v>
      </c>
      <c r="G1047" s="10">
        <v>-3.485576E-2</v>
      </c>
      <c r="H1047" s="9">
        <v>-0.37604706924999998</v>
      </c>
      <c r="I1047" s="10">
        <v>0.25354822269079602</v>
      </c>
      <c r="J1047" s="10">
        <v>6.4286701229661694E-2</v>
      </c>
      <c r="K1047" s="10">
        <v>6.9351352000000005E-2</v>
      </c>
      <c r="L1047" s="10">
        <v>-1.1019726670000001</v>
      </c>
      <c r="M1047" s="10">
        <v>2.9447257000000001E-2</v>
      </c>
      <c r="N1047" s="10">
        <v>-0.52915504700000005</v>
      </c>
      <c r="O1047" s="9">
        <v>-0.38308227649999999</v>
      </c>
      <c r="P1047" s="10">
        <v>0.55166942155672405</v>
      </c>
      <c r="Q1047" s="10">
        <v>0.30433915068072998</v>
      </c>
    </row>
    <row r="1048" spans="1:17" x14ac:dyDescent="0.2">
      <c r="A1048" s="10">
        <v>1815</v>
      </c>
      <c r="B1048" s="10" t="s">
        <v>2821</v>
      </c>
      <c r="C1048" s="9" t="s">
        <v>1681</v>
      </c>
      <c r="D1048" s="10">
        <v>-0.27753501200000003</v>
      </c>
      <c r="E1048" s="10">
        <v>-0.70634987100000002</v>
      </c>
      <c r="F1048" s="10">
        <v>-0.34031557800000001</v>
      </c>
      <c r="G1048" s="10">
        <v>-0.71294261299999995</v>
      </c>
      <c r="H1048" s="9">
        <v>-0.50928576874999998</v>
      </c>
      <c r="I1048" s="10">
        <v>0.23278724852087301</v>
      </c>
      <c r="J1048" s="10">
        <v>5.4189903073918702E-2</v>
      </c>
      <c r="K1048" s="10">
        <v>-0.43607101799999998</v>
      </c>
      <c r="L1048" s="10">
        <v>-0.26589073299999999</v>
      </c>
      <c r="M1048" s="10">
        <v>-0.50944355200000002</v>
      </c>
      <c r="N1048" s="10">
        <v>7.3953706999999994E-2</v>
      </c>
      <c r="O1048" s="9">
        <v>-0.284362899</v>
      </c>
      <c r="P1048" s="10">
        <v>0.25974902295454</v>
      </c>
      <c r="Q1048" s="10">
        <v>6.7469554925838393E-2</v>
      </c>
    </row>
    <row r="1049" spans="1:17" x14ac:dyDescent="0.2">
      <c r="A1049" s="10">
        <v>1815</v>
      </c>
      <c r="B1049" s="10" t="s">
        <v>2824</v>
      </c>
      <c r="C1049" s="9" t="s">
        <v>1682</v>
      </c>
      <c r="D1049" s="10">
        <v>-0.118399254</v>
      </c>
      <c r="E1049" s="10">
        <v>-0.39899928800000001</v>
      </c>
      <c r="F1049" s="10">
        <v>7.7550459000000002E-2</v>
      </c>
      <c r="G1049" s="10">
        <v>0.347186675</v>
      </c>
      <c r="H1049" s="9">
        <v>-2.316535225E-2</v>
      </c>
      <c r="I1049" s="10">
        <v>0.31497351318684602</v>
      </c>
      <c r="J1049" s="10">
        <v>9.9208314009264706E-2</v>
      </c>
      <c r="K1049" s="10">
        <v>-6.9902164000000003E-2</v>
      </c>
      <c r="L1049" s="10">
        <v>0.11080079900000001</v>
      </c>
      <c r="M1049" s="10">
        <v>0.134017306</v>
      </c>
      <c r="N1049" s="10">
        <v>0.170860229</v>
      </c>
      <c r="O1049" s="9">
        <v>8.6444042499999998E-2</v>
      </c>
      <c r="P1049" s="10">
        <v>0.107124064861549</v>
      </c>
      <c r="Q1049" s="10">
        <v>1.14755652724613E-2</v>
      </c>
    </row>
    <row r="1050" spans="1:17" x14ac:dyDescent="0.2">
      <c r="A1050" s="10">
        <v>1815</v>
      </c>
      <c r="B1050" s="10" t="s">
        <v>2817</v>
      </c>
      <c r="C1050" s="9" t="s">
        <v>1683</v>
      </c>
      <c r="D1050" s="10">
        <v>-0.53818128099999996</v>
      </c>
      <c r="E1050" s="10">
        <v>-0.61778586700000004</v>
      </c>
      <c r="F1050" s="10">
        <v>-0.23541788999999999</v>
      </c>
      <c r="G1050" s="10">
        <v>-0.80350718899999996</v>
      </c>
      <c r="H1050" s="9">
        <v>-0.54872305674999999</v>
      </c>
      <c r="I1050" s="10">
        <v>0.236612117437112</v>
      </c>
      <c r="J1050" s="10">
        <v>5.5985294118073799E-2</v>
      </c>
      <c r="K1050" s="10">
        <v>-0.10927704000000001</v>
      </c>
      <c r="L1050" s="10">
        <v>-0.14189780099999999</v>
      </c>
      <c r="M1050" s="10">
        <v>-2.2909889999999998E-3</v>
      </c>
      <c r="N1050" s="10">
        <v>6.7623173999999994E-2</v>
      </c>
      <c r="O1050" s="9">
        <v>-4.6460663999999999E-2</v>
      </c>
      <c r="P1050" s="10">
        <v>9.6644066027435596E-2</v>
      </c>
      <c r="Q1050" s="10">
        <v>9.3400754983153002E-3</v>
      </c>
    </row>
    <row r="1051" spans="1:17" x14ac:dyDescent="0.2">
      <c r="A1051" s="10">
        <v>1815</v>
      </c>
      <c r="B1051" s="10" t="s">
        <v>2814</v>
      </c>
      <c r="C1051" s="9" t="s">
        <v>1684</v>
      </c>
      <c r="D1051" s="10">
        <v>0.110410207</v>
      </c>
      <c r="E1051" s="10">
        <v>0.184458804</v>
      </c>
      <c r="F1051" s="10">
        <v>-0.35865646899999998</v>
      </c>
      <c r="G1051" s="10">
        <v>-0.54201726699999997</v>
      </c>
      <c r="H1051" s="9">
        <v>-0.15145118125000001</v>
      </c>
      <c r="I1051" s="10">
        <v>0.354439841372509</v>
      </c>
      <c r="J1051" s="10">
        <v>0.12562760115216901</v>
      </c>
      <c r="K1051" s="10">
        <v>0.44407006399999999</v>
      </c>
      <c r="L1051" s="10">
        <v>0.19492032500000001</v>
      </c>
      <c r="M1051" s="10">
        <v>0.12886616400000001</v>
      </c>
      <c r="N1051" s="10">
        <v>-0.101951</v>
      </c>
      <c r="O1051" s="9">
        <v>0.16647638849999999</v>
      </c>
      <c r="P1051" s="10">
        <v>0.22459971659605499</v>
      </c>
      <c r="Q1051" s="10">
        <v>5.0445032695028501E-2</v>
      </c>
    </row>
    <row r="1052" spans="1:17" x14ac:dyDescent="0.2">
      <c r="A1052" s="10">
        <v>1815</v>
      </c>
      <c r="B1052" s="10" t="s">
        <v>2825</v>
      </c>
      <c r="C1052" s="9" t="s">
        <v>1685</v>
      </c>
      <c r="D1052" s="10">
        <v>-0.35930326099999998</v>
      </c>
      <c r="E1052" s="10">
        <v>-0.33701786299999997</v>
      </c>
      <c r="F1052" s="10">
        <v>-0.72168948399999999</v>
      </c>
      <c r="G1052" s="10">
        <v>-1.9907001000000001E-2</v>
      </c>
      <c r="H1052" s="9">
        <v>-0.35947940225000002</v>
      </c>
      <c r="I1052" s="10">
        <v>0.28694372896862003</v>
      </c>
      <c r="J1052" s="10">
        <v>8.2336703594417304E-2</v>
      </c>
      <c r="K1052" s="10">
        <v>0.25692994400000002</v>
      </c>
      <c r="L1052" s="10">
        <v>0.35505996000000001</v>
      </c>
      <c r="M1052" s="10">
        <v>-0.31980722</v>
      </c>
      <c r="N1052" s="10">
        <v>-0.385066613</v>
      </c>
      <c r="O1052" s="9">
        <v>-2.3220982250000001E-2</v>
      </c>
      <c r="P1052" s="10">
        <v>0.383178230794254</v>
      </c>
      <c r="Q1052" s="10">
        <v>0.14682555655461499</v>
      </c>
    </row>
    <row r="1053" spans="1:17" x14ac:dyDescent="0.2">
      <c r="A1053" s="10">
        <v>1815</v>
      </c>
      <c r="B1053" s="10" t="s">
        <v>74</v>
      </c>
      <c r="C1053" s="9" t="s">
        <v>1686</v>
      </c>
      <c r="D1053" s="10">
        <v>0.160184349</v>
      </c>
      <c r="E1053" s="10">
        <v>-0.130585798</v>
      </c>
      <c r="F1053" s="10">
        <v>-0.34751130499999999</v>
      </c>
      <c r="G1053" s="10">
        <v>-0.362633653</v>
      </c>
      <c r="H1053" s="9">
        <v>-0.17013660175</v>
      </c>
      <c r="I1053" s="10">
        <v>0.24439932942803899</v>
      </c>
      <c r="J1053" s="10">
        <v>5.9731032224875198E-2</v>
      </c>
      <c r="K1053" s="10">
        <v>-0.17911608200000001</v>
      </c>
      <c r="L1053" s="10">
        <v>-0.14775105699999999</v>
      </c>
      <c r="M1053" s="10">
        <v>-0.17708755200000001</v>
      </c>
      <c r="N1053" s="10">
        <v>-0.317341225</v>
      </c>
      <c r="O1053" s="9">
        <v>-0.20532397899999999</v>
      </c>
      <c r="P1053" s="10">
        <v>7.6040897820255304E-2</v>
      </c>
      <c r="Q1053" s="10">
        <v>5.7822181413105002E-3</v>
      </c>
    </row>
    <row r="1054" spans="1:17" x14ac:dyDescent="0.2">
      <c r="A1054" s="10">
        <v>1815</v>
      </c>
      <c r="B1054" s="10" t="s">
        <v>2818</v>
      </c>
      <c r="C1054" s="9" t="s">
        <v>1687</v>
      </c>
      <c r="D1054" s="10">
        <v>-1.6930175599999999</v>
      </c>
      <c r="E1054" s="10">
        <v>8.0042705000000006E-2</v>
      </c>
      <c r="F1054" s="10">
        <v>-0.63738833800000005</v>
      </c>
      <c r="G1054" s="10">
        <v>-0.51108714600000005</v>
      </c>
      <c r="H1054" s="9">
        <v>-0.69036258475000001</v>
      </c>
      <c r="I1054" s="10">
        <v>0.73796731265146898</v>
      </c>
      <c r="J1054" s="10">
        <v>0.54459575454203102</v>
      </c>
      <c r="K1054" s="10">
        <v>-1.130396046</v>
      </c>
      <c r="L1054" s="10">
        <v>-0.67471721900000003</v>
      </c>
      <c r="M1054" s="10">
        <v>-0.78353191</v>
      </c>
      <c r="N1054" s="10">
        <v>-1.1522380759999999</v>
      </c>
      <c r="O1054" s="9">
        <v>-0.93522081300000004</v>
      </c>
      <c r="P1054" s="10">
        <v>0.242254349666403</v>
      </c>
      <c r="Q1054" s="10">
        <v>5.8687169932291797E-2</v>
      </c>
    </row>
    <row r="1055" spans="1:17" x14ac:dyDescent="0.2">
      <c r="A1055" s="10">
        <v>1815</v>
      </c>
      <c r="B1055" s="10" t="s">
        <v>2830</v>
      </c>
      <c r="C1055" s="9" t="s">
        <v>1688</v>
      </c>
      <c r="D1055" s="10">
        <v>-0.432454106</v>
      </c>
      <c r="E1055" s="10">
        <v>-1.0875397659999999</v>
      </c>
      <c r="F1055" s="10">
        <v>-0.39288432899999998</v>
      </c>
      <c r="G1055" s="10">
        <v>-7.8671379E-2</v>
      </c>
      <c r="H1055" s="9">
        <v>-0.49788739500000001</v>
      </c>
      <c r="I1055" s="10">
        <v>0.423768468968449</v>
      </c>
      <c r="J1055" s="10">
        <v>0.17957971529186301</v>
      </c>
      <c r="K1055" s="10">
        <v>0.15698905699999999</v>
      </c>
      <c r="L1055" s="10">
        <v>-3.6227404999999997E-2</v>
      </c>
      <c r="M1055" s="10">
        <v>9.0209743999999994E-2</v>
      </c>
      <c r="N1055" s="10">
        <v>0.47550972200000002</v>
      </c>
      <c r="O1055" s="9">
        <v>0.1716202795</v>
      </c>
      <c r="P1055" s="10">
        <v>0.217861730750808</v>
      </c>
      <c r="Q1055" s="10">
        <v>4.7463733725737797E-2</v>
      </c>
    </row>
    <row r="1056" spans="1:17" x14ac:dyDescent="0.2">
      <c r="A1056" s="10">
        <v>1816</v>
      </c>
      <c r="B1056" s="10" t="s">
        <v>2820</v>
      </c>
      <c r="C1056" s="9" t="s">
        <v>1691</v>
      </c>
      <c r="D1056" s="10">
        <v>-0.288344726</v>
      </c>
      <c r="E1056" s="10">
        <v>-0.58235168800000003</v>
      </c>
      <c r="F1056" s="10">
        <v>-9.2067685999999996E-2</v>
      </c>
      <c r="G1056" s="10">
        <v>-0.21268982</v>
      </c>
      <c r="H1056" s="9">
        <v>-0.29386348000000001</v>
      </c>
      <c r="I1056" s="10">
        <v>0.20861975645868999</v>
      </c>
      <c r="J1056" s="10">
        <v>4.3522202784883203E-2</v>
      </c>
      <c r="K1056" s="10">
        <v>-0.45427902199999998</v>
      </c>
      <c r="L1056" s="10">
        <v>-0.37379645099999997</v>
      </c>
      <c r="M1056" s="10">
        <v>0.110831983</v>
      </c>
      <c r="N1056" s="10">
        <v>-0.30203604099999998</v>
      </c>
      <c r="O1056" s="9">
        <v>-0.25481988300000002</v>
      </c>
      <c r="P1056" s="10">
        <v>0.25157505477109698</v>
      </c>
      <c r="Q1056" s="10">
        <v>6.3290008183080906E-2</v>
      </c>
    </row>
    <row r="1057" spans="1:17" x14ac:dyDescent="0.2">
      <c r="A1057" s="10">
        <v>1816</v>
      </c>
      <c r="B1057" s="10" t="s">
        <v>2817</v>
      </c>
      <c r="C1057" s="9" t="s">
        <v>1692</v>
      </c>
      <c r="D1057" s="10">
        <v>0.45415569500000003</v>
      </c>
      <c r="E1057" s="10">
        <v>0.34955111</v>
      </c>
      <c r="F1057" s="10">
        <v>-6.0967625999999997E-2</v>
      </c>
      <c r="G1057" s="10">
        <v>-0.143124221</v>
      </c>
      <c r="H1057" s="9">
        <v>0.14990373949999999</v>
      </c>
      <c r="I1057" s="10">
        <v>0.29595069600400298</v>
      </c>
      <c r="J1057" s="10">
        <v>8.7586814465254098E-2</v>
      </c>
      <c r="K1057" s="10">
        <v>0.115951281</v>
      </c>
      <c r="L1057" s="10">
        <v>0.40555263699999999</v>
      </c>
      <c r="M1057" s="10">
        <v>0.34849353799999999</v>
      </c>
      <c r="N1057" s="10">
        <v>0.35240366299999998</v>
      </c>
      <c r="O1057" s="9">
        <v>0.30560028025000002</v>
      </c>
      <c r="P1057" s="10">
        <v>0.129083441661658</v>
      </c>
      <c r="Q1057" s="10">
        <v>1.6662534911218801E-2</v>
      </c>
    </row>
    <row r="1058" spans="1:17" x14ac:dyDescent="0.2">
      <c r="A1058" s="10">
        <v>1816</v>
      </c>
      <c r="B1058" s="10" t="s">
        <v>2814</v>
      </c>
      <c r="C1058" s="9" t="s">
        <v>1693</v>
      </c>
      <c r="D1058" s="10">
        <v>-0.94828310999999998</v>
      </c>
      <c r="E1058" s="10">
        <v>-1.008877885</v>
      </c>
      <c r="F1058" s="10">
        <v>-0.83724571599999997</v>
      </c>
      <c r="G1058" s="10">
        <v>-1.3768104759999999</v>
      </c>
      <c r="H1058" s="9">
        <v>-1.04280429675</v>
      </c>
      <c r="I1058" s="10">
        <v>0.233737540884354</v>
      </c>
      <c r="J1058" s="10">
        <v>5.4633238018665403E-2</v>
      </c>
      <c r="K1058" s="10">
        <v>2.6770879000000001E-2</v>
      </c>
      <c r="L1058" s="10">
        <v>-1.4191798250000001</v>
      </c>
      <c r="M1058" s="10">
        <v>-1.540191004</v>
      </c>
      <c r="N1058" s="10">
        <v>-0.13175700100000001</v>
      </c>
      <c r="O1058" s="9">
        <v>-0.76608923775000004</v>
      </c>
      <c r="P1058" s="10">
        <v>0.82800269946802296</v>
      </c>
      <c r="Q1058" s="10">
        <v>0.68558847032633297</v>
      </c>
    </row>
    <row r="1059" spans="1:17" x14ac:dyDescent="0.2">
      <c r="A1059" s="10">
        <v>1816</v>
      </c>
      <c r="B1059" s="10" t="s">
        <v>74</v>
      </c>
      <c r="C1059" s="9" t="s">
        <v>2598</v>
      </c>
      <c r="D1059" s="10">
        <v>-0.109652713</v>
      </c>
      <c r="E1059" s="10">
        <v>-0.26622749099999998</v>
      </c>
      <c r="F1059" s="10">
        <v>-0.74311072300000003</v>
      </c>
      <c r="G1059" s="10">
        <v>0.50487273099999996</v>
      </c>
      <c r="H1059" s="9">
        <v>-0.15352954899999999</v>
      </c>
      <c r="I1059" s="10">
        <v>0.51501635116852396</v>
      </c>
      <c r="J1059" s="10">
        <v>0.26524184197094097</v>
      </c>
      <c r="K1059" s="10">
        <v>-0.37943386400000001</v>
      </c>
      <c r="L1059" s="10">
        <v>-9.2456696000000005E-2</v>
      </c>
      <c r="M1059" s="10">
        <v>-0.94106483799999996</v>
      </c>
      <c r="N1059" s="10">
        <v>6.1571607E-2</v>
      </c>
      <c r="O1059" s="9">
        <v>-0.33784594800000001</v>
      </c>
      <c r="P1059" s="10">
        <v>0.44172119874016702</v>
      </c>
      <c r="Q1059" s="10">
        <v>0.19511761741645001</v>
      </c>
    </row>
    <row r="1060" spans="1:17" x14ac:dyDescent="0.2">
      <c r="A1060" s="10">
        <v>1817</v>
      </c>
      <c r="B1060" s="10" t="s">
        <v>2822</v>
      </c>
      <c r="C1060" s="9" t="s">
        <v>1695</v>
      </c>
      <c r="D1060" s="10">
        <v>0.112863249</v>
      </c>
      <c r="E1060" s="10">
        <v>-1.7350537999999999E-2</v>
      </c>
      <c r="F1060" s="10">
        <v>0.27440708400000002</v>
      </c>
      <c r="G1060" s="10">
        <v>-1.0618726300000001</v>
      </c>
      <c r="H1060" s="9">
        <v>-0.17298820849999999</v>
      </c>
      <c r="I1060" s="10">
        <v>0.60448661489732702</v>
      </c>
      <c r="J1060" s="10">
        <v>0.36540406759003002</v>
      </c>
      <c r="K1060" s="10">
        <v>-8.4120064999999994E-2</v>
      </c>
      <c r="L1060" s="10">
        <v>-3.3618138999999998E-2</v>
      </c>
      <c r="M1060" s="10">
        <v>0.195150781</v>
      </c>
      <c r="N1060" s="10">
        <v>-0.128663153</v>
      </c>
      <c r="O1060" s="9">
        <v>-1.281264375E-2</v>
      </c>
      <c r="P1060" s="10">
        <v>0.143976553050784</v>
      </c>
      <c r="Q1060" s="10">
        <v>2.0729247828385301E-2</v>
      </c>
    </row>
    <row r="1061" spans="1:17" x14ac:dyDescent="0.2">
      <c r="A1061" s="10">
        <v>1817</v>
      </c>
      <c r="B1061" s="10" t="s">
        <v>2823</v>
      </c>
      <c r="C1061" s="9" t="s">
        <v>2188</v>
      </c>
      <c r="D1061" s="10">
        <v>-0.24177174200000001</v>
      </c>
      <c r="E1061" s="10">
        <v>-0.19306393299999999</v>
      </c>
      <c r="F1061" s="10">
        <v>-0.10843570399999999</v>
      </c>
      <c r="G1061" s="10">
        <v>-6.6048221000000004E-2</v>
      </c>
      <c r="H1061" s="9">
        <v>-0.15232989999999999</v>
      </c>
      <c r="I1061" s="10">
        <v>7.9645742967098795E-2</v>
      </c>
      <c r="J1061" s="10">
        <v>6.3434443727811004E-3</v>
      </c>
      <c r="K1061" s="10">
        <v>0.33659171700000001</v>
      </c>
      <c r="L1061" s="10">
        <v>0.27838935199999998</v>
      </c>
      <c r="M1061" s="10">
        <v>-0.20822914100000001</v>
      </c>
      <c r="N1061" s="10">
        <v>-0.54629193099999995</v>
      </c>
      <c r="O1061" s="9">
        <v>-3.4885000749999999E-2</v>
      </c>
      <c r="P1061" s="10">
        <v>0.41941268904186502</v>
      </c>
      <c r="Q1061" s="10">
        <v>0.17590700372932799</v>
      </c>
    </row>
    <row r="1062" spans="1:17" x14ac:dyDescent="0.2">
      <c r="A1062" s="10">
        <v>1817</v>
      </c>
      <c r="B1062" s="10" t="s">
        <v>2820</v>
      </c>
      <c r="C1062" s="9" t="s">
        <v>1697</v>
      </c>
      <c r="D1062" s="10">
        <v>0.113577604</v>
      </c>
      <c r="E1062" s="10">
        <v>0.34255776900000001</v>
      </c>
      <c r="F1062" s="10">
        <v>0.415249119</v>
      </c>
      <c r="G1062" s="10">
        <v>5.9181411000000003E-2</v>
      </c>
      <c r="H1062" s="9">
        <v>0.23264147574999999</v>
      </c>
      <c r="I1062" s="10">
        <v>0.17290820542927099</v>
      </c>
      <c r="J1062" s="10">
        <v>2.9897247504771299E-2</v>
      </c>
      <c r="K1062" s="10">
        <v>0.58474943499999998</v>
      </c>
      <c r="L1062" s="10">
        <v>0.389865778</v>
      </c>
      <c r="M1062" s="10">
        <v>0.44015315199999999</v>
      </c>
      <c r="N1062" s="10">
        <v>0.53778026300000004</v>
      </c>
      <c r="O1062" s="9">
        <v>0.48813715699999999</v>
      </c>
      <c r="P1062" s="10">
        <v>8.8990821436966502E-2</v>
      </c>
      <c r="Q1062" s="10">
        <v>7.9193663000259994E-3</v>
      </c>
    </row>
    <row r="1063" spans="1:17" x14ac:dyDescent="0.2">
      <c r="A1063" s="10">
        <v>1817</v>
      </c>
      <c r="B1063" s="10" t="s">
        <v>2824</v>
      </c>
      <c r="C1063" s="9" t="s">
        <v>1698</v>
      </c>
      <c r="D1063" s="10">
        <v>0.15106332</v>
      </c>
      <c r="E1063" s="10">
        <v>0.162318402</v>
      </c>
      <c r="F1063" s="10">
        <v>0.28761345300000002</v>
      </c>
      <c r="G1063" s="10">
        <v>0.13444431000000001</v>
      </c>
      <c r="H1063" s="9">
        <v>0.18385987125</v>
      </c>
      <c r="I1063" s="10">
        <v>7.0110275259643598E-2</v>
      </c>
      <c r="J1063" s="10">
        <v>4.915450696983E-3</v>
      </c>
      <c r="K1063" s="10">
        <v>0.18124431799999999</v>
      </c>
      <c r="L1063" s="10">
        <v>-0.463913672</v>
      </c>
      <c r="M1063" s="10">
        <v>0.11171982900000001</v>
      </c>
      <c r="N1063" s="10">
        <v>-8.4418008000000003E-2</v>
      </c>
      <c r="O1063" s="9">
        <v>-6.3841883500000002E-2</v>
      </c>
      <c r="P1063" s="10">
        <v>0.28946500877461201</v>
      </c>
      <c r="Q1063" s="10">
        <v>8.3789991304886499E-2</v>
      </c>
    </row>
    <row r="1064" spans="1:17" x14ac:dyDescent="0.2">
      <c r="A1064" s="10">
        <v>1817</v>
      </c>
      <c r="B1064" s="10" t="s">
        <v>82</v>
      </c>
      <c r="C1064" s="9" t="s">
        <v>1700</v>
      </c>
      <c r="D1064" s="10">
        <v>0.181090103</v>
      </c>
      <c r="E1064" s="10">
        <v>0.33391718399999998</v>
      </c>
      <c r="F1064" s="10">
        <v>4.4659363000000001E-2</v>
      </c>
      <c r="G1064" s="10">
        <v>0.41961732899999998</v>
      </c>
      <c r="H1064" s="9">
        <v>0.24482099474999999</v>
      </c>
      <c r="I1064" s="10">
        <v>0.16594998723931001</v>
      </c>
      <c r="J1064" s="10">
        <v>2.7539398264727399E-2</v>
      </c>
      <c r="K1064" s="10">
        <v>-3.3601858999999998E-2</v>
      </c>
      <c r="L1064" s="10">
        <v>0.46346588500000002</v>
      </c>
      <c r="M1064" s="10">
        <v>-0.20047880000000001</v>
      </c>
      <c r="N1064" s="10">
        <v>-0.283002751</v>
      </c>
      <c r="O1064" s="9">
        <v>-1.340438125E-2</v>
      </c>
      <c r="P1064" s="10">
        <v>0.33441157678491301</v>
      </c>
      <c r="Q1064" s="10">
        <v>0.11183110268777099</v>
      </c>
    </row>
    <row r="1065" spans="1:17" x14ac:dyDescent="0.2">
      <c r="A1065" s="10">
        <v>1817</v>
      </c>
      <c r="B1065" s="10" t="s">
        <v>2814</v>
      </c>
      <c r="C1065" s="9" t="s">
        <v>2597</v>
      </c>
      <c r="D1065" s="10">
        <v>0.36016995699999999</v>
      </c>
      <c r="E1065" s="10">
        <v>-0.37685191800000001</v>
      </c>
      <c r="F1065" s="10">
        <v>-0.27758857599999998</v>
      </c>
      <c r="G1065" s="10">
        <v>-0.30147456700000003</v>
      </c>
      <c r="H1065" s="9">
        <v>-0.14893627600000001</v>
      </c>
      <c r="I1065" s="10">
        <v>0.34203023300297702</v>
      </c>
      <c r="J1065" s="10">
        <v>0.11698468028807101</v>
      </c>
      <c r="K1065" s="10">
        <v>-0.44127542800000003</v>
      </c>
      <c r="L1065" s="10">
        <v>-0.46506013099999999</v>
      </c>
      <c r="M1065" s="10">
        <v>-0.49649479000000002</v>
      </c>
      <c r="N1065" s="10">
        <v>-0.48975602299999998</v>
      </c>
      <c r="O1065" s="9">
        <v>-0.473146593</v>
      </c>
      <c r="P1065" s="10">
        <v>2.5180504987062001E-2</v>
      </c>
      <c r="Q1065" s="10">
        <v>6.3405783140339995E-4</v>
      </c>
    </row>
    <row r="1066" spans="1:17" x14ac:dyDescent="0.2">
      <c r="A1066" s="10">
        <v>1817</v>
      </c>
      <c r="B1066" s="10" t="s">
        <v>2833</v>
      </c>
      <c r="C1066" s="9" t="s">
        <v>2596</v>
      </c>
      <c r="D1066" s="10">
        <v>-3.4230249999999997E-2</v>
      </c>
      <c r="E1066" s="10">
        <v>0.28041354600000001</v>
      </c>
      <c r="F1066" s="10">
        <v>5.3270781000000003E-2</v>
      </c>
      <c r="G1066" s="10">
        <v>-0.34055746100000001</v>
      </c>
      <c r="H1066" s="9">
        <v>-1.027584625E-2</v>
      </c>
      <c r="I1066" s="10">
        <v>0.25703323721677801</v>
      </c>
      <c r="J1066" s="10">
        <v>6.6066085034136704E-2</v>
      </c>
      <c r="K1066" s="10">
        <v>0.127562442</v>
      </c>
      <c r="L1066" s="10">
        <v>0.41277750299999999</v>
      </c>
      <c r="M1066" s="10">
        <v>3.8005971E-2</v>
      </c>
      <c r="N1066" s="10">
        <v>0.83520077999999998</v>
      </c>
      <c r="O1066" s="9">
        <v>0.35338667424999998</v>
      </c>
      <c r="P1066" s="10">
        <v>0.35876346659651698</v>
      </c>
      <c r="Q1066" s="10">
        <v>0.12871122496435</v>
      </c>
    </row>
    <row r="1067" spans="1:17" x14ac:dyDescent="0.2">
      <c r="A1067" s="10">
        <v>1817</v>
      </c>
      <c r="B1067" s="10" t="s">
        <v>2825</v>
      </c>
      <c r="C1067" s="9" t="s">
        <v>1701</v>
      </c>
      <c r="D1067" s="10">
        <v>-0.33564502699999998</v>
      </c>
      <c r="E1067" s="10">
        <v>-0.56554526199999999</v>
      </c>
      <c r="F1067" s="10">
        <v>-0.34625312899999999</v>
      </c>
      <c r="G1067" s="10">
        <v>-0.36760992599999998</v>
      </c>
      <c r="H1067" s="9">
        <v>-0.40376333599999997</v>
      </c>
      <c r="I1067" s="10">
        <v>0.10867073903171801</v>
      </c>
      <c r="J1067" s="10">
        <v>1.1809329521699901E-2</v>
      </c>
      <c r="K1067" s="10">
        <v>-0.94289360799999999</v>
      </c>
      <c r="L1067" s="10">
        <v>-0.35296662899999998</v>
      </c>
      <c r="M1067" s="10">
        <v>-0.143536521</v>
      </c>
      <c r="N1067" s="10">
        <v>-0.34278835600000002</v>
      </c>
      <c r="O1067" s="9">
        <v>-0.4455462785</v>
      </c>
      <c r="P1067" s="10">
        <v>0.34529911763766402</v>
      </c>
      <c r="Q1067" s="10">
        <v>0.119231480641349</v>
      </c>
    </row>
    <row r="1068" spans="1:17" x14ac:dyDescent="0.2">
      <c r="A1068" s="10">
        <v>1817</v>
      </c>
      <c r="B1068" s="10" t="s">
        <v>2818</v>
      </c>
      <c r="C1068" s="9" t="s">
        <v>1702</v>
      </c>
      <c r="D1068" s="10">
        <v>-0.134858585</v>
      </c>
      <c r="E1068" s="10">
        <v>-0.23125971200000001</v>
      </c>
      <c r="F1068" s="10">
        <v>-0.270935325</v>
      </c>
      <c r="G1068" s="10">
        <v>-0.23694327100000001</v>
      </c>
      <c r="H1068" s="9">
        <v>-0.21849922299999999</v>
      </c>
      <c r="I1068" s="10">
        <v>5.8447452479832601E-2</v>
      </c>
      <c r="J1068" s="10">
        <v>3.4161047013821998E-3</v>
      </c>
      <c r="K1068" s="10">
        <v>-1.8882037000000001E-2</v>
      </c>
      <c r="L1068" s="10">
        <v>0.20925475900000001</v>
      </c>
      <c r="M1068" s="10">
        <v>-0.36648727599999997</v>
      </c>
      <c r="N1068" s="10">
        <v>0.239064952</v>
      </c>
      <c r="O1068" s="9">
        <v>1.5737599500000001E-2</v>
      </c>
      <c r="P1068" s="10">
        <v>0.27965357860395201</v>
      </c>
      <c r="Q1068" s="10">
        <v>7.8206124025996707E-2</v>
      </c>
    </row>
    <row r="1069" spans="1:17" x14ac:dyDescent="0.2">
      <c r="A1069" s="10">
        <v>1817</v>
      </c>
      <c r="B1069" s="10" t="s">
        <v>2830</v>
      </c>
      <c r="C1069" s="9" t="s">
        <v>1703</v>
      </c>
      <c r="D1069" s="10">
        <v>8.0400406999999993E-2</v>
      </c>
      <c r="E1069" s="10">
        <v>0.368474262</v>
      </c>
      <c r="F1069" s="10">
        <v>0.151588524</v>
      </c>
      <c r="G1069" s="10">
        <v>0.28700965699999997</v>
      </c>
      <c r="H1069" s="9">
        <v>0.22186821249999999</v>
      </c>
      <c r="I1069" s="10">
        <v>0.129986045597448</v>
      </c>
      <c r="J1069" s="10">
        <v>1.6896372050061899E-2</v>
      </c>
      <c r="K1069" s="10">
        <v>-0.114313596</v>
      </c>
      <c r="L1069" s="10">
        <v>3.6034800000000003E-4</v>
      </c>
      <c r="M1069" s="10">
        <v>-0.17820403100000001</v>
      </c>
      <c r="N1069" s="10">
        <v>-0.10471604700000001</v>
      </c>
      <c r="O1069" s="9">
        <v>-9.9218331749999999E-2</v>
      </c>
      <c r="P1069" s="10">
        <v>7.3965636215997693E-2</v>
      </c>
      <c r="Q1069" s="10">
        <v>5.4709153408373E-3</v>
      </c>
    </row>
    <row r="1070" spans="1:17" x14ac:dyDescent="0.2">
      <c r="A1070" s="10">
        <v>1817</v>
      </c>
      <c r="B1070" s="10" t="s">
        <v>2835</v>
      </c>
      <c r="C1070" s="9" t="s">
        <v>1704</v>
      </c>
      <c r="D1070" s="10">
        <v>0.34739505500000001</v>
      </c>
      <c r="E1070" s="10">
        <v>0.44270097000000003</v>
      </c>
      <c r="F1070" s="10">
        <v>0.417486733</v>
      </c>
      <c r="G1070" s="10">
        <v>-0.28601967099999998</v>
      </c>
      <c r="H1070" s="9">
        <v>0.23039077199999999</v>
      </c>
      <c r="I1070" s="10">
        <v>0.34662672847368597</v>
      </c>
      <c r="J1070" s="10">
        <v>0.120150088892371</v>
      </c>
      <c r="K1070" s="10">
        <v>-7.8234781000000003E-2</v>
      </c>
      <c r="L1070" s="10">
        <v>2.6356592000000002E-2</v>
      </c>
      <c r="M1070" s="10">
        <v>-1.074905011</v>
      </c>
      <c r="N1070" s="10">
        <v>0.40661657499999998</v>
      </c>
      <c r="O1070" s="9">
        <v>-0.18004165624999999</v>
      </c>
      <c r="P1070" s="10">
        <v>0.63190536757140003</v>
      </c>
      <c r="Q1070" s="10">
        <v>0.39930439356554598</v>
      </c>
    </row>
    <row r="1071" spans="1:17" x14ac:dyDescent="0.2">
      <c r="A1071" s="10">
        <v>1818</v>
      </c>
      <c r="B1071" s="10" t="s">
        <v>2831</v>
      </c>
      <c r="C1071" s="9" t="s">
        <v>1705</v>
      </c>
      <c r="D1071" s="10">
        <v>-0.800099428</v>
      </c>
      <c r="E1071" s="10">
        <v>-0.80181624600000001</v>
      </c>
      <c r="F1071" s="10">
        <v>-2.4531102640000002</v>
      </c>
      <c r="G1071" s="10">
        <v>-0.83211005299999996</v>
      </c>
      <c r="H1071" s="9">
        <v>-1.22178399775</v>
      </c>
      <c r="I1071" s="10">
        <v>0.82101582324365796</v>
      </c>
      <c r="J1071" s="10">
        <v>0.67406698201646098</v>
      </c>
      <c r="K1071" s="10">
        <v>-0.12806722700000001</v>
      </c>
      <c r="L1071" s="10">
        <v>-0.456477986</v>
      </c>
      <c r="M1071" s="10">
        <v>-0.21477023100000001</v>
      </c>
      <c r="N1071" s="10">
        <v>-6.9809785999999999E-2</v>
      </c>
      <c r="O1071" s="9">
        <v>-0.21728130749999999</v>
      </c>
      <c r="P1071" s="10">
        <v>0.17022373348391201</v>
      </c>
      <c r="Q1071" s="10">
        <v>2.8976119441202201E-2</v>
      </c>
    </row>
    <row r="1072" spans="1:17" x14ac:dyDescent="0.2">
      <c r="A1072" s="10">
        <v>1818</v>
      </c>
      <c r="B1072" s="10" t="s">
        <v>2822</v>
      </c>
      <c r="C1072" s="9" t="s">
        <v>1706</v>
      </c>
      <c r="D1072" s="10">
        <v>1.2529201649999999</v>
      </c>
      <c r="E1072" s="10">
        <v>0.204384227</v>
      </c>
      <c r="F1072" s="10">
        <v>0.73231834299999998</v>
      </c>
      <c r="G1072" s="10">
        <v>0.288485875</v>
      </c>
      <c r="H1072" s="9">
        <v>0.61952715224999999</v>
      </c>
      <c r="I1072" s="10">
        <v>0.48160860213101198</v>
      </c>
      <c r="J1072" s="10">
        <v>0.23194684564658699</v>
      </c>
      <c r="K1072" s="10">
        <v>0.29582777599999999</v>
      </c>
      <c r="L1072" s="10">
        <v>-0.26918984800000001</v>
      </c>
      <c r="M1072" s="10">
        <v>0.50057994400000005</v>
      </c>
      <c r="N1072" s="10">
        <v>0.48234146700000002</v>
      </c>
      <c r="O1072" s="9">
        <v>0.25238983500000001</v>
      </c>
      <c r="P1072" s="10">
        <v>0.35981861342515098</v>
      </c>
      <c r="Q1072" s="10">
        <v>0.12946943456719801</v>
      </c>
    </row>
    <row r="1073" spans="1:17" x14ac:dyDescent="0.2">
      <c r="A1073" s="63">
        <v>1818</v>
      </c>
      <c r="B1073" s="63" t="s">
        <v>2821</v>
      </c>
      <c r="C1073" s="64" t="s">
        <v>65</v>
      </c>
      <c r="D1073" s="63">
        <v>0.28297827399999997</v>
      </c>
      <c r="E1073" s="63">
        <v>-0.31523996900000001</v>
      </c>
      <c r="F1073" s="63">
        <v>0.31100456999999998</v>
      </c>
      <c r="G1073" s="63">
        <v>-0.59819220699999998</v>
      </c>
      <c r="H1073" s="64">
        <v>-7.9862332999999994E-2</v>
      </c>
      <c r="I1073" s="63">
        <v>0.45036974874679098</v>
      </c>
      <c r="J1073" s="63">
        <v>0.202832910586248</v>
      </c>
      <c r="K1073" s="63">
        <v>-6.9244188999999998E-2</v>
      </c>
      <c r="L1073" s="63">
        <v>0.11279046700000001</v>
      </c>
      <c r="M1073" s="63">
        <v>-0.55548099900000003</v>
      </c>
      <c r="N1073" s="63">
        <v>-0.47020256100000002</v>
      </c>
      <c r="O1073" s="64">
        <v>-0.24553432075000001</v>
      </c>
      <c r="P1073" s="63">
        <v>0.31938358630532598</v>
      </c>
      <c r="Q1073" s="63">
        <v>0.102005875201251</v>
      </c>
    </row>
    <row r="1074" spans="1:17" x14ac:dyDescent="0.2">
      <c r="A1074" s="10">
        <v>1818</v>
      </c>
      <c r="B1074" s="10" t="s">
        <v>2833</v>
      </c>
      <c r="C1074" s="9" t="s">
        <v>1708</v>
      </c>
      <c r="D1074" s="10">
        <v>-0.246222949</v>
      </c>
      <c r="E1074" s="10">
        <v>-0.40612095799999998</v>
      </c>
      <c r="F1074" s="10">
        <v>0.10368467000000001</v>
      </c>
      <c r="G1074" s="10">
        <v>7.9509009999999998E-3</v>
      </c>
      <c r="H1074" s="9">
        <v>-0.13517708375000001</v>
      </c>
      <c r="I1074" s="10">
        <v>0.23329689568290601</v>
      </c>
      <c r="J1074" s="10">
        <v>5.4427441535280903E-2</v>
      </c>
      <c r="K1074" s="10">
        <v>5.2620420000000001E-2</v>
      </c>
      <c r="L1074" s="10">
        <v>-7.4575785000000006E-2</v>
      </c>
      <c r="M1074" s="10">
        <v>-0.22339847600000001</v>
      </c>
      <c r="N1074" s="10">
        <v>0.127481329</v>
      </c>
      <c r="O1074" s="9">
        <v>-2.946812775E-2</v>
      </c>
      <c r="P1074" s="10">
        <v>0.15385636414176901</v>
      </c>
      <c r="Q1074" s="10">
        <v>2.3671780786924598E-2</v>
      </c>
    </row>
    <row r="1075" spans="1:17" x14ac:dyDescent="0.2">
      <c r="A1075" s="10">
        <v>1819</v>
      </c>
      <c r="B1075" s="10" t="s">
        <v>2831</v>
      </c>
      <c r="C1075" s="9" t="s">
        <v>1710</v>
      </c>
      <c r="D1075" s="10">
        <v>-0.55302695300000004</v>
      </c>
      <c r="E1075" s="10">
        <v>-0.96139667900000003</v>
      </c>
      <c r="F1075" s="10">
        <v>-1.0945283159999999</v>
      </c>
      <c r="G1075" s="10">
        <v>-0.78112974700000004</v>
      </c>
      <c r="H1075" s="9">
        <v>-0.84752042375000003</v>
      </c>
      <c r="I1075" s="10">
        <v>0.23460237752223401</v>
      </c>
      <c r="J1075" s="10">
        <v>5.5038275539084899E-2</v>
      </c>
      <c r="K1075" s="10">
        <v>0.50048324499999997</v>
      </c>
      <c r="L1075" s="10">
        <v>0.50470276400000003</v>
      </c>
      <c r="M1075" s="10">
        <v>0.13191536800000001</v>
      </c>
      <c r="N1075" s="10">
        <v>0.424558557</v>
      </c>
      <c r="O1075" s="9">
        <v>0.39041498349999998</v>
      </c>
      <c r="P1075" s="10">
        <v>0.17622386689118499</v>
      </c>
      <c r="Q1075" s="10">
        <v>3.1054851262082E-2</v>
      </c>
    </row>
    <row r="1076" spans="1:17" x14ac:dyDescent="0.2">
      <c r="A1076" s="10">
        <v>1819</v>
      </c>
      <c r="B1076" s="10" t="s">
        <v>2819</v>
      </c>
      <c r="C1076" s="9" t="s">
        <v>1712</v>
      </c>
      <c r="D1076" s="10">
        <v>-0.25869542699999998</v>
      </c>
      <c r="E1076" s="10">
        <v>0.38356661600000003</v>
      </c>
      <c r="F1076" s="10">
        <v>0.57632790899999997</v>
      </c>
      <c r="G1076" s="10">
        <v>0.61678051199999995</v>
      </c>
      <c r="H1076" s="9">
        <v>0.32949490225</v>
      </c>
      <c r="I1076" s="10">
        <v>0.40511363362302799</v>
      </c>
      <c r="J1076" s="10">
        <v>0.164117056147253</v>
      </c>
      <c r="K1076" s="10">
        <v>0.43911653099999998</v>
      </c>
      <c r="L1076" s="10">
        <v>0.40131635999999998</v>
      </c>
      <c r="M1076" s="10">
        <v>0.22049027199999999</v>
      </c>
      <c r="N1076" s="10">
        <v>0.40696083900000002</v>
      </c>
      <c r="O1076" s="9">
        <v>0.36697100049999998</v>
      </c>
      <c r="P1076" s="10">
        <v>9.9062896342773807E-2</v>
      </c>
      <c r="Q1076" s="10">
        <v>9.8134574318191007E-3</v>
      </c>
    </row>
    <row r="1077" spans="1:17" x14ac:dyDescent="0.2">
      <c r="A1077" s="10">
        <v>1819</v>
      </c>
      <c r="B1077" s="10" t="s">
        <v>2820</v>
      </c>
      <c r="C1077" s="9" t="s">
        <v>1714</v>
      </c>
      <c r="D1077" s="10">
        <v>-2.2852625000000001E-2</v>
      </c>
      <c r="E1077" s="10">
        <v>-0.21875920200000001</v>
      </c>
      <c r="F1077" s="10">
        <v>-0.33255813299999998</v>
      </c>
      <c r="G1077" s="10">
        <v>-4.9607312000000001E-2</v>
      </c>
      <c r="H1077" s="9">
        <v>-0.15594431775000001</v>
      </c>
      <c r="I1077" s="10">
        <v>0.14624079103934201</v>
      </c>
      <c r="J1077" s="10">
        <v>2.1386368963812599E-2</v>
      </c>
      <c r="K1077" s="10">
        <v>-0.51402298199999996</v>
      </c>
      <c r="L1077" s="10">
        <v>-0.20694467499999999</v>
      </c>
      <c r="M1077" s="10">
        <v>-0.43099905199999999</v>
      </c>
      <c r="N1077" s="10">
        <v>-0.31291890700000002</v>
      </c>
      <c r="O1077" s="9">
        <v>-0.36622140399999997</v>
      </c>
      <c r="P1077" s="10">
        <v>0.13447637057252401</v>
      </c>
      <c r="Q1077" s="10">
        <v>1.8083894242358799E-2</v>
      </c>
    </row>
    <row r="1078" spans="1:17" x14ac:dyDescent="0.2">
      <c r="A1078" s="10">
        <v>1819</v>
      </c>
      <c r="B1078" s="10" t="s">
        <v>2817</v>
      </c>
      <c r="C1078" s="9" t="s">
        <v>1716</v>
      </c>
      <c r="D1078" s="10">
        <v>4.4792266999999997E-2</v>
      </c>
      <c r="E1078" s="10">
        <v>0.307928961</v>
      </c>
      <c r="F1078" s="10">
        <v>-0.15378883500000001</v>
      </c>
      <c r="G1078" s="10">
        <v>4.2302092999999999E-2</v>
      </c>
      <c r="H1078" s="9">
        <v>6.0308621749999999E-2</v>
      </c>
      <c r="I1078" s="10">
        <v>0.18948926595760399</v>
      </c>
      <c r="J1078" s="10">
        <v>3.59061819131518E-2</v>
      </c>
      <c r="K1078" s="10">
        <v>0.264083966</v>
      </c>
      <c r="L1078" s="10">
        <v>0.44033617899999999</v>
      </c>
      <c r="M1078" s="10">
        <v>-1.6191048999999999E-2</v>
      </c>
      <c r="N1078" s="10">
        <v>0.11345728099999999</v>
      </c>
      <c r="O1078" s="9">
        <v>0.20042159400000001</v>
      </c>
      <c r="P1078" s="10">
        <v>0.19671954194351199</v>
      </c>
      <c r="Q1078" s="10">
        <v>3.8698578182465297E-2</v>
      </c>
    </row>
    <row r="1079" spans="1:17" x14ac:dyDescent="0.2">
      <c r="A1079" s="10">
        <v>1819</v>
      </c>
      <c r="B1079" s="10" t="s">
        <v>2833</v>
      </c>
      <c r="C1079" s="9" t="s">
        <v>1718</v>
      </c>
      <c r="D1079" s="10">
        <v>-6.1400075999999998E-2</v>
      </c>
      <c r="E1079" s="10">
        <v>-0.39151051199999998</v>
      </c>
      <c r="F1079" s="10">
        <v>-0.217570812</v>
      </c>
      <c r="G1079" s="10">
        <v>-0.31503802199999997</v>
      </c>
      <c r="H1079" s="9">
        <v>-0.24637985549999999</v>
      </c>
      <c r="I1079" s="10">
        <v>0.14238952570854799</v>
      </c>
      <c r="J1079" s="10">
        <v>2.02747770315054E-2</v>
      </c>
      <c r="K1079" s="10">
        <v>-8.1230740999999995E-2</v>
      </c>
      <c r="L1079" s="10">
        <v>-0.2151853</v>
      </c>
      <c r="M1079" s="10">
        <v>-0.417937436</v>
      </c>
      <c r="N1079" s="10">
        <v>-4.8709453999999999E-2</v>
      </c>
      <c r="O1079" s="9">
        <v>-0.19076573299999999</v>
      </c>
      <c r="P1079" s="10">
        <v>0.167711258588636</v>
      </c>
      <c r="Q1079" s="10">
        <v>2.8127066257384498E-2</v>
      </c>
    </row>
    <row r="1080" spans="1:17" x14ac:dyDescent="0.2">
      <c r="A1080" s="10">
        <v>1819</v>
      </c>
      <c r="B1080" s="10" t="s">
        <v>2825</v>
      </c>
      <c r="C1080" s="9" t="s">
        <v>1719</v>
      </c>
      <c r="D1080" s="10">
        <v>-0.156484497</v>
      </c>
      <c r="E1080" s="10">
        <v>-0.66255222899999999</v>
      </c>
      <c r="F1080" s="10">
        <v>-0.14815927300000001</v>
      </c>
      <c r="G1080" s="10">
        <v>-0.21279587599999999</v>
      </c>
      <c r="H1080" s="9">
        <v>-0.29499796900000003</v>
      </c>
      <c r="I1080" s="10">
        <v>0.24671231742402799</v>
      </c>
      <c r="J1080" s="10">
        <v>6.0866967568734401E-2</v>
      </c>
      <c r="K1080" s="10">
        <v>7.5322108999999998E-2</v>
      </c>
      <c r="L1080" s="10">
        <v>-2.4941263000000002E-2</v>
      </c>
      <c r="M1080" s="10">
        <v>5.3849938E-2</v>
      </c>
      <c r="N1080" s="10">
        <v>-0.72544810400000004</v>
      </c>
      <c r="O1080" s="9">
        <v>-0.15530433025000001</v>
      </c>
      <c r="P1080" s="10">
        <v>0.38253214002531699</v>
      </c>
      <c r="Q1080" s="10">
        <v>0.14633083815234799</v>
      </c>
    </row>
    <row r="1081" spans="1:17" x14ac:dyDescent="0.2">
      <c r="A1081" s="10">
        <v>1819</v>
      </c>
      <c r="B1081" s="10" t="s">
        <v>74</v>
      </c>
      <c r="C1081" s="9" t="s">
        <v>41</v>
      </c>
      <c r="D1081" s="10">
        <v>0.14339777000000001</v>
      </c>
      <c r="E1081" s="10">
        <v>8.8024325E-2</v>
      </c>
      <c r="F1081" s="10">
        <v>-0.32413054899999999</v>
      </c>
      <c r="G1081" s="10">
        <v>-0.22341855799999999</v>
      </c>
      <c r="H1081" s="9">
        <v>-7.9031753250000003E-2</v>
      </c>
      <c r="I1081" s="10">
        <v>0.22971257051476801</v>
      </c>
      <c r="J1081" s="10">
        <v>5.2767865052502402E-2</v>
      </c>
      <c r="K1081" s="10">
        <v>-0.29467440700000003</v>
      </c>
      <c r="L1081" s="10">
        <v>-0.43314026300000003</v>
      </c>
      <c r="M1081" s="10">
        <v>-0.27131512499999999</v>
      </c>
      <c r="N1081" s="10">
        <v>-0.95962761799999996</v>
      </c>
      <c r="O1081" s="9">
        <v>-0.48968935299999999</v>
      </c>
      <c r="P1081" s="10">
        <v>0.321329480496793</v>
      </c>
      <c r="Q1081" s="10">
        <v>0.103252635036339</v>
      </c>
    </row>
    <row r="1082" spans="1:17" x14ac:dyDescent="0.2">
      <c r="A1082" s="10">
        <v>1819</v>
      </c>
      <c r="B1082" s="10" t="s">
        <v>2818</v>
      </c>
      <c r="C1082" s="9" t="s">
        <v>1720</v>
      </c>
      <c r="D1082" s="10">
        <v>-7.4527807000000001E-2</v>
      </c>
      <c r="E1082" s="10">
        <v>-5.3397829999999999E-3</v>
      </c>
      <c r="F1082" s="10">
        <v>6.1847926999999997E-2</v>
      </c>
      <c r="G1082" s="10">
        <v>0.12742815800000001</v>
      </c>
      <c r="H1082" s="9">
        <v>2.7352123749999999E-2</v>
      </c>
      <c r="I1082" s="10">
        <v>8.6897361159867501E-2</v>
      </c>
      <c r="J1082" s="10">
        <v>7.5511513765484E-3</v>
      </c>
      <c r="K1082" s="10">
        <v>-0.34327053699999999</v>
      </c>
      <c r="L1082" s="10">
        <v>-0.17759927</v>
      </c>
      <c r="M1082" s="10">
        <v>-1.6111472000000002E-2</v>
      </c>
      <c r="N1082" s="10">
        <v>-0.234437386</v>
      </c>
      <c r="O1082" s="9">
        <v>-0.19285466625</v>
      </c>
      <c r="P1082" s="10">
        <v>0.13641229243696601</v>
      </c>
      <c r="Q1082" s="10">
        <v>1.8608313527908399E-2</v>
      </c>
    </row>
    <row r="1083" spans="1:17" x14ac:dyDescent="0.2">
      <c r="A1083" s="10">
        <v>1820</v>
      </c>
      <c r="B1083" s="10" t="s">
        <v>2822</v>
      </c>
      <c r="C1083" s="9" t="s">
        <v>1723</v>
      </c>
      <c r="D1083" s="10">
        <v>-0.55618574099999996</v>
      </c>
      <c r="E1083" s="10">
        <v>-0.57079467399999995</v>
      </c>
      <c r="F1083" s="10">
        <v>-8.8088827999999994E-2</v>
      </c>
      <c r="G1083" s="10">
        <v>-9.7170284999999995E-2</v>
      </c>
      <c r="H1083" s="9">
        <v>-0.32805988200000002</v>
      </c>
      <c r="I1083" s="10">
        <v>0.27194221172427002</v>
      </c>
      <c r="J1083" s="10">
        <v>7.3952566517488105E-2</v>
      </c>
      <c r="K1083" s="10">
        <v>-6.0890080999999999E-2</v>
      </c>
      <c r="L1083" s="10">
        <v>-0.100967029</v>
      </c>
      <c r="M1083" s="10">
        <v>-0.18517937300000001</v>
      </c>
      <c r="N1083" s="10">
        <v>0.32899244799999999</v>
      </c>
      <c r="O1083" s="9">
        <v>-4.5110089999999999E-3</v>
      </c>
      <c r="P1083" s="10">
        <v>0.22828927346330299</v>
      </c>
      <c r="Q1083" s="10">
        <v>5.2115992378402899E-2</v>
      </c>
    </row>
    <row r="1084" spans="1:17" x14ac:dyDescent="0.2">
      <c r="A1084" s="10">
        <v>1820</v>
      </c>
      <c r="B1084" s="10" t="s">
        <v>96</v>
      </c>
      <c r="C1084" s="9" t="s">
        <v>2187</v>
      </c>
      <c r="D1084" s="10">
        <v>-9.0879541999999994E-2</v>
      </c>
      <c r="E1084" s="10">
        <v>-0.15932617199999999</v>
      </c>
      <c r="F1084" s="10">
        <v>-0.28522914199999999</v>
      </c>
      <c r="G1084" s="10">
        <v>-0.86936563</v>
      </c>
      <c r="H1084" s="9">
        <v>-0.35120012150000002</v>
      </c>
      <c r="I1084" s="10">
        <v>0.354697091870043</v>
      </c>
      <c r="J1084" s="10">
        <v>0.125810026981065</v>
      </c>
      <c r="K1084" s="10">
        <v>-0.247707764</v>
      </c>
      <c r="L1084" s="10">
        <v>-0.118421442</v>
      </c>
      <c r="M1084" s="10">
        <v>-0.94749617699999999</v>
      </c>
      <c r="N1084" s="10">
        <v>-0.27178449700000001</v>
      </c>
      <c r="O1084" s="9">
        <v>-0.39635247024999998</v>
      </c>
      <c r="P1084" s="10">
        <v>0.37354940351979898</v>
      </c>
      <c r="Q1084" s="10">
        <v>0.13953915686999699</v>
      </c>
    </row>
    <row r="1085" spans="1:17" x14ac:dyDescent="0.2">
      <c r="A1085" s="10">
        <v>1820</v>
      </c>
      <c r="B1085" s="10" t="s">
        <v>2825</v>
      </c>
      <c r="C1085" s="9" t="s">
        <v>1725</v>
      </c>
      <c r="D1085" s="10">
        <v>-0.106732015</v>
      </c>
      <c r="E1085" s="10">
        <v>-4.9986506999999999E-2</v>
      </c>
      <c r="F1085" s="10">
        <v>-0.295677839</v>
      </c>
      <c r="G1085" s="10">
        <v>-0.31082145300000003</v>
      </c>
      <c r="H1085" s="9">
        <v>-0.1908044535</v>
      </c>
      <c r="I1085" s="10">
        <v>0.13203582358212201</v>
      </c>
      <c r="J1085" s="10">
        <v>1.7433458709009201E-2</v>
      </c>
      <c r="K1085" s="10">
        <v>0.68810789000000006</v>
      </c>
      <c r="L1085" s="10">
        <v>-0.31685648700000002</v>
      </c>
      <c r="M1085" s="10">
        <v>-0.277294655</v>
      </c>
      <c r="N1085" s="10">
        <v>0.16559796299999999</v>
      </c>
      <c r="O1085" s="9">
        <v>6.4888677749999998E-2</v>
      </c>
      <c r="P1085" s="10">
        <v>0.46952577163026099</v>
      </c>
      <c r="Q1085" s="10">
        <v>0.22045445022499199</v>
      </c>
    </row>
    <row r="1086" spans="1:17" x14ac:dyDescent="0.2">
      <c r="A1086" s="10">
        <v>1820</v>
      </c>
      <c r="B1086" s="10" t="s">
        <v>2830</v>
      </c>
      <c r="C1086" s="9" t="s">
        <v>1726</v>
      </c>
      <c r="D1086" s="10">
        <v>-0.39562707600000002</v>
      </c>
      <c r="E1086" s="10">
        <v>-0.65276422099999998</v>
      </c>
      <c r="F1086" s="10">
        <v>-0.44743057200000003</v>
      </c>
      <c r="G1086" s="10">
        <v>-0.28996755499999999</v>
      </c>
      <c r="H1086" s="9">
        <v>-0.44644735575</v>
      </c>
      <c r="I1086" s="10">
        <v>0.152355116397414</v>
      </c>
      <c r="J1086" s="10">
        <v>2.3212081492469599E-2</v>
      </c>
      <c r="K1086" s="10">
        <v>-0.91632881700000002</v>
      </c>
      <c r="L1086" s="10">
        <v>-0.50593914600000001</v>
      </c>
      <c r="M1086" s="10">
        <v>-0.45842596000000002</v>
      </c>
      <c r="N1086" s="10">
        <v>-0.15993636899999999</v>
      </c>
      <c r="O1086" s="9">
        <v>-0.51015757325</v>
      </c>
      <c r="P1086" s="10">
        <v>0.31108622925359097</v>
      </c>
      <c r="Q1086" s="10">
        <v>9.6774642031217703E-2</v>
      </c>
    </row>
    <row r="1087" spans="1:17" x14ac:dyDescent="0.2">
      <c r="A1087" s="10">
        <v>1820</v>
      </c>
      <c r="B1087" s="10" t="s">
        <v>2835</v>
      </c>
      <c r="C1087" s="9" t="s">
        <v>1727</v>
      </c>
      <c r="D1087" s="10">
        <v>0.62675813700000005</v>
      </c>
      <c r="E1087" s="10">
        <v>0.57378005899999995</v>
      </c>
      <c r="F1087" s="10">
        <v>-0.46002225400000002</v>
      </c>
      <c r="G1087" s="10">
        <v>-4.8450339000000002E-2</v>
      </c>
      <c r="H1087" s="9">
        <v>0.17301640074999999</v>
      </c>
      <c r="I1087" s="10">
        <v>0.52162519373341598</v>
      </c>
      <c r="J1087" s="10">
        <v>0.27209284273742301</v>
      </c>
      <c r="K1087" s="10">
        <v>0.22433251100000001</v>
      </c>
      <c r="L1087" s="10">
        <v>0.29681974999999999</v>
      </c>
      <c r="M1087" s="10">
        <v>0.34714359099999997</v>
      </c>
      <c r="N1087" s="10">
        <v>-1.8910343E-2</v>
      </c>
      <c r="O1087" s="9">
        <v>0.21234637725</v>
      </c>
      <c r="P1087" s="10">
        <v>0.162202936267692</v>
      </c>
      <c r="Q1087" s="10">
        <v>2.6309792533860999E-2</v>
      </c>
    </row>
    <row r="1088" spans="1:17" x14ac:dyDescent="0.2">
      <c r="A1088" s="10">
        <v>1821</v>
      </c>
      <c r="B1088" s="10" t="s">
        <v>2824</v>
      </c>
      <c r="C1088" s="9" t="s">
        <v>1729</v>
      </c>
      <c r="D1088" s="10">
        <v>0.17010825500000001</v>
      </c>
      <c r="E1088" s="10">
        <v>0.12846149300000001</v>
      </c>
      <c r="F1088" s="10">
        <v>0.25791324300000001</v>
      </c>
      <c r="G1088" s="10">
        <v>0.30053512599999999</v>
      </c>
      <c r="H1088" s="9">
        <v>0.21425452924999999</v>
      </c>
      <c r="I1088" s="10">
        <v>7.8866476319136097E-2</v>
      </c>
      <c r="J1088" s="10">
        <v>6.2199210869968002E-3</v>
      </c>
      <c r="K1088" s="10">
        <v>0.47619038699999999</v>
      </c>
      <c r="L1088" s="10">
        <v>0.30712645799999999</v>
      </c>
      <c r="M1088" s="10">
        <v>0.221689619</v>
      </c>
      <c r="N1088" s="10">
        <v>0.46783942099999998</v>
      </c>
      <c r="O1088" s="9">
        <v>0.3682114715</v>
      </c>
      <c r="P1088" s="10">
        <v>0.124880218140501</v>
      </c>
      <c r="Q1088" s="10">
        <v>1.55950688828192E-2</v>
      </c>
    </row>
    <row r="1089" spans="1:17" x14ac:dyDescent="0.2">
      <c r="A1089" s="10">
        <v>1821</v>
      </c>
      <c r="B1089" s="10" t="s">
        <v>2817</v>
      </c>
      <c r="C1089" s="9" t="s">
        <v>1730</v>
      </c>
      <c r="D1089" s="10">
        <v>-0.76105845100000002</v>
      </c>
      <c r="E1089" s="10">
        <v>-0.60469811500000004</v>
      </c>
      <c r="F1089" s="10">
        <v>-0.57123780199999996</v>
      </c>
      <c r="G1089" s="10">
        <v>-0.119397579</v>
      </c>
      <c r="H1089" s="9">
        <v>-0.51409798699999998</v>
      </c>
      <c r="I1089" s="10">
        <v>0.27583281440413099</v>
      </c>
      <c r="J1089" s="10">
        <v>7.6083741502104105E-2</v>
      </c>
      <c r="K1089" s="10">
        <v>4.3317462000000001E-2</v>
      </c>
      <c r="L1089" s="10">
        <v>-0.400669098</v>
      </c>
      <c r="M1089" s="10">
        <v>-0.25833498300000002</v>
      </c>
      <c r="N1089" s="10">
        <v>-0.49864682799999999</v>
      </c>
      <c r="O1089" s="9">
        <v>-0.27858336150000002</v>
      </c>
      <c r="P1089" s="10">
        <v>0.23619412450115501</v>
      </c>
      <c r="Q1089" s="10">
        <v>5.5787664448867097E-2</v>
      </c>
    </row>
    <row r="1090" spans="1:17" x14ac:dyDescent="0.2">
      <c r="A1090" s="10">
        <v>1821</v>
      </c>
      <c r="B1090" s="10" t="s">
        <v>74</v>
      </c>
      <c r="C1090" s="9" t="s">
        <v>1733</v>
      </c>
      <c r="D1090" s="10">
        <v>0.42450184600000002</v>
      </c>
      <c r="E1090" s="10">
        <v>2.2186291E-2</v>
      </c>
      <c r="F1090" s="10">
        <v>0.133865187</v>
      </c>
      <c r="G1090" s="10">
        <v>0.27531321399999997</v>
      </c>
      <c r="H1090" s="9">
        <v>0.21396663475</v>
      </c>
      <c r="I1090" s="10">
        <v>0.174436636196139</v>
      </c>
      <c r="J1090" s="10">
        <v>3.0428140047424199E-2</v>
      </c>
      <c r="K1090" s="10">
        <v>0.215544819</v>
      </c>
      <c r="L1090" s="10">
        <v>0.24089771300000001</v>
      </c>
      <c r="M1090" s="10">
        <v>0.31155432399999999</v>
      </c>
      <c r="N1090" s="10">
        <v>0.432269758</v>
      </c>
      <c r="O1090" s="9">
        <v>0.3000666535</v>
      </c>
      <c r="P1090" s="10">
        <v>9.7047293350703306E-2</v>
      </c>
      <c r="Q1090" s="10">
        <v>9.4181771466974006E-3</v>
      </c>
    </row>
    <row r="1091" spans="1:17" x14ac:dyDescent="0.2">
      <c r="A1091" s="10">
        <v>1821</v>
      </c>
      <c r="B1091" s="10" t="s">
        <v>2830</v>
      </c>
      <c r="C1091" s="9" t="s">
        <v>1734</v>
      </c>
      <c r="D1091" s="10">
        <v>-0.38479228399999998</v>
      </c>
      <c r="E1091" s="10">
        <v>0.39058336799999999</v>
      </c>
      <c r="F1091" s="10">
        <v>-0.49130413299999998</v>
      </c>
      <c r="G1091" s="10">
        <v>2.0538150000000002E-2</v>
      </c>
      <c r="H1091" s="9">
        <v>-0.11624372475</v>
      </c>
      <c r="I1091" s="10">
        <v>0.40347309770600898</v>
      </c>
      <c r="J1091" s="10">
        <v>0.16279054057248299</v>
      </c>
      <c r="K1091" s="10">
        <v>-0.26209814300000001</v>
      </c>
      <c r="L1091" s="10">
        <v>0.185373235</v>
      </c>
      <c r="M1091" s="10">
        <v>-0.58335349700000005</v>
      </c>
      <c r="N1091" s="10">
        <v>-0.107023928</v>
      </c>
      <c r="O1091" s="9">
        <v>-0.19177558324999999</v>
      </c>
      <c r="P1091" s="10">
        <v>0.32026166339499101</v>
      </c>
      <c r="Q1091" s="10">
        <v>0.102567533040527</v>
      </c>
    </row>
    <row r="1092" spans="1:17" x14ac:dyDescent="0.2">
      <c r="A1092" s="10">
        <v>1821</v>
      </c>
      <c r="B1092" s="10" t="s">
        <v>2835</v>
      </c>
      <c r="C1092" s="9" t="s">
        <v>1735</v>
      </c>
      <c r="D1092" s="10">
        <v>0.40010011899999998</v>
      </c>
      <c r="E1092" s="10">
        <v>8.7472569E-2</v>
      </c>
      <c r="F1092" s="10">
        <v>0.91997200199999996</v>
      </c>
      <c r="G1092" s="10">
        <v>0.19933726900000001</v>
      </c>
      <c r="H1092" s="9">
        <v>0.4017204895</v>
      </c>
      <c r="I1092" s="10">
        <v>0.36891642201073999</v>
      </c>
      <c r="J1092" s="10">
        <v>0.136099326429206</v>
      </c>
      <c r="K1092" s="10">
        <v>0.52948097800000005</v>
      </c>
      <c r="L1092" s="10">
        <v>4.2662023E-2</v>
      </c>
      <c r="M1092" s="10">
        <v>0.125825152</v>
      </c>
      <c r="N1092" s="10">
        <v>0.38842713400000001</v>
      </c>
      <c r="O1092" s="9">
        <v>0.27159882200000002</v>
      </c>
      <c r="P1092" s="10">
        <v>0.22643180111578301</v>
      </c>
      <c r="Q1092" s="10">
        <v>5.1271360556537603E-2</v>
      </c>
    </row>
    <row r="1093" spans="1:17" x14ac:dyDescent="0.2">
      <c r="A1093" s="10">
        <v>1822</v>
      </c>
      <c r="B1093" s="10" t="s">
        <v>2831</v>
      </c>
      <c r="C1093" s="9" t="s">
        <v>2595</v>
      </c>
      <c r="D1093" s="10">
        <v>-2.7554389399999999</v>
      </c>
      <c r="E1093" s="10">
        <v>-1.742012321</v>
      </c>
      <c r="F1093" s="10">
        <v>-1.6704498109999999</v>
      </c>
      <c r="G1093" s="10">
        <v>-1.1218513560000001</v>
      </c>
      <c r="H1093" s="9">
        <v>-1.82243810725</v>
      </c>
      <c r="I1093" s="10">
        <v>0.68090163245266899</v>
      </c>
      <c r="J1093" s="10">
        <v>0.46362703307670999</v>
      </c>
      <c r="K1093" s="10">
        <v>-0.68060345700000002</v>
      </c>
      <c r="L1093" s="10">
        <v>-0.70835535800000005</v>
      </c>
      <c r="M1093" s="10">
        <v>-0.407707865</v>
      </c>
      <c r="N1093" s="10">
        <v>-0.54112587300000003</v>
      </c>
      <c r="O1093" s="9">
        <v>-0.58444813799999995</v>
      </c>
      <c r="P1093" s="10">
        <v>0.13869966027952199</v>
      </c>
      <c r="Q1093" s="10">
        <v>1.9237595761654899E-2</v>
      </c>
    </row>
    <row r="1094" spans="1:17" x14ac:dyDescent="0.2">
      <c r="A1094" s="10">
        <v>1822</v>
      </c>
      <c r="B1094" s="10" t="s">
        <v>96</v>
      </c>
      <c r="C1094" s="9" t="s">
        <v>1736</v>
      </c>
      <c r="D1094" s="10">
        <v>0.39928916399999997</v>
      </c>
      <c r="E1094" s="10">
        <v>-0.221741882</v>
      </c>
      <c r="F1094" s="10">
        <v>-1.010016384</v>
      </c>
      <c r="G1094" s="10">
        <v>-0.241999619</v>
      </c>
      <c r="H1094" s="9">
        <v>-0.2686171805</v>
      </c>
      <c r="I1094" s="10">
        <v>0.57696835619857501</v>
      </c>
      <c r="J1094" s="10">
        <v>0.33289248405448502</v>
      </c>
      <c r="K1094" s="10">
        <v>0.35032487699999998</v>
      </c>
      <c r="L1094" s="10">
        <v>9.2535546999999996E-2</v>
      </c>
      <c r="M1094" s="10">
        <v>-1.9372405690000001</v>
      </c>
      <c r="N1094" s="10">
        <v>-0.388235463</v>
      </c>
      <c r="O1094" s="9">
        <v>-0.47065390200000001</v>
      </c>
      <c r="P1094" s="10">
        <v>1.02450927471686</v>
      </c>
      <c r="Q1094" s="10">
        <v>1.04961925398087</v>
      </c>
    </row>
    <row r="1095" spans="1:17" x14ac:dyDescent="0.2">
      <c r="A1095" s="10">
        <v>1822</v>
      </c>
      <c r="B1095" s="10" t="s">
        <v>79</v>
      </c>
      <c r="C1095" s="9" t="s">
        <v>1737</v>
      </c>
      <c r="D1095" s="10">
        <v>0.33138508100000003</v>
      </c>
      <c r="E1095" s="10">
        <v>5.6832585999999997E-2</v>
      </c>
      <c r="F1095" s="10">
        <v>0.37952183299999998</v>
      </c>
      <c r="G1095" s="10">
        <v>0.167909224</v>
      </c>
      <c r="H1095" s="9">
        <v>0.233912181</v>
      </c>
      <c r="I1095" s="10">
        <v>0.14879147633302001</v>
      </c>
      <c r="J1095" s="10">
        <v>2.2138903429359601E-2</v>
      </c>
      <c r="K1095" s="10">
        <v>-2.9387323999999999E-2</v>
      </c>
      <c r="L1095" s="10">
        <v>2.5231911999999999E-2</v>
      </c>
      <c r="M1095" s="10">
        <v>-5.7778990000000004E-3</v>
      </c>
      <c r="N1095" s="10">
        <v>7.7204422999999994E-2</v>
      </c>
      <c r="O1095" s="9">
        <v>1.6817777999999999E-2</v>
      </c>
      <c r="P1095" s="10">
        <v>4.6053666575871698E-2</v>
      </c>
      <c r="Q1095" s="10">
        <v>2.1209402050814999E-3</v>
      </c>
    </row>
    <row r="1096" spans="1:17" x14ac:dyDescent="0.2">
      <c r="A1096" s="10">
        <v>1822</v>
      </c>
      <c r="B1096" s="10" t="s">
        <v>2824</v>
      </c>
      <c r="C1096" s="9" t="s">
        <v>1738</v>
      </c>
      <c r="D1096" s="10">
        <v>-6.2007276E-2</v>
      </c>
      <c r="E1096" s="10">
        <v>-6.1886722999999998E-2</v>
      </c>
      <c r="F1096" s="10">
        <v>-5.4794850000000001E-3</v>
      </c>
      <c r="G1096" s="10">
        <v>-8.0534822000000006E-2</v>
      </c>
      <c r="H1096" s="9">
        <v>-5.2477076749999997E-2</v>
      </c>
      <c r="I1096" s="10">
        <v>3.2533966041192498E-2</v>
      </c>
      <c r="J1096" s="10">
        <v>1.0584589463693999E-3</v>
      </c>
      <c r="K1096" s="10">
        <v>0.179532209</v>
      </c>
      <c r="L1096" s="10">
        <v>0.1292615</v>
      </c>
      <c r="M1096" s="10">
        <v>0.125090548</v>
      </c>
      <c r="N1096" s="10">
        <v>0.15862880600000001</v>
      </c>
      <c r="O1096" s="9">
        <v>0.14812826574999999</v>
      </c>
      <c r="P1096" s="10">
        <v>2.57109593117094E-2</v>
      </c>
      <c r="Q1096" s="10">
        <v>6.6105342872830003E-4</v>
      </c>
    </row>
    <row r="1097" spans="1:17" x14ac:dyDescent="0.2">
      <c r="A1097" s="10">
        <v>1822</v>
      </c>
      <c r="B1097" s="10" t="s">
        <v>82</v>
      </c>
      <c r="C1097" s="9" t="s">
        <v>1740</v>
      </c>
      <c r="D1097" s="10">
        <v>-0.46977838599999999</v>
      </c>
      <c r="E1097" s="10">
        <v>-0.52008551400000003</v>
      </c>
      <c r="F1097" s="10">
        <v>-0.50851181099999998</v>
      </c>
      <c r="G1097" s="10">
        <v>-0.46576696299999998</v>
      </c>
      <c r="H1097" s="9">
        <v>-0.49103566850000002</v>
      </c>
      <c r="I1097" s="10">
        <v>2.7323302735849899E-2</v>
      </c>
      <c r="J1097" s="10">
        <v>7.4656287239490001E-4</v>
      </c>
      <c r="K1097" s="10">
        <v>-0.126153924</v>
      </c>
      <c r="L1097" s="10">
        <v>-0.677679539</v>
      </c>
      <c r="M1097" s="10">
        <v>-0.113254307</v>
      </c>
      <c r="N1097" s="10">
        <v>2.9218231000000001E-2</v>
      </c>
      <c r="O1097" s="9">
        <v>-0.22196738475</v>
      </c>
      <c r="P1097" s="10">
        <v>0.31185815879747403</v>
      </c>
      <c r="Q1097" s="10">
        <v>9.7255511208550596E-2</v>
      </c>
    </row>
    <row r="1098" spans="1:17" x14ac:dyDescent="0.2">
      <c r="A1098" s="10">
        <v>1822</v>
      </c>
      <c r="B1098" s="10" t="s">
        <v>2814</v>
      </c>
      <c r="C1098" s="9" t="s">
        <v>1741</v>
      </c>
      <c r="D1098" s="10">
        <v>3.5247210000000002E-3</v>
      </c>
      <c r="E1098" s="10">
        <v>8.9182443E-2</v>
      </c>
      <c r="F1098" s="10">
        <v>-5.4853462999999998E-2</v>
      </c>
      <c r="G1098" s="10">
        <v>-0.13727718999999999</v>
      </c>
      <c r="H1098" s="9">
        <v>-2.4855872500000001E-2</v>
      </c>
      <c r="I1098" s="10">
        <v>9.5478799660328198E-2</v>
      </c>
      <c r="J1098" s="10">
        <v>9.1162011845770004E-3</v>
      </c>
      <c r="K1098" s="10">
        <v>0.192384632</v>
      </c>
      <c r="L1098" s="10">
        <v>1.9113781E-2</v>
      </c>
      <c r="M1098" s="10">
        <v>-0.40650203800000001</v>
      </c>
      <c r="N1098" s="10">
        <v>-0.26558493</v>
      </c>
      <c r="O1098" s="9">
        <v>-0.11514713875</v>
      </c>
      <c r="P1098" s="10">
        <v>0.27087573469883602</v>
      </c>
      <c r="Q1098" s="10">
        <v>7.3373663648634194E-2</v>
      </c>
    </row>
    <row r="1099" spans="1:17" x14ac:dyDescent="0.2">
      <c r="A1099" s="10">
        <v>1822</v>
      </c>
      <c r="B1099" s="10" t="s">
        <v>2833</v>
      </c>
      <c r="C1099" s="9" t="s">
        <v>1742</v>
      </c>
      <c r="D1099" s="10">
        <v>-1.0864292900000001</v>
      </c>
      <c r="E1099" s="10">
        <v>-0.74293878199999996</v>
      </c>
      <c r="F1099" s="10">
        <v>-0.78793470600000004</v>
      </c>
      <c r="G1099" s="10">
        <v>-0.53569907500000002</v>
      </c>
      <c r="H1099" s="9">
        <v>-0.78825046325000003</v>
      </c>
      <c r="I1099" s="10">
        <v>0.227116757483422</v>
      </c>
      <c r="J1099" s="10">
        <v>5.1582021529783702E-2</v>
      </c>
      <c r="K1099" s="10">
        <v>-0.32020109400000002</v>
      </c>
      <c r="L1099" s="10">
        <v>-0.96271698800000005</v>
      </c>
      <c r="M1099" s="10">
        <v>-0.93199746000000006</v>
      </c>
      <c r="N1099" s="10">
        <v>-0.34585194600000002</v>
      </c>
      <c r="O1099" s="9">
        <v>-0.64019187200000005</v>
      </c>
      <c r="P1099" s="10">
        <v>0.35506010837676899</v>
      </c>
      <c r="Q1099" s="10">
        <v>0.126067680560523</v>
      </c>
    </row>
    <row r="1100" spans="1:17" x14ac:dyDescent="0.2">
      <c r="A1100" s="10">
        <v>1822</v>
      </c>
      <c r="B1100" s="10" t="s">
        <v>2825</v>
      </c>
      <c r="C1100" s="9" t="s">
        <v>1743</v>
      </c>
      <c r="D1100" s="10">
        <v>-0.36132879699999998</v>
      </c>
      <c r="E1100" s="10">
        <v>-0.43605154299999999</v>
      </c>
      <c r="F1100" s="10">
        <v>-0.40873722099999998</v>
      </c>
      <c r="G1100" s="10">
        <v>-0.332713062</v>
      </c>
      <c r="H1100" s="9">
        <v>-0.38470765574999999</v>
      </c>
      <c r="I1100" s="10">
        <v>4.6417035592997202E-2</v>
      </c>
      <c r="J1100" s="10">
        <v>2.1545411932414999E-3</v>
      </c>
      <c r="K1100" s="10">
        <v>-0.10178078</v>
      </c>
      <c r="L1100" s="10">
        <v>-7.2137218000000003E-2</v>
      </c>
      <c r="M1100" s="10">
        <v>-0.103996457</v>
      </c>
      <c r="N1100" s="10">
        <v>-0.50631786400000001</v>
      </c>
      <c r="O1100" s="9">
        <v>-0.19605807975</v>
      </c>
      <c r="P1100" s="10">
        <v>0.207349194461287</v>
      </c>
      <c r="Q1100" s="10">
        <v>4.2993688443744599E-2</v>
      </c>
    </row>
    <row r="1101" spans="1:17" x14ac:dyDescent="0.2">
      <c r="A1101" s="10">
        <v>1822</v>
      </c>
      <c r="B1101" s="10" t="s">
        <v>2832</v>
      </c>
      <c r="C1101" s="9" t="s">
        <v>1747</v>
      </c>
      <c r="D1101" s="10">
        <v>-1.2666976320000001</v>
      </c>
      <c r="E1101" s="10">
        <v>-1.117106943</v>
      </c>
      <c r="F1101" s="10">
        <v>-1.421810402</v>
      </c>
      <c r="G1101" s="10">
        <v>-0.92385548100000003</v>
      </c>
      <c r="H1101" s="9">
        <v>-1.18236761475</v>
      </c>
      <c r="I1101" s="10">
        <v>0.21254950697713701</v>
      </c>
      <c r="J1101" s="10">
        <v>4.5177292916224299E-2</v>
      </c>
      <c r="K1101" s="10">
        <v>-0.176518655</v>
      </c>
      <c r="L1101" s="10">
        <v>-1.4921191469999999</v>
      </c>
      <c r="M1101" s="10">
        <v>-0.27762449</v>
      </c>
      <c r="N1101" s="10">
        <v>-6.3641165999999999E-2</v>
      </c>
      <c r="O1101" s="9">
        <v>-0.50247586450000004</v>
      </c>
      <c r="P1101" s="10">
        <v>0.66552634865058102</v>
      </c>
      <c r="Q1101" s="10">
        <v>0.44292532074817498</v>
      </c>
    </row>
    <row r="1102" spans="1:17" x14ac:dyDescent="0.2">
      <c r="A1102" s="10">
        <v>1823</v>
      </c>
      <c r="B1102" s="10" t="s">
        <v>2821</v>
      </c>
      <c r="C1102" s="9" t="s">
        <v>1748</v>
      </c>
      <c r="D1102" s="10">
        <v>0.19374714700000001</v>
      </c>
      <c r="E1102" s="10">
        <v>0.34571555700000001</v>
      </c>
      <c r="F1102" s="10">
        <v>0.26974062399999998</v>
      </c>
      <c r="G1102" s="10">
        <v>0.13601507099999999</v>
      </c>
      <c r="H1102" s="9">
        <v>0.23630459949999999</v>
      </c>
      <c r="I1102" s="10">
        <v>9.1210108441030197E-2</v>
      </c>
      <c r="J1102" s="10">
        <v>8.3192838818244002E-3</v>
      </c>
      <c r="K1102" s="10">
        <v>4.7763037000000001E-2</v>
      </c>
      <c r="L1102" s="10">
        <v>-0.11832319099999999</v>
      </c>
      <c r="M1102" s="10">
        <v>3.9827923000000001E-2</v>
      </c>
      <c r="N1102" s="10">
        <v>-0.20824825899999999</v>
      </c>
      <c r="O1102" s="9">
        <v>-5.9745122499999997E-2</v>
      </c>
      <c r="P1102" s="10">
        <v>0.125109775009457</v>
      </c>
      <c r="Q1102" s="10">
        <v>1.5652455802916899E-2</v>
      </c>
    </row>
    <row r="1103" spans="1:17" x14ac:dyDescent="0.2">
      <c r="A1103" s="63">
        <v>1823</v>
      </c>
      <c r="B1103" s="63" t="s">
        <v>2814</v>
      </c>
      <c r="C1103" s="64" t="s">
        <v>1750</v>
      </c>
      <c r="D1103" s="63">
        <v>-3.1556509000000003E-2</v>
      </c>
      <c r="E1103" s="63">
        <v>-0.14449590200000001</v>
      </c>
      <c r="F1103" s="63">
        <v>-0.10602864200000001</v>
      </c>
      <c r="G1103" s="63">
        <v>-0.18506649</v>
      </c>
      <c r="H1103" s="64">
        <v>-0.11678688575</v>
      </c>
      <c r="I1103" s="63">
        <v>6.5344856639245705E-2</v>
      </c>
      <c r="J1103" s="63">
        <v>4.2699502892035003E-3</v>
      </c>
      <c r="K1103" s="63">
        <v>-1.4371208E-2</v>
      </c>
      <c r="L1103" s="63">
        <v>-8.3309108000000007E-2</v>
      </c>
      <c r="M1103" s="63">
        <v>-0.16847757599999999</v>
      </c>
      <c r="N1103" s="63">
        <v>0.10106491300000001</v>
      </c>
      <c r="O1103" s="64">
        <v>-4.127324475E-2</v>
      </c>
      <c r="P1103" s="63">
        <v>0.11391784528172701</v>
      </c>
      <c r="Q1103" s="63">
        <v>1.29772754736315E-2</v>
      </c>
    </row>
    <row r="1104" spans="1:17" x14ac:dyDescent="0.2">
      <c r="A1104" s="63">
        <v>1823</v>
      </c>
      <c r="B1104" s="63" t="s">
        <v>74</v>
      </c>
      <c r="C1104" s="64" t="s">
        <v>1752</v>
      </c>
      <c r="D1104" s="63">
        <v>0.19085280099999999</v>
      </c>
      <c r="E1104" s="63">
        <v>-9.8886529000000001E-2</v>
      </c>
      <c r="F1104" s="63">
        <v>6.8778814999999993E-2</v>
      </c>
      <c r="G1104" s="63">
        <v>3.0931574999999999E-2</v>
      </c>
      <c r="H1104" s="64">
        <v>4.791916525E-2</v>
      </c>
      <c r="I1104" s="63">
        <v>0.119311412283336</v>
      </c>
      <c r="J1104" s="63">
        <v>1.4235213101044201E-2</v>
      </c>
      <c r="K1104" s="63">
        <v>0.15553876899999999</v>
      </c>
      <c r="L1104" s="63">
        <v>-0.32872450600000003</v>
      </c>
      <c r="M1104" s="63">
        <v>-0.181004418</v>
      </c>
      <c r="N1104" s="63">
        <v>4.8243996999999997E-2</v>
      </c>
      <c r="O1104" s="64">
        <v>-7.6486539500000006E-2</v>
      </c>
      <c r="P1104" s="63">
        <v>0.21904446214584899</v>
      </c>
      <c r="Q1104" s="63">
        <v>4.7980476396764601E-2</v>
      </c>
    </row>
    <row r="1105" spans="1:17" x14ac:dyDescent="0.2">
      <c r="A1105" s="63">
        <v>1823</v>
      </c>
      <c r="B1105" s="63" t="s">
        <v>2818</v>
      </c>
      <c r="C1105" s="64" t="s">
        <v>66</v>
      </c>
      <c r="D1105" s="63">
        <v>3.4153213000000002E-2</v>
      </c>
      <c r="E1105" s="63">
        <v>6.8687842999999998E-2</v>
      </c>
      <c r="F1105" s="63">
        <v>-1.1948309999999999E-3</v>
      </c>
      <c r="G1105" s="63">
        <v>-0.17751518999999999</v>
      </c>
      <c r="H1105" s="64">
        <v>-1.8967241249999999E-2</v>
      </c>
      <c r="I1105" s="63">
        <v>0.109481363822841</v>
      </c>
      <c r="J1105" s="63">
        <v>1.19861690245092E-2</v>
      </c>
      <c r="K1105" s="63">
        <v>-0.497844385</v>
      </c>
      <c r="L1105" s="63">
        <v>-0.26476687399999999</v>
      </c>
      <c r="M1105" s="63">
        <v>-6.8759498000000002E-2</v>
      </c>
      <c r="N1105" s="63">
        <v>-0.57629611599999997</v>
      </c>
      <c r="O1105" s="64">
        <v>-0.35191671824999998</v>
      </c>
      <c r="P1105" s="63">
        <v>0.23051688643152801</v>
      </c>
      <c r="Q1105" s="63">
        <v>5.3138034930086002E-2</v>
      </c>
    </row>
    <row r="1106" spans="1:17" x14ac:dyDescent="0.2">
      <c r="A1106" s="10">
        <v>1824</v>
      </c>
      <c r="B1106" s="10" t="s">
        <v>2820</v>
      </c>
      <c r="C1106" s="9" t="s">
        <v>1753</v>
      </c>
      <c r="D1106" s="10">
        <v>0.33003205899999999</v>
      </c>
      <c r="E1106" s="10">
        <v>0.231087612</v>
      </c>
      <c r="F1106" s="10">
        <v>0.23667290199999999</v>
      </c>
      <c r="G1106" s="10">
        <v>0.39582082299999999</v>
      </c>
      <c r="H1106" s="9">
        <v>0.29840334899999998</v>
      </c>
      <c r="I1106" s="10">
        <v>7.9230877969551194E-2</v>
      </c>
      <c r="J1106" s="10">
        <v>6.2775320238259002E-3</v>
      </c>
      <c r="K1106" s="10">
        <v>-4.4070500999999998E-2</v>
      </c>
      <c r="L1106" s="10">
        <v>4.1164127000000002E-2</v>
      </c>
      <c r="M1106" s="10">
        <v>8.1100219000000001E-2</v>
      </c>
      <c r="N1106" s="10">
        <v>0.23874110100000001</v>
      </c>
      <c r="O1106" s="9">
        <v>7.9233736250000006E-2</v>
      </c>
      <c r="P1106" s="10">
        <v>0.11846140474095</v>
      </c>
      <c r="Q1106" s="10">
        <v>1.4033104413199099E-2</v>
      </c>
    </row>
    <row r="1107" spans="1:17" x14ac:dyDescent="0.2">
      <c r="A1107" s="10">
        <v>1824</v>
      </c>
      <c r="B1107" s="10" t="s">
        <v>2824</v>
      </c>
      <c r="C1107" s="9" t="s">
        <v>1754</v>
      </c>
      <c r="D1107" s="10">
        <v>0.80108595199999999</v>
      </c>
      <c r="E1107" s="10">
        <v>1.0538959649999999</v>
      </c>
      <c r="F1107" s="10">
        <v>0.69248370000000004</v>
      </c>
      <c r="G1107" s="10">
        <v>1.2187088740000001</v>
      </c>
      <c r="H1107" s="9">
        <v>0.94154362250000001</v>
      </c>
      <c r="I1107" s="10">
        <v>0.238888277724328</v>
      </c>
      <c r="J1107" s="10">
        <v>5.7067609234095998E-2</v>
      </c>
      <c r="K1107" s="10">
        <v>0.88131595600000001</v>
      </c>
      <c r="L1107" s="10">
        <v>0.53056235699999998</v>
      </c>
      <c r="M1107" s="10">
        <v>0.89922888000000001</v>
      </c>
      <c r="N1107" s="10">
        <v>0.98634000600000005</v>
      </c>
      <c r="O1107" s="9">
        <v>0.82436180000000003</v>
      </c>
      <c r="P1107" s="10">
        <v>0.20116652097162899</v>
      </c>
      <c r="Q1107" s="10">
        <v>4.0467969159829101E-2</v>
      </c>
    </row>
    <row r="1108" spans="1:17" x14ac:dyDescent="0.2">
      <c r="A1108" s="10">
        <v>1824</v>
      </c>
      <c r="B1108" s="10" t="s">
        <v>2817</v>
      </c>
      <c r="C1108" s="9" t="s">
        <v>1755</v>
      </c>
      <c r="D1108" s="10">
        <v>3.636789E-2</v>
      </c>
      <c r="E1108" s="10">
        <v>-0.63400269499999995</v>
      </c>
      <c r="F1108" s="10">
        <v>-0.54755457399999996</v>
      </c>
      <c r="G1108" s="10">
        <v>-0.112940873</v>
      </c>
      <c r="H1108" s="9">
        <v>-0.31453256299999999</v>
      </c>
      <c r="I1108" s="10">
        <v>0.32666535386296203</v>
      </c>
      <c r="J1108" s="10">
        <v>0.10671025341441399</v>
      </c>
      <c r="K1108" s="10">
        <v>0.263722232</v>
      </c>
      <c r="L1108" s="10">
        <v>-0.452691915</v>
      </c>
      <c r="M1108" s="10">
        <v>-0.42891648199999999</v>
      </c>
      <c r="N1108" s="10">
        <v>-6.2231448000000002E-2</v>
      </c>
      <c r="O1108" s="9">
        <v>-0.17002940324999999</v>
      </c>
      <c r="P1108" s="10">
        <v>0.33994190451245099</v>
      </c>
      <c r="Q1108" s="10">
        <v>0.115560498443552</v>
      </c>
    </row>
    <row r="1109" spans="1:17" x14ac:dyDescent="0.2">
      <c r="A1109" s="10">
        <v>1824</v>
      </c>
      <c r="B1109" s="10" t="s">
        <v>82</v>
      </c>
      <c r="C1109" s="9" t="s">
        <v>2594</v>
      </c>
      <c r="D1109" s="10">
        <v>-1.7121720000000001E-3</v>
      </c>
      <c r="E1109" s="10">
        <v>-0.28242683400000002</v>
      </c>
      <c r="F1109" s="10">
        <v>-0.71082966999999997</v>
      </c>
      <c r="G1109" s="10">
        <v>-0.29454749899999999</v>
      </c>
      <c r="H1109" s="9">
        <v>-0.32237904374999998</v>
      </c>
      <c r="I1109" s="10">
        <v>0.29217112886059698</v>
      </c>
      <c r="J1109" s="10">
        <v>8.5363968539675705E-2</v>
      </c>
      <c r="K1109" s="10">
        <v>-0.64674183100000004</v>
      </c>
      <c r="L1109" s="10">
        <v>-0.38188957800000001</v>
      </c>
      <c r="M1109" s="10">
        <v>-1.657243029</v>
      </c>
      <c r="N1109" s="10">
        <v>-0.115215336</v>
      </c>
      <c r="O1109" s="9">
        <v>-0.70027244349999995</v>
      </c>
      <c r="P1109" s="10">
        <v>0.67387380026903498</v>
      </c>
      <c r="Q1109" s="10">
        <v>0.45410589868903101</v>
      </c>
    </row>
    <row r="1110" spans="1:17" x14ac:dyDescent="0.2">
      <c r="A1110" s="10">
        <v>1824</v>
      </c>
      <c r="B1110" s="10" t="s">
        <v>2814</v>
      </c>
      <c r="C1110" s="9" t="s">
        <v>1756</v>
      </c>
      <c r="D1110" s="10">
        <v>0.231555869</v>
      </c>
      <c r="E1110" s="10">
        <v>0.27789431799999997</v>
      </c>
      <c r="F1110" s="10">
        <v>-0.22513574</v>
      </c>
      <c r="G1110" s="10">
        <v>-0.29412697500000001</v>
      </c>
      <c r="H1110" s="9">
        <v>-2.4531322500000001E-3</v>
      </c>
      <c r="I1110" s="10">
        <v>0.29889579001528799</v>
      </c>
      <c r="J1110" s="10">
        <v>8.9338693288863597E-2</v>
      </c>
      <c r="K1110" s="10">
        <v>0.57069305299999995</v>
      </c>
      <c r="L1110" s="10">
        <v>-6.9358323999999999E-2</v>
      </c>
      <c r="M1110" s="10">
        <v>2.6785745999999999E-2</v>
      </c>
      <c r="N1110" s="10">
        <v>0.49754858000000002</v>
      </c>
      <c r="O1110" s="9">
        <v>0.25641726375000001</v>
      </c>
      <c r="P1110" s="10">
        <v>0.32443486809280803</v>
      </c>
      <c r="Q1110" s="10">
        <v>0.10525798363439801</v>
      </c>
    </row>
    <row r="1111" spans="1:17" x14ac:dyDescent="0.2">
      <c r="A1111" s="10">
        <v>1824</v>
      </c>
      <c r="B1111" s="10" t="s">
        <v>2825</v>
      </c>
      <c r="C1111" s="9" t="s">
        <v>1758</v>
      </c>
      <c r="D1111" s="10">
        <v>-0.13499161300000001</v>
      </c>
      <c r="E1111" s="10">
        <v>-1.6168243999999998E-2</v>
      </c>
      <c r="F1111" s="10">
        <v>0.10933064100000001</v>
      </c>
      <c r="G1111" s="10">
        <v>-0.33744700599999999</v>
      </c>
      <c r="H1111" s="9">
        <v>-9.4819055250000006E-2</v>
      </c>
      <c r="I1111" s="10">
        <v>0.19003964978443399</v>
      </c>
      <c r="J1111" s="10">
        <v>3.6115068490190597E-2</v>
      </c>
      <c r="K1111" s="10">
        <v>0.16696541200000001</v>
      </c>
      <c r="L1111" s="10">
        <v>-0.41058497799999999</v>
      </c>
      <c r="M1111" s="10">
        <v>-0.49954239499999997</v>
      </c>
      <c r="N1111" s="10">
        <v>-0.205416818</v>
      </c>
      <c r="O1111" s="9">
        <v>-0.23714469475</v>
      </c>
      <c r="P1111" s="10">
        <v>0.29622385763185199</v>
      </c>
      <c r="Q1111" s="10">
        <v>8.7748573830296203E-2</v>
      </c>
    </row>
    <row r="1112" spans="1:17" x14ac:dyDescent="0.2">
      <c r="A1112" s="10">
        <v>1824</v>
      </c>
      <c r="B1112" s="10" t="s">
        <v>2818</v>
      </c>
      <c r="C1112" s="9" t="s">
        <v>1759</v>
      </c>
      <c r="D1112" s="10">
        <v>0.57081913500000003</v>
      </c>
      <c r="E1112" s="10">
        <v>0.40589239999999999</v>
      </c>
      <c r="F1112" s="10">
        <v>-0.108690606</v>
      </c>
      <c r="G1112" s="10">
        <v>8.7504234E-2</v>
      </c>
      <c r="H1112" s="9">
        <v>0.23888129075</v>
      </c>
      <c r="I1112" s="10">
        <v>0.30648364816573698</v>
      </c>
      <c r="J1112" s="10">
        <v>9.3932226592979298E-2</v>
      </c>
      <c r="K1112" s="10">
        <v>0.128371293</v>
      </c>
      <c r="L1112" s="10">
        <v>0.35824892200000003</v>
      </c>
      <c r="M1112" s="10">
        <v>-9.7659754000000001E-2</v>
      </c>
      <c r="N1112" s="10">
        <v>0.449023595</v>
      </c>
      <c r="O1112" s="9">
        <v>0.20949601400000001</v>
      </c>
      <c r="P1112" s="10">
        <v>0.24523918655818799</v>
      </c>
      <c r="Q1112" s="10">
        <v>6.01422586237218E-2</v>
      </c>
    </row>
    <row r="1113" spans="1:17" x14ac:dyDescent="0.2">
      <c r="A1113" s="10">
        <v>1824</v>
      </c>
      <c r="B1113" s="10" t="s">
        <v>2830</v>
      </c>
      <c r="C1113" s="9" t="s">
        <v>1760</v>
      </c>
      <c r="D1113" s="10">
        <v>-0.29112181999999998</v>
      </c>
      <c r="E1113" s="10">
        <v>-0.48365143199999999</v>
      </c>
      <c r="F1113" s="10">
        <v>0.26374672900000001</v>
      </c>
      <c r="G1113" s="10">
        <v>0.14399306000000001</v>
      </c>
      <c r="H1113" s="9">
        <v>-9.1758365999999994E-2</v>
      </c>
      <c r="I1113" s="10">
        <v>0.35368939735389399</v>
      </c>
      <c r="J1113" s="10">
        <v>0.125096189800561</v>
      </c>
      <c r="K1113" s="10">
        <v>0.106346397</v>
      </c>
      <c r="L1113" s="10">
        <v>-3.4075209000000002E-2</v>
      </c>
      <c r="M1113" s="10">
        <v>-0.554270437</v>
      </c>
      <c r="N1113" s="10">
        <v>0.29246836199999998</v>
      </c>
      <c r="O1113" s="9">
        <v>-4.7382721750000002E-2</v>
      </c>
      <c r="P1113" s="10">
        <v>0.363429794616354</v>
      </c>
      <c r="Q1113" s="10">
        <v>0.13208121561488501</v>
      </c>
    </row>
    <row r="1114" spans="1:17" x14ac:dyDescent="0.2">
      <c r="A1114" s="10">
        <v>1825</v>
      </c>
      <c r="B1114" s="10" t="s">
        <v>2822</v>
      </c>
      <c r="C1114" s="9" t="s">
        <v>2593</v>
      </c>
      <c r="D1114" s="10">
        <v>-0.16649106899999999</v>
      </c>
      <c r="E1114" s="10">
        <v>-0.47438988399999998</v>
      </c>
      <c r="F1114" s="10">
        <v>-0.68902506100000005</v>
      </c>
      <c r="G1114" s="10">
        <v>0.37462369400000001</v>
      </c>
      <c r="H1114" s="9">
        <v>-0.23882057975000001</v>
      </c>
      <c r="I1114" s="10">
        <v>0.46178003680121998</v>
      </c>
      <c r="J1114" s="10">
        <v>0.213240802388136</v>
      </c>
      <c r="K1114" s="10">
        <v>-6.7998069999999997E-3</v>
      </c>
      <c r="L1114" s="10">
        <v>-0.36178555699999998</v>
      </c>
      <c r="M1114" s="10">
        <v>-7.4761222000000002E-2</v>
      </c>
      <c r="N1114" s="10">
        <v>0.118117826</v>
      </c>
      <c r="O1114" s="9">
        <v>-8.1307190000000001E-2</v>
      </c>
      <c r="P1114" s="10">
        <v>0.20333277419061299</v>
      </c>
      <c r="Q1114" s="10">
        <v>4.13442170600508E-2</v>
      </c>
    </row>
    <row r="1115" spans="1:17" x14ac:dyDescent="0.2">
      <c r="A1115" s="10">
        <v>1825</v>
      </c>
      <c r="B1115" s="10" t="s">
        <v>96</v>
      </c>
      <c r="C1115" s="9" t="s">
        <v>1762</v>
      </c>
      <c r="D1115" s="10">
        <v>-1.1027022929999999</v>
      </c>
      <c r="E1115" s="10">
        <v>-1.498226794</v>
      </c>
      <c r="F1115" s="10">
        <v>-0.59046654399999998</v>
      </c>
      <c r="G1115" s="10">
        <v>-1.079870222</v>
      </c>
      <c r="H1115" s="9">
        <v>-1.06781646325</v>
      </c>
      <c r="I1115" s="10">
        <v>0.37169804610806201</v>
      </c>
      <c r="J1115" s="10">
        <v>0.13815943748055101</v>
      </c>
      <c r="K1115" s="10">
        <v>-0.346085537</v>
      </c>
      <c r="L1115" s="10">
        <v>0.10731312899999999</v>
      </c>
      <c r="M1115" s="10">
        <v>-0.63973669099999997</v>
      </c>
      <c r="N1115" s="10">
        <v>-1.496633E-3</v>
      </c>
      <c r="O1115" s="9">
        <v>-0.220001433</v>
      </c>
      <c r="P1115" s="10">
        <v>0.34007551034542299</v>
      </c>
      <c r="Q1115" s="10">
        <v>0.11565135273670001</v>
      </c>
    </row>
    <row r="1116" spans="1:17" x14ac:dyDescent="0.2">
      <c r="A1116" s="10">
        <v>1825</v>
      </c>
      <c r="B1116" s="10" t="s">
        <v>2824</v>
      </c>
      <c r="C1116" s="9" t="s">
        <v>1763</v>
      </c>
      <c r="D1116" s="10">
        <v>0.35093046100000003</v>
      </c>
      <c r="E1116" s="10">
        <v>0.293454567</v>
      </c>
      <c r="F1116" s="10">
        <v>0.221464668</v>
      </c>
      <c r="G1116" s="10">
        <v>-0.201235739</v>
      </c>
      <c r="H1116" s="9">
        <v>0.16615348925000001</v>
      </c>
      <c r="I1116" s="10">
        <v>0.25058748652866097</v>
      </c>
      <c r="J1116" s="10">
        <v>6.2794088404752299E-2</v>
      </c>
      <c r="K1116" s="10">
        <v>0.60884417400000002</v>
      </c>
      <c r="L1116" s="10">
        <v>0.17095881600000001</v>
      </c>
      <c r="M1116" s="10">
        <v>0.24996661000000001</v>
      </c>
      <c r="N1116" s="10">
        <v>0.62515512100000004</v>
      </c>
      <c r="O1116" s="9">
        <v>0.41373118050000002</v>
      </c>
      <c r="P1116" s="10">
        <v>0.23701365527823401</v>
      </c>
      <c r="Q1116" s="10">
        <v>5.6175472788349598E-2</v>
      </c>
    </row>
    <row r="1117" spans="1:17" x14ac:dyDescent="0.2">
      <c r="A1117" s="10">
        <v>1825</v>
      </c>
      <c r="B1117" s="10" t="s">
        <v>2814</v>
      </c>
      <c r="C1117" s="9" t="s">
        <v>1764</v>
      </c>
      <c r="D1117" s="10">
        <v>-0.17518708399999999</v>
      </c>
      <c r="E1117" s="10">
        <v>-4.7890229999999999E-3</v>
      </c>
      <c r="F1117" s="10">
        <v>-1.3335677000000001E-2</v>
      </c>
      <c r="G1117" s="10">
        <v>6.8941617999999996E-2</v>
      </c>
      <c r="H1117" s="9">
        <v>-3.1092541750000001E-2</v>
      </c>
      <c r="I1117" s="10">
        <v>0.10291946943688</v>
      </c>
      <c r="J1117" s="10">
        <v>1.0592417189168901E-2</v>
      </c>
      <c r="K1117" s="10">
        <v>1.6326265E-2</v>
      </c>
      <c r="L1117" s="10">
        <v>0.14126465799999999</v>
      </c>
      <c r="M1117" s="10">
        <v>-0.286354477</v>
      </c>
      <c r="N1117" s="10">
        <v>-0.18548089100000001</v>
      </c>
      <c r="O1117" s="9">
        <v>-7.8561111249999996E-2</v>
      </c>
      <c r="P1117" s="10">
        <v>0.193163924469576</v>
      </c>
      <c r="Q1117" s="10">
        <v>3.7312301716488298E-2</v>
      </c>
    </row>
    <row r="1118" spans="1:17" x14ac:dyDescent="0.2">
      <c r="A1118" s="10">
        <v>1825</v>
      </c>
      <c r="B1118" s="10" t="s">
        <v>2833</v>
      </c>
      <c r="C1118" s="9" t="s">
        <v>1765</v>
      </c>
      <c r="D1118" s="10">
        <v>-0.42940432000000001</v>
      </c>
      <c r="E1118" s="10">
        <v>-0.115900588</v>
      </c>
      <c r="F1118" s="10">
        <v>-0.111845578</v>
      </c>
      <c r="G1118" s="10">
        <v>-0.31151408400000002</v>
      </c>
      <c r="H1118" s="9">
        <v>-0.24216614224999999</v>
      </c>
      <c r="I1118" s="10">
        <v>0.155770891470561</v>
      </c>
      <c r="J1118" s="10">
        <v>2.42645706295333E-2</v>
      </c>
      <c r="K1118" s="10">
        <v>0.47003035900000001</v>
      </c>
      <c r="L1118" s="10">
        <v>-0.129227124</v>
      </c>
      <c r="M1118" s="10">
        <v>8.1080869E-2</v>
      </c>
      <c r="N1118" s="10">
        <v>0.26799391099999997</v>
      </c>
      <c r="O1118" s="9">
        <v>0.17246950375</v>
      </c>
      <c r="P1118" s="10">
        <v>0.25628116897577302</v>
      </c>
      <c r="Q1118" s="10">
        <v>6.5680037571588704E-2</v>
      </c>
    </row>
    <row r="1119" spans="1:17" x14ac:dyDescent="0.2">
      <c r="A1119" s="10">
        <v>1825</v>
      </c>
      <c r="B1119" s="10" t="s">
        <v>74</v>
      </c>
      <c r="C1119" s="9" t="s">
        <v>1766</v>
      </c>
      <c r="D1119" s="10">
        <v>-0.81583779700000003</v>
      </c>
      <c r="E1119" s="10">
        <v>-0.37926174000000001</v>
      </c>
      <c r="F1119" s="10">
        <v>-0.35942176599999998</v>
      </c>
      <c r="G1119" s="10">
        <v>-7.8828745000000006E-2</v>
      </c>
      <c r="H1119" s="9">
        <v>-0.40833751200000001</v>
      </c>
      <c r="I1119" s="10">
        <v>0.304341179451107</v>
      </c>
      <c r="J1119" s="10">
        <v>9.26235535096913E-2</v>
      </c>
      <c r="K1119" s="10">
        <v>-1.4980512E-2</v>
      </c>
      <c r="L1119" s="10">
        <v>-8.9307467000000001E-2</v>
      </c>
      <c r="M1119" s="10">
        <v>-0.73547612100000004</v>
      </c>
      <c r="N1119" s="10">
        <v>-2.1163679000000001E-2</v>
      </c>
      <c r="O1119" s="9">
        <v>-0.21523194449999999</v>
      </c>
      <c r="P1119" s="10">
        <v>0.348460473659156</v>
      </c>
      <c r="Q1119" s="10">
        <v>0.121424701702763</v>
      </c>
    </row>
    <row r="1120" spans="1:17" x14ac:dyDescent="0.2">
      <c r="A1120" s="10">
        <v>1825</v>
      </c>
      <c r="B1120" s="10" t="s">
        <v>2818</v>
      </c>
      <c r="C1120" s="9" t="s">
        <v>1767</v>
      </c>
      <c r="D1120" s="10">
        <v>-0.40485038299999998</v>
      </c>
      <c r="E1120" s="10">
        <v>-0.25710250899999998</v>
      </c>
      <c r="F1120" s="10">
        <v>-0.57314499500000005</v>
      </c>
      <c r="G1120" s="10">
        <v>-0.71494236600000005</v>
      </c>
      <c r="H1120" s="9">
        <v>-0.48751006299999999</v>
      </c>
      <c r="I1120" s="10">
        <v>0.19914739739239501</v>
      </c>
      <c r="J1120" s="10">
        <v>3.9659685888164598E-2</v>
      </c>
      <c r="K1120" s="10">
        <v>0.20702960200000001</v>
      </c>
      <c r="L1120" s="10">
        <v>-0.38207160000000001</v>
      </c>
      <c r="M1120" s="10">
        <v>-4.5248223999999997E-2</v>
      </c>
      <c r="N1120" s="10">
        <v>-0.44830557500000001</v>
      </c>
      <c r="O1120" s="9">
        <v>-0.16714894925000001</v>
      </c>
      <c r="P1120" s="10">
        <v>0.30556514255859102</v>
      </c>
      <c r="Q1120" s="10">
        <v>9.3370056346852304E-2</v>
      </c>
    </row>
    <row r="1121" spans="1:17" x14ac:dyDescent="0.2">
      <c r="A1121" s="10">
        <v>1825</v>
      </c>
      <c r="B1121" s="10" t="s">
        <v>2830</v>
      </c>
      <c r="C1121" s="9" t="s">
        <v>1768</v>
      </c>
      <c r="D1121" s="10">
        <v>0.12620998999999999</v>
      </c>
      <c r="E1121" s="10">
        <v>0.29598216399999999</v>
      </c>
      <c r="F1121" s="10">
        <v>-0.16219019900000001</v>
      </c>
      <c r="G1121" s="10">
        <v>0.30381495400000003</v>
      </c>
      <c r="H1121" s="9">
        <v>0.14095422725000001</v>
      </c>
      <c r="I1121" s="10">
        <v>0.21807583787070201</v>
      </c>
      <c r="J1121" s="10">
        <v>4.7557071063008702E-2</v>
      </c>
      <c r="K1121" s="10">
        <v>-0.24318689399999999</v>
      </c>
      <c r="L1121" s="10">
        <v>6.9562089999999997E-3</v>
      </c>
      <c r="M1121" s="10">
        <v>0.308948942</v>
      </c>
      <c r="N1121" s="10">
        <v>-1.9799305999999999E-2</v>
      </c>
      <c r="O1121" s="9">
        <v>1.322973775E-2</v>
      </c>
      <c r="P1121" s="10">
        <v>0.22681094307395</v>
      </c>
      <c r="Q1121" s="10">
        <v>5.1443203898094897E-2</v>
      </c>
    </row>
    <row r="1122" spans="1:17" x14ac:dyDescent="0.2">
      <c r="A1122" s="10">
        <v>1825</v>
      </c>
      <c r="B1122" s="10" t="s">
        <v>2835</v>
      </c>
      <c r="C1122" s="9" t="s">
        <v>1769</v>
      </c>
      <c r="D1122" s="10">
        <v>-0.23397119799999999</v>
      </c>
      <c r="E1122" s="10">
        <v>0.235652588</v>
      </c>
      <c r="F1122" s="10">
        <v>-0.28033102199999999</v>
      </c>
      <c r="G1122" s="10">
        <v>-0.30641565799999998</v>
      </c>
      <c r="H1122" s="9">
        <v>-0.14626632225</v>
      </c>
      <c r="I1122" s="10">
        <v>0.25636910415589798</v>
      </c>
      <c r="J1122" s="10">
        <v>6.5725117565698099E-2</v>
      </c>
      <c r="K1122" s="10">
        <v>2.6832591999999999E-2</v>
      </c>
      <c r="L1122" s="10">
        <v>0.174215394</v>
      </c>
      <c r="M1122" s="10">
        <v>0.83136513400000001</v>
      </c>
      <c r="N1122" s="10">
        <v>1.2508101460000001</v>
      </c>
      <c r="O1122" s="9">
        <v>0.57080581649999995</v>
      </c>
      <c r="P1122" s="10">
        <v>0.572563789245782</v>
      </c>
      <c r="Q1122" s="10">
        <v>0.327829292755488</v>
      </c>
    </row>
    <row r="1123" spans="1:17" x14ac:dyDescent="0.2">
      <c r="A1123" s="10">
        <v>1826</v>
      </c>
      <c r="B1123" s="10" t="s">
        <v>2831</v>
      </c>
      <c r="C1123" s="9" t="s">
        <v>1770</v>
      </c>
      <c r="D1123" s="10">
        <v>-1.559462044</v>
      </c>
      <c r="E1123" s="10">
        <v>-1.5176497369999999</v>
      </c>
      <c r="F1123" s="10">
        <v>-0.98839949100000002</v>
      </c>
      <c r="G1123" s="10">
        <v>-1.2520276889999999</v>
      </c>
      <c r="H1123" s="9">
        <v>-1.3293847402500001</v>
      </c>
      <c r="I1123" s="10">
        <v>0.26497441907117902</v>
      </c>
      <c r="J1123" s="10">
        <v>7.0211442762109E-2</v>
      </c>
      <c r="K1123" s="10">
        <v>0.155170735</v>
      </c>
      <c r="L1123" s="10">
        <v>-9.0463130000000003E-3</v>
      </c>
      <c r="M1123" s="10">
        <v>-9.4781199999999996E-2</v>
      </c>
      <c r="N1123" s="10">
        <v>7.1943629999999995E-2</v>
      </c>
      <c r="O1123" s="9">
        <v>3.082171325E-2</v>
      </c>
      <c r="P1123" s="10">
        <v>0.107267955111383</v>
      </c>
      <c r="Q1123" s="10">
        <v>1.1506414193777801E-2</v>
      </c>
    </row>
    <row r="1124" spans="1:17" x14ac:dyDescent="0.2">
      <c r="A1124" s="10">
        <v>1826</v>
      </c>
      <c r="B1124" s="10" t="s">
        <v>2822</v>
      </c>
      <c r="C1124" s="9" t="s">
        <v>1771</v>
      </c>
      <c r="D1124" s="10">
        <v>-4.1871382999999998E-2</v>
      </c>
      <c r="E1124" s="10">
        <v>2.0557064999999999E-2</v>
      </c>
      <c r="F1124" s="10">
        <v>-0.27958219299999998</v>
      </c>
      <c r="G1124" s="10">
        <v>-0.29501390500000002</v>
      </c>
      <c r="H1124" s="9">
        <v>-0.14897760400000001</v>
      </c>
      <c r="I1124" s="10">
        <v>0.16186198487956899</v>
      </c>
      <c r="J1124" s="10">
        <v>2.6199302149153898E-2</v>
      </c>
      <c r="K1124" s="10">
        <v>8.2390109999999992E-3</v>
      </c>
      <c r="L1124" s="10">
        <v>-9.0463969000000005E-2</v>
      </c>
      <c r="M1124" s="10">
        <v>-0.67775662299999995</v>
      </c>
      <c r="N1124" s="10">
        <v>-4.5279369999999999E-2</v>
      </c>
      <c r="O1124" s="9">
        <v>-0.20131523774999999</v>
      </c>
      <c r="P1124" s="10">
        <v>0.32017941457673099</v>
      </c>
      <c r="Q1124" s="10">
        <v>0.102514857518698</v>
      </c>
    </row>
    <row r="1125" spans="1:17" x14ac:dyDescent="0.2">
      <c r="A1125" s="10">
        <v>1826</v>
      </c>
      <c r="B1125" s="10" t="s">
        <v>2820</v>
      </c>
      <c r="C1125" s="9" t="s">
        <v>1772</v>
      </c>
      <c r="D1125" s="10">
        <v>-0.10741914499999999</v>
      </c>
      <c r="E1125" s="10">
        <v>-0.30063042400000001</v>
      </c>
      <c r="F1125" s="10">
        <v>-0.27846302499999998</v>
      </c>
      <c r="G1125" s="10">
        <v>0.12722629099999999</v>
      </c>
      <c r="H1125" s="9">
        <v>-0.13982157575000001</v>
      </c>
      <c r="I1125" s="10">
        <v>0.19785972958964801</v>
      </c>
      <c r="J1125" s="10">
        <v>3.91484725932887E-2</v>
      </c>
      <c r="K1125" s="10">
        <v>0.13569983799999999</v>
      </c>
      <c r="L1125" s="10">
        <v>-1.0583576000000001E-2</v>
      </c>
      <c r="M1125" s="10">
        <v>-0.48857231099999998</v>
      </c>
      <c r="N1125" s="10">
        <v>-6.5806068999999995E-2</v>
      </c>
      <c r="O1125" s="9">
        <v>-0.10731552950000001</v>
      </c>
      <c r="P1125" s="10">
        <v>0.26801325117726599</v>
      </c>
      <c r="Q1125" s="10">
        <v>7.1831102806608593E-2</v>
      </c>
    </row>
    <row r="1126" spans="1:17" x14ac:dyDescent="0.2">
      <c r="A1126" s="10">
        <v>1826</v>
      </c>
      <c r="B1126" s="10" t="s">
        <v>2824</v>
      </c>
      <c r="C1126" s="9" t="s">
        <v>1773</v>
      </c>
      <c r="D1126" s="10">
        <v>-0.271496713</v>
      </c>
      <c r="E1126" s="10">
        <v>-0.15824570600000001</v>
      </c>
      <c r="F1126" s="10">
        <v>-0.33143285500000003</v>
      </c>
      <c r="G1126" s="10">
        <v>-0.17696363200000001</v>
      </c>
      <c r="H1126" s="9">
        <v>-0.23453472650000001</v>
      </c>
      <c r="I1126" s="10">
        <v>8.1424569026811597E-2</v>
      </c>
      <c r="J1126" s="10">
        <v>6.6299604412020001E-3</v>
      </c>
      <c r="K1126" s="10">
        <v>-0.21617637100000001</v>
      </c>
      <c r="L1126" s="10">
        <v>-0.44331221500000001</v>
      </c>
      <c r="M1126" s="10">
        <v>-0.101888171</v>
      </c>
      <c r="N1126" s="10">
        <v>-0.109579115</v>
      </c>
      <c r="O1126" s="9">
        <v>-0.217738968</v>
      </c>
      <c r="P1126" s="10">
        <v>0.15917044578901801</v>
      </c>
      <c r="Q1126" s="10">
        <v>2.5335230812674699E-2</v>
      </c>
    </row>
    <row r="1127" spans="1:17" x14ac:dyDescent="0.2">
      <c r="A1127" s="10">
        <v>1826</v>
      </c>
      <c r="B1127" s="10" t="s">
        <v>2814</v>
      </c>
      <c r="C1127" s="9" t="s">
        <v>1774</v>
      </c>
      <c r="D1127" s="10">
        <v>-0.237556408</v>
      </c>
      <c r="E1127" s="10">
        <v>-0.20202589300000001</v>
      </c>
      <c r="F1127" s="10">
        <v>-0.46767895999999998</v>
      </c>
      <c r="G1127" s="10">
        <v>4.7982744000000001E-2</v>
      </c>
      <c r="H1127" s="9">
        <v>-0.21481962925</v>
      </c>
      <c r="I1127" s="10">
        <v>0.21109521495313499</v>
      </c>
      <c r="J1127" s="10">
        <v>4.4561189776110399E-2</v>
      </c>
      <c r="K1127" s="10">
        <v>1.9567102999999999E-2</v>
      </c>
      <c r="L1127" s="10">
        <v>0.29425148899999998</v>
      </c>
      <c r="M1127" s="10">
        <v>-0.35093112700000001</v>
      </c>
      <c r="N1127" s="10">
        <v>8.538656E-2</v>
      </c>
      <c r="O1127" s="9">
        <v>1.206850625E-2</v>
      </c>
      <c r="P1127" s="10">
        <v>0.26884179700598898</v>
      </c>
      <c r="Q1127" s="10">
        <v>7.2275911817409402E-2</v>
      </c>
    </row>
    <row r="1128" spans="1:17" x14ac:dyDescent="0.2">
      <c r="A1128" s="10">
        <v>1826</v>
      </c>
      <c r="B1128" s="10" t="s">
        <v>2825</v>
      </c>
      <c r="C1128" s="9" t="s">
        <v>1775</v>
      </c>
      <c r="D1128" s="10">
        <v>-0.30165241500000001</v>
      </c>
      <c r="E1128" s="10">
        <v>-0.29137635299999998</v>
      </c>
      <c r="F1128" s="10">
        <v>1.498679E-2</v>
      </c>
      <c r="G1128" s="10">
        <v>-8.5504057999999994E-2</v>
      </c>
      <c r="H1128" s="9">
        <v>-0.16588650899999999</v>
      </c>
      <c r="I1128" s="10">
        <v>0.156371961360358</v>
      </c>
      <c r="J1128" s="10">
        <v>2.44521902996853E-2</v>
      </c>
      <c r="K1128" s="10">
        <v>-0.26261938000000001</v>
      </c>
      <c r="L1128" s="10">
        <v>-0.55049238700000003</v>
      </c>
      <c r="M1128" s="10">
        <v>-0.12572761900000001</v>
      </c>
      <c r="N1128" s="10">
        <v>0.171092623</v>
      </c>
      <c r="O1128" s="9">
        <v>-0.19193669075</v>
      </c>
      <c r="P1128" s="10">
        <v>0.299851159575728</v>
      </c>
      <c r="Q1128" s="10">
        <v>8.9910717898908907E-2</v>
      </c>
    </row>
    <row r="1129" spans="1:17" x14ac:dyDescent="0.2">
      <c r="A1129" s="10">
        <v>1826</v>
      </c>
      <c r="B1129" s="10" t="s">
        <v>74</v>
      </c>
      <c r="C1129" s="9" t="s">
        <v>1776</v>
      </c>
      <c r="D1129" s="10">
        <v>0.13971140500000001</v>
      </c>
      <c r="E1129" s="10">
        <v>-0.230340041</v>
      </c>
      <c r="F1129" s="10">
        <v>-0.100331616</v>
      </c>
      <c r="G1129" s="10">
        <v>0.17673889600000001</v>
      </c>
      <c r="H1129" s="9">
        <v>-3.5553389999999998E-3</v>
      </c>
      <c r="I1129" s="10">
        <v>0.19478904825631699</v>
      </c>
      <c r="J1129" s="10">
        <v>3.79427733206021E-2</v>
      </c>
      <c r="K1129" s="10">
        <v>0.13543649899999999</v>
      </c>
      <c r="L1129" s="10">
        <v>0.22973415899999999</v>
      </c>
      <c r="M1129" s="10">
        <v>0.31221938100000002</v>
      </c>
      <c r="N1129" s="10">
        <v>0.40538001699999998</v>
      </c>
      <c r="O1129" s="9">
        <v>0.27069251374999997</v>
      </c>
      <c r="P1129" s="10">
        <v>0.11523451535195001</v>
      </c>
      <c r="Q1129" s="10">
        <v>1.32789935283989E-2</v>
      </c>
    </row>
    <row r="1130" spans="1:17" x14ac:dyDescent="0.2">
      <c r="A1130" s="10">
        <v>1826</v>
      </c>
      <c r="B1130" s="10" t="s">
        <v>2818</v>
      </c>
      <c r="C1130" s="9" t="s">
        <v>1777</v>
      </c>
      <c r="D1130" s="10">
        <v>-4.8353559999999997E-2</v>
      </c>
      <c r="E1130" s="10">
        <v>7.4541799999999997E-4</v>
      </c>
      <c r="F1130" s="10">
        <v>0.18763798400000001</v>
      </c>
      <c r="G1130" s="10">
        <v>-0.15721032800000001</v>
      </c>
      <c r="H1130" s="9">
        <v>-4.2951217500000003E-3</v>
      </c>
      <c r="I1130" s="10">
        <v>0.143976769430952</v>
      </c>
      <c r="J1130" s="10">
        <v>2.0729310135773699E-2</v>
      </c>
      <c r="K1130" s="10">
        <v>-4.0840332999999999E-2</v>
      </c>
      <c r="L1130" s="10">
        <v>-0.44452457699999998</v>
      </c>
      <c r="M1130" s="10">
        <v>0.10988351</v>
      </c>
      <c r="N1130" s="10">
        <v>0.177949784</v>
      </c>
      <c r="O1130" s="9">
        <v>-4.9382903999999998E-2</v>
      </c>
      <c r="P1130" s="10">
        <v>0.27884037185114402</v>
      </c>
      <c r="Q1130" s="10">
        <v>7.7751952974084507E-2</v>
      </c>
    </row>
    <row r="1131" spans="1:17" x14ac:dyDescent="0.2">
      <c r="A1131" s="10">
        <v>1826</v>
      </c>
      <c r="B1131" s="10" t="s">
        <v>2835</v>
      </c>
      <c r="C1131" s="9" t="s">
        <v>1778</v>
      </c>
      <c r="D1131" s="10">
        <v>-0.72889189099999996</v>
      </c>
      <c r="E1131" s="10">
        <v>-0.31654216000000002</v>
      </c>
      <c r="F1131" s="10">
        <v>-0.54394770800000003</v>
      </c>
      <c r="G1131" s="10">
        <v>-0.76572078600000004</v>
      </c>
      <c r="H1131" s="9">
        <v>-0.58877563649999998</v>
      </c>
      <c r="I1131" s="10">
        <v>0.205801489796651</v>
      </c>
      <c r="J1131" s="10">
        <v>4.2354253202521001E-2</v>
      </c>
      <c r="K1131" s="10">
        <v>-0.838655076</v>
      </c>
      <c r="L1131" s="10">
        <v>-0.68716460800000001</v>
      </c>
      <c r="M1131" s="10">
        <v>-0.54783599400000005</v>
      </c>
      <c r="N1131" s="10">
        <v>-1.645417954</v>
      </c>
      <c r="O1131" s="9">
        <v>-0.92976840775000003</v>
      </c>
      <c r="P1131" s="10">
        <v>0.49165871787804699</v>
      </c>
      <c r="Q1131" s="10">
        <v>0.241728294865485</v>
      </c>
    </row>
    <row r="1132" spans="1:17" x14ac:dyDescent="0.2">
      <c r="A1132" s="10">
        <v>1826</v>
      </c>
      <c r="B1132" s="10" t="s">
        <v>2832</v>
      </c>
      <c r="C1132" s="9" t="s">
        <v>1779</v>
      </c>
      <c r="D1132" s="10">
        <v>-0.461704014</v>
      </c>
      <c r="E1132" s="10">
        <v>0.171885863</v>
      </c>
      <c r="F1132" s="10">
        <v>3.1002503000000001E-2</v>
      </c>
      <c r="G1132" s="10">
        <v>2.2955273000000002E-2</v>
      </c>
      <c r="H1132" s="9">
        <v>-5.8965093750000003E-2</v>
      </c>
      <c r="I1132" s="10">
        <v>0.27706552598615303</v>
      </c>
      <c r="J1132" s="10">
        <v>7.6765305689983701E-2</v>
      </c>
      <c r="K1132" s="10">
        <v>-0.49078038699999998</v>
      </c>
      <c r="L1132" s="10">
        <v>-3.8062579999999999E-3</v>
      </c>
      <c r="M1132" s="10">
        <v>0.12733114300000001</v>
      </c>
      <c r="N1132" s="10">
        <v>-0.38191832100000001</v>
      </c>
      <c r="O1132" s="9">
        <v>-0.187293456</v>
      </c>
      <c r="P1132" s="10">
        <v>0.29588249102747299</v>
      </c>
      <c r="Q1132" s="10">
        <v>8.7546448496623006E-2</v>
      </c>
    </row>
    <row r="1133" spans="1:17" x14ac:dyDescent="0.2">
      <c r="A1133" s="10">
        <v>1827</v>
      </c>
      <c r="B1133" s="10" t="s">
        <v>2831</v>
      </c>
      <c r="C1133" s="9" t="s">
        <v>1780</v>
      </c>
      <c r="D1133" s="10">
        <v>-0.501361944</v>
      </c>
      <c r="E1133" s="10">
        <v>-1.1409264610000001</v>
      </c>
      <c r="F1133" s="10">
        <v>-1.07555158</v>
      </c>
      <c r="G1133" s="10">
        <v>-1.0386874589999999</v>
      </c>
      <c r="H1133" s="9">
        <v>-0.93913186100000001</v>
      </c>
      <c r="I1133" s="10">
        <v>0.29489275883758298</v>
      </c>
      <c r="J1133" s="10">
        <v>8.6961739214841099E-2</v>
      </c>
      <c r="K1133" s="10">
        <v>-8.2674880000000006E-2</v>
      </c>
      <c r="L1133" s="10">
        <v>3.1032898999999999E-2</v>
      </c>
      <c r="M1133" s="10">
        <v>-0.12811143</v>
      </c>
      <c r="N1133" s="10">
        <v>0.22282400499999999</v>
      </c>
      <c r="O1133" s="9">
        <v>1.0767648750000001E-2</v>
      </c>
      <c r="P1133" s="10">
        <v>0.15641556112629901</v>
      </c>
      <c r="Q1133" s="10">
        <v>2.4465827762455102E-2</v>
      </c>
    </row>
    <row r="1134" spans="1:17" x14ac:dyDescent="0.2">
      <c r="A1134" s="10">
        <v>1827</v>
      </c>
      <c r="B1134" s="10" t="s">
        <v>2822</v>
      </c>
      <c r="C1134" s="9" t="s">
        <v>1781</v>
      </c>
      <c r="D1134" s="10">
        <v>-5.5879943000000001E-2</v>
      </c>
      <c r="E1134" s="10">
        <v>-0.21597228099999999</v>
      </c>
      <c r="F1134" s="10">
        <v>-6.1123678000000001E-2</v>
      </c>
      <c r="G1134" s="10">
        <v>-0.41310665400000002</v>
      </c>
      <c r="H1134" s="9">
        <v>-0.18652063899999999</v>
      </c>
      <c r="I1134" s="10">
        <v>0.16832509289019301</v>
      </c>
      <c r="J1134" s="10">
        <v>2.83333368964921E-2</v>
      </c>
      <c r="K1134" s="10">
        <v>0.15158654499999999</v>
      </c>
      <c r="L1134" s="10">
        <v>0.231336978</v>
      </c>
      <c r="M1134" s="10">
        <v>-0.29270295899999998</v>
      </c>
      <c r="N1134" s="10">
        <v>-1.8761206999999998E-2</v>
      </c>
      <c r="O1134" s="9">
        <v>1.786483925E-2</v>
      </c>
      <c r="P1134" s="10">
        <v>0.231837351883418</v>
      </c>
      <c r="Q1134" s="10">
        <v>5.3748557728316201E-2</v>
      </c>
    </row>
    <row r="1135" spans="1:17" x14ac:dyDescent="0.2">
      <c r="A1135" s="10">
        <v>1827</v>
      </c>
      <c r="B1135" s="10" t="s">
        <v>2819</v>
      </c>
      <c r="C1135" s="9" t="s">
        <v>1782</v>
      </c>
      <c r="D1135" s="10">
        <v>-9.4700755999999997E-2</v>
      </c>
      <c r="E1135" s="10">
        <v>-0.41798141500000002</v>
      </c>
      <c r="F1135" s="10">
        <v>-8.4809379000000004E-2</v>
      </c>
      <c r="G1135" s="10">
        <v>-0.51385586500000002</v>
      </c>
      <c r="H1135" s="9">
        <v>-0.27783685375</v>
      </c>
      <c r="I1135" s="10">
        <v>0.220713923459638</v>
      </c>
      <c r="J1135" s="10">
        <v>4.87146360089473E-2</v>
      </c>
      <c r="K1135" s="10">
        <v>-0.40075491400000002</v>
      </c>
      <c r="L1135" s="10">
        <v>-6.3902547000000004E-2</v>
      </c>
      <c r="M1135" s="10">
        <v>-0.162682299</v>
      </c>
      <c r="N1135" s="10">
        <v>0.144696887</v>
      </c>
      <c r="O1135" s="9">
        <v>-0.120660718</v>
      </c>
      <c r="P1135" s="10">
        <v>0.226461711560863</v>
      </c>
      <c r="Q1135" s="10">
        <v>5.1284906803075701E-2</v>
      </c>
    </row>
    <row r="1136" spans="1:17" x14ac:dyDescent="0.2">
      <c r="A1136" s="10">
        <v>1827</v>
      </c>
      <c r="B1136" s="10" t="s">
        <v>2820</v>
      </c>
      <c r="C1136" s="9" t="s">
        <v>1784</v>
      </c>
      <c r="D1136" s="10">
        <v>-0.93857377200000003</v>
      </c>
      <c r="E1136" s="10">
        <v>-1.166979634</v>
      </c>
      <c r="F1136" s="10">
        <v>-0.83343262200000001</v>
      </c>
      <c r="G1136" s="10">
        <v>-1.057877462</v>
      </c>
      <c r="H1136" s="9">
        <v>-0.99921587249999999</v>
      </c>
      <c r="I1136" s="10">
        <v>0.14462297218940601</v>
      </c>
      <c r="J1136" s="10">
        <v>2.09158040848977E-2</v>
      </c>
      <c r="K1136" s="10">
        <v>-0.67472161600000002</v>
      </c>
      <c r="L1136" s="10">
        <v>-0.28180780599999999</v>
      </c>
      <c r="M1136" s="10">
        <v>-0.28085345</v>
      </c>
      <c r="N1136" s="10">
        <v>3.7341272000000002E-2</v>
      </c>
      <c r="O1136" s="9">
        <v>-0.30001040000000001</v>
      </c>
      <c r="P1136" s="10">
        <v>0.29149783827616099</v>
      </c>
      <c r="Q1136" s="10">
        <v>8.4970989719675094E-2</v>
      </c>
    </row>
    <row r="1137" spans="1:17" x14ac:dyDescent="0.2">
      <c r="A1137" s="10">
        <v>1827</v>
      </c>
      <c r="B1137" s="10" t="s">
        <v>2824</v>
      </c>
      <c r="C1137" s="9" t="s">
        <v>1785</v>
      </c>
      <c r="D1137" s="10">
        <v>-7.5261594000000001E-2</v>
      </c>
      <c r="E1137" s="10">
        <v>-0.84538364499999996</v>
      </c>
      <c r="F1137" s="10">
        <v>-1.0835815129999999</v>
      </c>
      <c r="G1137" s="10">
        <v>-0.67284472200000001</v>
      </c>
      <c r="H1137" s="9">
        <v>-0.66926786849999997</v>
      </c>
      <c r="I1137" s="10">
        <v>0.43032112457923</v>
      </c>
      <c r="J1137" s="10">
        <v>0.185176270259133</v>
      </c>
      <c r="K1137" s="10">
        <v>0.129894805</v>
      </c>
      <c r="L1137" s="10">
        <v>-0.43807066099999997</v>
      </c>
      <c r="M1137" s="10">
        <v>-1.6814618999999999E-2</v>
      </c>
      <c r="N1137" s="10">
        <v>-0.18033373999999999</v>
      </c>
      <c r="O1137" s="9">
        <v>-0.12633105375000001</v>
      </c>
      <c r="P1137" s="10">
        <v>0.24340871870383299</v>
      </c>
      <c r="Q1137" s="10">
        <v>5.9247804341042001E-2</v>
      </c>
    </row>
    <row r="1138" spans="1:17" x14ac:dyDescent="0.2">
      <c r="A1138" s="10">
        <v>1827</v>
      </c>
      <c r="B1138" s="10" t="s">
        <v>2814</v>
      </c>
      <c r="C1138" s="9" t="s">
        <v>1786</v>
      </c>
      <c r="D1138" s="10">
        <v>-2.0464072E-2</v>
      </c>
      <c r="E1138" s="10">
        <v>0.19208646600000001</v>
      </c>
      <c r="F1138" s="10">
        <v>0.434781099</v>
      </c>
      <c r="G1138" s="10">
        <v>0.25514942400000001</v>
      </c>
      <c r="H1138" s="9">
        <v>0.21538822925000001</v>
      </c>
      <c r="I1138" s="10">
        <v>0.187868273071468</v>
      </c>
      <c r="J1138" s="10">
        <v>3.5294488026855898E-2</v>
      </c>
      <c r="K1138" s="10">
        <v>-0.17330288099999999</v>
      </c>
      <c r="L1138" s="10">
        <v>0.153967728</v>
      </c>
      <c r="M1138" s="10">
        <v>-6.4006169999999999E-3</v>
      </c>
      <c r="N1138" s="10">
        <v>0.106769404</v>
      </c>
      <c r="O1138" s="9">
        <v>2.0258408499999998E-2</v>
      </c>
      <c r="P1138" s="10">
        <v>0.145532368561163</v>
      </c>
      <c r="Q1138" s="10">
        <v>2.11796702990221E-2</v>
      </c>
    </row>
    <row r="1139" spans="1:17" x14ac:dyDescent="0.2">
      <c r="A1139" s="10">
        <v>1827</v>
      </c>
      <c r="B1139" s="10" t="s">
        <v>2833</v>
      </c>
      <c r="C1139" s="9" t="s">
        <v>2592</v>
      </c>
      <c r="D1139" s="10">
        <v>0.14102130299999999</v>
      </c>
      <c r="E1139" s="10">
        <v>0.391345793</v>
      </c>
      <c r="F1139" s="10">
        <v>-0.135013407</v>
      </c>
      <c r="G1139" s="10">
        <v>0.54789604400000003</v>
      </c>
      <c r="H1139" s="9">
        <v>0.23631243299999999</v>
      </c>
      <c r="I1139" s="10">
        <v>0.29893308519079997</v>
      </c>
      <c r="J1139" s="10">
        <v>8.9360989421690407E-2</v>
      </c>
      <c r="K1139" s="10">
        <v>6.8551108999999999E-2</v>
      </c>
      <c r="L1139" s="10">
        <v>-0.64852216299999998</v>
      </c>
      <c r="M1139" s="10">
        <v>-0.26428886499999998</v>
      </c>
      <c r="N1139" s="10">
        <v>6.8959246000000002E-2</v>
      </c>
      <c r="O1139" s="9">
        <v>-0.19382516799999999</v>
      </c>
      <c r="P1139" s="10">
        <v>0.34137537932635598</v>
      </c>
      <c r="Q1139" s="10">
        <v>0.116537149610214</v>
      </c>
    </row>
    <row r="1140" spans="1:17" x14ac:dyDescent="0.2">
      <c r="A1140" s="10">
        <v>1827</v>
      </c>
      <c r="B1140" s="10" t="s">
        <v>2825</v>
      </c>
      <c r="C1140" s="9" t="s">
        <v>1787</v>
      </c>
      <c r="D1140" s="10">
        <v>0.79319656599999999</v>
      </c>
      <c r="E1140" s="10">
        <v>0.68586230699999995</v>
      </c>
      <c r="F1140" s="10">
        <v>0.61459735400000004</v>
      </c>
      <c r="G1140" s="10">
        <v>0.68708274400000002</v>
      </c>
      <c r="H1140" s="9">
        <v>0.69518474274999997</v>
      </c>
      <c r="I1140" s="10">
        <v>7.3605241920193701E-2</v>
      </c>
      <c r="J1140" s="10">
        <v>5.4177316381302E-3</v>
      </c>
      <c r="K1140" s="10">
        <v>0.42131120999999999</v>
      </c>
      <c r="L1140" s="10">
        <v>0.62225448900000002</v>
      </c>
      <c r="M1140" s="10">
        <v>9.7256558000000007E-2</v>
      </c>
      <c r="N1140" s="10">
        <v>0.363264223</v>
      </c>
      <c r="O1140" s="9">
        <v>0.37602162</v>
      </c>
      <c r="P1140" s="10">
        <v>0.21645206067273301</v>
      </c>
      <c r="Q1140" s="10">
        <v>4.68514945694729E-2</v>
      </c>
    </row>
    <row r="1141" spans="1:17" x14ac:dyDescent="0.2">
      <c r="A1141" s="10">
        <v>1827</v>
      </c>
      <c r="B1141" s="10" t="s">
        <v>2818</v>
      </c>
      <c r="C1141" s="9" t="s">
        <v>1788</v>
      </c>
      <c r="D1141" s="10">
        <v>-0.53418785999999996</v>
      </c>
      <c r="E1141" s="10">
        <v>-0.69243334099999998</v>
      </c>
      <c r="F1141" s="10">
        <v>-0.63482998999999996</v>
      </c>
      <c r="G1141" s="10">
        <v>-0.273334613</v>
      </c>
      <c r="H1141" s="9">
        <v>-0.53369645099999996</v>
      </c>
      <c r="I1141" s="10">
        <v>0.185484879102565</v>
      </c>
      <c r="J1141" s="10">
        <v>3.4404640375693303E-2</v>
      </c>
      <c r="K1141" s="10">
        <v>-0.49516423700000001</v>
      </c>
      <c r="L1141" s="10">
        <v>-0.37142141499999998</v>
      </c>
      <c r="M1141" s="10">
        <v>-0.48029597400000001</v>
      </c>
      <c r="N1141" s="10">
        <v>-0.62671154399999995</v>
      </c>
      <c r="O1141" s="9">
        <v>-0.4933982925</v>
      </c>
      <c r="P1141" s="10">
        <v>0.104603331655361</v>
      </c>
      <c r="Q1141" s="10">
        <v>1.09418569934015E-2</v>
      </c>
    </row>
    <row r="1142" spans="1:17" x14ac:dyDescent="0.2">
      <c r="A1142" s="10">
        <v>1827</v>
      </c>
      <c r="B1142" s="10" t="s">
        <v>2830</v>
      </c>
      <c r="C1142" s="9" t="s">
        <v>1789</v>
      </c>
      <c r="D1142" s="10">
        <v>0.23410813999999999</v>
      </c>
      <c r="E1142" s="10">
        <v>-6.1600414999999999E-2</v>
      </c>
      <c r="F1142" s="10">
        <v>-0.21037308499999999</v>
      </c>
      <c r="G1142" s="10">
        <v>-0.42252142799999998</v>
      </c>
      <c r="H1142" s="9">
        <v>-0.115096697</v>
      </c>
      <c r="I1142" s="10">
        <v>0.275918723366603</v>
      </c>
      <c r="J1142" s="10">
        <v>7.6131141904256294E-2</v>
      </c>
      <c r="K1142" s="10">
        <v>9.8795652999999997E-2</v>
      </c>
      <c r="L1142" s="10">
        <v>-0.31044168700000002</v>
      </c>
      <c r="M1142" s="10">
        <v>0.13524471499999999</v>
      </c>
      <c r="N1142" s="10">
        <v>-0.15453012699999999</v>
      </c>
      <c r="O1142" s="9">
        <v>-5.7732861500000003E-2</v>
      </c>
      <c r="P1142" s="10">
        <v>0.21211080593034101</v>
      </c>
      <c r="Q1142" s="10">
        <v>4.4990993992419001E-2</v>
      </c>
    </row>
    <row r="1143" spans="1:17" x14ac:dyDescent="0.2">
      <c r="A1143" s="10">
        <v>1828</v>
      </c>
      <c r="B1143" s="10" t="s">
        <v>2822</v>
      </c>
      <c r="C1143" s="9" t="s">
        <v>1790</v>
      </c>
      <c r="D1143" s="10">
        <v>0.83185167299999996</v>
      </c>
      <c r="E1143" s="10">
        <v>0.81998922200000002</v>
      </c>
      <c r="F1143" s="10">
        <v>0.28144379899999999</v>
      </c>
      <c r="G1143" s="10">
        <v>-6.7068675999999994E-2</v>
      </c>
      <c r="H1143" s="9">
        <v>0.46655400424999999</v>
      </c>
      <c r="I1143" s="10">
        <v>0.438701794276805</v>
      </c>
      <c r="J1143" s="10">
        <v>0.192459264301688</v>
      </c>
      <c r="K1143" s="10">
        <v>7.0550881999999995E-2</v>
      </c>
      <c r="L1143" s="10">
        <v>0.30959599799999998</v>
      </c>
      <c r="M1143" s="10">
        <v>-0.10423748300000001</v>
      </c>
      <c r="N1143" s="10">
        <v>-0.146100852</v>
      </c>
      <c r="O1143" s="9">
        <v>3.2452136249999999E-2</v>
      </c>
      <c r="P1143" s="10">
        <v>0.20722407852140801</v>
      </c>
      <c r="Q1143" s="10">
        <v>4.2941818719046898E-2</v>
      </c>
    </row>
    <row r="1144" spans="1:17" x14ac:dyDescent="0.2">
      <c r="A1144" s="10">
        <v>1828</v>
      </c>
      <c r="B1144" s="10" t="s">
        <v>2826</v>
      </c>
      <c r="C1144" s="9" t="s">
        <v>2186</v>
      </c>
      <c r="D1144" s="10">
        <v>0.24050101800000001</v>
      </c>
      <c r="E1144" s="10">
        <v>-6.6726112000000004E-2</v>
      </c>
      <c r="F1144" s="10">
        <v>-8.6501427000000006E-2</v>
      </c>
      <c r="G1144" s="10">
        <v>-4.0617232000000003E-2</v>
      </c>
      <c r="H1144" s="9">
        <v>1.1664061999999999E-2</v>
      </c>
      <c r="I1144" s="10">
        <v>0.15371095031911799</v>
      </c>
      <c r="J1144" s="10">
        <v>2.3627056248006501E-2</v>
      </c>
      <c r="K1144" s="10">
        <v>0.25535198199999998</v>
      </c>
      <c r="L1144" s="10">
        <v>0.291879903</v>
      </c>
      <c r="M1144" s="10">
        <v>0.57441136500000001</v>
      </c>
      <c r="N1144" s="10">
        <v>0.13861093199999999</v>
      </c>
      <c r="O1144" s="9">
        <v>0.31506354549999999</v>
      </c>
      <c r="P1144" s="10">
        <v>0.184842066267004</v>
      </c>
      <c r="Q1144" s="10">
        <v>3.4166589461855697E-2</v>
      </c>
    </row>
    <row r="1145" spans="1:17" x14ac:dyDescent="0.2">
      <c r="A1145" s="10">
        <v>1828</v>
      </c>
      <c r="B1145" s="10" t="s">
        <v>2821</v>
      </c>
      <c r="C1145" s="9" t="s">
        <v>1791</v>
      </c>
      <c r="D1145" s="10">
        <v>-7.4131471000000004E-2</v>
      </c>
      <c r="E1145" s="10">
        <v>-0.320110059</v>
      </c>
      <c r="F1145" s="10">
        <v>-0.39338505099999999</v>
      </c>
      <c r="G1145" s="10">
        <v>-0.79039230999999999</v>
      </c>
      <c r="H1145" s="9">
        <v>-0.394504723</v>
      </c>
      <c r="I1145" s="10">
        <v>0.29715418098735502</v>
      </c>
      <c r="J1145" s="10">
        <v>8.8300607278266094E-2</v>
      </c>
      <c r="K1145" s="10">
        <v>-0.14482150399999999</v>
      </c>
      <c r="L1145" s="10">
        <v>-7.7273781E-2</v>
      </c>
      <c r="M1145" s="10">
        <v>-0.14442887400000001</v>
      </c>
      <c r="N1145" s="10">
        <v>-6.6953090000000007E-2</v>
      </c>
      <c r="O1145" s="9">
        <v>-0.10836931225</v>
      </c>
      <c r="P1145" s="10">
        <v>4.2076477221689002E-2</v>
      </c>
      <c r="Q1145" s="10">
        <v>1.7704299353873E-3</v>
      </c>
    </row>
    <row r="1146" spans="1:17" x14ac:dyDescent="0.2">
      <c r="A1146" s="10">
        <v>1828</v>
      </c>
      <c r="B1146" s="10" t="s">
        <v>2824</v>
      </c>
      <c r="C1146" s="9" t="s">
        <v>1793</v>
      </c>
      <c r="D1146" s="10">
        <v>0.17846353300000001</v>
      </c>
      <c r="E1146" s="10">
        <v>0.47517184699999998</v>
      </c>
      <c r="F1146" s="10">
        <v>-8.5959452000000006E-2</v>
      </c>
      <c r="G1146" s="10">
        <v>-0.10582937000000001</v>
      </c>
      <c r="H1146" s="9">
        <v>0.11546163975</v>
      </c>
      <c r="I1146" s="10">
        <v>0.27258077637699601</v>
      </c>
      <c r="J1146" s="10">
        <v>7.4300279650286197E-2</v>
      </c>
      <c r="K1146" s="10">
        <v>0.48681819700000001</v>
      </c>
      <c r="L1146" s="10">
        <v>-0.355377895</v>
      </c>
      <c r="M1146" s="10">
        <v>0.52472105199999997</v>
      </c>
      <c r="N1146" s="10">
        <v>0.28607337799999999</v>
      </c>
      <c r="O1146" s="9">
        <v>0.23555868299999999</v>
      </c>
      <c r="P1146" s="10">
        <v>0.40763709049860403</v>
      </c>
      <c r="Q1146" s="10">
        <v>0.16616799755016701</v>
      </c>
    </row>
    <row r="1147" spans="1:17" x14ac:dyDescent="0.2">
      <c r="A1147" s="10">
        <v>1828</v>
      </c>
      <c r="B1147" s="10" t="s">
        <v>2825</v>
      </c>
      <c r="C1147" s="9" t="s">
        <v>1794</v>
      </c>
      <c r="D1147" s="10">
        <v>0.58162786600000005</v>
      </c>
      <c r="E1147" s="10">
        <v>0.35244636499999998</v>
      </c>
      <c r="F1147" s="10">
        <v>7.2134633000000004E-2</v>
      </c>
      <c r="G1147" s="10">
        <v>0.36072981199999998</v>
      </c>
      <c r="H1147" s="9">
        <v>0.34173466899999999</v>
      </c>
      <c r="I1147" s="10">
        <v>0.20873306818907</v>
      </c>
      <c r="J1147" s="10">
        <v>4.3569493755622898E-2</v>
      </c>
      <c r="K1147" s="10">
        <v>-0.13482408100000001</v>
      </c>
      <c r="L1147" s="10">
        <v>0.61389846000000003</v>
      </c>
      <c r="M1147" s="10">
        <v>0.341081411</v>
      </c>
      <c r="N1147" s="10">
        <v>0.104917831</v>
      </c>
      <c r="O1147" s="9">
        <v>0.2312684055</v>
      </c>
      <c r="P1147" s="10">
        <v>0.32065185229042797</v>
      </c>
      <c r="Q1147" s="10">
        <v>0.102817610377282</v>
      </c>
    </row>
    <row r="1148" spans="1:17" x14ac:dyDescent="0.2">
      <c r="A1148" s="10">
        <v>1828</v>
      </c>
      <c r="B1148" s="10" t="s">
        <v>74</v>
      </c>
      <c r="C1148" s="9" t="s">
        <v>1795</v>
      </c>
      <c r="D1148" s="10">
        <v>-0.62658765800000005</v>
      </c>
      <c r="E1148" s="10">
        <v>-0.66547397600000002</v>
      </c>
      <c r="F1148" s="10">
        <v>-0.50853907799999998</v>
      </c>
      <c r="G1148" s="10">
        <v>-0.34614367899999998</v>
      </c>
      <c r="H1148" s="9">
        <v>-0.53668609749999996</v>
      </c>
      <c r="I1148" s="10">
        <v>0.14348899630683401</v>
      </c>
      <c r="J1148" s="10">
        <v>2.0589092061142799E-2</v>
      </c>
      <c r="K1148" s="10">
        <v>-0.51105966599999997</v>
      </c>
      <c r="L1148" s="10">
        <v>-0.62737001100000001</v>
      </c>
      <c r="M1148" s="10">
        <v>-1.012822138</v>
      </c>
      <c r="N1148" s="10">
        <v>-0.52397115100000002</v>
      </c>
      <c r="O1148" s="9">
        <v>-0.66880574174999996</v>
      </c>
      <c r="P1148" s="10">
        <v>0.23517729748983501</v>
      </c>
      <c r="Q1148" s="10">
        <v>5.5308361254622698E-2</v>
      </c>
    </row>
    <row r="1149" spans="1:17" x14ac:dyDescent="0.2">
      <c r="A1149" s="10">
        <v>1828</v>
      </c>
      <c r="B1149" s="10" t="s">
        <v>2835</v>
      </c>
      <c r="C1149" s="9" t="s">
        <v>1797</v>
      </c>
      <c r="D1149" s="10">
        <v>2.2119106999999999E-2</v>
      </c>
      <c r="E1149" s="10">
        <v>-0.24846222600000001</v>
      </c>
      <c r="F1149" s="10">
        <v>-0.33694178899999999</v>
      </c>
      <c r="G1149" s="10">
        <v>-0.58782801100000004</v>
      </c>
      <c r="H1149" s="9">
        <v>-0.28777822949999998</v>
      </c>
      <c r="I1149" s="10">
        <v>0.25168037551751599</v>
      </c>
      <c r="J1149" s="10">
        <v>6.3343011420638001E-2</v>
      </c>
      <c r="K1149" s="10">
        <v>-0.19069125100000001</v>
      </c>
      <c r="L1149" s="10">
        <v>6.0112006000000003E-2</v>
      </c>
      <c r="M1149" s="10">
        <v>-0.86857434</v>
      </c>
      <c r="N1149" s="10">
        <v>-1.318373784</v>
      </c>
      <c r="O1149" s="9">
        <v>-0.57938184225</v>
      </c>
      <c r="P1149" s="10">
        <v>0.62975501808300705</v>
      </c>
      <c r="Q1149" s="10">
        <v>0.39659138280072898</v>
      </c>
    </row>
    <row r="1150" spans="1:17" x14ac:dyDescent="0.2">
      <c r="A1150" s="10">
        <v>1829</v>
      </c>
      <c r="B1150" s="10" t="s">
        <v>2831</v>
      </c>
      <c r="C1150" s="9" t="s">
        <v>1798</v>
      </c>
      <c r="D1150" s="10">
        <v>-0.99156195599999997</v>
      </c>
      <c r="E1150" s="10">
        <v>-1.2036327570000001</v>
      </c>
      <c r="F1150" s="10">
        <v>-1.6063523340000001</v>
      </c>
      <c r="G1150" s="10">
        <v>-0.82577488300000002</v>
      </c>
      <c r="H1150" s="9">
        <v>-1.1568304825</v>
      </c>
      <c r="I1150" s="10">
        <v>0.33722981465965002</v>
      </c>
      <c r="J1150" s="10">
        <v>0.113723947895382</v>
      </c>
      <c r="K1150" s="10">
        <v>-8.0822065999999998E-2</v>
      </c>
      <c r="L1150" s="10">
        <v>-0.12062015099999999</v>
      </c>
      <c r="M1150" s="10">
        <v>-0.206153158</v>
      </c>
      <c r="N1150" s="10">
        <v>6.5670534000000003E-2</v>
      </c>
      <c r="O1150" s="9">
        <v>-8.5481210500000002E-2</v>
      </c>
      <c r="P1150" s="10">
        <v>0.113526827293185</v>
      </c>
      <c r="Q1150" s="10">
        <v>1.2888340515256801E-2</v>
      </c>
    </row>
    <row r="1151" spans="1:17" x14ac:dyDescent="0.2">
      <c r="A1151" s="10">
        <v>1829</v>
      </c>
      <c r="B1151" s="10" t="s">
        <v>2823</v>
      </c>
      <c r="C1151" s="9" t="s">
        <v>1800</v>
      </c>
      <c r="D1151" s="10">
        <v>-0.50001364999999998</v>
      </c>
      <c r="E1151" s="10">
        <v>-0.85313592800000004</v>
      </c>
      <c r="F1151" s="10">
        <v>0.87467980400000001</v>
      </c>
      <c r="G1151" s="10">
        <v>0.44564421500000001</v>
      </c>
      <c r="H1151" s="9">
        <v>-8.2063897499999993E-3</v>
      </c>
      <c r="I1151" s="10">
        <v>0.80441463362875898</v>
      </c>
      <c r="J1151" s="10">
        <v>0.64708290279609104</v>
      </c>
      <c r="K1151" s="10">
        <v>0.45072991600000001</v>
      </c>
      <c r="L1151" s="10">
        <v>0.41929082299999998</v>
      </c>
      <c r="M1151" s="10">
        <v>0.77686792199999999</v>
      </c>
      <c r="N1151" s="10">
        <v>0.43070724199999999</v>
      </c>
      <c r="O1151" s="9">
        <v>0.51939897550000003</v>
      </c>
      <c r="P1151" s="10">
        <v>0.17213711969689799</v>
      </c>
      <c r="Q1151" s="10">
        <v>2.9631187977544202E-2</v>
      </c>
    </row>
    <row r="1152" spans="1:17" x14ac:dyDescent="0.2">
      <c r="A1152" s="10">
        <v>1829</v>
      </c>
      <c r="B1152" s="10" t="s">
        <v>2821</v>
      </c>
      <c r="C1152" s="9" t="s">
        <v>1801</v>
      </c>
      <c r="D1152" s="10">
        <v>-0.59418222700000001</v>
      </c>
      <c r="E1152" s="10">
        <v>-5.0461896999999999E-2</v>
      </c>
      <c r="F1152" s="10">
        <v>-0.27006966599999999</v>
      </c>
      <c r="G1152" s="10">
        <v>-1.0226310839999999</v>
      </c>
      <c r="H1152" s="9">
        <v>-0.48433621850000003</v>
      </c>
      <c r="I1152" s="10">
        <v>0.42268372344041699</v>
      </c>
      <c r="J1152" s="10">
        <v>0.17866153006145499</v>
      </c>
      <c r="K1152" s="10">
        <v>0.35009583399999999</v>
      </c>
      <c r="L1152" s="10">
        <v>-0.35798033099999998</v>
      </c>
      <c r="M1152" s="10">
        <v>0.418475873</v>
      </c>
      <c r="N1152" s="10">
        <v>0.52251159700000005</v>
      </c>
      <c r="O1152" s="9">
        <v>0.23327574325</v>
      </c>
      <c r="P1152" s="10">
        <v>0.40049433874245399</v>
      </c>
      <c r="Q1152" s="10">
        <v>0.160395715364755</v>
      </c>
    </row>
    <row r="1153" spans="1:17" x14ac:dyDescent="0.2">
      <c r="A1153" s="10">
        <v>1829</v>
      </c>
      <c r="B1153" s="10" t="s">
        <v>2824</v>
      </c>
      <c r="C1153" s="9" t="s">
        <v>1803</v>
      </c>
      <c r="D1153" s="10">
        <v>0.244497935</v>
      </c>
      <c r="E1153" s="10">
        <v>0.19498844600000001</v>
      </c>
      <c r="F1153" s="10">
        <v>9.1395878999999999E-2</v>
      </c>
      <c r="G1153" s="10">
        <v>0.55172085699999995</v>
      </c>
      <c r="H1153" s="9">
        <v>0.27065077900000001</v>
      </c>
      <c r="I1153" s="10">
        <v>0.197940620561847</v>
      </c>
      <c r="J1153" s="10">
        <v>3.9180489268409002E-2</v>
      </c>
      <c r="K1153" s="10">
        <v>0.27351538800000003</v>
      </c>
      <c r="L1153" s="10">
        <v>-0.22953127000000001</v>
      </c>
      <c r="M1153" s="10">
        <v>0.36657343999999997</v>
      </c>
      <c r="N1153" s="10">
        <v>0.68212853200000001</v>
      </c>
      <c r="O1153" s="9">
        <v>0.27317152249999999</v>
      </c>
      <c r="P1153" s="10">
        <v>0.37801233209276802</v>
      </c>
      <c r="Q1153" s="10">
        <v>0.142893323214213</v>
      </c>
    </row>
    <row r="1154" spans="1:17" x14ac:dyDescent="0.2">
      <c r="A1154" s="10">
        <v>1829</v>
      </c>
      <c r="B1154" s="10" t="s">
        <v>2817</v>
      </c>
      <c r="C1154" s="9" t="s">
        <v>1804</v>
      </c>
      <c r="D1154" s="10">
        <v>-0.28354477300000003</v>
      </c>
      <c r="E1154" s="10">
        <v>-0.85707055200000004</v>
      </c>
      <c r="F1154" s="10">
        <v>-0.25076014600000002</v>
      </c>
      <c r="G1154" s="10">
        <v>-0.194011558</v>
      </c>
      <c r="H1154" s="9">
        <v>-0.39634675749999998</v>
      </c>
      <c r="I1154" s="10">
        <v>0.30936801005187597</v>
      </c>
      <c r="J1154" s="10">
        <v>9.5708565643457699E-2</v>
      </c>
      <c r="K1154" s="10">
        <v>0.13485306799999999</v>
      </c>
      <c r="L1154" s="10">
        <v>-0.82365418899999998</v>
      </c>
      <c r="M1154" s="10">
        <v>-0.31158408399999998</v>
      </c>
      <c r="N1154" s="10">
        <v>-9.4382400000000005E-3</v>
      </c>
      <c r="O1154" s="9">
        <v>-0.252455861</v>
      </c>
      <c r="P1154" s="10">
        <v>0.42380398270299402</v>
      </c>
      <c r="Q1154" s="10">
        <v>0.17960981575491899</v>
      </c>
    </row>
    <row r="1155" spans="1:17" x14ac:dyDescent="0.2">
      <c r="A1155" s="10">
        <v>1829</v>
      </c>
      <c r="B1155" s="10" t="s">
        <v>2814</v>
      </c>
      <c r="C1155" s="9" t="s">
        <v>1806</v>
      </c>
      <c r="D1155" s="10">
        <v>0.62660378400000005</v>
      </c>
      <c r="E1155" s="10">
        <v>0.549506198</v>
      </c>
      <c r="F1155" s="10">
        <v>0.61005547299999996</v>
      </c>
      <c r="G1155" s="10">
        <v>0.18800146600000001</v>
      </c>
      <c r="H1155" s="9">
        <v>0.4935417305</v>
      </c>
      <c r="I1155" s="10">
        <v>0.20637170116586601</v>
      </c>
      <c r="J1155" s="10">
        <v>4.2589279042093801E-2</v>
      </c>
      <c r="K1155" s="10">
        <v>0.43436856800000001</v>
      </c>
      <c r="L1155" s="10">
        <v>0.30572355899999998</v>
      </c>
      <c r="M1155" s="10">
        <v>0.22807147799999999</v>
      </c>
      <c r="N1155" s="10">
        <v>0.46860795599999999</v>
      </c>
      <c r="O1155" s="9">
        <v>0.35919288999999999</v>
      </c>
      <c r="P1155" s="10">
        <v>0.11206372186246701</v>
      </c>
      <c r="Q1155" s="10">
        <v>1.25582777576684E-2</v>
      </c>
    </row>
    <row r="1156" spans="1:17" x14ac:dyDescent="0.2">
      <c r="A1156" s="10">
        <v>1829</v>
      </c>
      <c r="B1156" s="10" t="s">
        <v>2833</v>
      </c>
      <c r="C1156" s="9" t="s">
        <v>1807</v>
      </c>
      <c r="D1156" s="10">
        <v>-7.3104335000000006E-2</v>
      </c>
      <c r="E1156" s="10">
        <v>-3.1445529E-2</v>
      </c>
      <c r="F1156" s="10">
        <v>0.12265174700000001</v>
      </c>
      <c r="G1156" s="10">
        <v>-5.0569761999999997E-2</v>
      </c>
      <c r="H1156" s="9">
        <v>-8.1169697499999995E-3</v>
      </c>
      <c r="I1156" s="10">
        <v>8.8826190148853901E-2</v>
      </c>
      <c r="J1156" s="10">
        <v>7.8900920563602997E-3</v>
      </c>
      <c r="K1156" s="10">
        <v>-4.9740077000000001E-2</v>
      </c>
      <c r="L1156" s="10">
        <v>0.154521148</v>
      </c>
      <c r="M1156" s="10">
        <v>0.17385700700000001</v>
      </c>
      <c r="N1156" s="10">
        <v>6.8721806999999996E-2</v>
      </c>
      <c r="O1156" s="9">
        <v>8.6839971500000002E-2</v>
      </c>
      <c r="P1156" s="10">
        <v>0.101874242169359</v>
      </c>
      <c r="Q1156" s="10">
        <v>1.03783612175812E-2</v>
      </c>
    </row>
    <row r="1157" spans="1:17" x14ac:dyDescent="0.2">
      <c r="A1157" s="10">
        <v>1829</v>
      </c>
      <c r="B1157" s="10" t="s">
        <v>74</v>
      </c>
      <c r="C1157" s="9" t="s">
        <v>1809</v>
      </c>
      <c r="D1157" s="10">
        <v>0.10427040799999999</v>
      </c>
      <c r="E1157" s="10">
        <v>3.5034150999999999E-2</v>
      </c>
      <c r="F1157" s="10">
        <v>0.50084522600000003</v>
      </c>
      <c r="G1157" s="10">
        <v>-0.49244085599999998</v>
      </c>
      <c r="H1157" s="9">
        <v>3.6927232249999997E-2</v>
      </c>
      <c r="I1157" s="10">
        <v>0.40824386701218901</v>
      </c>
      <c r="J1157" s="10">
        <v>0.16666305495306599</v>
      </c>
      <c r="K1157" s="10">
        <v>-0.16719685400000001</v>
      </c>
      <c r="L1157" s="10">
        <v>-9.4251908999999995E-2</v>
      </c>
      <c r="M1157" s="10">
        <v>-3.1490508E-2</v>
      </c>
      <c r="N1157" s="10">
        <v>8.9945345999999995E-2</v>
      </c>
      <c r="O1157" s="9">
        <v>-5.0748481249999998E-2</v>
      </c>
      <c r="P1157" s="10">
        <v>0.108962370113222</v>
      </c>
      <c r="Q1157" s="10">
        <v>1.18727981006909E-2</v>
      </c>
    </row>
    <row r="1158" spans="1:17" x14ac:dyDescent="0.2">
      <c r="A1158" s="10">
        <v>1829</v>
      </c>
      <c r="B1158" s="10" t="s">
        <v>2818</v>
      </c>
      <c r="C1158" s="9" t="s">
        <v>1810</v>
      </c>
      <c r="D1158" s="10">
        <v>0.55725682200000004</v>
      </c>
      <c r="E1158" s="10">
        <v>0.19423104299999999</v>
      </c>
      <c r="F1158" s="10">
        <v>0.172830393</v>
      </c>
      <c r="G1158" s="10">
        <v>0.37926687599999998</v>
      </c>
      <c r="H1158" s="9">
        <v>0.32589628349999999</v>
      </c>
      <c r="I1158" s="10">
        <v>0.17994538181467901</v>
      </c>
      <c r="J1158" s="10">
        <v>3.2380340436430601E-2</v>
      </c>
      <c r="K1158" s="10">
        <v>0.49655038600000001</v>
      </c>
      <c r="L1158" s="10">
        <v>0.49496651699999999</v>
      </c>
      <c r="M1158" s="10">
        <v>0.31041817900000002</v>
      </c>
      <c r="N1158" s="10">
        <v>0.190047725</v>
      </c>
      <c r="O1158" s="9">
        <v>0.37299570199999998</v>
      </c>
      <c r="P1158" s="10">
        <v>0.15003171700600701</v>
      </c>
      <c r="Q1158" s="10">
        <v>2.2509516107770699E-2</v>
      </c>
    </row>
    <row r="1159" spans="1:17" x14ac:dyDescent="0.2">
      <c r="A1159" s="10">
        <v>1829</v>
      </c>
      <c r="B1159" s="10" t="s">
        <v>2830</v>
      </c>
      <c r="C1159" s="9" t="s">
        <v>1811</v>
      </c>
      <c r="D1159" s="10">
        <v>0.51009132800000001</v>
      </c>
      <c r="E1159" s="10">
        <v>0.25246412800000001</v>
      </c>
      <c r="F1159" s="10">
        <v>0.31973141700000002</v>
      </c>
      <c r="G1159" s="10">
        <v>-9.6252744000000001E-2</v>
      </c>
      <c r="H1159" s="9">
        <v>0.24650853225</v>
      </c>
      <c r="I1159" s="10">
        <v>0.253218115915748</v>
      </c>
      <c r="J1159" s="10">
        <v>6.4119414227921404E-2</v>
      </c>
      <c r="K1159" s="10">
        <v>0.173244858</v>
      </c>
      <c r="L1159" s="10">
        <v>-0.35957555099999999</v>
      </c>
      <c r="M1159" s="10">
        <v>-0.117647338</v>
      </c>
      <c r="N1159" s="10">
        <v>0.48949280899999997</v>
      </c>
      <c r="O1159" s="9">
        <v>4.6378694249999998E-2</v>
      </c>
      <c r="P1159" s="10">
        <v>0.36703702387610798</v>
      </c>
      <c r="Q1159" s="10">
        <v>0.13471617689583101</v>
      </c>
    </row>
    <row r="1160" spans="1:17" x14ac:dyDescent="0.2">
      <c r="A1160" s="10">
        <v>1830</v>
      </c>
      <c r="B1160" s="10" t="s">
        <v>2819</v>
      </c>
      <c r="C1160" s="9" t="s">
        <v>1813</v>
      </c>
      <c r="D1160" s="10">
        <v>-0.13054204599999999</v>
      </c>
      <c r="E1160" s="10">
        <v>-0.90070025899999995</v>
      </c>
      <c r="F1160" s="10">
        <v>-0.39175516999999999</v>
      </c>
      <c r="G1160" s="10">
        <v>-0.923589773</v>
      </c>
      <c r="H1160" s="9">
        <v>-0.58664681200000002</v>
      </c>
      <c r="I1160" s="10">
        <v>0.39080022015918398</v>
      </c>
      <c r="J1160" s="10">
        <v>0.15272481207646599</v>
      </c>
      <c r="K1160" s="10">
        <v>-0.40604736299999999</v>
      </c>
      <c r="L1160" s="10">
        <v>0.160332378</v>
      </c>
      <c r="M1160" s="10">
        <v>-0.85365435099999998</v>
      </c>
      <c r="N1160" s="10">
        <v>-7.6235560000000001E-3</v>
      </c>
      <c r="O1160" s="9">
        <v>-0.27674822300000002</v>
      </c>
      <c r="P1160" s="10">
        <v>0.45203483873372402</v>
      </c>
      <c r="Q1160" s="10">
        <v>0.20433549542902399</v>
      </c>
    </row>
    <row r="1161" spans="1:17" x14ac:dyDescent="0.2">
      <c r="A1161" s="10">
        <v>1830</v>
      </c>
      <c r="B1161" s="10" t="s">
        <v>2814</v>
      </c>
      <c r="C1161" s="9" t="s">
        <v>1818</v>
      </c>
      <c r="D1161" s="10">
        <v>-0.72708536199999996</v>
      </c>
      <c r="E1161" s="10">
        <v>-0.48818214300000001</v>
      </c>
      <c r="F1161" s="10">
        <v>-0.58703645699999996</v>
      </c>
      <c r="G1161" s="10">
        <v>-0.35102389000000001</v>
      </c>
      <c r="H1161" s="9">
        <v>-0.53833196274999995</v>
      </c>
      <c r="I1161" s="10">
        <v>0.1587443353602</v>
      </c>
      <c r="J1161" s="10">
        <v>2.5199764008951599E-2</v>
      </c>
      <c r="K1161" s="10">
        <v>-0.13766916400000001</v>
      </c>
      <c r="L1161" s="10">
        <v>-0.76972436200000005</v>
      </c>
      <c r="M1161" s="10">
        <v>-0.49941833299999999</v>
      </c>
      <c r="N1161" s="10">
        <v>-0.40491622399999999</v>
      </c>
      <c r="O1161" s="9">
        <v>-0.45293202075</v>
      </c>
      <c r="P1161" s="10">
        <v>0.26090518730308199</v>
      </c>
      <c r="Q1161" s="10">
        <v>6.8071516761656403E-2</v>
      </c>
    </row>
    <row r="1162" spans="1:17" x14ac:dyDescent="0.2">
      <c r="A1162" s="10">
        <v>1830</v>
      </c>
      <c r="B1162" s="10" t="s">
        <v>74</v>
      </c>
      <c r="C1162" s="9" t="s">
        <v>1821</v>
      </c>
      <c r="D1162" s="10">
        <v>-4.7584487000000002E-2</v>
      </c>
      <c r="E1162" s="10">
        <v>-1.2628612000000001E-2</v>
      </c>
      <c r="F1162" s="10">
        <v>-0.428888294</v>
      </c>
      <c r="G1162" s="10">
        <v>-0.59317512699999997</v>
      </c>
      <c r="H1162" s="9">
        <v>-0.27056912999999999</v>
      </c>
      <c r="I1162" s="10">
        <v>0.28600410768027301</v>
      </c>
      <c r="J1162" s="10">
        <v>8.1798349609989496E-2</v>
      </c>
      <c r="K1162" s="10">
        <v>-0.42906759999999999</v>
      </c>
      <c r="L1162" s="10">
        <v>5.1435078000000002E-2</v>
      </c>
      <c r="M1162" s="10">
        <v>-0.76170877599999998</v>
      </c>
      <c r="N1162" s="10">
        <v>-0.23805907500000001</v>
      </c>
      <c r="O1162" s="9">
        <v>-0.34435009300000002</v>
      </c>
      <c r="P1162" s="10">
        <v>0.34122768955579802</v>
      </c>
      <c r="Q1162" s="10">
        <v>0.11643633611958799</v>
      </c>
    </row>
    <row r="1163" spans="1:17" x14ac:dyDescent="0.2">
      <c r="A1163" s="10">
        <v>1830</v>
      </c>
      <c r="B1163" s="10" t="s">
        <v>2818</v>
      </c>
      <c r="C1163" s="9" t="s">
        <v>1822</v>
      </c>
      <c r="D1163" s="10">
        <v>-0.52140682599999999</v>
      </c>
      <c r="E1163" s="10">
        <v>-0.71117587599999998</v>
      </c>
      <c r="F1163" s="10">
        <v>-0.56146890699999996</v>
      </c>
      <c r="G1163" s="10">
        <v>-0.44306715200000002</v>
      </c>
      <c r="H1163" s="9">
        <v>-0.55927969025000002</v>
      </c>
      <c r="I1163" s="10">
        <v>0.112571387436866</v>
      </c>
      <c r="J1163" s="10">
        <v>1.2672317269461201E-2</v>
      </c>
      <c r="K1163" s="10">
        <v>4.6515268999999998E-2</v>
      </c>
      <c r="L1163" s="10">
        <v>-0.59093822299999998</v>
      </c>
      <c r="M1163" s="10">
        <v>-0.73340086400000004</v>
      </c>
      <c r="N1163" s="10">
        <v>-0.75149507800000004</v>
      </c>
      <c r="O1163" s="9">
        <v>-0.50732972399999998</v>
      </c>
      <c r="P1163" s="10">
        <v>0.376146929541745</v>
      </c>
      <c r="Q1163" s="10">
        <v>0.141486512603682</v>
      </c>
    </row>
    <row r="1164" spans="1:17" x14ac:dyDescent="0.2">
      <c r="A1164" s="10">
        <v>1830</v>
      </c>
      <c r="B1164" s="10" t="s">
        <v>2830</v>
      </c>
      <c r="C1164" s="9" t="s">
        <v>1823</v>
      </c>
      <c r="D1164" s="10">
        <v>-0.377250372</v>
      </c>
      <c r="E1164" s="10">
        <v>-0.59592923099999995</v>
      </c>
      <c r="F1164" s="10">
        <v>-0.93328775200000003</v>
      </c>
      <c r="G1164" s="10">
        <v>-0.707146881</v>
      </c>
      <c r="H1164" s="9">
        <v>-0.65340355900000002</v>
      </c>
      <c r="I1164" s="10">
        <v>0.23150765805919901</v>
      </c>
      <c r="J1164" s="10">
        <v>5.3595795740055102E-2</v>
      </c>
      <c r="K1164" s="10">
        <v>-0.37930223000000002</v>
      </c>
      <c r="L1164" s="10">
        <v>-0.14464951500000001</v>
      </c>
      <c r="M1164" s="10">
        <v>-0.246965921</v>
      </c>
      <c r="N1164" s="10">
        <v>-0.31547132700000002</v>
      </c>
      <c r="O1164" s="9">
        <v>-0.27159724824999998</v>
      </c>
      <c r="P1164" s="10">
        <v>0.100412029723101</v>
      </c>
      <c r="Q1164" s="10">
        <v>1.00825757131129E-2</v>
      </c>
    </row>
    <row r="1165" spans="1:17" x14ac:dyDescent="0.2">
      <c r="A1165" s="10">
        <v>1831</v>
      </c>
      <c r="B1165" s="10" t="s">
        <v>2822</v>
      </c>
      <c r="C1165" s="9" t="s">
        <v>1825</v>
      </c>
      <c r="D1165" s="10">
        <v>0.25645780600000001</v>
      </c>
      <c r="E1165" s="10">
        <v>0.21363079800000001</v>
      </c>
      <c r="F1165" s="10">
        <v>0.14929361599999999</v>
      </c>
      <c r="G1165" s="10">
        <v>0.44869578300000001</v>
      </c>
      <c r="H1165" s="9">
        <v>0.26701950075000003</v>
      </c>
      <c r="I1165" s="10">
        <v>0.12887663151204201</v>
      </c>
      <c r="J1165" s="10">
        <v>1.6609186149890601E-2</v>
      </c>
      <c r="K1165" s="10">
        <v>0.27399584500000002</v>
      </c>
      <c r="L1165" s="10">
        <v>0.23277688199999999</v>
      </c>
      <c r="M1165" s="10">
        <v>0.57292422399999998</v>
      </c>
      <c r="N1165" s="10">
        <v>0.109802934</v>
      </c>
      <c r="O1165" s="9">
        <v>0.29737497125000001</v>
      </c>
      <c r="P1165" s="10">
        <v>0.19649440749307401</v>
      </c>
      <c r="Q1165" s="10">
        <v>3.8610052176054302E-2</v>
      </c>
    </row>
    <row r="1166" spans="1:17" x14ac:dyDescent="0.2">
      <c r="A1166" s="10">
        <v>1831</v>
      </c>
      <c r="B1166" s="10" t="s">
        <v>82</v>
      </c>
      <c r="C1166" s="9" t="s">
        <v>1829</v>
      </c>
      <c r="D1166" s="10">
        <v>0.45660489300000001</v>
      </c>
      <c r="E1166" s="10">
        <v>0.45388551900000002</v>
      </c>
      <c r="F1166" s="10">
        <v>0.50290838900000001</v>
      </c>
      <c r="G1166" s="10">
        <v>0.32129111700000001</v>
      </c>
      <c r="H1166" s="9">
        <v>0.43367247949999999</v>
      </c>
      <c r="I1166" s="10">
        <v>7.8225410101006906E-2</v>
      </c>
      <c r="J1166" s="10">
        <v>6.1192147854707002E-3</v>
      </c>
      <c r="K1166" s="10">
        <v>0.12861389200000001</v>
      </c>
      <c r="L1166" s="10">
        <v>0.109605642</v>
      </c>
      <c r="M1166" s="10">
        <v>-0.111340143</v>
      </c>
      <c r="N1166" s="10">
        <v>0.20382793599999999</v>
      </c>
      <c r="O1166" s="9">
        <v>8.2676831749999999E-2</v>
      </c>
      <c r="P1166" s="10">
        <v>0.13559197478468099</v>
      </c>
      <c r="Q1166" s="10">
        <v>1.8385183626009698E-2</v>
      </c>
    </row>
    <row r="1167" spans="1:17" x14ac:dyDescent="0.2">
      <c r="A1167" s="10">
        <v>1831</v>
      </c>
      <c r="B1167" s="10" t="s">
        <v>74</v>
      </c>
      <c r="C1167" s="9" t="s">
        <v>1832</v>
      </c>
      <c r="D1167" s="10">
        <v>0.340401234</v>
      </c>
      <c r="E1167" s="10">
        <v>-0.105128412</v>
      </c>
      <c r="F1167" s="10">
        <v>-7.8671263000000005E-2</v>
      </c>
      <c r="G1167" s="10">
        <v>2.7508133000000001E-2</v>
      </c>
      <c r="H1167" s="9">
        <v>4.6027422999999998E-2</v>
      </c>
      <c r="I1167" s="10">
        <v>0.204447836419172</v>
      </c>
      <c r="J1167" s="10">
        <v>4.1798917816480499E-2</v>
      </c>
      <c r="K1167" s="10">
        <v>-0.371229011</v>
      </c>
      <c r="L1167" s="10">
        <v>-6.7359193999999997E-2</v>
      </c>
      <c r="M1167" s="10">
        <v>-0.24089948899999999</v>
      </c>
      <c r="N1167" s="10">
        <v>-1.9601875000000001E-2</v>
      </c>
      <c r="O1167" s="9">
        <v>-0.17477239250000001</v>
      </c>
      <c r="P1167" s="10">
        <v>0.16184713009214699</v>
      </c>
      <c r="Q1167" s="10">
        <v>2.6194493519064301E-2</v>
      </c>
    </row>
    <row r="1168" spans="1:17" x14ac:dyDescent="0.2">
      <c r="A1168" s="10">
        <v>1831</v>
      </c>
      <c r="B1168" s="10" t="s">
        <v>2818</v>
      </c>
      <c r="C1168" s="9" t="s">
        <v>67</v>
      </c>
      <c r="D1168" s="10">
        <v>-0.67434147499999997</v>
      </c>
      <c r="E1168" s="10">
        <v>-0.84542358799999995</v>
      </c>
      <c r="F1168" s="10">
        <v>-0.74537062600000004</v>
      </c>
      <c r="G1168" s="10">
        <v>-0.67631594900000003</v>
      </c>
      <c r="H1168" s="9">
        <v>-0.73536290950000005</v>
      </c>
      <c r="I1168" s="10">
        <v>8.0464622359044793E-2</v>
      </c>
      <c r="J1168" s="10">
        <v>6.4745554513835997E-3</v>
      </c>
      <c r="K1168" s="10">
        <v>-0.276535739</v>
      </c>
      <c r="L1168" s="10">
        <v>-0.53849029100000001</v>
      </c>
      <c r="M1168" s="10">
        <v>-0.365940665</v>
      </c>
      <c r="N1168" s="10">
        <v>-0.52303961799999998</v>
      </c>
      <c r="O1168" s="9">
        <v>-0.42600157825000001</v>
      </c>
      <c r="P1168" s="10">
        <v>0.12651408624840299</v>
      </c>
      <c r="Q1168" s="10">
        <v>1.60058140192684E-2</v>
      </c>
    </row>
    <row r="1169" spans="1:17" x14ac:dyDescent="0.2">
      <c r="A1169" s="10">
        <v>1832</v>
      </c>
      <c r="B1169" s="10" t="s">
        <v>2824</v>
      </c>
      <c r="C1169" s="9" t="s">
        <v>1838</v>
      </c>
      <c r="D1169" s="10">
        <v>-0.22371776299999999</v>
      </c>
      <c r="E1169" s="10">
        <v>-9.8746408999999993E-2</v>
      </c>
      <c r="F1169" s="10">
        <v>-0.55905828000000002</v>
      </c>
      <c r="G1169" s="10">
        <v>-0.162576265</v>
      </c>
      <c r="H1169" s="9">
        <v>-0.26102467925</v>
      </c>
      <c r="I1169" s="10">
        <v>0.205135857778665</v>
      </c>
      <c r="J1169" s="10">
        <v>4.2080720146588799E-2</v>
      </c>
      <c r="K1169" s="10">
        <v>-0.34730106100000002</v>
      </c>
      <c r="L1169" s="10">
        <v>-0.46020867500000001</v>
      </c>
      <c r="M1169" s="10">
        <v>-0.41624338599999999</v>
      </c>
      <c r="N1169" s="10">
        <v>-3.8299336000000003E-2</v>
      </c>
      <c r="O1169" s="9">
        <v>-0.31551311425</v>
      </c>
      <c r="P1169" s="10">
        <v>0.1905617532086</v>
      </c>
      <c r="Q1169" s="10">
        <v>3.6313781785935501E-2</v>
      </c>
    </row>
    <row r="1170" spans="1:17" x14ac:dyDescent="0.2">
      <c r="A1170" s="10">
        <v>1832</v>
      </c>
      <c r="B1170" s="10" t="s">
        <v>2817</v>
      </c>
      <c r="C1170" s="9" t="s">
        <v>1839</v>
      </c>
      <c r="D1170" s="10">
        <v>-3.6466985E-2</v>
      </c>
      <c r="E1170" s="10">
        <v>-7.0171410000000004E-2</v>
      </c>
      <c r="F1170" s="10">
        <v>7.1338791999999998E-2</v>
      </c>
      <c r="G1170" s="10">
        <v>-1.1667565040000001</v>
      </c>
      <c r="H1170" s="9">
        <v>-0.30051402649999998</v>
      </c>
      <c r="I1170" s="10">
        <v>0.58064019540294198</v>
      </c>
      <c r="J1170" s="10">
        <v>0.337143036517567</v>
      </c>
      <c r="K1170" s="10">
        <v>-0.33430062399999999</v>
      </c>
      <c r="L1170" s="10">
        <v>-0.22065391500000001</v>
      </c>
      <c r="M1170" s="10">
        <v>-0.13036192299999999</v>
      </c>
      <c r="N1170" s="10">
        <v>-0.48679035599999998</v>
      </c>
      <c r="O1170" s="9">
        <v>-0.29302670450000001</v>
      </c>
      <c r="P1170" s="10">
        <v>0.153780732293266</v>
      </c>
      <c r="Q1170" s="10">
        <v>2.3648513624653301E-2</v>
      </c>
    </row>
    <row r="1171" spans="1:17" x14ac:dyDescent="0.2">
      <c r="A1171" s="10">
        <v>1832</v>
      </c>
      <c r="B1171" s="10" t="s">
        <v>2814</v>
      </c>
      <c r="C1171" s="9" t="s">
        <v>1840</v>
      </c>
      <c r="D1171" s="10">
        <v>-0.59490364600000001</v>
      </c>
      <c r="E1171" s="10">
        <v>-0.93467821699999998</v>
      </c>
      <c r="F1171" s="10">
        <v>-0.80112399400000001</v>
      </c>
      <c r="G1171" s="10">
        <v>-0.90713941399999998</v>
      </c>
      <c r="H1171" s="9">
        <v>-0.80946131774999996</v>
      </c>
      <c r="I1171" s="10">
        <v>0.15419121010280401</v>
      </c>
      <c r="J1171" s="10">
        <v>2.3774929272967298E-2</v>
      </c>
      <c r="K1171" s="10">
        <v>-0.54163053100000003</v>
      </c>
      <c r="L1171" s="10">
        <v>-0.30268745899999999</v>
      </c>
      <c r="M1171" s="10">
        <v>-0.34560839300000001</v>
      </c>
      <c r="N1171" s="10">
        <v>-8.398796E-2</v>
      </c>
      <c r="O1171" s="9">
        <v>-0.31847858574999999</v>
      </c>
      <c r="P1171" s="10">
        <v>0.187765838532059</v>
      </c>
      <c r="Q1171" s="10">
        <v>3.52560101196474E-2</v>
      </c>
    </row>
    <row r="1172" spans="1:17" x14ac:dyDescent="0.2">
      <c r="A1172" s="10">
        <v>1832</v>
      </c>
      <c r="B1172" s="10" t="s">
        <v>2833</v>
      </c>
      <c r="C1172" s="9" t="s">
        <v>1841</v>
      </c>
      <c r="D1172" s="10">
        <v>8.8456394999999993E-2</v>
      </c>
      <c r="E1172" s="10">
        <v>-0.17795908099999999</v>
      </c>
      <c r="F1172" s="10">
        <v>0.206463269</v>
      </c>
      <c r="G1172" s="10">
        <v>0.67129763799999997</v>
      </c>
      <c r="H1172" s="9">
        <v>0.19706455525</v>
      </c>
      <c r="I1172" s="10">
        <v>0.354694146560941</v>
      </c>
      <c r="J1172" s="10">
        <v>0.12580793760459399</v>
      </c>
      <c r="K1172" s="10">
        <v>0.27677158400000001</v>
      </c>
      <c r="L1172" s="10">
        <v>0.18753435600000001</v>
      </c>
      <c r="M1172" s="10">
        <v>8.1557553000000005E-2</v>
      </c>
      <c r="N1172" s="10">
        <v>0.36581009599999997</v>
      </c>
      <c r="O1172" s="9">
        <v>0.22791839724999999</v>
      </c>
      <c r="P1172" s="10">
        <v>0.12172800548359899</v>
      </c>
      <c r="Q1172" s="10">
        <v>1.48177073190151E-2</v>
      </c>
    </row>
    <row r="1173" spans="1:17" x14ac:dyDescent="0.2">
      <c r="A1173" s="10">
        <v>1832</v>
      </c>
      <c r="B1173" s="10" t="s">
        <v>2825</v>
      </c>
      <c r="C1173" s="9" t="s">
        <v>1842</v>
      </c>
      <c r="D1173" s="10">
        <v>3.2877796000000001E-2</v>
      </c>
      <c r="E1173" s="10">
        <v>1.4836911E-2</v>
      </c>
      <c r="F1173" s="10">
        <v>-6.8599927000000005E-2</v>
      </c>
      <c r="G1173" s="10">
        <v>8.6855930999999997E-2</v>
      </c>
      <c r="H1173" s="9">
        <v>1.649267775E-2</v>
      </c>
      <c r="I1173" s="10">
        <v>6.4453995104157405E-2</v>
      </c>
      <c r="J1173" s="10">
        <v>4.1543174848866996E-3</v>
      </c>
      <c r="K1173" s="10">
        <v>0.46351624699999999</v>
      </c>
      <c r="L1173" s="10">
        <v>-0.18784635</v>
      </c>
      <c r="M1173" s="10">
        <v>0.31704373800000002</v>
      </c>
      <c r="N1173" s="10">
        <v>0.18870356699999999</v>
      </c>
      <c r="O1173" s="9">
        <v>0.19535430049999999</v>
      </c>
      <c r="P1173" s="10">
        <v>0.27904964883776801</v>
      </c>
      <c r="Q1173" s="10">
        <v>7.7868706516482103E-2</v>
      </c>
    </row>
    <row r="1174" spans="1:17" x14ac:dyDescent="0.2">
      <c r="A1174" s="10">
        <v>1832</v>
      </c>
      <c r="B1174" s="10" t="s">
        <v>74</v>
      </c>
      <c r="C1174" s="9" t="s">
        <v>2180</v>
      </c>
      <c r="D1174" s="10">
        <v>0.10752281599999999</v>
      </c>
      <c r="E1174" s="10">
        <v>-2.2909079999999999E-3</v>
      </c>
      <c r="F1174" s="10">
        <v>-0.261086657</v>
      </c>
      <c r="G1174" s="10">
        <v>-8.4941979999999997E-3</v>
      </c>
      <c r="H1174" s="9">
        <v>-4.1087236999999999E-2</v>
      </c>
      <c r="I1174" s="10">
        <v>0.15604716593403301</v>
      </c>
      <c r="J1174" s="10">
        <v>2.4350717996043599E-2</v>
      </c>
      <c r="K1174" s="10">
        <v>-5.2880004000000001E-2</v>
      </c>
      <c r="L1174" s="10">
        <v>0.45725858699999999</v>
      </c>
      <c r="M1174" s="10">
        <v>-0.464421959</v>
      </c>
      <c r="N1174" s="10">
        <v>0.210599281</v>
      </c>
      <c r="O1174" s="9">
        <v>3.7638976249999997E-2</v>
      </c>
      <c r="P1174" s="10">
        <v>0.39423121525098198</v>
      </c>
      <c r="Q1174" s="10">
        <v>0.15541825107826601</v>
      </c>
    </row>
    <row r="1175" spans="1:17" x14ac:dyDescent="0.2">
      <c r="A1175" s="10">
        <v>1832</v>
      </c>
      <c r="B1175" s="10" t="s">
        <v>2835</v>
      </c>
      <c r="C1175" s="9" t="s">
        <v>2179</v>
      </c>
      <c r="D1175" s="10">
        <v>-1.3754007800000001</v>
      </c>
      <c r="E1175" s="10">
        <v>-0.93875058300000003</v>
      </c>
      <c r="F1175" s="10">
        <v>-1.1638898639999999</v>
      </c>
      <c r="G1175" s="10">
        <v>-1.266120675</v>
      </c>
      <c r="H1175" s="9">
        <v>-1.1860404755</v>
      </c>
      <c r="I1175" s="10">
        <v>0.186112066414099</v>
      </c>
      <c r="J1175" s="10">
        <v>3.4637701264925998E-2</v>
      </c>
      <c r="K1175" s="10">
        <v>-0.66042980200000001</v>
      </c>
      <c r="L1175" s="10">
        <v>-0.18713106099999999</v>
      </c>
      <c r="M1175" s="10">
        <v>-0.18468936</v>
      </c>
      <c r="N1175" s="10">
        <v>-0.21590649100000001</v>
      </c>
      <c r="O1175" s="9">
        <v>-0.31203917850000001</v>
      </c>
      <c r="P1175" s="10">
        <v>0.23269259710189</v>
      </c>
      <c r="Q1175" s="10">
        <v>5.41458447460227E-2</v>
      </c>
    </row>
    <row r="1176" spans="1:17" x14ac:dyDescent="0.2">
      <c r="A1176" s="10">
        <v>1833</v>
      </c>
      <c r="B1176" s="10" t="s">
        <v>2831</v>
      </c>
      <c r="C1176" s="9" t="s">
        <v>1844</v>
      </c>
      <c r="D1176" s="10">
        <v>-1.580384225</v>
      </c>
      <c r="E1176" s="10">
        <v>-1.532766372</v>
      </c>
      <c r="F1176" s="10">
        <v>-1.0073931789999999</v>
      </c>
      <c r="G1176" s="10">
        <v>-1.6299859619999999</v>
      </c>
      <c r="H1176" s="9">
        <v>-1.4376324345</v>
      </c>
      <c r="I1176" s="10">
        <v>0.28955957145873401</v>
      </c>
      <c r="J1176" s="10">
        <v>8.3844745423365702E-2</v>
      </c>
      <c r="K1176" s="10">
        <v>-0.23529833999999999</v>
      </c>
      <c r="L1176" s="10">
        <v>0.14171576799999999</v>
      </c>
      <c r="M1176" s="10">
        <v>-0.45363895700000001</v>
      </c>
      <c r="N1176" s="10">
        <v>-6.1242199999999997E-3</v>
      </c>
      <c r="O1176" s="9">
        <v>-0.13833643700000001</v>
      </c>
      <c r="P1176" s="10">
        <v>0.26123207919469399</v>
      </c>
      <c r="Q1176" s="10">
        <v>6.8242199200382894E-2</v>
      </c>
    </row>
    <row r="1177" spans="1:17" x14ac:dyDescent="0.2">
      <c r="A1177" s="10">
        <v>1833</v>
      </c>
      <c r="B1177" s="10" t="s">
        <v>2822</v>
      </c>
      <c r="C1177" s="9" t="s">
        <v>1845</v>
      </c>
      <c r="D1177" s="10">
        <v>-7.0525008E-2</v>
      </c>
      <c r="E1177" s="10">
        <v>-5.6366407E-2</v>
      </c>
      <c r="F1177" s="10">
        <v>-0.29277077499999998</v>
      </c>
      <c r="G1177" s="10">
        <v>-0.46050181499999998</v>
      </c>
      <c r="H1177" s="9">
        <v>-0.22004100125000001</v>
      </c>
      <c r="I1177" s="10">
        <v>0.19343855870316501</v>
      </c>
      <c r="J1177" s="10">
        <v>3.7418475993158097E-2</v>
      </c>
      <c r="K1177" s="10">
        <v>0.25747735500000002</v>
      </c>
      <c r="L1177" s="10">
        <v>0.176332661</v>
      </c>
      <c r="M1177" s="10">
        <v>1.70046E-3</v>
      </c>
      <c r="N1177" s="10">
        <v>0.24557068100000001</v>
      </c>
      <c r="O1177" s="9">
        <v>0.17027028925000001</v>
      </c>
      <c r="P1177" s="10">
        <v>0.117937498982918</v>
      </c>
      <c r="Q1177" s="10">
        <v>1.39092536663458E-2</v>
      </c>
    </row>
    <row r="1178" spans="1:17" x14ac:dyDescent="0.2">
      <c r="A1178" s="10">
        <v>1833</v>
      </c>
      <c r="B1178" s="10" t="s">
        <v>2819</v>
      </c>
      <c r="C1178" s="9" t="s">
        <v>1847</v>
      </c>
      <c r="D1178" s="10">
        <v>-1.485268941</v>
      </c>
      <c r="E1178" s="10">
        <v>-1.82847187</v>
      </c>
      <c r="F1178" s="10">
        <v>-1.739839264</v>
      </c>
      <c r="G1178" s="10">
        <v>-1.6583062710000001</v>
      </c>
      <c r="H1178" s="9">
        <v>-1.67797158675</v>
      </c>
      <c r="I1178" s="10">
        <v>0.146058183690881</v>
      </c>
      <c r="J1178" s="10">
        <v>2.13329930230792E-2</v>
      </c>
      <c r="K1178" s="10">
        <v>-0.97213704700000003</v>
      </c>
      <c r="L1178" s="10">
        <v>-1.128630072</v>
      </c>
      <c r="M1178" s="10">
        <v>-0.223768736</v>
      </c>
      <c r="N1178" s="10">
        <v>-0.326124466</v>
      </c>
      <c r="O1178" s="9">
        <v>-0.66266508049999995</v>
      </c>
      <c r="P1178" s="10">
        <v>0.45416071229484101</v>
      </c>
      <c r="Q1178" s="10">
        <v>0.20626195259215699</v>
      </c>
    </row>
    <row r="1179" spans="1:17" x14ac:dyDescent="0.2">
      <c r="A1179" s="10">
        <v>1833</v>
      </c>
      <c r="B1179" s="10" t="s">
        <v>2820</v>
      </c>
      <c r="C1179" s="9" t="s">
        <v>2591</v>
      </c>
      <c r="D1179" s="10">
        <v>-0.50977037000000003</v>
      </c>
      <c r="E1179" s="10">
        <v>-1.008119424</v>
      </c>
      <c r="F1179" s="10">
        <v>-1.2883460799999999</v>
      </c>
      <c r="G1179" s="10">
        <v>-1.3222483460000001</v>
      </c>
      <c r="H1179" s="9">
        <v>-1.032121055</v>
      </c>
      <c r="I1179" s="10">
        <v>0.37561124620626801</v>
      </c>
      <c r="J1179" s="10">
        <v>0.141083808276626</v>
      </c>
      <c r="K1179" s="10">
        <v>0.38324208100000001</v>
      </c>
      <c r="L1179" s="10">
        <v>-0.29593918200000002</v>
      </c>
      <c r="M1179" s="10">
        <v>-0.85184582099999995</v>
      </c>
      <c r="N1179" s="10">
        <v>-0.89722345400000003</v>
      </c>
      <c r="O1179" s="9">
        <v>-0.41544159400000003</v>
      </c>
      <c r="P1179" s="10">
        <v>0.598536785044397</v>
      </c>
      <c r="Q1179" s="10">
        <v>0.35824628305128298</v>
      </c>
    </row>
    <row r="1180" spans="1:17" x14ac:dyDescent="0.2">
      <c r="A1180" s="10">
        <v>1833</v>
      </c>
      <c r="B1180" s="10" t="s">
        <v>2824</v>
      </c>
      <c r="C1180" s="9" t="s">
        <v>1850</v>
      </c>
      <c r="D1180" s="10">
        <v>4.2800972999999999E-2</v>
      </c>
      <c r="E1180" s="10">
        <v>-0.72056279199999995</v>
      </c>
      <c r="F1180" s="10">
        <v>-0.53889086500000005</v>
      </c>
      <c r="G1180" s="10">
        <v>-3.2811158E-2</v>
      </c>
      <c r="H1180" s="9">
        <v>-0.31236596025000002</v>
      </c>
      <c r="I1180" s="10">
        <v>0.375158910266916</v>
      </c>
      <c r="J1180" s="10">
        <v>0.14074420795265999</v>
      </c>
      <c r="K1180" s="10">
        <v>-0.52576248000000003</v>
      </c>
      <c r="L1180" s="10">
        <v>-0.48138268699999998</v>
      </c>
      <c r="M1180" s="10">
        <v>-0.40661103399999998</v>
      </c>
      <c r="N1180" s="10">
        <v>-0.546402108</v>
      </c>
      <c r="O1180" s="9">
        <v>-0.49003957725000002</v>
      </c>
      <c r="P1180" s="10">
        <v>6.1881941983770797E-2</v>
      </c>
      <c r="Q1180" s="10">
        <v>3.8293747436827E-3</v>
      </c>
    </row>
    <row r="1181" spans="1:17" x14ac:dyDescent="0.2">
      <c r="A1181" s="10">
        <v>1833</v>
      </c>
      <c r="B1181" s="10" t="s">
        <v>2825</v>
      </c>
      <c r="C1181" s="9" t="s">
        <v>1853</v>
      </c>
      <c r="D1181" s="10">
        <v>-0.649727787</v>
      </c>
      <c r="E1181" s="10">
        <v>-0.81279085699999998</v>
      </c>
      <c r="F1181" s="10">
        <v>-0.515131385</v>
      </c>
      <c r="G1181" s="10">
        <v>-0.52153694799999994</v>
      </c>
      <c r="H1181" s="9">
        <v>-0.62479674424999998</v>
      </c>
      <c r="I1181" s="10">
        <v>0.139824198981298</v>
      </c>
      <c r="J1181" s="10">
        <v>1.9550806620761699E-2</v>
      </c>
      <c r="K1181" s="10">
        <v>0.57930959400000004</v>
      </c>
      <c r="L1181" s="10">
        <v>-0.23221757200000001</v>
      </c>
      <c r="M1181" s="10">
        <v>0.117229901</v>
      </c>
      <c r="N1181" s="10">
        <v>0.56077961899999995</v>
      </c>
      <c r="O1181" s="9">
        <v>0.25627538524999999</v>
      </c>
      <c r="P1181" s="10">
        <v>0.38945814681750701</v>
      </c>
      <c r="Q1181" s="10">
        <v>0.15167764812252599</v>
      </c>
    </row>
    <row r="1182" spans="1:17" x14ac:dyDescent="0.2">
      <c r="A1182" s="10">
        <v>1833</v>
      </c>
      <c r="B1182" s="10" t="s">
        <v>74</v>
      </c>
      <c r="C1182" s="9" t="s">
        <v>1854</v>
      </c>
      <c r="D1182" s="10">
        <v>-0.39157143300000002</v>
      </c>
      <c r="E1182" s="10">
        <v>-0.47017816099999998</v>
      </c>
      <c r="F1182" s="10">
        <v>-0.52985639900000003</v>
      </c>
      <c r="G1182" s="10">
        <v>-0.23050585500000001</v>
      </c>
      <c r="H1182" s="9">
        <v>-0.40552796200000002</v>
      </c>
      <c r="I1182" s="10">
        <v>0.129698022495911</v>
      </c>
      <c r="J1182" s="10">
        <v>1.6821577039349899E-2</v>
      </c>
      <c r="K1182" s="10">
        <v>0.28668144200000001</v>
      </c>
      <c r="L1182" s="10">
        <v>5.1850791E-2</v>
      </c>
      <c r="M1182" s="10">
        <v>-8.7515145000000003E-2</v>
      </c>
      <c r="N1182" s="10">
        <v>0.174506731</v>
      </c>
      <c r="O1182" s="9">
        <v>0.10638095475000001</v>
      </c>
      <c r="P1182" s="10">
        <v>0.16095405488225101</v>
      </c>
      <c r="Q1182" s="10">
        <v>2.59062077830387E-2</v>
      </c>
    </row>
    <row r="1183" spans="1:17" x14ac:dyDescent="0.2">
      <c r="A1183" s="10">
        <v>1833</v>
      </c>
      <c r="B1183" s="10" t="s">
        <v>2818</v>
      </c>
      <c r="C1183" s="9" t="s">
        <v>1855</v>
      </c>
      <c r="D1183" s="10">
        <v>-0.37659878000000002</v>
      </c>
      <c r="E1183" s="10">
        <v>-0.85519681199999997</v>
      </c>
      <c r="F1183" s="10">
        <v>-1.414464728</v>
      </c>
      <c r="G1183" s="10">
        <v>-0.69985076199999996</v>
      </c>
      <c r="H1183" s="9">
        <v>-0.83652777074999995</v>
      </c>
      <c r="I1183" s="10">
        <v>0.433810611868721</v>
      </c>
      <c r="J1183" s="10">
        <v>0.188191646969914</v>
      </c>
      <c r="K1183" s="10">
        <v>-0.56698431900000001</v>
      </c>
      <c r="L1183" s="10">
        <v>-0.70087908700000001</v>
      </c>
      <c r="M1183" s="10">
        <v>-0.42206152600000002</v>
      </c>
      <c r="N1183" s="10">
        <v>-1.1014354120000001</v>
      </c>
      <c r="O1183" s="9">
        <v>-0.69784008600000003</v>
      </c>
      <c r="P1183" s="10">
        <v>0.29216175235016401</v>
      </c>
      <c r="Q1183" s="10">
        <v>8.5358489536318694E-2</v>
      </c>
    </row>
    <row r="1184" spans="1:17" x14ac:dyDescent="0.2">
      <c r="A1184" s="10">
        <v>1833</v>
      </c>
      <c r="B1184" s="10" t="s">
        <v>2835</v>
      </c>
      <c r="C1184" s="9" t="s">
        <v>1856</v>
      </c>
      <c r="D1184" s="10">
        <v>-1.003793173</v>
      </c>
      <c r="E1184" s="10">
        <v>-0.84567684600000004</v>
      </c>
      <c r="F1184" s="10">
        <v>-1.0673492979999999</v>
      </c>
      <c r="G1184" s="10">
        <v>-1.3095207019999999</v>
      </c>
      <c r="H1184" s="9">
        <v>-1.0565850047500001</v>
      </c>
      <c r="I1184" s="10">
        <v>0.19266686783093601</v>
      </c>
      <c r="J1184" s="10">
        <v>3.7120521959783701E-2</v>
      </c>
      <c r="K1184" s="10">
        <v>-0.107649958</v>
      </c>
      <c r="L1184" s="10">
        <v>-4.5498971999999999E-2</v>
      </c>
      <c r="M1184" s="10">
        <v>-0.18170017699999999</v>
      </c>
      <c r="N1184" s="10">
        <v>1.6432627000000002E-2</v>
      </c>
      <c r="O1184" s="9">
        <v>-7.9604119749999994E-2</v>
      </c>
      <c r="P1184" s="10">
        <v>8.4845726230049198E-2</v>
      </c>
      <c r="Q1184" s="10">
        <v>7.1987972595043996E-3</v>
      </c>
    </row>
    <row r="1185" spans="1:17" x14ac:dyDescent="0.2">
      <c r="A1185" s="10">
        <v>1834</v>
      </c>
      <c r="B1185" s="10" t="s">
        <v>2822</v>
      </c>
      <c r="C1185" s="9" t="s">
        <v>1858</v>
      </c>
      <c r="D1185" s="10">
        <v>-0.37554599500000002</v>
      </c>
      <c r="E1185" s="10">
        <v>-0.97847717400000001</v>
      </c>
      <c r="F1185" s="10">
        <v>-0.11339724599999999</v>
      </c>
      <c r="G1185" s="10">
        <v>-0.57133646000000005</v>
      </c>
      <c r="H1185" s="9">
        <v>-0.50968921874999995</v>
      </c>
      <c r="I1185" s="10">
        <v>0.36451075040632203</v>
      </c>
      <c r="J1185" s="10">
        <v>0.13286808716178</v>
      </c>
      <c r="K1185" s="10">
        <v>-0.187639424</v>
      </c>
      <c r="L1185" s="10">
        <v>-0.14774680100000001</v>
      </c>
      <c r="M1185" s="10">
        <v>-0.45426270600000002</v>
      </c>
      <c r="N1185" s="10">
        <v>-3.9633111999999998E-2</v>
      </c>
      <c r="O1185" s="9">
        <v>-0.20732051100000001</v>
      </c>
      <c r="P1185" s="10">
        <v>0.17610213283155501</v>
      </c>
      <c r="Q1185" s="10">
        <v>3.1011961187822901E-2</v>
      </c>
    </row>
    <row r="1186" spans="1:17" x14ac:dyDescent="0.2">
      <c r="A1186" s="10">
        <v>1834</v>
      </c>
      <c r="B1186" s="10" t="s">
        <v>2820</v>
      </c>
      <c r="C1186" s="9" t="s">
        <v>1865</v>
      </c>
      <c r="D1186" s="10">
        <v>-0.53524982799999998</v>
      </c>
      <c r="E1186" s="10">
        <v>-0.94761167499999999</v>
      </c>
      <c r="F1186" s="10">
        <v>-0.44813160299999999</v>
      </c>
      <c r="G1186" s="10">
        <v>-0.49731718499999999</v>
      </c>
      <c r="H1186" s="9">
        <v>-0.60707757274999996</v>
      </c>
      <c r="I1186" s="10">
        <v>0.22980706671023099</v>
      </c>
      <c r="J1186" s="10">
        <v>5.2811287909960897E-2</v>
      </c>
      <c r="K1186" s="10">
        <v>-1.0594686129999999</v>
      </c>
      <c r="L1186" s="10">
        <v>-0.234951887</v>
      </c>
      <c r="M1186" s="10">
        <v>0.16074696099999999</v>
      </c>
      <c r="N1186" s="10">
        <v>-0.427014436</v>
      </c>
      <c r="O1186" s="9">
        <v>-0.39017199375</v>
      </c>
      <c r="P1186" s="10">
        <v>0.50889432640209797</v>
      </c>
      <c r="Q1186" s="10">
        <v>0.258973435444245</v>
      </c>
    </row>
    <row r="1187" spans="1:17" x14ac:dyDescent="0.2">
      <c r="A1187" s="10">
        <v>1834</v>
      </c>
      <c r="B1187" s="10" t="s">
        <v>2825</v>
      </c>
      <c r="C1187" s="9" t="s">
        <v>2175</v>
      </c>
      <c r="D1187" s="10">
        <v>-2.4049874999999998E-2</v>
      </c>
      <c r="E1187" s="10">
        <v>-6.0466370999999998E-2</v>
      </c>
      <c r="F1187" s="10">
        <v>-0.65146662899999996</v>
      </c>
      <c r="G1187" s="10">
        <v>7.4980158000000005E-2</v>
      </c>
      <c r="H1187" s="9">
        <v>-0.16525067925</v>
      </c>
      <c r="I1187" s="10">
        <v>0.329157623504509</v>
      </c>
      <c r="J1187" s="10">
        <v>0.108344741111136</v>
      </c>
      <c r="K1187" s="10">
        <v>-0.46490572299999999</v>
      </c>
      <c r="L1187" s="10">
        <v>3.8136234999999997E-2</v>
      </c>
      <c r="M1187" s="10">
        <v>0.16578691700000001</v>
      </c>
      <c r="N1187" s="10">
        <v>0.193843077</v>
      </c>
      <c r="O1187" s="9">
        <v>-1.6784873499999999E-2</v>
      </c>
      <c r="P1187" s="10">
        <v>0.30633598990524302</v>
      </c>
      <c r="Q1187" s="10">
        <v>9.3841738711225503E-2</v>
      </c>
    </row>
    <row r="1188" spans="1:17" x14ac:dyDescent="0.2">
      <c r="A1188" s="10">
        <v>1834</v>
      </c>
      <c r="B1188" s="10" t="s">
        <v>74</v>
      </c>
      <c r="C1188" s="9" t="s">
        <v>1870</v>
      </c>
      <c r="D1188" s="10">
        <v>-2.3459364999999999E-2</v>
      </c>
      <c r="E1188" s="10">
        <v>-0.43106446599999998</v>
      </c>
      <c r="F1188" s="10">
        <v>-4.6266390999999997E-2</v>
      </c>
      <c r="G1188" s="10">
        <v>3.6934874999999999E-2</v>
      </c>
      <c r="H1188" s="9">
        <v>-0.11596383674999999</v>
      </c>
      <c r="I1188" s="10">
        <v>0.21297983773616999</v>
      </c>
      <c r="J1188" s="10">
        <v>4.5360411282125403E-2</v>
      </c>
      <c r="K1188" s="10">
        <v>-0.83980332400000002</v>
      </c>
      <c r="L1188" s="10">
        <v>-0.32883504200000002</v>
      </c>
      <c r="M1188" s="10">
        <v>-0.65524910000000003</v>
      </c>
      <c r="N1188" s="10">
        <v>-0.39113536399999999</v>
      </c>
      <c r="O1188" s="9">
        <v>-0.55375570750000003</v>
      </c>
      <c r="P1188" s="10">
        <v>0.23745794681410501</v>
      </c>
      <c r="Q1188" s="10">
        <v>5.63862765051703E-2</v>
      </c>
    </row>
    <row r="1189" spans="1:17" x14ac:dyDescent="0.2">
      <c r="A1189" s="10">
        <v>1835</v>
      </c>
      <c r="B1189" s="10" t="s">
        <v>96</v>
      </c>
      <c r="C1189" s="9" t="s">
        <v>1873</v>
      </c>
      <c r="D1189" s="10">
        <v>-0.43566576800000001</v>
      </c>
      <c r="E1189" s="10">
        <v>-0.10138124499999999</v>
      </c>
      <c r="F1189" s="10">
        <v>-0.19742220999999999</v>
      </c>
      <c r="G1189" s="10">
        <v>-0.55673087200000004</v>
      </c>
      <c r="H1189" s="9">
        <v>-0.32280002375</v>
      </c>
      <c r="I1189" s="10">
        <v>0.20992712207806899</v>
      </c>
      <c r="J1189" s="10">
        <v>4.4069396583980701E-2</v>
      </c>
      <c r="K1189" s="10">
        <v>-3.8029160999999999E-2</v>
      </c>
      <c r="L1189" s="10">
        <v>3.7630958999999999E-2</v>
      </c>
      <c r="M1189" s="10">
        <v>0.32163199999999997</v>
      </c>
      <c r="N1189" s="10">
        <v>6.1281118000000002E-2</v>
      </c>
      <c r="O1189" s="9">
        <v>9.5628728750000003E-2</v>
      </c>
      <c r="P1189" s="10">
        <v>0.15650922205877801</v>
      </c>
      <c r="Q1189" s="10">
        <v>2.4495136589443901E-2</v>
      </c>
    </row>
    <row r="1190" spans="1:17" x14ac:dyDescent="0.2">
      <c r="A1190" s="10">
        <v>1835</v>
      </c>
      <c r="B1190" s="10" t="s">
        <v>2821</v>
      </c>
      <c r="C1190" s="9" t="s">
        <v>2174</v>
      </c>
      <c r="D1190" s="10">
        <v>-0.75643453199999999</v>
      </c>
      <c r="E1190" s="10">
        <v>-0.98709972099999999</v>
      </c>
      <c r="F1190" s="10">
        <v>7.3295139999999996E-3</v>
      </c>
      <c r="G1190" s="10">
        <v>-0.57716731399999999</v>
      </c>
      <c r="H1190" s="9">
        <v>-0.57834301349999995</v>
      </c>
      <c r="I1190" s="10">
        <v>0.42497542149534101</v>
      </c>
      <c r="J1190" s="10">
        <v>0.180604108875143</v>
      </c>
      <c r="K1190" s="10">
        <v>-0.39871393999999999</v>
      </c>
      <c r="L1190" s="10">
        <v>-0.438558736</v>
      </c>
      <c r="M1190" s="10">
        <v>-0.203265793</v>
      </c>
      <c r="N1190" s="10">
        <v>-0.81283483899999998</v>
      </c>
      <c r="O1190" s="9">
        <v>-0.46334332700000003</v>
      </c>
      <c r="P1190" s="10">
        <v>0.25467356508977002</v>
      </c>
      <c r="Q1190" s="10">
        <v>6.4858624755533403E-2</v>
      </c>
    </row>
    <row r="1191" spans="1:17" x14ac:dyDescent="0.2">
      <c r="A1191" s="10">
        <v>1835</v>
      </c>
      <c r="B1191" s="10" t="s">
        <v>2834</v>
      </c>
      <c r="C1191" s="9" t="s">
        <v>1874</v>
      </c>
      <c r="D1191" s="10">
        <v>-0.70769313300000003</v>
      </c>
      <c r="E1191" s="10">
        <v>-0.70941502899999997</v>
      </c>
      <c r="F1191" s="10">
        <v>-0.94385729200000001</v>
      </c>
      <c r="G1191" s="10">
        <v>-0.28598240899999999</v>
      </c>
      <c r="H1191" s="9">
        <v>-0.66173696574999996</v>
      </c>
      <c r="I1191" s="10">
        <v>0.27396382512135697</v>
      </c>
      <c r="J1191" s="10">
        <v>7.5056177475125399E-2</v>
      </c>
      <c r="K1191" s="10">
        <v>-0.43127020999999999</v>
      </c>
      <c r="L1191" s="10">
        <v>-0.39864390999999999</v>
      </c>
      <c r="M1191" s="10">
        <v>-0.56860863399999995</v>
      </c>
      <c r="N1191" s="10">
        <v>-0.77685372799999997</v>
      </c>
      <c r="O1191" s="9">
        <v>-0.54384412024999995</v>
      </c>
      <c r="P1191" s="10">
        <v>0.171913490619266</v>
      </c>
      <c r="Q1191" s="10">
        <v>2.95542482569006E-2</v>
      </c>
    </row>
    <row r="1192" spans="1:17" x14ac:dyDescent="0.2">
      <c r="A1192" s="10">
        <v>1835</v>
      </c>
      <c r="B1192" s="10" t="s">
        <v>2824</v>
      </c>
      <c r="C1192" s="9" t="s">
        <v>1877</v>
      </c>
      <c r="D1192" s="10">
        <v>-0.26461838799999998</v>
      </c>
      <c r="E1192" s="10">
        <v>-0.52753905099999998</v>
      </c>
      <c r="F1192" s="10">
        <v>-0.57164709400000002</v>
      </c>
      <c r="G1192" s="10">
        <v>-0.67995547700000003</v>
      </c>
      <c r="H1192" s="9">
        <v>-0.51094000250000005</v>
      </c>
      <c r="I1192" s="10">
        <v>0.17625875652937201</v>
      </c>
      <c r="J1192" s="10">
        <v>3.10671492532805E-2</v>
      </c>
      <c r="K1192" s="10">
        <v>-0.13512632099999999</v>
      </c>
      <c r="L1192" s="10">
        <v>-2.1981167999999999E-2</v>
      </c>
      <c r="M1192" s="10">
        <v>-6.8125050000000006E-2</v>
      </c>
      <c r="N1192" s="10">
        <v>-1.6260472000000002E-2</v>
      </c>
      <c r="O1192" s="9">
        <v>-6.0373252500000002E-2</v>
      </c>
      <c r="P1192" s="10">
        <v>5.4978787334580198E-2</v>
      </c>
      <c r="Q1192" s="10">
        <v>3.0226670567810002E-3</v>
      </c>
    </row>
    <row r="1193" spans="1:17" x14ac:dyDescent="0.2">
      <c r="A1193" s="10">
        <v>1835</v>
      </c>
      <c r="B1193" s="10" t="s">
        <v>2814</v>
      </c>
      <c r="C1193" s="9" t="s">
        <v>1879</v>
      </c>
      <c r="D1193" s="10">
        <v>-0.542876888</v>
      </c>
      <c r="E1193" s="10">
        <v>-0.51550629000000003</v>
      </c>
      <c r="F1193" s="10">
        <v>-0.17073439200000001</v>
      </c>
      <c r="G1193" s="10">
        <v>-0.54064337299999998</v>
      </c>
      <c r="H1193" s="9">
        <v>-0.44244023575000002</v>
      </c>
      <c r="I1193" s="10">
        <v>0.181561827019974</v>
      </c>
      <c r="J1193" s="10">
        <v>3.2964697030830999E-2</v>
      </c>
      <c r="K1193" s="10">
        <v>-7.7487475E-2</v>
      </c>
      <c r="L1193" s="10">
        <v>-0.449453041</v>
      </c>
      <c r="M1193" s="10">
        <v>4.5486066999999998E-2</v>
      </c>
      <c r="N1193" s="10">
        <v>0.30714066800000001</v>
      </c>
      <c r="O1193" s="9">
        <v>-4.35784455E-2</v>
      </c>
      <c r="P1193" s="10">
        <v>0.314547502249929</v>
      </c>
      <c r="Q1193" s="10">
        <v>9.8940131171669596E-2</v>
      </c>
    </row>
    <row r="1194" spans="1:17" x14ac:dyDescent="0.2">
      <c r="A1194" s="10">
        <v>1835</v>
      </c>
      <c r="B1194" s="10" t="s">
        <v>2833</v>
      </c>
      <c r="C1194" s="9" t="s">
        <v>42</v>
      </c>
      <c r="D1194" s="10">
        <v>-0.97593169400000002</v>
      </c>
      <c r="E1194" s="10">
        <v>-0.90345953700000003</v>
      </c>
      <c r="F1194" s="10">
        <v>-0.94344400399999995</v>
      </c>
      <c r="G1194" s="10">
        <v>-0.40170124099999999</v>
      </c>
      <c r="H1194" s="9">
        <v>-0.80613411899999998</v>
      </c>
      <c r="I1194" s="10">
        <v>0.27124614331564301</v>
      </c>
      <c r="J1194" s="10">
        <v>7.35744702636104E-2</v>
      </c>
      <c r="K1194" s="10">
        <v>-0.52185471000000005</v>
      </c>
      <c r="L1194" s="10">
        <v>-0.71433048600000004</v>
      </c>
      <c r="M1194" s="10">
        <v>-0.91450192200000002</v>
      </c>
      <c r="N1194" s="10">
        <v>-0.68222206699999999</v>
      </c>
      <c r="O1194" s="9">
        <v>-0.70822729625000003</v>
      </c>
      <c r="P1194" s="10">
        <v>0.16124255332395501</v>
      </c>
      <c r="Q1194" s="10">
        <v>2.5999161002428599E-2</v>
      </c>
    </row>
    <row r="1195" spans="1:17" x14ac:dyDescent="0.2">
      <c r="A1195" s="10">
        <v>1835</v>
      </c>
      <c r="B1195" s="10" t="s">
        <v>2835</v>
      </c>
      <c r="C1195" s="9" t="s">
        <v>1881</v>
      </c>
      <c r="D1195" s="10">
        <v>-0.54868272699999998</v>
      </c>
      <c r="E1195" s="10">
        <v>-0.67123348199999999</v>
      </c>
      <c r="F1195" s="10">
        <v>-5.8067568999999999E-2</v>
      </c>
      <c r="G1195" s="10">
        <v>-0.332969721</v>
      </c>
      <c r="H1195" s="9">
        <v>-0.40273837499999998</v>
      </c>
      <c r="I1195" s="10">
        <v>0.26898265492611301</v>
      </c>
      <c r="J1195" s="10">
        <v>7.2351668651100903E-2</v>
      </c>
      <c r="K1195" s="10">
        <v>-0.149781255</v>
      </c>
      <c r="L1195" s="10">
        <v>-1.3507374009999999</v>
      </c>
      <c r="M1195" s="10">
        <v>-0.63082043200000004</v>
      </c>
      <c r="N1195" s="10">
        <v>-3.3743262000000003E-2</v>
      </c>
      <c r="O1195" s="9">
        <v>-0.54127058750000001</v>
      </c>
      <c r="P1195" s="10">
        <v>0.59835986396100405</v>
      </c>
      <c r="Q1195" s="10">
        <v>0.35803452679943198</v>
      </c>
    </row>
    <row r="1196" spans="1:17" x14ac:dyDescent="0.2">
      <c r="A1196" s="10">
        <v>1836</v>
      </c>
      <c r="B1196" s="10" t="s">
        <v>2831</v>
      </c>
      <c r="C1196" s="9" t="s">
        <v>1882</v>
      </c>
      <c r="D1196" s="10">
        <v>-0.42633109800000002</v>
      </c>
      <c r="E1196" s="10">
        <v>-0.78108390599999999</v>
      </c>
      <c r="F1196" s="10">
        <v>-0.64270850300000004</v>
      </c>
      <c r="G1196" s="10">
        <v>-1.223453685</v>
      </c>
      <c r="H1196" s="9">
        <v>-0.76839429800000003</v>
      </c>
      <c r="I1196" s="10">
        <v>0.33667205789760801</v>
      </c>
      <c r="J1196" s="10">
        <v>0.11334807456901</v>
      </c>
      <c r="K1196" s="10">
        <v>-1.8835014000000001E-2</v>
      </c>
      <c r="L1196" s="10">
        <v>6.1159850000000002E-2</v>
      </c>
      <c r="M1196" s="10">
        <v>5.0584139E-2</v>
      </c>
      <c r="N1196" s="10">
        <v>0.49078276599999998</v>
      </c>
      <c r="O1196" s="9">
        <v>0.14592293525</v>
      </c>
      <c r="P1196" s="10">
        <v>0.23262828102467201</v>
      </c>
      <c r="Q1196" s="10">
        <v>5.4115917132494001E-2</v>
      </c>
    </row>
    <row r="1197" spans="1:17" x14ac:dyDescent="0.2">
      <c r="A1197" s="10">
        <v>1836</v>
      </c>
      <c r="B1197" s="10" t="s">
        <v>2823</v>
      </c>
      <c r="C1197" s="9" t="s">
        <v>1884</v>
      </c>
      <c r="D1197" s="10">
        <v>-1.8069096999999999E-2</v>
      </c>
      <c r="E1197" s="10">
        <v>0.265476928</v>
      </c>
      <c r="F1197" s="10">
        <v>-0.47293464699999999</v>
      </c>
      <c r="G1197" s="10">
        <v>-0.41690482200000001</v>
      </c>
      <c r="H1197" s="9">
        <v>-0.16060790899999999</v>
      </c>
      <c r="I1197" s="10">
        <v>0.348856083091933</v>
      </c>
      <c r="J1197" s="10">
        <v>0.121700566710246</v>
      </c>
      <c r="K1197" s="10">
        <v>-0.12544361200000001</v>
      </c>
      <c r="L1197" s="10">
        <v>0.400756891</v>
      </c>
      <c r="M1197" s="10">
        <v>0.17837455899999999</v>
      </c>
      <c r="N1197" s="10">
        <v>0.54698924800000004</v>
      </c>
      <c r="O1197" s="9">
        <v>0.250169272</v>
      </c>
      <c r="P1197" s="10">
        <v>0.29269907674964202</v>
      </c>
      <c r="Q1197" s="10">
        <v>8.5672749530093101E-2</v>
      </c>
    </row>
    <row r="1198" spans="1:17" x14ac:dyDescent="0.2">
      <c r="A1198" s="10">
        <v>1836</v>
      </c>
      <c r="B1198" s="10" t="s">
        <v>2821</v>
      </c>
      <c r="C1198" s="9" t="s">
        <v>1885</v>
      </c>
      <c r="D1198" s="10">
        <v>-7.3099898999999996E-2</v>
      </c>
      <c r="E1198" s="10">
        <v>0.30614596999999999</v>
      </c>
      <c r="F1198" s="10">
        <v>0.29919519500000002</v>
      </c>
      <c r="G1198" s="10">
        <v>-6.7058396000000006E-2</v>
      </c>
      <c r="H1198" s="9">
        <v>0.11629571775</v>
      </c>
      <c r="I1198" s="10">
        <v>0.215239996074825</v>
      </c>
      <c r="J1198" s="10">
        <v>4.6328255910290897E-2</v>
      </c>
      <c r="K1198" s="10">
        <v>0.39372760699999998</v>
      </c>
      <c r="L1198" s="10">
        <v>0.13811520399999999</v>
      </c>
      <c r="M1198" s="10">
        <v>0.43066884700000002</v>
      </c>
      <c r="N1198" s="10">
        <v>0.20835361499999999</v>
      </c>
      <c r="O1198" s="9">
        <v>0.29271631799999998</v>
      </c>
      <c r="P1198" s="10">
        <v>0.14171891295853201</v>
      </c>
      <c r="Q1198" s="10">
        <v>2.0084250290148101E-2</v>
      </c>
    </row>
    <row r="1199" spans="1:17" x14ac:dyDescent="0.2">
      <c r="A1199" s="10">
        <v>1836</v>
      </c>
      <c r="B1199" s="10" t="s">
        <v>2814</v>
      </c>
      <c r="C1199" s="9" t="s">
        <v>1887</v>
      </c>
      <c r="D1199" s="10">
        <v>0.36462478300000001</v>
      </c>
      <c r="E1199" s="10">
        <v>-7.6896150000000003E-3</v>
      </c>
      <c r="F1199" s="10">
        <v>-0.14991215599999999</v>
      </c>
      <c r="G1199" s="10">
        <v>0.31233184400000003</v>
      </c>
      <c r="H1199" s="9">
        <v>0.12983871399999999</v>
      </c>
      <c r="I1199" s="10">
        <v>0.24873200520302799</v>
      </c>
      <c r="J1199" s="10">
        <v>6.1867610412319501E-2</v>
      </c>
      <c r="K1199" s="10">
        <v>0.42085119399999998</v>
      </c>
      <c r="L1199" s="10">
        <v>1.9487287999999998E-2</v>
      </c>
      <c r="M1199" s="10">
        <v>0.29110356999999998</v>
      </c>
      <c r="N1199" s="10">
        <v>0.254929038</v>
      </c>
      <c r="O1199" s="9">
        <v>0.2465927725</v>
      </c>
      <c r="P1199" s="10">
        <v>0.16732563359133301</v>
      </c>
      <c r="Q1199" s="10">
        <v>2.7997867656741199E-2</v>
      </c>
    </row>
    <row r="1200" spans="1:17" x14ac:dyDescent="0.2">
      <c r="A1200" s="10">
        <v>1836</v>
      </c>
      <c r="B1200" s="10" t="s">
        <v>2833</v>
      </c>
      <c r="C1200" s="9" t="s">
        <v>1888</v>
      </c>
      <c r="D1200" s="10">
        <v>3.0075229999999998E-3</v>
      </c>
      <c r="E1200" s="10">
        <v>-0.29583599700000002</v>
      </c>
      <c r="F1200" s="10">
        <v>-0.56131820799999999</v>
      </c>
      <c r="G1200" s="10">
        <v>-0.37568305200000002</v>
      </c>
      <c r="H1200" s="9">
        <v>-0.30745743349999999</v>
      </c>
      <c r="I1200" s="10">
        <v>0.23496352543201099</v>
      </c>
      <c r="J1200" s="10">
        <v>5.5207858283439201E-2</v>
      </c>
      <c r="K1200" s="10">
        <v>0.57858493799999999</v>
      </c>
      <c r="L1200" s="10">
        <v>0.30203532500000002</v>
      </c>
      <c r="M1200" s="10">
        <v>0.69935396500000002</v>
      </c>
      <c r="N1200" s="10">
        <v>0.56652334800000004</v>
      </c>
      <c r="O1200" s="9">
        <v>0.53662439399999995</v>
      </c>
      <c r="P1200" s="10">
        <v>0.167498835095651</v>
      </c>
      <c r="Q1200" s="10">
        <v>2.8055859758400199E-2</v>
      </c>
    </row>
    <row r="1201" spans="1:17" x14ac:dyDescent="0.2">
      <c r="A1201" s="10">
        <v>1836</v>
      </c>
      <c r="B1201" s="10" t="s">
        <v>2825</v>
      </c>
      <c r="C1201" s="9" t="s">
        <v>1889</v>
      </c>
      <c r="D1201" s="10">
        <v>-0.24314153499999999</v>
      </c>
      <c r="E1201" s="10">
        <v>0.15173901000000001</v>
      </c>
      <c r="F1201" s="10">
        <v>-0.29349656299999999</v>
      </c>
      <c r="G1201" s="10">
        <v>7.8062601999999995E-2</v>
      </c>
      <c r="H1201" s="9">
        <v>-7.6709121249999998E-2</v>
      </c>
      <c r="I1201" s="10">
        <v>0.22423156054738899</v>
      </c>
      <c r="J1201" s="10">
        <v>5.0279792745517499E-2</v>
      </c>
      <c r="K1201" s="10">
        <v>-0.10567292</v>
      </c>
      <c r="L1201" s="10">
        <v>1.8115778999999999E-2</v>
      </c>
      <c r="M1201" s="10">
        <v>-0.16823653499999999</v>
      </c>
      <c r="N1201" s="10">
        <v>-1.517732321</v>
      </c>
      <c r="O1201" s="9">
        <v>-0.44338149924999998</v>
      </c>
      <c r="P1201" s="10">
        <v>0.72040758414438399</v>
      </c>
      <c r="Q1201" s="10">
        <v>0.51898708729274801</v>
      </c>
    </row>
    <row r="1202" spans="1:17" x14ac:dyDescent="0.2">
      <c r="A1202" s="10">
        <v>1836</v>
      </c>
      <c r="B1202" s="10" t="s">
        <v>2830</v>
      </c>
      <c r="C1202" s="9" t="s">
        <v>1890</v>
      </c>
      <c r="D1202" s="10">
        <v>-0.52715157800000001</v>
      </c>
      <c r="E1202" s="10">
        <v>3.5765191000000002E-2</v>
      </c>
      <c r="F1202" s="10">
        <v>-0.154438982</v>
      </c>
      <c r="G1202" s="10">
        <v>-0.268413069</v>
      </c>
      <c r="H1202" s="9">
        <v>-0.22855960975</v>
      </c>
      <c r="I1202" s="10">
        <v>0.23530613355597099</v>
      </c>
      <c r="J1202" s="10">
        <v>5.5368976489060501E-2</v>
      </c>
      <c r="K1202" s="10">
        <v>-0.19708088900000001</v>
      </c>
      <c r="L1202" s="10">
        <v>-0.57875164099999998</v>
      </c>
      <c r="M1202" s="10">
        <v>6.2039582000000003E-2</v>
      </c>
      <c r="N1202" s="10">
        <v>8.5889996999999996E-2</v>
      </c>
      <c r="O1202" s="9">
        <v>-0.15697573749999999</v>
      </c>
      <c r="P1202" s="10">
        <v>0.30900637054921198</v>
      </c>
      <c r="Q1202" s="10">
        <v>9.5484937039996901E-2</v>
      </c>
    </row>
    <row r="1203" spans="1:17" x14ac:dyDescent="0.2">
      <c r="A1203" s="10">
        <v>1836</v>
      </c>
      <c r="B1203" s="10" t="s">
        <v>2832</v>
      </c>
      <c r="C1203" s="9" t="s">
        <v>1891</v>
      </c>
      <c r="D1203" s="10">
        <v>-7.7855511000000002E-2</v>
      </c>
      <c r="E1203" s="10">
        <v>-0.37350370799999999</v>
      </c>
      <c r="F1203" s="10">
        <v>-0.66953597899999995</v>
      </c>
      <c r="G1203" s="10">
        <v>-0.15552449800000001</v>
      </c>
      <c r="H1203" s="9">
        <v>-0.31910492400000001</v>
      </c>
      <c r="I1203" s="10">
        <v>0.26502892109621901</v>
      </c>
      <c r="J1203" s="10">
        <v>7.0240329017425898E-2</v>
      </c>
      <c r="K1203" s="10">
        <v>0.41522161099999999</v>
      </c>
      <c r="L1203" s="10">
        <v>-3.2616735000000001E-2</v>
      </c>
      <c r="M1203" s="10">
        <v>-9.1808340000000006E-3</v>
      </c>
      <c r="N1203" s="10">
        <v>0.14052527000000001</v>
      </c>
      <c r="O1203" s="9">
        <v>0.12848732800000001</v>
      </c>
      <c r="P1203" s="10">
        <v>0.20596804205077099</v>
      </c>
      <c r="Q1203" s="10">
        <v>4.2422834346228497E-2</v>
      </c>
    </row>
    <row r="1204" spans="1:17" x14ac:dyDescent="0.2">
      <c r="A1204" s="10">
        <v>1837</v>
      </c>
      <c r="B1204" s="10" t="s">
        <v>2822</v>
      </c>
      <c r="C1204" s="9" t="s">
        <v>1892</v>
      </c>
      <c r="D1204" s="10">
        <v>-0.78334950999999997</v>
      </c>
      <c r="E1204" s="10">
        <v>-1.7635116879999999</v>
      </c>
      <c r="F1204" s="10">
        <v>-0.96360068200000004</v>
      </c>
      <c r="G1204" s="10">
        <v>-0.75305353500000005</v>
      </c>
      <c r="H1204" s="9">
        <v>-1.0658788537499999</v>
      </c>
      <c r="I1204" s="10">
        <v>0.47428363734902101</v>
      </c>
      <c r="J1204" s="10">
        <v>0.22494496865701799</v>
      </c>
      <c r="K1204" s="10">
        <v>-0.73287435199999995</v>
      </c>
      <c r="L1204" s="10">
        <v>1.7455310000000002E-2</v>
      </c>
      <c r="M1204" s="10">
        <v>-9.1210676000000004E-2</v>
      </c>
      <c r="N1204" s="10">
        <v>-0.24963850500000001</v>
      </c>
      <c r="O1204" s="9">
        <v>-0.26406705575</v>
      </c>
      <c r="P1204" s="10">
        <v>0.331221292860092</v>
      </c>
      <c r="Q1204" s="10">
        <v>0.109707544843911</v>
      </c>
    </row>
    <row r="1205" spans="1:17" x14ac:dyDescent="0.2">
      <c r="A1205" s="10">
        <v>1837</v>
      </c>
      <c r="B1205" s="10" t="s">
        <v>2821</v>
      </c>
      <c r="C1205" s="9" t="s">
        <v>68</v>
      </c>
      <c r="D1205" s="10">
        <v>-0.46813272500000003</v>
      </c>
      <c r="E1205" s="10">
        <v>-0.56812569999999996</v>
      </c>
      <c r="F1205" s="10">
        <v>-1.19108149</v>
      </c>
      <c r="G1205" s="10">
        <v>-0.94955341199999999</v>
      </c>
      <c r="H1205" s="9">
        <v>-0.79422333150000002</v>
      </c>
      <c r="I1205" s="10">
        <v>0.33619391948377803</v>
      </c>
      <c r="J1205" s="10">
        <v>0.113026351497865</v>
      </c>
      <c r="K1205" s="10">
        <v>-0.15325003100000001</v>
      </c>
      <c r="L1205" s="10">
        <v>-0.20687143199999999</v>
      </c>
      <c r="M1205" s="10">
        <v>-4.5419042999999999E-2</v>
      </c>
      <c r="N1205" s="10">
        <v>0.168361539</v>
      </c>
      <c r="O1205" s="9">
        <v>-5.9294741749999998E-2</v>
      </c>
      <c r="P1205" s="10">
        <v>0.165958220710232</v>
      </c>
      <c r="Q1205" s="10">
        <v>2.7542131021306301E-2</v>
      </c>
    </row>
    <row r="1206" spans="1:17" x14ac:dyDescent="0.2">
      <c r="A1206" s="10">
        <v>1837</v>
      </c>
      <c r="B1206" s="10" t="s">
        <v>2824</v>
      </c>
      <c r="C1206" s="9" t="s">
        <v>1894</v>
      </c>
      <c r="D1206" s="10">
        <v>-0.91749973799999995</v>
      </c>
      <c r="E1206" s="10">
        <v>-1.2920920360000001</v>
      </c>
      <c r="F1206" s="10">
        <v>-0.93131597700000002</v>
      </c>
      <c r="G1206" s="10">
        <v>-0.87795229200000002</v>
      </c>
      <c r="H1206" s="9">
        <v>-1.00471501075</v>
      </c>
      <c r="I1206" s="10">
        <v>0.192914716444617</v>
      </c>
      <c r="J1206" s="10">
        <v>3.7216087820907101E-2</v>
      </c>
      <c r="K1206" s="10">
        <v>-0.29355324100000002</v>
      </c>
      <c r="L1206" s="10">
        <v>-0.52018581900000005</v>
      </c>
      <c r="M1206" s="10">
        <v>-0.13141966799999999</v>
      </c>
      <c r="N1206" s="10">
        <v>-7.7529740999999999E-2</v>
      </c>
      <c r="O1206" s="9">
        <v>-0.25567211699999998</v>
      </c>
      <c r="P1206" s="10">
        <v>0.198809670548384</v>
      </c>
      <c r="Q1206" s="10">
        <v>3.9525285103556997E-2</v>
      </c>
    </row>
    <row r="1207" spans="1:17" x14ac:dyDescent="0.2">
      <c r="A1207" s="10">
        <v>1837</v>
      </c>
      <c r="B1207" s="10" t="s">
        <v>2817</v>
      </c>
      <c r="C1207" s="9" t="s">
        <v>1895</v>
      </c>
      <c r="D1207" s="10">
        <v>-1.089454841</v>
      </c>
      <c r="E1207" s="10">
        <v>-1.357798718</v>
      </c>
      <c r="F1207" s="10">
        <v>-1.566173196</v>
      </c>
      <c r="G1207" s="10">
        <v>-0.99185301599999998</v>
      </c>
      <c r="H1207" s="9">
        <v>-1.2513199429999999</v>
      </c>
      <c r="I1207" s="10">
        <v>0.26076406827019899</v>
      </c>
      <c r="J1207" s="10">
        <v>6.7997899300825407E-2</v>
      </c>
      <c r="K1207" s="10">
        <v>-0.207622264</v>
      </c>
      <c r="L1207" s="10">
        <v>-1.1739973000000001E-2</v>
      </c>
      <c r="M1207" s="10">
        <v>-6.6105179E-2</v>
      </c>
      <c r="N1207" s="10">
        <v>-1.075181256</v>
      </c>
      <c r="O1207" s="9">
        <v>-0.34016216775000002</v>
      </c>
      <c r="P1207" s="10">
        <v>0.49691993227113301</v>
      </c>
      <c r="Q1207" s="10">
        <v>0.24692941908834801</v>
      </c>
    </row>
    <row r="1208" spans="1:17" x14ac:dyDescent="0.2">
      <c r="A1208" s="10">
        <v>1837</v>
      </c>
      <c r="B1208" s="10" t="s">
        <v>2833</v>
      </c>
      <c r="C1208" s="9" t="s">
        <v>1896</v>
      </c>
      <c r="D1208" s="10">
        <v>-1.0297810599999999</v>
      </c>
      <c r="E1208" s="10">
        <v>-1.1400211280000001</v>
      </c>
      <c r="F1208" s="10">
        <v>-0.77953528800000005</v>
      </c>
      <c r="G1208" s="10">
        <v>-1.5151538959999999</v>
      </c>
      <c r="H1208" s="9">
        <v>-1.1161228430000001</v>
      </c>
      <c r="I1208" s="10">
        <v>0.305801130887775</v>
      </c>
      <c r="J1208" s="10">
        <v>9.3514331652242294E-2</v>
      </c>
      <c r="K1208" s="10">
        <v>-0.28677032699999999</v>
      </c>
      <c r="L1208" s="10">
        <v>-0.12917962</v>
      </c>
      <c r="M1208" s="10">
        <v>-0.120913847</v>
      </c>
      <c r="N1208" s="10">
        <v>-3.4156672999999999E-2</v>
      </c>
      <c r="O1208" s="9">
        <v>-0.14275511674999999</v>
      </c>
      <c r="P1208" s="10">
        <v>0.105190839183798</v>
      </c>
      <c r="Q1208" s="10">
        <v>1.10651126481917E-2</v>
      </c>
    </row>
    <row r="1209" spans="1:17" x14ac:dyDescent="0.2">
      <c r="A1209" s="10">
        <v>1837</v>
      </c>
      <c r="B1209" s="10" t="s">
        <v>2825</v>
      </c>
      <c r="C1209" s="9" t="s">
        <v>1897</v>
      </c>
      <c r="D1209" s="10">
        <v>-1.025049294</v>
      </c>
      <c r="E1209" s="10">
        <v>-1.409835438</v>
      </c>
      <c r="F1209" s="10">
        <v>-0.74820394400000001</v>
      </c>
      <c r="G1209" s="10">
        <v>-1.2767179</v>
      </c>
      <c r="H1209" s="9">
        <v>-1.114951644</v>
      </c>
      <c r="I1209" s="10">
        <v>0.29195381000819498</v>
      </c>
      <c r="J1209" s="10">
        <v>8.5237027178301394E-2</v>
      </c>
      <c r="K1209" s="10">
        <v>-0.13031417200000001</v>
      </c>
      <c r="L1209" s="10">
        <v>-0.471592966</v>
      </c>
      <c r="M1209" s="10">
        <v>-0.13396820000000001</v>
      </c>
      <c r="N1209" s="10">
        <v>7.8786429999999994E-3</v>
      </c>
      <c r="O1209" s="9">
        <v>-0.1819991735</v>
      </c>
      <c r="P1209" s="10">
        <v>0.204039590642562</v>
      </c>
      <c r="Q1209" s="10">
        <v>4.1632154549584403E-2</v>
      </c>
    </row>
    <row r="1210" spans="1:17" x14ac:dyDescent="0.2">
      <c r="A1210" s="10">
        <v>1837</v>
      </c>
      <c r="B1210" s="10" t="s">
        <v>2818</v>
      </c>
      <c r="C1210" s="9" t="s">
        <v>1898</v>
      </c>
      <c r="D1210" s="10">
        <v>-1.0539588049999999</v>
      </c>
      <c r="E1210" s="10">
        <v>-0.71307569199999998</v>
      </c>
      <c r="F1210" s="10">
        <v>-0.34032472899999999</v>
      </c>
      <c r="G1210" s="10">
        <v>-1.109510657</v>
      </c>
      <c r="H1210" s="9">
        <v>-0.80421747099999996</v>
      </c>
      <c r="I1210" s="10">
        <v>0.35547056290954798</v>
      </c>
      <c r="J1210" s="10">
        <v>0.12635932109523099</v>
      </c>
      <c r="K1210" s="10">
        <v>-0.20173071000000001</v>
      </c>
      <c r="L1210" s="10">
        <v>0.37850916200000001</v>
      </c>
      <c r="M1210" s="10">
        <v>0.13922498999999999</v>
      </c>
      <c r="N1210" s="10">
        <v>0.115709467</v>
      </c>
      <c r="O1210" s="9">
        <v>0.1079282275</v>
      </c>
      <c r="P1210" s="10">
        <v>0.238147527609575</v>
      </c>
      <c r="Q1210" s="10">
        <v>5.6714244906553302E-2</v>
      </c>
    </row>
    <row r="1211" spans="1:17" x14ac:dyDescent="0.2">
      <c r="A1211" s="10">
        <v>1837</v>
      </c>
      <c r="B1211" s="10" t="s">
        <v>2830</v>
      </c>
      <c r="C1211" s="9" t="s">
        <v>1899</v>
      </c>
      <c r="D1211" s="10">
        <v>-0.95296062999999998</v>
      </c>
      <c r="E1211" s="10">
        <v>-1.120622147</v>
      </c>
      <c r="F1211" s="10">
        <v>-0.65337318899999997</v>
      </c>
      <c r="G1211" s="10">
        <v>-1.556132581</v>
      </c>
      <c r="H1211" s="9">
        <v>-1.0707721370000001</v>
      </c>
      <c r="I1211" s="10">
        <v>0.376900171163839</v>
      </c>
      <c r="J1211" s="10">
        <v>0.14205373902333099</v>
      </c>
      <c r="K1211" s="10">
        <v>-0.42537492300000002</v>
      </c>
      <c r="L1211" s="10">
        <v>-1.0096383799999999</v>
      </c>
      <c r="M1211" s="10">
        <v>-0.44693941999999998</v>
      </c>
      <c r="N1211" s="10">
        <v>0.21851525999999999</v>
      </c>
      <c r="O1211" s="9">
        <v>-0.41585936574999999</v>
      </c>
      <c r="P1211" s="10">
        <v>0.5020163341171</v>
      </c>
      <c r="Q1211" s="10">
        <v>0.25202039972037099</v>
      </c>
    </row>
    <row r="1212" spans="1:17" x14ac:dyDescent="0.2">
      <c r="A1212" s="10">
        <v>1838</v>
      </c>
      <c r="B1212" s="10" t="s">
        <v>2831</v>
      </c>
      <c r="C1212" s="9" t="s">
        <v>1901</v>
      </c>
      <c r="D1212" s="10">
        <v>-0.84458334899999998</v>
      </c>
      <c r="E1212" s="10">
        <v>-0.64029583599999995</v>
      </c>
      <c r="F1212" s="10">
        <v>-0.83007479399999995</v>
      </c>
      <c r="G1212" s="10">
        <v>-1.3095029709999999</v>
      </c>
      <c r="H1212" s="9">
        <v>-0.90611423749999997</v>
      </c>
      <c r="I1212" s="10">
        <v>0.28457567247754301</v>
      </c>
      <c r="J1212" s="10">
        <v>8.0983313366046097E-2</v>
      </c>
      <c r="K1212" s="10">
        <v>-0.51031126100000002</v>
      </c>
      <c r="L1212" s="10">
        <v>-0.177642042</v>
      </c>
      <c r="M1212" s="10">
        <v>0.21009412599999999</v>
      </c>
      <c r="N1212" s="10">
        <v>5.3246797999999998E-2</v>
      </c>
      <c r="O1212" s="9">
        <v>-0.10615309475</v>
      </c>
      <c r="P1212" s="10">
        <v>0.312983025826367</v>
      </c>
      <c r="Q1212" s="10">
        <v>9.7958374455428807E-2</v>
      </c>
    </row>
    <row r="1213" spans="1:17" x14ac:dyDescent="0.2">
      <c r="A1213" s="10">
        <v>1838</v>
      </c>
      <c r="B1213" s="10" t="s">
        <v>2822</v>
      </c>
      <c r="C1213" s="9" t="s">
        <v>1902</v>
      </c>
      <c r="D1213" s="10">
        <v>-6.5285660999999995E-2</v>
      </c>
      <c r="E1213" s="10">
        <v>-0.47607533800000001</v>
      </c>
      <c r="F1213" s="10">
        <v>-0.44997630199999999</v>
      </c>
      <c r="G1213" s="10">
        <v>-0.26727047300000001</v>
      </c>
      <c r="H1213" s="9">
        <v>-0.31465194349999998</v>
      </c>
      <c r="I1213" s="10">
        <v>0.19043698948291801</v>
      </c>
      <c r="J1213" s="10">
        <v>3.6266246963317102E-2</v>
      </c>
      <c r="K1213" s="10">
        <v>0.35313939799999999</v>
      </c>
      <c r="L1213" s="10">
        <v>5.3841256999999997E-2</v>
      </c>
      <c r="M1213" s="10">
        <v>0.150880864</v>
      </c>
      <c r="N1213" s="10">
        <v>0.14763226900000001</v>
      </c>
      <c r="O1213" s="9">
        <v>0.17637344725000001</v>
      </c>
      <c r="P1213" s="10">
        <v>0.126143127861396</v>
      </c>
      <c r="Q1213" s="10">
        <v>1.5912088706656599E-2</v>
      </c>
    </row>
    <row r="1214" spans="1:17" x14ac:dyDescent="0.2">
      <c r="A1214" s="10">
        <v>1838</v>
      </c>
      <c r="B1214" s="10" t="s">
        <v>2821</v>
      </c>
      <c r="C1214" s="9" t="s">
        <v>1905</v>
      </c>
      <c r="D1214" s="10">
        <v>-0.81275663399999998</v>
      </c>
      <c r="E1214" s="10">
        <v>-0.91206857299999999</v>
      </c>
      <c r="F1214" s="10">
        <v>-0.749723205</v>
      </c>
      <c r="G1214" s="10">
        <v>-0.144609508</v>
      </c>
      <c r="H1214" s="9">
        <v>-0.65478948000000003</v>
      </c>
      <c r="I1214" s="10">
        <v>0.34662283508642699</v>
      </c>
      <c r="J1214" s="10">
        <v>0.120147389803352</v>
      </c>
      <c r="K1214" s="10">
        <v>0.165854274</v>
      </c>
      <c r="L1214" s="10">
        <v>0.395838947</v>
      </c>
      <c r="M1214" s="10">
        <v>0.115121427</v>
      </c>
      <c r="N1214" s="10">
        <v>-0.275437398</v>
      </c>
      <c r="O1214" s="9">
        <v>0.1003443125</v>
      </c>
      <c r="P1214" s="10">
        <v>0.27871065709397802</v>
      </c>
      <c r="Q1214" s="10">
        <v>7.7679630377757297E-2</v>
      </c>
    </row>
    <row r="1215" spans="1:17" x14ac:dyDescent="0.2">
      <c r="A1215" s="10">
        <v>1838</v>
      </c>
      <c r="B1215" s="10" t="s">
        <v>2824</v>
      </c>
      <c r="C1215" s="9" t="s">
        <v>1907</v>
      </c>
      <c r="D1215" s="10">
        <v>-0.18320261199999999</v>
      </c>
      <c r="E1215" s="10">
        <v>0.30596937699999999</v>
      </c>
      <c r="F1215" s="10">
        <v>1.8104529000000001E-2</v>
      </c>
      <c r="G1215" s="10">
        <v>0.173107645</v>
      </c>
      <c r="H1215" s="9">
        <v>7.8494734999999996E-2</v>
      </c>
      <c r="I1215" s="10">
        <v>0.21041925917816001</v>
      </c>
      <c r="J1215" s="10">
        <v>4.4276264633085698E-2</v>
      </c>
      <c r="K1215" s="10">
        <v>-3.8336684000000003E-2</v>
      </c>
      <c r="L1215" s="10">
        <v>0.124016961</v>
      </c>
      <c r="M1215" s="10">
        <v>-0.30172950700000001</v>
      </c>
      <c r="N1215" s="10">
        <v>-0.117665507</v>
      </c>
      <c r="O1215" s="9">
        <v>-8.3428684000000003E-2</v>
      </c>
      <c r="P1215" s="10">
        <v>0.176912778382528</v>
      </c>
      <c r="Q1215" s="10">
        <v>3.1298131155025499E-2</v>
      </c>
    </row>
    <row r="1216" spans="1:17" x14ac:dyDescent="0.2">
      <c r="A1216" s="10">
        <v>1838</v>
      </c>
      <c r="B1216" s="10" t="s">
        <v>2817</v>
      </c>
      <c r="C1216" s="9" t="s">
        <v>1908</v>
      </c>
      <c r="D1216" s="10">
        <v>-1.053018386</v>
      </c>
      <c r="E1216" s="10">
        <v>-1.2331035720000001</v>
      </c>
      <c r="F1216" s="10">
        <v>-1.104386141</v>
      </c>
      <c r="G1216" s="10">
        <v>-1.0396004999999999</v>
      </c>
      <c r="H1216" s="9">
        <v>-1.1075271497500001</v>
      </c>
      <c r="I1216" s="10">
        <v>8.8250663515712202E-2</v>
      </c>
      <c r="J1216" s="10">
        <v>7.7881796109633998E-3</v>
      </c>
      <c r="K1216" s="10">
        <v>0.30138177300000002</v>
      </c>
      <c r="L1216" s="10">
        <v>-0.43326685300000001</v>
      </c>
      <c r="M1216" s="10">
        <v>-0.51187770200000005</v>
      </c>
      <c r="N1216" s="10">
        <v>-0.53003656399999999</v>
      </c>
      <c r="O1216" s="9">
        <v>-0.29344983675000003</v>
      </c>
      <c r="P1216" s="10">
        <v>0.39877205427803197</v>
      </c>
      <c r="Q1216" s="10">
        <v>0.15901915127312199</v>
      </c>
    </row>
    <row r="1217" spans="1:17" x14ac:dyDescent="0.2">
      <c r="A1217" s="10">
        <v>1838</v>
      </c>
      <c r="B1217" s="10" t="s">
        <v>2814</v>
      </c>
      <c r="C1217" s="9" t="s">
        <v>1909</v>
      </c>
      <c r="D1217" s="10">
        <v>-0.53913322100000005</v>
      </c>
      <c r="E1217" s="10">
        <v>-0.79059068799999999</v>
      </c>
      <c r="F1217" s="10">
        <v>-0.911658623</v>
      </c>
      <c r="G1217" s="10">
        <v>-0.62573697800000005</v>
      </c>
      <c r="H1217" s="9">
        <v>-0.71677987750000005</v>
      </c>
      <c r="I1217" s="10">
        <v>0.16660622768403799</v>
      </c>
      <c r="J1217" s="10">
        <v>2.7757635103105499E-2</v>
      </c>
      <c r="K1217" s="10">
        <v>2.8882619999999999E-3</v>
      </c>
      <c r="L1217" s="10">
        <v>0.325601898</v>
      </c>
      <c r="M1217" s="10">
        <v>6.3369780000000001E-2</v>
      </c>
      <c r="N1217" s="10">
        <v>0.26111963999999999</v>
      </c>
      <c r="O1217" s="9">
        <v>0.16324489475000001</v>
      </c>
      <c r="P1217" s="10">
        <v>0.15451920104560499</v>
      </c>
      <c r="Q1217" s="10">
        <v>2.3876183491772299E-2</v>
      </c>
    </row>
    <row r="1218" spans="1:17" x14ac:dyDescent="0.2">
      <c r="A1218" s="10">
        <v>1838</v>
      </c>
      <c r="B1218" s="10" t="s">
        <v>2833</v>
      </c>
      <c r="C1218" s="9" t="s">
        <v>1910</v>
      </c>
      <c r="D1218" s="10">
        <v>-0.55565010100000001</v>
      </c>
      <c r="E1218" s="10">
        <v>-0.84264643500000003</v>
      </c>
      <c r="F1218" s="10">
        <v>-1.38911136</v>
      </c>
      <c r="G1218" s="10">
        <v>-0.811862521</v>
      </c>
      <c r="H1218" s="9">
        <v>-0.89981760425000001</v>
      </c>
      <c r="I1218" s="10">
        <v>0.35064905958912101</v>
      </c>
      <c r="J1218" s="10">
        <v>0.122954762990735</v>
      </c>
      <c r="K1218" s="10">
        <v>5.2282835999999999E-2</v>
      </c>
      <c r="L1218" s="10">
        <v>-0.26835487800000002</v>
      </c>
      <c r="M1218" s="10">
        <v>-8.7699186999999998E-2</v>
      </c>
      <c r="N1218" s="10">
        <v>-0.43776844199999998</v>
      </c>
      <c r="O1218" s="9">
        <v>-0.18538491800000001</v>
      </c>
      <c r="P1218" s="10">
        <v>0.21339315888867999</v>
      </c>
      <c r="Q1218" s="10">
        <v>4.5536640260489598E-2</v>
      </c>
    </row>
    <row r="1219" spans="1:17" x14ac:dyDescent="0.2">
      <c r="A1219" s="10">
        <v>1838</v>
      </c>
      <c r="B1219" s="10" t="s">
        <v>2825</v>
      </c>
      <c r="C1219" s="9" t="s">
        <v>1911</v>
      </c>
      <c r="D1219" s="10">
        <v>-1.0460472089999999</v>
      </c>
      <c r="E1219" s="10">
        <v>-1.0582797020000001</v>
      </c>
      <c r="F1219" s="10">
        <v>-1.165375276</v>
      </c>
      <c r="G1219" s="10">
        <v>-0.80186237100000002</v>
      </c>
      <c r="H1219" s="9">
        <v>-1.0178911395000001</v>
      </c>
      <c r="I1219" s="10">
        <v>0.153670643009958</v>
      </c>
      <c r="J1219" s="10">
        <v>2.3614666523094099E-2</v>
      </c>
      <c r="K1219" s="10">
        <v>5.1680076999999998E-2</v>
      </c>
      <c r="L1219" s="10">
        <v>0.12412340600000001</v>
      </c>
      <c r="M1219" s="10">
        <v>-1.4730127000000001E-2</v>
      </c>
      <c r="N1219" s="10">
        <v>-0.27557097800000002</v>
      </c>
      <c r="O1219" s="9">
        <v>-2.8624405499999998E-2</v>
      </c>
      <c r="P1219" s="10">
        <v>0.17412291106396199</v>
      </c>
      <c r="Q1219" s="10">
        <v>3.0318788157388501E-2</v>
      </c>
    </row>
    <row r="1220" spans="1:17" x14ac:dyDescent="0.2">
      <c r="A1220" s="10">
        <v>1838</v>
      </c>
      <c r="B1220" s="10" t="s">
        <v>74</v>
      </c>
      <c r="C1220" s="9" t="s">
        <v>1912</v>
      </c>
      <c r="D1220" s="10">
        <v>-0.651500046</v>
      </c>
      <c r="E1220" s="10">
        <v>-0.94725883499999997</v>
      </c>
      <c r="F1220" s="10">
        <v>-0.66081335399999996</v>
      </c>
      <c r="G1220" s="10">
        <v>-1.0675272179999999</v>
      </c>
      <c r="H1220" s="9">
        <v>-0.83177486325000005</v>
      </c>
      <c r="I1220" s="10">
        <v>0.20868043182570101</v>
      </c>
      <c r="J1220" s="10">
        <v>4.3547522626961099E-2</v>
      </c>
      <c r="K1220" s="10">
        <v>-0.117384711</v>
      </c>
      <c r="L1220" s="10">
        <v>-0.41461832300000001</v>
      </c>
      <c r="M1220" s="10">
        <v>-0.24141642599999999</v>
      </c>
      <c r="N1220" s="10">
        <v>-2.5824041999999998E-2</v>
      </c>
      <c r="O1220" s="9">
        <v>-0.19981087550000001</v>
      </c>
      <c r="P1220" s="10">
        <v>0.1682644269787</v>
      </c>
      <c r="Q1220" s="10">
        <v>2.83129173864703E-2</v>
      </c>
    </row>
    <row r="1221" spans="1:17" x14ac:dyDescent="0.2">
      <c r="A1221" s="10">
        <v>1839</v>
      </c>
      <c r="B1221" s="10" t="s">
        <v>2822</v>
      </c>
      <c r="C1221" s="9" t="s">
        <v>1913</v>
      </c>
      <c r="D1221" s="10">
        <v>-0.52602298199999997</v>
      </c>
      <c r="E1221" s="10">
        <v>-0.80178088700000005</v>
      </c>
      <c r="F1221" s="10">
        <v>-0.64166347899999998</v>
      </c>
      <c r="G1221" s="10">
        <v>-0.72250808700000002</v>
      </c>
      <c r="H1221" s="9">
        <v>-0.67299385899999997</v>
      </c>
      <c r="I1221" s="10">
        <v>0.11778481615868</v>
      </c>
      <c r="J1221" s="10">
        <v>1.38732629175341E-2</v>
      </c>
      <c r="K1221" s="10">
        <v>-0.109862874</v>
      </c>
      <c r="L1221" s="10">
        <v>-3.0231605000000002E-2</v>
      </c>
      <c r="M1221" s="10">
        <v>-0.43914834200000002</v>
      </c>
      <c r="N1221" s="10">
        <v>-2.9984136000000002E-2</v>
      </c>
      <c r="O1221" s="9">
        <v>-0.15230673924999999</v>
      </c>
      <c r="P1221" s="10">
        <v>0.194888638657705</v>
      </c>
      <c r="Q1221" s="10">
        <v>3.7981581477853799E-2</v>
      </c>
    </row>
    <row r="1222" spans="1:17" x14ac:dyDescent="0.2">
      <c r="A1222" s="10">
        <v>1839</v>
      </c>
      <c r="B1222" s="10" t="s">
        <v>2821</v>
      </c>
      <c r="C1222" s="9" t="s">
        <v>1914</v>
      </c>
      <c r="D1222" s="10">
        <v>-0.49436671199999999</v>
      </c>
      <c r="E1222" s="10">
        <v>-0.98708106399999995</v>
      </c>
      <c r="F1222" s="10">
        <v>-1.0712968940000001</v>
      </c>
      <c r="G1222" s="10">
        <v>-0.82790639600000004</v>
      </c>
      <c r="H1222" s="9">
        <v>-0.8451627665</v>
      </c>
      <c r="I1222" s="10">
        <v>0.25471101334720803</v>
      </c>
      <c r="J1222" s="10">
        <v>6.4877700320361595E-2</v>
      </c>
      <c r="K1222" s="10">
        <v>-1.4788572E-2</v>
      </c>
      <c r="L1222" s="10">
        <v>-0.12776361</v>
      </c>
      <c r="M1222" s="10">
        <v>-0.24729073300000001</v>
      </c>
      <c r="N1222" s="10">
        <v>-0.483696664</v>
      </c>
      <c r="O1222" s="9">
        <v>-0.21838489475</v>
      </c>
      <c r="P1222" s="10">
        <v>0.20073993314282901</v>
      </c>
      <c r="Q1222" s="10">
        <v>4.0296520758187702E-2</v>
      </c>
    </row>
    <row r="1223" spans="1:17" x14ac:dyDescent="0.2">
      <c r="A1223" s="10">
        <v>1839</v>
      </c>
      <c r="B1223" s="10" t="s">
        <v>2820</v>
      </c>
      <c r="C1223" s="9" t="s">
        <v>1915</v>
      </c>
      <c r="D1223" s="10">
        <v>-1.4343389630000001</v>
      </c>
      <c r="E1223" s="10">
        <v>-2.7828213009999998</v>
      </c>
      <c r="F1223" s="10">
        <v>-1.4520684850000001</v>
      </c>
      <c r="G1223" s="10">
        <v>-1.7047103729999999</v>
      </c>
      <c r="H1223" s="9">
        <v>-1.8434847805000001</v>
      </c>
      <c r="I1223" s="10">
        <v>0.63828375384899905</v>
      </c>
      <c r="J1223" s="10">
        <v>0.407406150427569</v>
      </c>
      <c r="K1223" s="10">
        <v>-0.13228603</v>
      </c>
      <c r="L1223" s="10">
        <v>-0.27684231399999998</v>
      </c>
      <c r="M1223" s="10">
        <v>-0.12141861900000001</v>
      </c>
      <c r="N1223" s="10">
        <v>-0.36831117699999999</v>
      </c>
      <c r="O1223" s="9">
        <v>-0.22471453525000001</v>
      </c>
      <c r="P1223" s="10">
        <v>0.119094326391538</v>
      </c>
      <c r="Q1223" s="10">
        <v>1.4183458578654299E-2</v>
      </c>
    </row>
    <row r="1224" spans="1:17" x14ac:dyDescent="0.2">
      <c r="A1224" s="10">
        <v>1839</v>
      </c>
      <c r="B1224" s="10" t="s">
        <v>2817</v>
      </c>
      <c r="C1224" s="9" t="s">
        <v>1916</v>
      </c>
      <c r="D1224" s="10">
        <v>-3.1798133999999999E-2</v>
      </c>
      <c r="E1224" s="10">
        <v>0.21911499200000001</v>
      </c>
      <c r="F1224" s="10">
        <v>-5.8774010000000002E-2</v>
      </c>
      <c r="G1224" s="10">
        <v>0.28447935299999999</v>
      </c>
      <c r="H1224" s="9">
        <v>0.10325555024999999</v>
      </c>
      <c r="I1224" s="10">
        <v>0.173933467117074</v>
      </c>
      <c r="J1224" s="10">
        <v>3.0252850983366501E-2</v>
      </c>
      <c r="K1224" s="10">
        <v>0.171926624</v>
      </c>
      <c r="L1224" s="10">
        <v>-1.3631063000000001E-2</v>
      </c>
      <c r="M1224" s="10">
        <v>0.25739986500000001</v>
      </c>
      <c r="N1224" s="10">
        <v>0.38466819299999999</v>
      </c>
      <c r="O1224" s="9">
        <v>0.20009090500000001</v>
      </c>
      <c r="P1224" s="10">
        <v>0.167156013424342</v>
      </c>
      <c r="Q1224" s="10">
        <v>2.7941132823918802E-2</v>
      </c>
    </row>
    <row r="1225" spans="1:17" x14ac:dyDescent="0.2">
      <c r="A1225" s="10">
        <v>1839</v>
      </c>
      <c r="B1225" s="10" t="s">
        <v>2814</v>
      </c>
      <c r="C1225" s="9" t="s">
        <v>1917</v>
      </c>
      <c r="D1225" s="10">
        <v>-0.94523405199999999</v>
      </c>
      <c r="E1225" s="10">
        <v>-0.93524540899999997</v>
      </c>
      <c r="F1225" s="10">
        <v>-0.83958588199999995</v>
      </c>
      <c r="G1225" s="10">
        <v>-1.3468209330000001</v>
      </c>
      <c r="H1225" s="9">
        <v>-1.01672156875</v>
      </c>
      <c r="I1225" s="10">
        <v>0.22516029213084099</v>
      </c>
      <c r="J1225" s="10">
        <v>5.0697157152445799E-2</v>
      </c>
      <c r="K1225" s="10">
        <v>-6.3871040000000002E-3</v>
      </c>
      <c r="L1225" s="10">
        <v>1.7235306999999998E-2</v>
      </c>
      <c r="M1225" s="10">
        <v>-0.35608356899999999</v>
      </c>
      <c r="N1225" s="10">
        <v>-0.32106333100000001</v>
      </c>
      <c r="O1225" s="9">
        <v>-0.16657467400000001</v>
      </c>
      <c r="P1225" s="10">
        <v>0.19935440227854601</v>
      </c>
      <c r="Q1225" s="10">
        <v>3.9742177707836598E-2</v>
      </c>
    </row>
    <row r="1226" spans="1:17" x14ac:dyDescent="0.2">
      <c r="A1226" s="10">
        <v>1839</v>
      </c>
      <c r="B1226" s="10" t="s">
        <v>2833</v>
      </c>
      <c r="C1226" s="9" t="s">
        <v>1918</v>
      </c>
      <c r="D1226" s="10">
        <v>-0.29476206100000002</v>
      </c>
      <c r="E1226" s="10">
        <v>-0.98022267600000001</v>
      </c>
      <c r="F1226" s="10">
        <v>-0.305584931</v>
      </c>
      <c r="G1226" s="10">
        <v>-1.0614906930000001</v>
      </c>
      <c r="H1226" s="9">
        <v>-0.66051509024999999</v>
      </c>
      <c r="I1226" s="10">
        <v>0.417430661203191</v>
      </c>
      <c r="J1226" s="10">
        <v>0.17424835691253299</v>
      </c>
      <c r="K1226" s="10">
        <v>0.115394461</v>
      </c>
      <c r="L1226" s="10">
        <v>0.13800327000000001</v>
      </c>
      <c r="M1226" s="10">
        <v>3.2558519000000001E-2</v>
      </c>
      <c r="N1226" s="10">
        <v>0.209175365</v>
      </c>
      <c r="O1226" s="9">
        <v>0.12378290375000001</v>
      </c>
      <c r="P1226" s="10">
        <v>7.2769832575967294E-2</v>
      </c>
      <c r="Q1226" s="10">
        <v>5.2954485331343001E-3</v>
      </c>
    </row>
    <row r="1227" spans="1:17" x14ac:dyDescent="0.2">
      <c r="A1227" s="10">
        <v>1839</v>
      </c>
      <c r="B1227" s="10" t="s">
        <v>2825</v>
      </c>
      <c r="C1227" s="9" t="s">
        <v>1919</v>
      </c>
      <c r="D1227" s="10">
        <v>-0.341467668</v>
      </c>
      <c r="E1227" s="10">
        <v>-1.3263953879999999</v>
      </c>
      <c r="F1227" s="10">
        <v>-0.770757095</v>
      </c>
      <c r="G1227" s="10">
        <v>-0.94857793899999998</v>
      </c>
      <c r="H1227" s="9">
        <v>-0.84679952275000003</v>
      </c>
      <c r="I1227" s="10">
        <v>0.40886581915605003</v>
      </c>
      <c r="J1227" s="10">
        <v>0.16717125807414701</v>
      </c>
      <c r="K1227" s="10">
        <v>0.29727283500000001</v>
      </c>
      <c r="L1227" s="10">
        <v>0.10997407100000001</v>
      </c>
      <c r="M1227" s="10">
        <v>0.101471822</v>
      </c>
      <c r="N1227" s="10">
        <v>0.15768420899999999</v>
      </c>
      <c r="O1227" s="9">
        <v>0.16660073424999999</v>
      </c>
      <c r="P1227" s="10">
        <v>9.0559476843764794E-2</v>
      </c>
      <c r="Q1227" s="10">
        <v>8.2010188462162993E-3</v>
      </c>
    </row>
    <row r="1228" spans="1:17" x14ac:dyDescent="0.2">
      <c r="A1228" s="10">
        <v>1839</v>
      </c>
      <c r="B1228" s="10" t="s">
        <v>74</v>
      </c>
      <c r="C1228" s="9" t="s">
        <v>1920</v>
      </c>
      <c r="D1228" s="10">
        <v>-0.62626566900000002</v>
      </c>
      <c r="E1228" s="10">
        <v>-1.154492804</v>
      </c>
      <c r="F1228" s="10">
        <v>-0.86510864399999998</v>
      </c>
      <c r="G1228" s="10">
        <v>-0.67252320300000001</v>
      </c>
      <c r="H1228" s="9">
        <v>-0.82959757975000004</v>
      </c>
      <c r="I1228" s="10">
        <v>0.24002372673361</v>
      </c>
      <c r="J1228" s="10">
        <v>5.7611389395090702E-2</v>
      </c>
      <c r="K1228" s="10">
        <v>0.36817865500000002</v>
      </c>
      <c r="L1228" s="10">
        <v>0.366004359</v>
      </c>
      <c r="M1228" s="10">
        <v>-8.8416622E-2</v>
      </c>
      <c r="N1228" s="10">
        <v>0.46619823199999999</v>
      </c>
      <c r="O1228" s="9">
        <v>0.27799115600000002</v>
      </c>
      <c r="P1228" s="10">
        <v>0.248701073656415</v>
      </c>
      <c r="Q1228" s="10">
        <v>6.1852224037853697E-2</v>
      </c>
    </row>
    <row r="1229" spans="1:17" x14ac:dyDescent="0.2">
      <c r="A1229" s="10">
        <v>1839</v>
      </c>
      <c r="B1229" s="10" t="s">
        <v>2818</v>
      </c>
      <c r="C1229" s="9" t="s">
        <v>1921</v>
      </c>
      <c r="D1229" s="10">
        <v>0.24996704</v>
      </c>
      <c r="E1229" s="10">
        <v>-5.3752517E-2</v>
      </c>
      <c r="F1229" s="10">
        <v>-2.3041664999999999E-2</v>
      </c>
      <c r="G1229" s="10">
        <v>5.098461E-2</v>
      </c>
      <c r="H1229" s="9">
        <v>5.6039367E-2</v>
      </c>
      <c r="I1229" s="10">
        <v>0.13655470251634</v>
      </c>
      <c r="J1229" s="10">
        <v>1.86471867793261E-2</v>
      </c>
      <c r="K1229" s="10">
        <v>0.27338110500000001</v>
      </c>
      <c r="L1229" s="10">
        <v>0.47379052399999999</v>
      </c>
      <c r="M1229" s="10">
        <v>0.37171562499999999</v>
      </c>
      <c r="N1229" s="10">
        <v>-0.68683966299999999</v>
      </c>
      <c r="O1229" s="9">
        <v>0.10801189775</v>
      </c>
      <c r="P1229" s="10">
        <v>0.53618082693561597</v>
      </c>
      <c r="Q1229" s="10">
        <v>0.287489879173361</v>
      </c>
    </row>
    <row r="1230" spans="1:17" x14ac:dyDescent="0.2">
      <c r="A1230" s="10">
        <v>1839</v>
      </c>
      <c r="B1230" s="10" t="s">
        <v>2830</v>
      </c>
      <c r="C1230" s="9" t="s">
        <v>1922</v>
      </c>
      <c r="D1230" s="10">
        <v>-0.70710664300000003</v>
      </c>
      <c r="E1230" s="10">
        <v>-0.71231961300000002</v>
      </c>
      <c r="F1230" s="10">
        <v>-0.89203818499999998</v>
      </c>
      <c r="G1230" s="10">
        <v>-0.90884542599999996</v>
      </c>
      <c r="H1230" s="9">
        <v>-0.80507746650000001</v>
      </c>
      <c r="I1230" s="10">
        <v>0.110351344386955</v>
      </c>
      <c r="J1230" s="10">
        <v>1.2177419208008401E-2</v>
      </c>
      <c r="K1230" s="10">
        <v>-0.40004064099999997</v>
      </c>
      <c r="L1230" s="10">
        <v>-0.38021251499999997</v>
      </c>
      <c r="M1230" s="10">
        <v>-0.28202949199999999</v>
      </c>
      <c r="N1230" s="10">
        <v>-6.4888573000000005E-2</v>
      </c>
      <c r="O1230" s="9">
        <v>-0.28179280550000002</v>
      </c>
      <c r="P1230" s="10">
        <v>0.15353228967159999</v>
      </c>
      <c r="Q1230" s="10">
        <v>2.35721639718042E-2</v>
      </c>
    </row>
    <row r="1231" spans="1:17" x14ac:dyDescent="0.2">
      <c r="A1231" s="10">
        <v>1839</v>
      </c>
      <c r="B1231" s="10" t="s">
        <v>2835</v>
      </c>
      <c r="C1231" s="9" t="s">
        <v>2590</v>
      </c>
      <c r="D1231" s="10">
        <v>-0.95888576800000003</v>
      </c>
      <c r="E1231" s="10">
        <v>-0.46809809400000002</v>
      </c>
      <c r="F1231" s="10">
        <v>-1.725369559</v>
      </c>
      <c r="G1231" s="10">
        <v>-0.46330010100000002</v>
      </c>
      <c r="H1231" s="9">
        <v>-0.90391338025000001</v>
      </c>
      <c r="I1231" s="10">
        <v>0.594947404566738</v>
      </c>
      <c r="J1231" s="10">
        <v>0.35396241420069802</v>
      </c>
      <c r="K1231" s="10">
        <v>-1.7542056699999999</v>
      </c>
      <c r="L1231" s="10">
        <v>-0.80394244000000004</v>
      </c>
      <c r="M1231" s="10">
        <v>-0.54222583000000002</v>
      </c>
      <c r="N1231" s="10">
        <v>-0.799818959</v>
      </c>
      <c r="O1231" s="9">
        <v>-0.97504822499999999</v>
      </c>
      <c r="P1231" s="10">
        <v>0.53366782272490698</v>
      </c>
      <c r="Q1231" s="10">
        <v>0.28480134501194299</v>
      </c>
    </row>
    <row r="1232" spans="1:17" x14ac:dyDescent="0.2">
      <c r="A1232" s="10">
        <v>1840</v>
      </c>
      <c r="B1232" s="10" t="s">
        <v>2831</v>
      </c>
      <c r="C1232" s="9" t="s">
        <v>1923</v>
      </c>
      <c r="D1232" s="10">
        <v>-1.3110032819999999</v>
      </c>
      <c r="E1232" s="10">
        <v>-1.6413192830000001</v>
      </c>
      <c r="F1232" s="10">
        <v>-1.7533753219999999</v>
      </c>
      <c r="G1232" s="10">
        <v>-0.89762897399999997</v>
      </c>
      <c r="H1232" s="9">
        <v>-1.4008317152500001</v>
      </c>
      <c r="I1232" s="10">
        <v>0.38444913453072599</v>
      </c>
      <c r="J1232" s="10">
        <v>0.147801137041424</v>
      </c>
      <c r="K1232" s="10">
        <v>-0.32104089899999999</v>
      </c>
      <c r="L1232" s="10">
        <v>-0.17506611799999999</v>
      </c>
      <c r="M1232" s="10">
        <v>-0.60841459799999997</v>
      </c>
      <c r="N1232" s="10">
        <v>-1.1820562910000001</v>
      </c>
      <c r="O1232" s="9">
        <v>-0.57164447674999996</v>
      </c>
      <c r="P1232" s="10">
        <v>0.444983584941684</v>
      </c>
      <c r="Q1232" s="10">
        <v>0.19801039086755301</v>
      </c>
    </row>
    <row r="1233" spans="1:17" x14ac:dyDescent="0.2">
      <c r="A1233" s="10">
        <v>1840</v>
      </c>
      <c r="B1233" s="10" t="s">
        <v>2822</v>
      </c>
      <c r="C1233" s="9" t="s">
        <v>1924</v>
      </c>
      <c r="D1233" s="10">
        <v>-1.3241055070000001</v>
      </c>
      <c r="E1233" s="10">
        <v>-1.5121154020000001</v>
      </c>
      <c r="F1233" s="10">
        <v>-1.0390860179999999</v>
      </c>
      <c r="G1233" s="10">
        <v>-0.709789012</v>
      </c>
      <c r="H1233" s="9">
        <v>-1.1462739847500001</v>
      </c>
      <c r="I1233" s="10">
        <v>0.34998684953095399</v>
      </c>
      <c r="J1233" s="10">
        <v>0.122490794844602</v>
      </c>
      <c r="K1233" s="10">
        <v>-0.25188934600000001</v>
      </c>
      <c r="L1233" s="10">
        <v>-0.32551239399999998</v>
      </c>
      <c r="M1233" s="10">
        <v>-9.2656152000000006E-2</v>
      </c>
      <c r="N1233" s="10">
        <v>0.414944066</v>
      </c>
      <c r="O1233" s="9">
        <v>-6.3778456750000004E-2</v>
      </c>
      <c r="P1233" s="10">
        <v>0.33361631436621297</v>
      </c>
      <c r="Q1233" s="10">
        <v>0.111299845211296</v>
      </c>
    </row>
    <row r="1234" spans="1:17" x14ac:dyDescent="0.2">
      <c r="A1234" s="10">
        <v>1840</v>
      </c>
      <c r="B1234" s="10" t="s">
        <v>2819</v>
      </c>
      <c r="C1234" s="9" t="s">
        <v>1925</v>
      </c>
      <c r="D1234" s="10">
        <v>-1.292164788</v>
      </c>
      <c r="E1234" s="10">
        <v>-0.44169493100000001</v>
      </c>
      <c r="F1234" s="10">
        <v>-0.95007707600000002</v>
      </c>
      <c r="G1234" s="10">
        <v>-0.99025931899999997</v>
      </c>
      <c r="H1234" s="9">
        <v>-0.91854902875</v>
      </c>
      <c r="I1234" s="10">
        <v>0.35266364976280001</v>
      </c>
      <c r="J1234" s="10">
        <v>0.124371649864019</v>
      </c>
      <c r="K1234" s="10">
        <v>-0.84000583799999995</v>
      </c>
      <c r="L1234" s="10">
        <v>-1.092899072</v>
      </c>
      <c r="M1234" s="10">
        <v>-0.189996626</v>
      </c>
      <c r="N1234" s="10">
        <v>-1.355505967</v>
      </c>
      <c r="O1234" s="9">
        <v>-0.86960187575000003</v>
      </c>
      <c r="P1234" s="10">
        <v>0.49956769467372403</v>
      </c>
      <c r="Q1234" s="10">
        <v>0.24956788156161899</v>
      </c>
    </row>
    <row r="1235" spans="1:17" x14ac:dyDescent="0.2">
      <c r="A1235" s="10">
        <v>1840</v>
      </c>
      <c r="B1235" s="10" t="s">
        <v>2820</v>
      </c>
      <c r="C1235" s="9" t="s">
        <v>1926</v>
      </c>
      <c r="D1235" s="10">
        <v>-0.62212360099999997</v>
      </c>
      <c r="E1235" s="10">
        <v>-0.85421073700000005</v>
      </c>
      <c r="F1235" s="10">
        <v>-0.13419914299999999</v>
      </c>
      <c r="G1235" s="10">
        <v>0.14493230100000001</v>
      </c>
      <c r="H1235" s="9">
        <v>-0.36640029475000002</v>
      </c>
      <c r="I1235" s="10">
        <v>0.454140886832133</v>
      </c>
      <c r="J1235" s="10">
        <v>0.20624394509267699</v>
      </c>
      <c r="K1235" s="10">
        <v>0.52529025500000004</v>
      </c>
      <c r="L1235" s="10">
        <v>-0.35344920299999999</v>
      </c>
      <c r="M1235" s="10">
        <v>0.328463913</v>
      </c>
      <c r="N1235" s="10">
        <v>3.0607473999999999E-2</v>
      </c>
      <c r="O1235" s="9">
        <v>0.1327281095</v>
      </c>
      <c r="P1235" s="10">
        <v>0.38262886554118303</v>
      </c>
      <c r="Q1235" s="10">
        <v>0.14640484874533299</v>
      </c>
    </row>
    <row r="1236" spans="1:17" x14ac:dyDescent="0.2">
      <c r="A1236" s="10">
        <v>1840</v>
      </c>
      <c r="B1236" s="10" t="s">
        <v>2830</v>
      </c>
      <c r="C1236" s="9" t="s">
        <v>1929</v>
      </c>
      <c r="D1236" s="10">
        <v>-0.22871567800000001</v>
      </c>
      <c r="E1236" s="10">
        <v>-0.82175001700000005</v>
      </c>
      <c r="F1236" s="10">
        <v>-0.51413133799999999</v>
      </c>
      <c r="G1236" s="10">
        <v>-0.287294989</v>
      </c>
      <c r="H1236" s="9">
        <v>-0.46297300549999998</v>
      </c>
      <c r="I1236" s="10">
        <v>0.26899651790426998</v>
      </c>
      <c r="J1236" s="10">
        <v>7.2359126644622698E-2</v>
      </c>
      <c r="K1236" s="10">
        <v>-0.12057801</v>
      </c>
      <c r="L1236" s="10">
        <v>1.6210908E-2</v>
      </c>
      <c r="M1236" s="10">
        <v>0.14839903700000001</v>
      </c>
      <c r="N1236" s="10">
        <v>-7.5283319000000001E-2</v>
      </c>
      <c r="O1236" s="9">
        <v>-7.812846E-3</v>
      </c>
      <c r="P1236" s="10">
        <v>0.11866976599714101</v>
      </c>
      <c r="Q1236" s="10">
        <v>1.40825133618162E-2</v>
      </c>
    </row>
    <row r="1237" spans="1:17" x14ac:dyDescent="0.2">
      <c r="A1237" s="10">
        <v>1841</v>
      </c>
      <c r="B1237" s="10" t="s">
        <v>96</v>
      </c>
      <c r="C1237" s="9" t="s">
        <v>1930</v>
      </c>
      <c r="D1237" s="10">
        <v>0.16145504599999999</v>
      </c>
      <c r="E1237" s="10">
        <v>6.2301430999999997E-2</v>
      </c>
      <c r="F1237" s="10">
        <v>-0.51374292200000005</v>
      </c>
      <c r="G1237" s="10">
        <v>-0.36813198899999999</v>
      </c>
      <c r="H1237" s="9">
        <v>-0.16452960875</v>
      </c>
      <c r="I1237" s="10">
        <v>0.32717079286974399</v>
      </c>
      <c r="J1237" s="10">
        <v>0.107040727707017</v>
      </c>
      <c r="K1237" s="10">
        <v>-0.115976627</v>
      </c>
      <c r="L1237" s="10">
        <v>0.28374965600000002</v>
      </c>
      <c r="M1237" s="10">
        <v>-0.34480459899999999</v>
      </c>
      <c r="N1237" s="10">
        <v>-0.42656876300000002</v>
      </c>
      <c r="O1237" s="9">
        <v>-0.1509000835</v>
      </c>
      <c r="P1237" s="10">
        <v>0.31818874160362098</v>
      </c>
      <c r="Q1237" s="10">
        <v>0.101244075283296</v>
      </c>
    </row>
    <row r="1238" spans="1:17" x14ac:dyDescent="0.2">
      <c r="A1238" s="10">
        <v>1841</v>
      </c>
      <c r="B1238" s="10" t="s">
        <v>79</v>
      </c>
      <c r="C1238" s="9" t="s">
        <v>1931</v>
      </c>
      <c r="D1238" s="10">
        <v>-0.81433946199999996</v>
      </c>
      <c r="E1238" s="10">
        <v>-1.4896224549999999</v>
      </c>
      <c r="F1238" s="10">
        <v>-0.89493299500000001</v>
      </c>
      <c r="G1238" s="10">
        <v>-0.95053587900000003</v>
      </c>
      <c r="H1238" s="9">
        <v>-1.0373576977500001</v>
      </c>
      <c r="I1238" s="10">
        <v>0.30665038088564101</v>
      </c>
      <c r="J1238" s="10">
        <v>9.4034456097309205E-2</v>
      </c>
      <c r="K1238" s="10">
        <v>0.10430557999999999</v>
      </c>
      <c r="L1238" s="10">
        <v>-9.1005486999999996E-2</v>
      </c>
      <c r="M1238" s="10">
        <v>0.11232884999999999</v>
      </c>
      <c r="N1238" s="10">
        <v>9.2589649999999996E-2</v>
      </c>
      <c r="O1238" s="9">
        <v>5.4554648249999997E-2</v>
      </c>
      <c r="P1238" s="10">
        <v>9.73780056103766E-2</v>
      </c>
      <c r="Q1238" s="10">
        <v>9.4824759766544992E-3</v>
      </c>
    </row>
    <row r="1239" spans="1:17" x14ac:dyDescent="0.2">
      <c r="A1239" s="10">
        <v>1841</v>
      </c>
      <c r="B1239" s="10" t="s">
        <v>2820</v>
      </c>
      <c r="C1239" s="9" t="s">
        <v>1932</v>
      </c>
      <c r="D1239" s="10">
        <v>-1.1180259880000001</v>
      </c>
      <c r="E1239" s="10">
        <v>-1.2147543730000001</v>
      </c>
      <c r="F1239" s="10">
        <v>-1.1389012009999999</v>
      </c>
      <c r="G1239" s="10">
        <v>-1.1913922539999999</v>
      </c>
      <c r="H1239" s="9">
        <v>-1.165768454</v>
      </c>
      <c r="I1239" s="10">
        <v>4.4934736860776599E-2</v>
      </c>
      <c r="J1239" s="10">
        <v>2.0191305767472E-3</v>
      </c>
      <c r="K1239" s="10">
        <v>-0.20578296900000001</v>
      </c>
      <c r="L1239" s="10">
        <v>-0.71708709900000001</v>
      </c>
      <c r="M1239" s="10">
        <v>-0.37489081699999999</v>
      </c>
      <c r="N1239" s="10">
        <v>0.35740682299999998</v>
      </c>
      <c r="O1239" s="9">
        <v>-0.23508851575</v>
      </c>
      <c r="P1239" s="10">
        <v>0.44861893971037903</v>
      </c>
      <c r="Q1239" s="10">
        <v>0.201258953066865</v>
      </c>
    </row>
    <row r="1240" spans="1:17" x14ac:dyDescent="0.2">
      <c r="A1240" s="10">
        <v>1841</v>
      </c>
      <c r="B1240" s="10" t="s">
        <v>2817</v>
      </c>
      <c r="C1240" s="9" t="s">
        <v>1934</v>
      </c>
      <c r="D1240" s="10">
        <v>-1.241199363</v>
      </c>
      <c r="E1240" s="10">
        <v>-1.5750972649999999</v>
      </c>
      <c r="F1240" s="10">
        <v>-1.2807424249999999</v>
      </c>
      <c r="G1240" s="10">
        <v>-1.212069812</v>
      </c>
      <c r="H1240" s="9">
        <v>-1.3272772165</v>
      </c>
      <c r="I1240" s="10">
        <v>0.16759316431295199</v>
      </c>
      <c r="J1240" s="10">
        <v>2.8087468724428199E-2</v>
      </c>
      <c r="K1240" s="10">
        <v>-0.57106153699999995</v>
      </c>
      <c r="L1240" s="10">
        <v>-0.669095777</v>
      </c>
      <c r="M1240" s="10">
        <v>-1.100496358</v>
      </c>
      <c r="N1240" s="10">
        <v>-0.18702186500000001</v>
      </c>
      <c r="O1240" s="9">
        <v>-0.63191888424999998</v>
      </c>
      <c r="P1240" s="10">
        <v>0.37531495427721201</v>
      </c>
      <c r="Q1240" s="10">
        <v>0.140861314904106</v>
      </c>
    </row>
    <row r="1241" spans="1:17" x14ac:dyDescent="0.2">
      <c r="A1241" s="10">
        <v>1841</v>
      </c>
      <c r="B1241" s="10" t="s">
        <v>2825</v>
      </c>
      <c r="C1241" s="9" t="s">
        <v>1936</v>
      </c>
      <c r="D1241" s="10">
        <v>-0.54310434900000004</v>
      </c>
      <c r="E1241" s="10">
        <v>-1.208432551</v>
      </c>
      <c r="F1241" s="10">
        <v>-0.99933841700000003</v>
      </c>
      <c r="G1241" s="10">
        <v>-1.562454531</v>
      </c>
      <c r="H1241" s="9">
        <v>-1.0783324620000001</v>
      </c>
      <c r="I1241" s="10">
        <v>0.42583619814104201</v>
      </c>
      <c r="J1241" s="10">
        <v>0.181336467647217</v>
      </c>
      <c r="K1241" s="10">
        <v>-3.8895271000000002E-2</v>
      </c>
      <c r="L1241" s="10">
        <v>-6.0151120000000002E-2</v>
      </c>
      <c r="M1241" s="10">
        <v>-0.259978614</v>
      </c>
      <c r="N1241" s="10">
        <v>-8.2215020000000003E-3</v>
      </c>
      <c r="O1241" s="9">
        <v>-9.1811626499999993E-2</v>
      </c>
      <c r="P1241" s="10">
        <v>0.114119780567012</v>
      </c>
      <c r="Q1241" s="10">
        <v>1.30233243166631E-2</v>
      </c>
    </row>
    <row r="1242" spans="1:17" x14ac:dyDescent="0.2">
      <c r="A1242" s="10">
        <v>1841</v>
      </c>
      <c r="B1242" s="10" t="s">
        <v>2818</v>
      </c>
      <c r="C1242" s="9" t="s">
        <v>1937</v>
      </c>
      <c r="D1242" s="10">
        <v>-0.66271306299999999</v>
      </c>
      <c r="E1242" s="10">
        <v>-0.69229203399999995</v>
      </c>
      <c r="F1242" s="10">
        <v>-0.64418973800000001</v>
      </c>
      <c r="G1242" s="10">
        <v>-0.53490405600000002</v>
      </c>
      <c r="H1242" s="9">
        <v>-0.63352472275000005</v>
      </c>
      <c r="I1242" s="10">
        <v>6.8666669592074597E-2</v>
      </c>
      <c r="J1242" s="10">
        <v>4.7151115128670996E-3</v>
      </c>
      <c r="K1242" s="10">
        <v>0.18539190899999999</v>
      </c>
      <c r="L1242" s="10">
        <v>-4.9816543999999997E-2</v>
      </c>
      <c r="M1242" s="10">
        <v>3.7990364999999998E-2</v>
      </c>
      <c r="N1242" s="10">
        <v>-0.231511878</v>
      </c>
      <c r="O1242" s="9">
        <v>-1.4486537000000001E-2</v>
      </c>
      <c r="P1242" s="10">
        <v>0.17421579190731501</v>
      </c>
      <c r="Q1242" s="10">
        <v>3.0351142149892901E-2</v>
      </c>
    </row>
    <row r="1243" spans="1:17" x14ac:dyDescent="0.2">
      <c r="A1243" s="10">
        <v>1842</v>
      </c>
      <c r="B1243" s="10" t="s">
        <v>2819</v>
      </c>
      <c r="C1243" s="9" t="s">
        <v>1938</v>
      </c>
      <c r="D1243" s="10">
        <v>-0.634348091</v>
      </c>
      <c r="E1243" s="10">
        <v>-0.934900548</v>
      </c>
      <c r="F1243" s="10">
        <v>-1.0632095429999999</v>
      </c>
      <c r="G1243" s="10">
        <v>-0.65016879900000002</v>
      </c>
      <c r="H1243" s="9">
        <v>-0.82065674524999999</v>
      </c>
      <c r="I1243" s="10">
        <v>0.21265038649398299</v>
      </c>
      <c r="J1243" s="10">
        <v>4.5220186876040701E-2</v>
      </c>
      <c r="K1243" s="10">
        <v>8.4302690000000007E-3</v>
      </c>
      <c r="L1243" s="10">
        <v>-0.144221294</v>
      </c>
      <c r="M1243" s="10">
        <v>-6.9966203000000005E-2</v>
      </c>
      <c r="N1243" s="10">
        <v>2.4180416E-2</v>
      </c>
      <c r="O1243" s="9">
        <v>-4.5394203000000001E-2</v>
      </c>
      <c r="P1243" s="10">
        <v>7.7692295831260305E-2</v>
      </c>
      <c r="Q1243" s="10">
        <v>6.0360928315320002E-3</v>
      </c>
    </row>
    <row r="1244" spans="1:17" x14ac:dyDescent="0.2">
      <c r="A1244" s="10">
        <v>1842</v>
      </c>
      <c r="B1244" s="10" t="s">
        <v>2826</v>
      </c>
      <c r="C1244" s="9" t="s">
        <v>1939</v>
      </c>
      <c r="D1244" s="10">
        <v>-0.66287740699999997</v>
      </c>
      <c r="E1244" s="10">
        <v>-0.594965725</v>
      </c>
      <c r="F1244" s="10">
        <v>-1.18825779</v>
      </c>
      <c r="G1244" s="10">
        <v>-0.61330308300000003</v>
      </c>
      <c r="H1244" s="9">
        <v>-0.76485100100000003</v>
      </c>
      <c r="I1244" s="10">
        <v>0.28372504371679802</v>
      </c>
      <c r="J1244" s="10">
        <v>8.0499900432099397E-2</v>
      </c>
      <c r="K1244" s="10">
        <v>-0.75782608699999998</v>
      </c>
      <c r="L1244" s="10">
        <v>-0.28954361899999997</v>
      </c>
      <c r="M1244" s="10">
        <v>-0.39855484400000002</v>
      </c>
      <c r="N1244" s="10">
        <v>-0.46508183800000003</v>
      </c>
      <c r="O1244" s="9">
        <v>-0.47775159699999997</v>
      </c>
      <c r="P1244" s="10">
        <v>0.20024702362371399</v>
      </c>
      <c r="Q1244" s="10">
        <v>4.0098870470156499E-2</v>
      </c>
    </row>
    <row r="1245" spans="1:17" x14ac:dyDescent="0.2">
      <c r="A1245" s="10">
        <v>1842</v>
      </c>
      <c r="B1245" s="10" t="s">
        <v>2821</v>
      </c>
      <c r="C1245" s="9" t="s">
        <v>1940</v>
      </c>
      <c r="D1245" s="10">
        <v>-0.99178891599999996</v>
      </c>
      <c r="E1245" s="10">
        <v>-0.37488419899999997</v>
      </c>
      <c r="F1245" s="10">
        <v>-0.99071194399999996</v>
      </c>
      <c r="G1245" s="10">
        <v>-0.88424563499999997</v>
      </c>
      <c r="H1245" s="9">
        <v>-0.81040767375</v>
      </c>
      <c r="I1245" s="10">
        <v>0.294698448412615</v>
      </c>
      <c r="J1245" s="10">
        <v>8.6847175496802806E-2</v>
      </c>
      <c r="K1245" s="10">
        <v>-0.13821755799999999</v>
      </c>
      <c r="L1245" s="10">
        <v>-0.16448633300000001</v>
      </c>
      <c r="M1245" s="10">
        <v>0.25422935600000002</v>
      </c>
      <c r="N1245" s="10">
        <v>-0.147030884</v>
      </c>
      <c r="O1245" s="9">
        <v>-4.8876355000000003E-2</v>
      </c>
      <c r="P1245" s="10">
        <v>0.202365100063124</v>
      </c>
      <c r="Q1245" s="10">
        <v>4.0951633723558298E-2</v>
      </c>
    </row>
    <row r="1246" spans="1:17" x14ac:dyDescent="0.2">
      <c r="A1246" s="10">
        <v>1842</v>
      </c>
      <c r="B1246" s="10" t="s">
        <v>2824</v>
      </c>
      <c r="C1246" s="9" t="s">
        <v>1941</v>
      </c>
      <c r="D1246" s="10">
        <v>-0.45680007900000003</v>
      </c>
      <c r="E1246" s="10">
        <v>-0.327043256</v>
      </c>
      <c r="F1246" s="10">
        <v>-0.51202332100000003</v>
      </c>
      <c r="G1246" s="10">
        <v>-1.189224694</v>
      </c>
      <c r="H1246" s="9">
        <v>-0.62127283725000004</v>
      </c>
      <c r="I1246" s="10">
        <v>0.38649152775343099</v>
      </c>
      <c r="J1246" s="10">
        <v>0.149375701025181</v>
      </c>
      <c r="K1246" s="10">
        <v>-0.207026087</v>
      </c>
      <c r="L1246" s="10">
        <v>-0.47442635300000002</v>
      </c>
      <c r="M1246" s="10">
        <v>-0.18398257200000001</v>
      </c>
      <c r="N1246" s="10">
        <v>-0.34541936699999998</v>
      </c>
      <c r="O1246" s="9">
        <v>-0.30271359474999998</v>
      </c>
      <c r="P1246" s="10">
        <v>0.13486068024935799</v>
      </c>
      <c r="Q1246" s="10">
        <v>1.8187403077319701E-2</v>
      </c>
    </row>
    <row r="1247" spans="1:17" x14ac:dyDescent="0.2">
      <c r="A1247" s="10">
        <v>1843</v>
      </c>
      <c r="B1247" s="10" t="s">
        <v>2819</v>
      </c>
      <c r="C1247" s="9" t="s">
        <v>1943</v>
      </c>
      <c r="D1247" s="10">
        <v>-0.71886744199999997</v>
      </c>
      <c r="E1247" s="10">
        <v>-0.12900255799999999</v>
      </c>
      <c r="F1247" s="10">
        <v>-0.84985153300000005</v>
      </c>
      <c r="G1247" s="10">
        <v>-0.43025796799999999</v>
      </c>
      <c r="H1247" s="9">
        <v>-0.53199487525</v>
      </c>
      <c r="I1247" s="10">
        <v>0.32078415232003599</v>
      </c>
      <c r="J1247" s="10">
        <v>0.102902472379684</v>
      </c>
      <c r="K1247" s="10">
        <v>-0.37022103000000001</v>
      </c>
      <c r="L1247" s="10">
        <v>-0.18766461800000001</v>
      </c>
      <c r="M1247" s="10">
        <v>-0.20114580200000001</v>
      </c>
      <c r="N1247" s="10">
        <v>-0.48094280700000003</v>
      </c>
      <c r="O1247" s="9">
        <v>-0.30999356449999999</v>
      </c>
      <c r="P1247" s="10">
        <v>0.141023872287559</v>
      </c>
      <c r="Q1247" s="10">
        <v>1.9887732554977899E-2</v>
      </c>
    </row>
    <row r="1248" spans="1:17" x14ac:dyDescent="0.2">
      <c r="A1248" s="10">
        <v>1843</v>
      </c>
      <c r="B1248" s="10" t="s">
        <v>2821</v>
      </c>
      <c r="C1248" s="9" t="s">
        <v>1944</v>
      </c>
      <c r="D1248" s="10">
        <v>-0.56164591799999997</v>
      </c>
      <c r="E1248" s="10">
        <v>-0.69544148100000003</v>
      </c>
      <c r="F1248" s="10">
        <v>-0.68738567299999997</v>
      </c>
      <c r="G1248" s="10">
        <v>-0.54075837699999996</v>
      </c>
      <c r="H1248" s="9">
        <v>-0.62130786199999999</v>
      </c>
      <c r="I1248" s="10">
        <v>8.1465407112903301E-2</v>
      </c>
      <c r="J1248" s="10">
        <v>6.6366125560710001E-3</v>
      </c>
      <c r="K1248" s="10">
        <v>-0.31827898599999999</v>
      </c>
      <c r="L1248" s="10">
        <v>-0.28599051199999997</v>
      </c>
      <c r="M1248" s="10">
        <v>-0.16262072899999999</v>
      </c>
      <c r="N1248" s="10">
        <v>-6.4123763E-2</v>
      </c>
      <c r="O1248" s="9">
        <v>-0.2077534975</v>
      </c>
      <c r="P1248" s="10">
        <v>0.11690934019009699</v>
      </c>
      <c r="Q1248" s="10">
        <v>1.36677938236839E-2</v>
      </c>
    </row>
    <row r="1249" spans="1:17" x14ac:dyDescent="0.2">
      <c r="A1249" s="10">
        <v>1843</v>
      </c>
      <c r="B1249" s="10" t="s">
        <v>2814</v>
      </c>
      <c r="C1249" s="9" t="s">
        <v>1946</v>
      </c>
      <c r="D1249" s="10">
        <v>0.18151235199999999</v>
      </c>
      <c r="E1249" s="10">
        <v>-0.51897909499999995</v>
      </c>
      <c r="F1249" s="10">
        <v>-0.22650300000000001</v>
      </c>
      <c r="G1249" s="10">
        <v>0.53164429899999999</v>
      </c>
      <c r="H1249" s="9">
        <v>-8.0813610000000004E-3</v>
      </c>
      <c r="I1249" s="10">
        <v>0.46042519155716</v>
      </c>
      <c r="J1249" s="10">
        <v>0.211991357020447</v>
      </c>
      <c r="K1249" s="10">
        <v>-0.66992432499999999</v>
      </c>
      <c r="L1249" s="10">
        <v>-5.8358897E-2</v>
      </c>
      <c r="M1249" s="10">
        <v>-6.9631595000000004E-2</v>
      </c>
      <c r="N1249" s="10">
        <v>-0.47334310299999999</v>
      </c>
      <c r="O1249" s="9">
        <v>-0.31781448000000001</v>
      </c>
      <c r="P1249" s="10">
        <v>0.30390921861360298</v>
      </c>
      <c r="Q1249" s="10">
        <v>9.2360813158331001E-2</v>
      </c>
    </row>
    <row r="1250" spans="1:17" x14ac:dyDescent="0.2">
      <c r="A1250" s="10">
        <v>1843</v>
      </c>
      <c r="B1250" s="10" t="s">
        <v>74</v>
      </c>
      <c r="C1250" s="9" t="s">
        <v>1948</v>
      </c>
      <c r="D1250" s="10">
        <v>5.6967603999999998E-2</v>
      </c>
      <c r="E1250" s="10">
        <v>0.43930759800000002</v>
      </c>
      <c r="F1250" s="10">
        <v>0.61921332900000003</v>
      </c>
      <c r="G1250" s="10">
        <v>0.111313784</v>
      </c>
      <c r="H1250" s="9">
        <v>0.30670057849999999</v>
      </c>
      <c r="I1250" s="10">
        <v>0.26819855757960998</v>
      </c>
      <c r="J1250" s="10">
        <v>7.1930466287783795E-2</v>
      </c>
      <c r="K1250" s="10">
        <v>-0.18551541099999999</v>
      </c>
      <c r="L1250" s="10">
        <v>-0.26602535300000002</v>
      </c>
      <c r="M1250" s="10">
        <v>-0.56205728700000002</v>
      </c>
      <c r="N1250" s="10">
        <v>0.13880546599999999</v>
      </c>
      <c r="O1250" s="9">
        <v>-0.21869814625</v>
      </c>
      <c r="P1250" s="10">
        <v>0.28812340569381301</v>
      </c>
      <c r="Q1250" s="10">
        <v>8.3015096908601801E-2</v>
      </c>
    </row>
    <row r="1251" spans="1:17" x14ac:dyDescent="0.2">
      <c r="A1251" s="10">
        <v>1843</v>
      </c>
      <c r="B1251" s="10" t="s">
        <v>2818</v>
      </c>
      <c r="C1251" s="9" t="s">
        <v>1949</v>
      </c>
      <c r="D1251" s="10">
        <v>-0.245514854</v>
      </c>
      <c r="E1251" s="10">
        <v>-0.34306687800000002</v>
      </c>
      <c r="F1251" s="10">
        <v>-0.20854605800000001</v>
      </c>
      <c r="G1251" s="10">
        <v>-0.41033708899999999</v>
      </c>
      <c r="H1251" s="9">
        <v>-0.30186621975</v>
      </c>
      <c r="I1251" s="10">
        <v>9.1919444310440093E-2</v>
      </c>
      <c r="J1251" s="10">
        <v>8.4491842423400996E-3</v>
      </c>
      <c r="K1251" s="10">
        <v>0.58569786700000004</v>
      </c>
      <c r="L1251" s="10">
        <v>0.32034157800000002</v>
      </c>
      <c r="M1251" s="10">
        <v>-0.35975564700000001</v>
      </c>
      <c r="N1251" s="10">
        <v>-0.14160046800000001</v>
      </c>
      <c r="O1251" s="9">
        <v>0.10117083225</v>
      </c>
      <c r="P1251" s="10">
        <v>0.429803593398626</v>
      </c>
      <c r="Q1251" s="10">
        <v>0.18473112889837101</v>
      </c>
    </row>
    <row r="1252" spans="1:17" x14ac:dyDescent="0.2">
      <c r="A1252" s="10">
        <v>1843</v>
      </c>
      <c r="B1252" s="10" t="s">
        <v>2830</v>
      </c>
      <c r="C1252" s="9" t="s">
        <v>1950</v>
      </c>
      <c r="D1252" s="10">
        <v>0.14109123200000001</v>
      </c>
      <c r="E1252" s="10">
        <v>-7.0764570000000004E-3</v>
      </c>
      <c r="F1252" s="10">
        <v>-0.33245353</v>
      </c>
      <c r="G1252" s="10">
        <v>-0.50009801600000003</v>
      </c>
      <c r="H1252" s="9">
        <v>-0.17463419299999999</v>
      </c>
      <c r="I1252" s="10">
        <v>0.29359370003332302</v>
      </c>
      <c r="J1252" s="10">
        <v>8.6197260699256997E-2</v>
      </c>
      <c r="K1252" s="10">
        <v>0.110256455</v>
      </c>
      <c r="L1252" s="10">
        <v>-0.37448719400000002</v>
      </c>
      <c r="M1252" s="10">
        <v>0.268302492</v>
      </c>
      <c r="N1252" s="10">
        <v>4.2941848999999997E-2</v>
      </c>
      <c r="O1252" s="9">
        <v>1.17534005E-2</v>
      </c>
      <c r="P1252" s="10">
        <v>0.27427164408961102</v>
      </c>
      <c r="Q1252" s="10">
        <v>7.5224934751618594E-2</v>
      </c>
    </row>
    <row r="1253" spans="1:17" x14ac:dyDescent="0.2">
      <c r="A1253" s="10">
        <v>1844</v>
      </c>
      <c r="B1253" s="10" t="s">
        <v>2830</v>
      </c>
      <c r="C1253" s="9" t="s">
        <v>1956</v>
      </c>
      <c r="D1253" s="10">
        <v>0.14469643099999999</v>
      </c>
      <c r="E1253" s="10">
        <v>-0.25908701299999998</v>
      </c>
      <c r="F1253" s="10">
        <v>-0.30102032200000001</v>
      </c>
      <c r="G1253" s="10">
        <v>-0.319179194</v>
      </c>
      <c r="H1253" s="9">
        <v>-0.18364752449999999</v>
      </c>
      <c r="I1253" s="10">
        <v>0.22033767764423201</v>
      </c>
      <c r="J1253" s="10">
        <v>4.8548692189653603E-2</v>
      </c>
      <c r="K1253" s="10">
        <v>-2.2626576999999998E-2</v>
      </c>
      <c r="L1253" s="10">
        <v>-6.6532442999999997E-2</v>
      </c>
      <c r="M1253" s="10">
        <v>-0.133844249</v>
      </c>
      <c r="N1253" s="10">
        <v>6.8649699999999998E-3</v>
      </c>
      <c r="O1253" s="9">
        <v>-5.4034575000000001E-2</v>
      </c>
      <c r="P1253" s="10">
        <v>6.1158258336076202E-2</v>
      </c>
      <c r="Q1253" s="10">
        <v>3.7403325627021998E-3</v>
      </c>
    </row>
    <row r="1254" spans="1:17" x14ac:dyDescent="0.2">
      <c r="A1254" s="10">
        <v>1845</v>
      </c>
      <c r="B1254" s="10" t="s">
        <v>2831</v>
      </c>
      <c r="C1254" s="9" t="s">
        <v>1958</v>
      </c>
      <c r="D1254" s="10">
        <v>-0.47480119100000001</v>
      </c>
      <c r="E1254" s="10">
        <v>-1.084169355</v>
      </c>
      <c r="F1254" s="10">
        <v>-0.51747061699999997</v>
      </c>
      <c r="G1254" s="10">
        <v>-1.1749816259999999</v>
      </c>
      <c r="H1254" s="9">
        <v>-0.81285569724999995</v>
      </c>
      <c r="I1254" s="10">
        <v>0.36800338947033401</v>
      </c>
      <c r="J1254" s="10">
        <v>0.13542649466165399</v>
      </c>
      <c r="K1254" s="10">
        <v>-0.182566747</v>
      </c>
      <c r="L1254" s="10">
        <v>-0.12848607000000001</v>
      </c>
      <c r="M1254" s="10">
        <v>-2.2812275999999999E-2</v>
      </c>
      <c r="N1254" s="10">
        <v>0.204022645</v>
      </c>
      <c r="O1254" s="9">
        <v>-3.2460612E-2</v>
      </c>
      <c r="P1254" s="10">
        <v>0.171045960273493</v>
      </c>
      <c r="Q1254" s="10">
        <v>2.9256720525881599E-2</v>
      </c>
    </row>
    <row r="1255" spans="1:17" x14ac:dyDescent="0.2">
      <c r="A1255" s="10">
        <v>1845</v>
      </c>
      <c r="B1255" s="10" t="s">
        <v>2823</v>
      </c>
      <c r="C1255" s="9" t="s">
        <v>1960</v>
      </c>
      <c r="D1255" s="10">
        <v>-2.4953423999999998E-2</v>
      </c>
      <c r="E1255" s="10">
        <v>-0.48875207300000001</v>
      </c>
      <c r="F1255" s="10">
        <v>-0.26101619399999998</v>
      </c>
      <c r="G1255" s="10">
        <v>-0.79754841600000004</v>
      </c>
      <c r="H1255" s="9">
        <v>-0.39306752675000001</v>
      </c>
      <c r="I1255" s="10">
        <v>0.32949753124215603</v>
      </c>
      <c r="J1255" s="10">
        <v>0.10856862309467601</v>
      </c>
      <c r="K1255" s="10">
        <v>-0.26749234500000002</v>
      </c>
      <c r="L1255" s="10">
        <v>5.2623467E-2</v>
      </c>
      <c r="M1255" s="10">
        <v>-0.23063804099999999</v>
      </c>
      <c r="N1255" s="10">
        <v>-0.43232003800000002</v>
      </c>
      <c r="O1255" s="9">
        <v>-0.21945673925</v>
      </c>
      <c r="P1255" s="10">
        <v>0.20147031503124499</v>
      </c>
      <c r="Q1255" s="10">
        <v>4.0590287838789402E-2</v>
      </c>
    </row>
    <row r="1256" spans="1:17" x14ac:dyDescent="0.2">
      <c r="A1256" s="10">
        <v>1845</v>
      </c>
      <c r="B1256" s="10" t="s">
        <v>2826</v>
      </c>
      <c r="C1256" s="9" t="s">
        <v>1961</v>
      </c>
      <c r="D1256" s="10">
        <v>-0.237273181</v>
      </c>
      <c r="E1256" s="10">
        <v>-0.62936973200000002</v>
      </c>
      <c r="F1256" s="10">
        <v>0.10038043300000001</v>
      </c>
      <c r="G1256" s="10">
        <v>-0.52597601800000005</v>
      </c>
      <c r="H1256" s="9">
        <v>-0.32305962449999998</v>
      </c>
      <c r="I1256" s="10">
        <v>0.32744553791009201</v>
      </c>
      <c r="J1256" s="10">
        <v>0.10722058029723</v>
      </c>
      <c r="K1256" s="10">
        <v>-0.62495259999999997</v>
      </c>
      <c r="L1256" s="10">
        <v>-0.617858299</v>
      </c>
      <c r="M1256" s="10">
        <v>-0.299274973</v>
      </c>
      <c r="N1256" s="10">
        <v>-5.5840899999999999E-2</v>
      </c>
      <c r="O1256" s="9">
        <v>-0.39948169324999999</v>
      </c>
      <c r="P1256" s="10">
        <v>0.27486715172867798</v>
      </c>
      <c r="Q1256" s="10">
        <v>7.5551951099436299E-2</v>
      </c>
    </row>
    <row r="1257" spans="1:17" x14ac:dyDescent="0.2">
      <c r="A1257" s="10">
        <v>1845</v>
      </c>
      <c r="B1257" s="10" t="s">
        <v>2820</v>
      </c>
      <c r="C1257" s="9" t="s">
        <v>1963</v>
      </c>
      <c r="D1257" s="10">
        <v>-0.35728643399999999</v>
      </c>
      <c r="E1257" s="10">
        <v>-0.44788494699999998</v>
      </c>
      <c r="F1257" s="10">
        <v>-0.94631180999999998</v>
      </c>
      <c r="G1257" s="10">
        <v>-0.84832556299999995</v>
      </c>
      <c r="H1257" s="9">
        <v>-0.64995218850000003</v>
      </c>
      <c r="I1257" s="10">
        <v>0.29078367383710602</v>
      </c>
      <c r="J1257" s="10">
        <v>8.4555144970204693E-2</v>
      </c>
      <c r="K1257" s="10">
        <v>2.6855456E-2</v>
      </c>
      <c r="L1257" s="10">
        <v>0.17279543</v>
      </c>
      <c r="M1257" s="10">
        <v>-0.35802808600000002</v>
      </c>
      <c r="N1257" s="10">
        <v>-0.25133070400000002</v>
      </c>
      <c r="O1257" s="9">
        <v>-0.102426976</v>
      </c>
      <c r="P1257" s="10">
        <v>0.24492554490007301</v>
      </c>
      <c r="Q1257" s="10">
        <v>5.99885225445978E-2</v>
      </c>
    </row>
    <row r="1258" spans="1:17" x14ac:dyDescent="0.2">
      <c r="A1258" s="10">
        <v>1845</v>
      </c>
      <c r="B1258" s="10" t="s">
        <v>2824</v>
      </c>
      <c r="C1258" s="9" t="s">
        <v>1964</v>
      </c>
      <c r="D1258" s="10">
        <v>0.237823857</v>
      </c>
      <c r="E1258" s="10">
        <v>0.16115222400000001</v>
      </c>
      <c r="F1258" s="10">
        <v>0.240712907</v>
      </c>
      <c r="G1258" s="10">
        <v>-0.15337873399999999</v>
      </c>
      <c r="H1258" s="9">
        <v>0.12157756375000001</v>
      </c>
      <c r="I1258" s="10">
        <v>0.18697018488870501</v>
      </c>
      <c r="J1258" s="10">
        <v>3.49578500373166E-2</v>
      </c>
      <c r="K1258" s="10">
        <v>4.5807339000000002E-2</v>
      </c>
      <c r="L1258" s="10">
        <v>0.141521429</v>
      </c>
      <c r="M1258" s="10">
        <v>0.19664625699999999</v>
      </c>
      <c r="N1258" s="10">
        <v>0.38639552599999999</v>
      </c>
      <c r="O1258" s="9">
        <v>0.19259263800000001</v>
      </c>
      <c r="P1258" s="10">
        <v>0.143445905733809</v>
      </c>
      <c r="Q1258" s="10">
        <v>2.0576727871792901E-2</v>
      </c>
    </row>
    <row r="1259" spans="1:17" x14ac:dyDescent="0.2">
      <c r="A1259" s="10">
        <v>1845</v>
      </c>
      <c r="B1259" s="10" t="s">
        <v>2833</v>
      </c>
      <c r="C1259" s="9" t="s">
        <v>1966</v>
      </c>
      <c r="D1259" s="10">
        <v>-0.17872793300000001</v>
      </c>
      <c r="E1259" s="10">
        <v>-0.319607221</v>
      </c>
      <c r="F1259" s="10">
        <v>-0.122394194</v>
      </c>
      <c r="G1259" s="10">
        <v>-0.434222267</v>
      </c>
      <c r="H1259" s="9">
        <v>-0.26373790400000002</v>
      </c>
      <c r="I1259" s="10">
        <v>0.14070185752806899</v>
      </c>
      <c r="J1259" s="10">
        <v>1.9797012711848999E-2</v>
      </c>
      <c r="K1259" s="10">
        <v>9.9788291000000001E-2</v>
      </c>
      <c r="L1259" s="10">
        <v>-0.35629143200000002</v>
      </c>
      <c r="M1259" s="10">
        <v>-0.27678942600000001</v>
      </c>
      <c r="N1259" s="10">
        <v>-0.13861147600000001</v>
      </c>
      <c r="O1259" s="9">
        <v>-0.16797601074999999</v>
      </c>
      <c r="P1259" s="10">
        <v>0.19988584609861901</v>
      </c>
      <c r="Q1259" s="10">
        <v>3.9954351470560902E-2</v>
      </c>
    </row>
    <row r="1260" spans="1:17" x14ac:dyDescent="0.2">
      <c r="A1260" s="10">
        <v>1845</v>
      </c>
      <c r="B1260" s="10" t="s">
        <v>74</v>
      </c>
      <c r="C1260" s="9" t="s">
        <v>1968</v>
      </c>
      <c r="D1260" s="10">
        <v>-0.68519045300000003</v>
      </c>
      <c r="E1260" s="10">
        <v>-0.756442477</v>
      </c>
      <c r="F1260" s="10">
        <v>-0.64708707099999996</v>
      </c>
      <c r="G1260" s="10">
        <v>-0.40294758000000003</v>
      </c>
      <c r="H1260" s="9">
        <v>-0.62291689525000005</v>
      </c>
      <c r="I1260" s="10">
        <v>0.15349025378815601</v>
      </c>
      <c r="J1260" s="10">
        <v>2.3559258007952701E-2</v>
      </c>
      <c r="K1260" s="10">
        <v>-0.13033446200000001</v>
      </c>
      <c r="L1260" s="10">
        <v>-0.34339166599999998</v>
      </c>
      <c r="M1260" s="10">
        <v>-0.36595581199999999</v>
      </c>
      <c r="N1260" s="10">
        <v>-2.5181353E-2</v>
      </c>
      <c r="O1260" s="9">
        <v>-0.21621582324999999</v>
      </c>
      <c r="P1260" s="10">
        <v>0.16579659852147499</v>
      </c>
      <c r="Q1260" s="10">
        <v>2.74885120812913E-2</v>
      </c>
    </row>
    <row r="1261" spans="1:17" x14ac:dyDescent="0.2">
      <c r="A1261" s="10">
        <v>1845</v>
      </c>
      <c r="B1261" s="10" t="s">
        <v>2835</v>
      </c>
      <c r="C1261" s="9" t="s">
        <v>1971</v>
      </c>
      <c r="D1261" s="10">
        <v>-0.53382428999999998</v>
      </c>
      <c r="E1261" s="10">
        <v>-0.26333071299999999</v>
      </c>
      <c r="F1261" s="10">
        <v>-0.23645724100000001</v>
      </c>
      <c r="G1261" s="10">
        <v>-6.8097057000000003E-2</v>
      </c>
      <c r="H1261" s="9">
        <v>-0.27542732525000002</v>
      </c>
      <c r="I1261" s="10">
        <v>0.19271726009797199</v>
      </c>
      <c r="J1261" s="10">
        <v>3.7139942339669503E-2</v>
      </c>
      <c r="K1261" s="10">
        <v>-0.71751381199999997</v>
      </c>
      <c r="L1261" s="10">
        <v>4.1903027000000002E-2</v>
      </c>
      <c r="M1261" s="10">
        <v>-0.24548653300000001</v>
      </c>
      <c r="N1261" s="10">
        <v>0.11392946299999999</v>
      </c>
      <c r="O1261" s="9">
        <v>-0.20179196399999999</v>
      </c>
      <c r="P1261" s="10">
        <v>0.377246828115685</v>
      </c>
      <c r="Q1261" s="10">
        <v>0.14231516932334501</v>
      </c>
    </row>
    <row r="1262" spans="1:17" x14ac:dyDescent="0.2">
      <c r="A1262" s="10">
        <v>1846</v>
      </c>
      <c r="B1262" s="10" t="s">
        <v>2831</v>
      </c>
      <c r="C1262" s="9" t="s">
        <v>1972</v>
      </c>
      <c r="D1262" s="10">
        <v>-0.56569408899999996</v>
      </c>
      <c r="E1262" s="10">
        <v>-2.0306485429999999</v>
      </c>
      <c r="F1262" s="10">
        <v>-1.132292981</v>
      </c>
      <c r="G1262" s="10">
        <v>-1.140552816</v>
      </c>
      <c r="H1262" s="9">
        <v>-1.217297107</v>
      </c>
      <c r="I1262" s="10">
        <v>0.60532152314509302</v>
      </c>
      <c r="J1262" s="10">
        <v>0.36641414638269498</v>
      </c>
      <c r="K1262" s="10">
        <v>0.49098721499999998</v>
      </c>
      <c r="L1262" s="10">
        <v>4.183315E-2</v>
      </c>
      <c r="M1262" s="10">
        <v>-0.402651127</v>
      </c>
      <c r="N1262" s="10">
        <v>-0.18410944000000001</v>
      </c>
      <c r="O1262" s="9">
        <v>-1.348505025E-2</v>
      </c>
      <c r="P1262" s="10">
        <v>0.38214974698230197</v>
      </c>
      <c r="Q1262" s="10">
        <v>0.14603842911863699</v>
      </c>
    </row>
    <row r="1263" spans="1:17" x14ac:dyDescent="0.2">
      <c r="A1263" s="10">
        <v>1846</v>
      </c>
      <c r="B1263" s="10" t="s">
        <v>2823</v>
      </c>
      <c r="C1263" s="9" t="s">
        <v>1973</v>
      </c>
      <c r="D1263" s="10">
        <v>-0.66861370600000003</v>
      </c>
      <c r="E1263" s="10">
        <v>-0.52622961499999998</v>
      </c>
      <c r="F1263" s="10">
        <v>-0.458618052</v>
      </c>
      <c r="G1263" s="10">
        <v>-0.81982755799999996</v>
      </c>
      <c r="H1263" s="9">
        <v>-0.61832223274999998</v>
      </c>
      <c r="I1263" s="10">
        <v>0.160333094918921</v>
      </c>
      <c r="J1263" s="10">
        <v>2.5706701326280001E-2</v>
      </c>
      <c r="K1263" s="10">
        <v>-1.0438606969999999</v>
      </c>
      <c r="L1263" s="10">
        <v>-0.938636786</v>
      </c>
      <c r="M1263" s="10">
        <v>-0.48765073199999998</v>
      </c>
      <c r="N1263" s="10">
        <v>-0.65597104799999995</v>
      </c>
      <c r="O1263" s="9">
        <v>-0.78152981575000002</v>
      </c>
      <c r="P1263" s="10">
        <v>0.25536249488597801</v>
      </c>
      <c r="Q1263" s="10">
        <v>6.5210003794391305E-2</v>
      </c>
    </row>
    <row r="1264" spans="1:17" x14ac:dyDescent="0.2">
      <c r="A1264" s="10">
        <v>1846</v>
      </c>
      <c r="B1264" s="10" t="s">
        <v>2821</v>
      </c>
      <c r="C1264" s="9" t="s">
        <v>2589</v>
      </c>
      <c r="D1264" s="10">
        <v>-0.31714868800000001</v>
      </c>
      <c r="E1264" s="10">
        <v>0.459158542</v>
      </c>
      <c r="F1264" s="10">
        <v>0.41860545399999999</v>
      </c>
      <c r="G1264" s="10">
        <v>0.60429284000000005</v>
      </c>
      <c r="H1264" s="9">
        <v>0.29122703700000002</v>
      </c>
      <c r="I1264" s="10">
        <v>0.41334306625622802</v>
      </c>
      <c r="J1264" s="10">
        <v>0.17085249042209999</v>
      </c>
      <c r="K1264" s="10">
        <v>0.48271210599999997</v>
      </c>
      <c r="L1264" s="10">
        <v>0.74306433000000005</v>
      </c>
      <c r="M1264" s="10">
        <v>0.52477806299999996</v>
      </c>
      <c r="N1264" s="10">
        <v>0.86853803100000004</v>
      </c>
      <c r="O1264" s="9">
        <v>0.65477313250000002</v>
      </c>
      <c r="P1264" s="10">
        <v>0.18256914883703901</v>
      </c>
      <c r="Q1264" s="10">
        <v>3.3331494107080903E-2</v>
      </c>
    </row>
    <row r="1265" spans="1:17" x14ac:dyDescent="0.2">
      <c r="A1265" s="10">
        <v>1846</v>
      </c>
      <c r="B1265" s="10" t="s">
        <v>2820</v>
      </c>
      <c r="C1265" s="9" t="s">
        <v>1975</v>
      </c>
      <c r="D1265" s="10">
        <v>0.44648208900000003</v>
      </c>
      <c r="E1265" s="10">
        <v>2.5304969E-2</v>
      </c>
      <c r="F1265" s="10">
        <v>1.6294092999999999E-2</v>
      </c>
      <c r="G1265" s="10">
        <v>0.76300952700000002</v>
      </c>
      <c r="H1265" s="9">
        <v>0.31277266975000001</v>
      </c>
      <c r="I1265" s="10">
        <v>0.36107647475695298</v>
      </c>
      <c r="J1265" s="10">
        <v>0.13037622062290799</v>
      </c>
      <c r="K1265" s="10">
        <v>0.56843222800000004</v>
      </c>
      <c r="L1265" s="10">
        <v>0.53365796799999998</v>
      </c>
      <c r="M1265" s="10">
        <v>0.13620675400000001</v>
      </c>
      <c r="N1265" s="10">
        <v>0.59634304900000001</v>
      </c>
      <c r="O1265" s="9">
        <v>0.45865999974999999</v>
      </c>
      <c r="P1265" s="10">
        <v>0.216492767455855</v>
      </c>
      <c r="Q1265" s="10">
        <v>4.6869118360695301E-2</v>
      </c>
    </row>
    <row r="1266" spans="1:17" x14ac:dyDescent="0.2">
      <c r="A1266" s="10">
        <v>1846</v>
      </c>
      <c r="B1266" s="10" t="s">
        <v>2824</v>
      </c>
      <c r="C1266" s="9" t="s">
        <v>1976</v>
      </c>
      <c r="D1266" s="10">
        <v>-0.66852191999999999</v>
      </c>
      <c r="E1266" s="10">
        <v>-0.75830237700000003</v>
      </c>
      <c r="F1266" s="10">
        <v>-0.44132301699999998</v>
      </c>
      <c r="G1266" s="10">
        <v>-0.99700624100000002</v>
      </c>
      <c r="H1266" s="9">
        <v>-0.71628838849999998</v>
      </c>
      <c r="I1266" s="10">
        <v>0.229822597510184</v>
      </c>
      <c r="J1266" s="10">
        <v>5.2818426326328098E-2</v>
      </c>
      <c r="K1266" s="10">
        <v>-0.313021406</v>
      </c>
      <c r="L1266" s="10">
        <v>-8.1867026999999995E-2</v>
      </c>
      <c r="M1266" s="10">
        <v>-0.11976505799999999</v>
      </c>
      <c r="N1266" s="10">
        <v>-0.40588627399999999</v>
      </c>
      <c r="O1266" s="9">
        <v>-0.23013494125</v>
      </c>
      <c r="P1266" s="10">
        <v>0.15483709991129099</v>
      </c>
      <c r="Q1266" s="10">
        <v>2.39745275089394E-2</v>
      </c>
    </row>
    <row r="1267" spans="1:17" x14ac:dyDescent="0.2">
      <c r="A1267" s="10">
        <v>1846</v>
      </c>
      <c r="B1267" s="10" t="s">
        <v>2817</v>
      </c>
      <c r="C1267" s="9" t="s">
        <v>1977</v>
      </c>
      <c r="D1267" s="10">
        <v>5.9741172000000002E-2</v>
      </c>
      <c r="E1267" s="10">
        <v>-0.139994229</v>
      </c>
      <c r="F1267" s="10">
        <v>0.10079814199999999</v>
      </c>
      <c r="G1267" s="10">
        <v>-0.23936042599999999</v>
      </c>
      <c r="H1267" s="9">
        <v>-5.4703835249999999E-2</v>
      </c>
      <c r="I1267" s="10">
        <v>0.161916678558814</v>
      </c>
      <c r="J1267" s="10">
        <v>2.6217010795518299E-2</v>
      </c>
      <c r="K1267" s="10">
        <v>-9.5978524999999995E-2</v>
      </c>
      <c r="L1267" s="10">
        <v>-1.4154339E-2</v>
      </c>
      <c r="M1267" s="10">
        <v>-0.58653326500000003</v>
      </c>
      <c r="N1267" s="10">
        <v>0.26818325399999998</v>
      </c>
      <c r="O1267" s="9">
        <v>-0.1071207185</v>
      </c>
      <c r="P1267" s="10">
        <v>0.35564793345349499</v>
      </c>
      <c r="Q1267" s="10">
        <v>0.126485452569741</v>
      </c>
    </row>
    <row r="1268" spans="1:17" x14ac:dyDescent="0.2">
      <c r="A1268" s="10">
        <v>1846</v>
      </c>
      <c r="B1268" s="10" t="s">
        <v>2814</v>
      </c>
      <c r="C1268" s="9" t="s">
        <v>1978</v>
      </c>
      <c r="D1268" s="10">
        <v>-0.56367632899999998</v>
      </c>
      <c r="E1268" s="10">
        <v>-0.76744995100000002</v>
      </c>
      <c r="F1268" s="10">
        <v>-0.85467636300000005</v>
      </c>
      <c r="G1268" s="10">
        <v>-1.1401445880000001</v>
      </c>
      <c r="H1268" s="9">
        <v>-0.83148680750000004</v>
      </c>
      <c r="I1268" s="10">
        <v>0.23918650486755699</v>
      </c>
      <c r="J1268" s="10">
        <v>5.7210184110758101E-2</v>
      </c>
      <c r="K1268" s="10">
        <v>-8.6502660999999995E-2</v>
      </c>
      <c r="L1268" s="10">
        <v>-7.7975955999999999E-2</v>
      </c>
      <c r="M1268" s="10">
        <v>-2.6085194999999999E-2</v>
      </c>
      <c r="N1268" s="10">
        <v>-0.20403296300000001</v>
      </c>
      <c r="O1268" s="9">
        <v>-9.8649193750000003E-2</v>
      </c>
      <c r="P1268" s="10">
        <v>7.5158041824859703E-2</v>
      </c>
      <c r="Q1268" s="10">
        <v>5.6487312509473E-3</v>
      </c>
    </row>
    <row r="1269" spans="1:17" x14ac:dyDescent="0.2">
      <c r="A1269" s="10">
        <v>1846</v>
      </c>
      <c r="B1269" s="10" t="s">
        <v>2825</v>
      </c>
      <c r="C1269" s="9" t="s">
        <v>1979</v>
      </c>
      <c r="D1269" s="10">
        <v>9.3309550000000002E-3</v>
      </c>
      <c r="E1269" s="10">
        <v>-0.22973280300000001</v>
      </c>
      <c r="F1269" s="10">
        <v>4.9889916999999999E-2</v>
      </c>
      <c r="G1269" s="10">
        <v>-7.5929838999999999E-2</v>
      </c>
      <c r="H1269" s="9">
        <v>-6.1610442750000001E-2</v>
      </c>
      <c r="I1269" s="10">
        <v>0.123740569019889</v>
      </c>
      <c r="J1269" s="10">
        <v>1.53117284213661E-2</v>
      </c>
      <c r="K1269" s="10">
        <v>9.3527245999999994E-2</v>
      </c>
      <c r="L1269" s="10">
        <v>-0.30415663700000001</v>
      </c>
      <c r="M1269" s="10">
        <v>3.2322284999999999E-2</v>
      </c>
      <c r="N1269" s="10">
        <v>0.41046142600000002</v>
      </c>
      <c r="O1269" s="9">
        <v>5.8038579749999999E-2</v>
      </c>
      <c r="P1269" s="10">
        <v>0.29286402467322797</v>
      </c>
      <c r="Q1269" s="10">
        <v>8.5769336947801103E-2</v>
      </c>
    </row>
    <row r="1270" spans="1:17" x14ac:dyDescent="0.2">
      <c r="A1270" s="10">
        <v>1846</v>
      </c>
      <c r="B1270" s="10" t="s">
        <v>74</v>
      </c>
      <c r="C1270" s="9" t="s">
        <v>1980</v>
      </c>
      <c r="D1270" s="10">
        <v>-1.7446442069999999</v>
      </c>
      <c r="E1270" s="10">
        <v>0.12596839600000001</v>
      </c>
      <c r="F1270" s="10">
        <v>1.5855337000000001E-2</v>
      </c>
      <c r="G1270" s="10">
        <v>-0.30582000500000001</v>
      </c>
      <c r="H1270" s="9">
        <v>-0.47716012000000002</v>
      </c>
      <c r="I1270" s="10">
        <v>0.86461968391883404</v>
      </c>
      <c r="J1270" s="10">
        <v>0.74756719781990499</v>
      </c>
      <c r="K1270" s="10">
        <v>-0.65903756300000005</v>
      </c>
      <c r="L1270" s="10">
        <v>0.16986886700000001</v>
      </c>
      <c r="M1270" s="10">
        <v>-0.21829817300000001</v>
      </c>
      <c r="N1270" s="10">
        <v>-0.61660330900000004</v>
      </c>
      <c r="O1270" s="9">
        <v>-0.33101754449999998</v>
      </c>
      <c r="P1270" s="10">
        <v>0.38847960708317397</v>
      </c>
      <c r="Q1270" s="10">
        <v>0.150916405119497</v>
      </c>
    </row>
    <row r="1271" spans="1:17" x14ac:dyDescent="0.2">
      <c r="A1271" s="10">
        <v>1846</v>
      </c>
      <c r="B1271" s="10" t="s">
        <v>2830</v>
      </c>
      <c r="C1271" s="9" t="s">
        <v>1981</v>
      </c>
      <c r="D1271" s="10">
        <v>-0.74412772000000005</v>
      </c>
      <c r="E1271" s="10">
        <v>-0.860448082</v>
      </c>
      <c r="F1271" s="10">
        <v>-8.7459014000000002E-2</v>
      </c>
      <c r="G1271" s="10">
        <v>-5.4815139999999998E-2</v>
      </c>
      <c r="H1271" s="9">
        <v>-0.43671248899999998</v>
      </c>
      <c r="I1271" s="10">
        <v>0.42500178509376002</v>
      </c>
      <c r="J1271" s="10">
        <v>0.18062651733288199</v>
      </c>
      <c r="K1271" s="10">
        <v>8.3708515999999997E-2</v>
      </c>
      <c r="L1271" s="10">
        <v>-0.84076969199999996</v>
      </c>
      <c r="M1271" s="10">
        <v>-0.36624706099999998</v>
      </c>
      <c r="N1271" s="10">
        <v>2.3362061E-2</v>
      </c>
      <c r="O1271" s="9">
        <v>-0.27498654374999998</v>
      </c>
      <c r="P1271" s="10">
        <v>0.42665875853260299</v>
      </c>
      <c r="Q1271" s="10">
        <v>0.18203769623258201</v>
      </c>
    </row>
    <row r="1272" spans="1:17" x14ac:dyDescent="0.2">
      <c r="A1272" s="10">
        <v>1846</v>
      </c>
      <c r="B1272" s="10" t="s">
        <v>2835</v>
      </c>
      <c r="C1272" s="9" t="s">
        <v>1982</v>
      </c>
      <c r="D1272" s="10">
        <v>-0.132705922</v>
      </c>
      <c r="E1272" s="10">
        <v>-0.19521614300000001</v>
      </c>
      <c r="F1272" s="10">
        <v>-0.30929325000000002</v>
      </c>
      <c r="G1272" s="10">
        <v>-5.6201339999999997E-3</v>
      </c>
      <c r="H1272" s="9">
        <v>-0.16070886225</v>
      </c>
      <c r="I1272" s="10">
        <v>0.12662905274942299</v>
      </c>
      <c r="J1272" s="10">
        <v>1.6034917000216298E-2</v>
      </c>
      <c r="K1272" s="10">
        <v>-0.246597714</v>
      </c>
      <c r="L1272" s="10">
        <v>-0.18545720700000001</v>
      </c>
      <c r="M1272" s="10">
        <v>0.31038933699999999</v>
      </c>
      <c r="N1272" s="10">
        <v>0.227762247</v>
      </c>
      <c r="O1272" s="9">
        <v>2.6524165749999998E-2</v>
      </c>
      <c r="P1272" s="10">
        <v>0.28320067348385097</v>
      </c>
      <c r="Q1272" s="10">
        <v>8.0202621461707105E-2</v>
      </c>
    </row>
    <row r="1273" spans="1:17" x14ac:dyDescent="0.2">
      <c r="A1273" s="10">
        <v>1847</v>
      </c>
      <c r="B1273" s="10" t="s">
        <v>2821</v>
      </c>
      <c r="C1273" s="9" t="s">
        <v>1984</v>
      </c>
      <c r="D1273" s="10">
        <v>8.9878599000000003E-2</v>
      </c>
      <c r="E1273" s="10">
        <v>-0.14648348899999999</v>
      </c>
      <c r="F1273" s="10">
        <v>0.142364035</v>
      </c>
      <c r="G1273" s="10">
        <v>0.17815850999999999</v>
      </c>
      <c r="H1273" s="9">
        <v>6.5979414E-2</v>
      </c>
      <c r="I1273" s="10">
        <v>0.146208089264972</v>
      </c>
      <c r="J1273" s="10">
        <v>2.1376805366514099E-2</v>
      </c>
      <c r="K1273" s="10">
        <v>0.243890158</v>
      </c>
      <c r="L1273" s="10">
        <v>-0.188758074</v>
      </c>
      <c r="M1273" s="10">
        <v>-5.7010760000000002E-3</v>
      </c>
      <c r="N1273" s="10">
        <v>0.482322682</v>
      </c>
      <c r="O1273" s="9">
        <v>0.13293842224999999</v>
      </c>
      <c r="P1273" s="10">
        <v>0.29273947165897701</v>
      </c>
      <c r="Q1273" s="10">
        <v>8.5696398267177107E-2</v>
      </c>
    </row>
    <row r="1274" spans="1:17" x14ac:dyDescent="0.2">
      <c r="A1274" s="10">
        <v>1847</v>
      </c>
      <c r="B1274" s="10" t="s">
        <v>2824</v>
      </c>
      <c r="C1274" s="9" t="s">
        <v>1986</v>
      </c>
      <c r="D1274" s="10">
        <v>-0.10348616099999999</v>
      </c>
      <c r="E1274" s="10">
        <v>0.15474289799999999</v>
      </c>
      <c r="F1274" s="10">
        <v>0.33102806200000001</v>
      </c>
      <c r="G1274" s="10">
        <v>0.51546561300000004</v>
      </c>
      <c r="H1274" s="9">
        <v>0.22443760325000001</v>
      </c>
      <c r="I1274" s="10">
        <v>0.263597025435515</v>
      </c>
      <c r="J1274" s="10">
        <v>6.9483391818451798E-2</v>
      </c>
      <c r="K1274" s="10">
        <v>0.207787992</v>
      </c>
      <c r="L1274" s="10">
        <v>-0.16558817300000001</v>
      </c>
      <c r="M1274" s="10">
        <v>-9.0456070000000006E-3</v>
      </c>
      <c r="N1274" s="10">
        <v>0.324780448</v>
      </c>
      <c r="O1274" s="9">
        <v>8.9483665000000004E-2</v>
      </c>
      <c r="P1274" s="10">
        <v>0.21918800899275201</v>
      </c>
      <c r="Q1274" s="10">
        <v>4.8043383286206699E-2</v>
      </c>
    </row>
    <row r="1275" spans="1:17" x14ac:dyDescent="0.2">
      <c r="A1275" s="10">
        <v>1847</v>
      </c>
      <c r="B1275" s="10" t="s">
        <v>2825</v>
      </c>
      <c r="C1275" s="9" t="s">
        <v>1990</v>
      </c>
      <c r="D1275" s="10">
        <v>0.58344072899999999</v>
      </c>
      <c r="E1275" s="10">
        <v>0.90455417000000005</v>
      </c>
      <c r="F1275" s="10">
        <v>3.3432759999999999E-2</v>
      </c>
      <c r="G1275" s="10">
        <v>0.20427050599999999</v>
      </c>
      <c r="H1275" s="9">
        <v>0.43142454099999999</v>
      </c>
      <c r="I1275" s="10">
        <v>0.39028065995812999</v>
      </c>
      <c r="J1275" s="10">
        <v>0.15231899353735401</v>
      </c>
      <c r="K1275" s="10">
        <v>0.60480034199999999</v>
      </c>
      <c r="L1275" s="10">
        <v>0.48099535700000001</v>
      </c>
      <c r="M1275" s="10">
        <v>0.34054214599999999</v>
      </c>
      <c r="N1275" s="10">
        <v>0.341686771</v>
      </c>
      <c r="O1275" s="9">
        <v>0.44200615399999998</v>
      </c>
      <c r="P1275" s="10">
        <v>0.12699216396045701</v>
      </c>
      <c r="Q1275" s="10">
        <v>1.61270097073597E-2</v>
      </c>
    </row>
    <row r="1276" spans="1:17" x14ac:dyDescent="0.2">
      <c r="A1276" s="10">
        <v>1847</v>
      </c>
      <c r="B1276" s="10" t="s">
        <v>74</v>
      </c>
      <c r="C1276" s="9" t="s">
        <v>1991</v>
      </c>
      <c r="D1276" s="10">
        <v>0.71157520399999996</v>
      </c>
      <c r="E1276" s="10">
        <v>0.78901897499999996</v>
      </c>
      <c r="F1276" s="10">
        <v>0.41978696500000001</v>
      </c>
      <c r="G1276" s="10">
        <v>0.39235498699999999</v>
      </c>
      <c r="H1276" s="9">
        <v>0.57818403274999997</v>
      </c>
      <c r="I1276" s="10">
        <v>0.20154953299967501</v>
      </c>
      <c r="J1276" s="10">
        <v>4.0622214252387101E-2</v>
      </c>
      <c r="K1276" s="10">
        <v>0.63629098799999995</v>
      </c>
      <c r="L1276" s="10">
        <v>0.60839698399999997</v>
      </c>
      <c r="M1276" s="10">
        <v>0.51359749200000004</v>
      </c>
      <c r="N1276" s="10">
        <v>0.83172394500000002</v>
      </c>
      <c r="O1276" s="9">
        <v>0.64750235224999997</v>
      </c>
      <c r="P1276" s="10">
        <v>0.133570245374525</v>
      </c>
      <c r="Q1276" s="10">
        <v>1.7841010449410999E-2</v>
      </c>
    </row>
    <row r="1277" spans="1:17" x14ac:dyDescent="0.2">
      <c r="A1277" s="10">
        <v>1848</v>
      </c>
      <c r="B1277" s="10" t="s">
        <v>2831</v>
      </c>
      <c r="C1277" s="9" t="s">
        <v>1993</v>
      </c>
      <c r="D1277" s="10">
        <v>-0.90857653000000005</v>
      </c>
      <c r="E1277" s="10">
        <v>-0.773339428</v>
      </c>
      <c r="F1277" s="10">
        <v>-0.73746855099999997</v>
      </c>
      <c r="G1277" s="10">
        <v>-0.87638294699999997</v>
      </c>
      <c r="H1277" s="9">
        <v>-0.82394186425000004</v>
      </c>
      <c r="I1277" s="10">
        <v>8.1550259074745807E-2</v>
      </c>
      <c r="J1277" s="10">
        <v>6.6504447551581003E-3</v>
      </c>
      <c r="K1277" s="10">
        <v>-3.8990891E-2</v>
      </c>
      <c r="L1277" s="10">
        <v>4.3006099999999997E-4</v>
      </c>
      <c r="M1277" s="10">
        <v>0.21858947400000001</v>
      </c>
      <c r="N1277" s="10">
        <v>0.113174949</v>
      </c>
      <c r="O1277" s="9">
        <v>7.3300898000000003E-2</v>
      </c>
      <c r="P1277" s="10">
        <v>0.11635909221193801</v>
      </c>
      <c r="Q1277" s="10">
        <v>1.35394383403864E-2</v>
      </c>
    </row>
    <row r="1278" spans="1:17" x14ac:dyDescent="0.2">
      <c r="A1278" s="10">
        <v>1848</v>
      </c>
      <c r="B1278" s="10" t="s">
        <v>2823</v>
      </c>
      <c r="C1278" s="9" t="s">
        <v>1994</v>
      </c>
      <c r="D1278" s="10">
        <v>-0.88787653799999999</v>
      </c>
      <c r="E1278" s="10">
        <v>-1.508765908</v>
      </c>
      <c r="F1278" s="10">
        <v>-1.5945208790000001</v>
      </c>
      <c r="G1278" s="10">
        <v>-0.116721739</v>
      </c>
      <c r="H1278" s="9">
        <v>-1.0269712660000001</v>
      </c>
      <c r="I1278" s="10">
        <v>0.68365200334611598</v>
      </c>
      <c r="J1278" s="10">
        <v>0.46738006167915802</v>
      </c>
      <c r="K1278" s="10">
        <v>-0.57826476500000001</v>
      </c>
      <c r="L1278" s="10">
        <v>-0.27740966099999997</v>
      </c>
      <c r="M1278" s="10">
        <v>0.35567580900000001</v>
      </c>
      <c r="N1278" s="10">
        <v>0.12224747800000001</v>
      </c>
      <c r="O1278" s="9">
        <v>-9.4437784999999996E-2</v>
      </c>
      <c r="P1278" s="10">
        <v>0.41517948114353898</v>
      </c>
      <c r="Q1278" s="10">
        <v>0.17237400156261801</v>
      </c>
    </row>
    <row r="1279" spans="1:17" x14ac:dyDescent="0.2">
      <c r="A1279" s="10">
        <v>1848</v>
      </c>
      <c r="B1279" s="10" t="s">
        <v>2819</v>
      </c>
      <c r="C1279" s="9" t="s">
        <v>1995</v>
      </c>
      <c r="D1279" s="10">
        <v>0.16974062500000001</v>
      </c>
      <c r="E1279" s="10">
        <v>-2.6872549999999999E-3</v>
      </c>
      <c r="F1279" s="10">
        <v>0.119433919</v>
      </c>
      <c r="G1279" s="10">
        <v>3.1819873999999998E-2</v>
      </c>
      <c r="H1279" s="9">
        <v>7.9576790499999994E-2</v>
      </c>
      <c r="I1279" s="10">
        <v>7.90910951574679E-2</v>
      </c>
      <c r="J1279" s="10">
        <v>6.2554013332076002E-3</v>
      </c>
      <c r="K1279" s="10">
        <v>-0.23991932799999999</v>
      </c>
      <c r="L1279" s="10">
        <v>-0.41411464599999998</v>
      </c>
      <c r="M1279" s="10">
        <v>2.3960182E-2</v>
      </c>
      <c r="N1279" s="10">
        <v>0.21777824600000001</v>
      </c>
      <c r="O1279" s="9">
        <v>-0.1030738865</v>
      </c>
      <c r="P1279" s="10">
        <v>0.279616865501783</v>
      </c>
      <c r="Q1279" s="10">
        <v>7.8185591473042299E-2</v>
      </c>
    </row>
    <row r="1280" spans="1:17" x14ac:dyDescent="0.2">
      <c r="A1280" s="10">
        <v>1848</v>
      </c>
      <c r="B1280" s="10" t="s">
        <v>2821</v>
      </c>
      <c r="C1280" s="9" t="s">
        <v>2588</v>
      </c>
      <c r="D1280" s="10">
        <v>-0.37069649799999999</v>
      </c>
      <c r="E1280" s="10">
        <v>-0.95708899800000002</v>
      </c>
      <c r="F1280" s="10">
        <v>-0.66908484499999998</v>
      </c>
      <c r="G1280" s="10">
        <v>-1.112098882</v>
      </c>
      <c r="H1280" s="9">
        <v>-0.77724230574999997</v>
      </c>
      <c r="I1280" s="10">
        <v>0.32733840261831199</v>
      </c>
      <c r="J1280" s="10">
        <v>0.107150429828708</v>
      </c>
      <c r="K1280" s="10">
        <v>-0.58529146600000004</v>
      </c>
      <c r="L1280" s="10">
        <v>-0.43380099799999999</v>
      </c>
      <c r="M1280" s="10">
        <v>-0.36741610299999999</v>
      </c>
      <c r="N1280" s="10">
        <v>-0.99880169399999996</v>
      </c>
      <c r="O1280" s="9">
        <v>-0.59632756549999999</v>
      </c>
      <c r="P1280" s="10">
        <v>0.28338581616542302</v>
      </c>
      <c r="Q1280" s="10">
        <v>8.0307520803743093E-2</v>
      </c>
    </row>
    <row r="1281" spans="1:17" x14ac:dyDescent="0.2">
      <c r="A1281" s="10">
        <v>1848</v>
      </c>
      <c r="B1281" s="10" t="s">
        <v>2834</v>
      </c>
      <c r="C1281" s="9" t="s">
        <v>2587</v>
      </c>
      <c r="D1281" s="10">
        <v>-0.79269141600000004</v>
      </c>
      <c r="E1281" s="10">
        <v>-1.675550359</v>
      </c>
      <c r="F1281" s="10">
        <v>-3.4403171640000001</v>
      </c>
      <c r="G1281" s="10">
        <v>-2.231766012</v>
      </c>
      <c r="H1281" s="9">
        <v>-2.03508123775</v>
      </c>
      <c r="I1281" s="10">
        <v>1.10847760927742</v>
      </c>
      <c r="J1281" s="10">
        <v>1.2287226102694</v>
      </c>
      <c r="K1281" s="10">
        <v>-1.12351844</v>
      </c>
      <c r="L1281" s="10">
        <v>-1.181326404</v>
      </c>
      <c r="M1281" s="10">
        <v>-2.0872783030000002</v>
      </c>
      <c r="N1281" s="10">
        <v>-0.73613547800000001</v>
      </c>
      <c r="O1281" s="9">
        <v>-1.2820646565</v>
      </c>
      <c r="P1281" s="10">
        <v>0.57204101913840899</v>
      </c>
      <c r="Q1281" s="10">
        <v>0.32723092757691002</v>
      </c>
    </row>
    <row r="1282" spans="1:17" x14ac:dyDescent="0.2">
      <c r="A1282" s="10">
        <v>1848</v>
      </c>
      <c r="B1282" s="10" t="s">
        <v>2820</v>
      </c>
      <c r="C1282" s="9" t="s">
        <v>1996</v>
      </c>
      <c r="D1282" s="10">
        <v>-0.23172541499999999</v>
      </c>
      <c r="E1282" s="10">
        <v>-4.3306869999999997E-2</v>
      </c>
      <c r="F1282" s="10">
        <v>-6.3552820000000003E-3</v>
      </c>
      <c r="G1282" s="10">
        <v>-0.29435329500000001</v>
      </c>
      <c r="H1282" s="9">
        <v>-0.14393521549999999</v>
      </c>
      <c r="I1282" s="10">
        <v>0.14069709756382001</v>
      </c>
      <c r="J1282" s="10">
        <v>1.9795673262883302E-2</v>
      </c>
      <c r="K1282" s="10">
        <v>-0.56798560600000003</v>
      </c>
      <c r="L1282" s="10">
        <v>-0.16777589700000001</v>
      </c>
      <c r="M1282" s="10">
        <v>-0.56194424200000004</v>
      </c>
      <c r="N1282" s="10">
        <v>-0.198014526</v>
      </c>
      <c r="O1282" s="9">
        <v>-0.37393006750000002</v>
      </c>
      <c r="P1282" s="10">
        <v>0.220946978248344</v>
      </c>
      <c r="Q1282" s="10">
        <v>4.8817567197074203E-2</v>
      </c>
    </row>
    <row r="1283" spans="1:17" x14ac:dyDescent="0.2">
      <c r="A1283" s="10">
        <v>1848</v>
      </c>
      <c r="B1283" s="10" t="s">
        <v>2824</v>
      </c>
      <c r="C1283" s="9" t="s">
        <v>1997</v>
      </c>
      <c r="D1283" s="10">
        <v>0.45172468399999999</v>
      </c>
      <c r="E1283" s="10">
        <v>-1.2814849999999999E-2</v>
      </c>
      <c r="F1283" s="10">
        <v>0.216240185</v>
      </c>
      <c r="G1283" s="10">
        <v>8.8253910000000005E-2</v>
      </c>
      <c r="H1283" s="9">
        <v>0.185850982</v>
      </c>
      <c r="I1283" s="10">
        <v>0.20050405676808999</v>
      </c>
      <c r="J1283" s="10">
        <v>4.0201876780461797E-2</v>
      </c>
      <c r="K1283" s="10">
        <v>0.20528291800000001</v>
      </c>
      <c r="L1283" s="10">
        <v>0.47148969499999999</v>
      </c>
      <c r="M1283" s="10">
        <v>0.15434481899999999</v>
      </c>
      <c r="N1283" s="10">
        <v>-0.120246642</v>
      </c>
      <c r="O1283" s="9">
        <v>0.17771769774999999</v>
      </c>
      <c r="P1283" s="10">
        <v>0.24248083564094999</v>
      </c>
      <c r="Q1283" s="10">
        <v>5.8796955653133497E-2</v>
      </c>
    </row>
    <row r="1284" spans="1:17" x14ac:dyDescent="0.2">
      <c r="A1284" s="10">
        <v>1848</v>
      </c>
      <c r="B1284" s="10" t="s">
        <v>2814</v>
      </c>
      <c r="C1284" s="9" t="s">
        <v>1998</v>
      </c>
      <c r="D1284" s="10">
        <v>-0.53730539499999996</v>
      </c>
      <c r="E1284" s="10">
        <v>-0.379379454</v>
      </c>
      <c r="F1284" s="10">
        <v>-0.88408646199999996</v>
      </c>
      <c r="G1284" s="10">
        <v>-0.76420296200000004</v>
      </c>
      <c r="H1284" s="9">
        <v>-0.64124356824999995</v>
      </c>
      <c r="I1284" s="10">
        <v>0.22617665790757799</v>
      </c>
      <c r="J1284" s="10">
        <v>5.1155880582241797E-2</v>
      </c>
      <c r="K1284" s="10">
        <v>0.53041244600000004</v>
      </c>
      <c r="L1284" s="10">
        <v>0.34600002800000002</v>
      </c>
      <c r="M1284" s="10">
        <v>-0.37213751299999998</v>
      </c>
      <c r="N1284" s="10">
        <v>7.7128468000000006E-2</v>
      </c>
      <c r="O1284" s="9">
        <v>0.14535085750000001</v>
      </c>
      <c r="P1284" s="10">
        <v>0.39199533355739302</v>
      </c>
      <c r="Q1284" s="10">
        <v>0.15366034153077199</v>
      </c>
    </row>
    <row r="1285" spans="1:17" x14ac:dyDescent="0.2">
      <c r="A1285" s="10">
        <v>1848</v>
      </c>
      <c r="B1285" s="10" t="s">
        <v>2825</v>
      </c>
      <c r="C1285" s="9" t="s">
        <v>1999</v>
      </c>
      <c r="D1285" s="10">
        <v>0.19268816799999999</v>
      </c>
      <c r="E1285" s="10">
        <v>0.25760860800000002</v>
      </c>
      <c r="F1285" s="10">
        <v>-0.28090755499999998</v>
      </c>
      <c r="G1285" s="10">
        <v>0.123753661</v>
      </c>
      <c r="H1285" s="9">
        <v>7.3285720499999998E-2</v>
      </c>
      <c r="I1285" s="10">
        <v>0.242371450981792</v>
      </c>
      <c r="J1285" s="10">
        <v>5.8743920251019398E-2</v>
      </c>
      <c r="K1285" s="10">
        <v>0.121802943</v>
      </c>
      <c r="L1285" s="10">
        <v>-0.30453825800000001</v>
      </c>
      <c r="M1285" s="10">
        <v>-3.8153197999999999E-2</v>
      </c>
      <c r="N1285" s="10">
        <v>6.3348479999999999E-2</v>
      </c>
      <c r="O1285" s="9">
        <v>-3.9385008249999999E-2</v>
      </c>
      <c r="P1285" s="10">
        <v>0.18871803344819499</v>
      </c>
      <c r="Q1285" s="10">
        <v>3.5614496148554303E-2</v>
      </c>
    </row>
    <row r="1286" spans="1:17" x14ac:dyDescent="0.2">
      <c r="A1286" s="10">
        <v>1848</v>
      </c>
      <c r="B1286" s="10" t="s">
        <v>2818</v>
      </c>
      <c r="C1286" s="9" t="s">
        <v>2000</v>
      </c>
      <c r="D1286" s="10">
        <v>-0.10080539600000001</v>
      </c>
      <c r="E1286" s="10">
        <v>-1.265318773</v>
      </c>
      <c r="F1286" s="10">
        <v>-0.62490969399999996</v>
      </c>
      <c r="G1286" s="10">
        <v>-1.2571879379999999</v>
      </c>
      <c r="H1286" s="9">
        <v>-0.81205545050000005</v>
      </c>
      <c r="I1286" s="10">
        <v>0.56109736087833095</v>
      </c>
      <c r="J1286" s="10">
        <v>0.31483024838462897</v>
      </c>
      <c r="K1286" s="10">
        <v>-0.21807887400000001</v>
      </c>
      <c r="L1286" s="10">
        <v>-0.43592177500000001</v>
      </c>
      <c r="M1286" s="10">
        <v>-0.60033401099999995</v>
      </c>
      <c r="N1286" s="10">
        <v>-0.43545441299999998</v>
      </c>
      <c r="O1286" s="9">
        <v>-0.42244726825000001</v>
      </c>
      <c r="P1286" s="10">
        <v>0.15680229798616999</v>
      </c>
      <c r="Q1286" s="10">
        <v>2.45869606537437E-2</v>
      </c>
    </row>
    <row r="1287" spans="1:17" x14ac:dyDescent="0.2">
      <c r="A1287" s="10">
        <v>1849</v>
      </c>
      <c r="B1287" s="10" t="s">
        <v>2831</v>
      </c>
      <c r="C1287" s="9" t="s">
        <v>2002</v>
      </c>
      <c r="D1287" s="10">
        <v>2.2649494999999999E-2</v>
      </c>
      <c r="E1287" s="10">
        <v>-1.7049331029999999</v>
      </c>
      <c r="F1287" s="10">
        <v>-0.92179749700000002</v>
      </c>
      <c r="G1287" s="10">
        <v>-0.65435969400000005</v>
      </c>
      <c r="H1287" s="9">
        <v>-0.81461019975000004</v>
      </c>
      <c r="I1287" s="10">
        <v>0.71434072397543802</v>
      </c>
      <c r="J1287" s="10">
        <v>0.51028266992975402</v>
      </c>
      <c r="K1287" s="10">
        <v>0.236341619</v>
      </c>
      <c r="L1287" s="10">
        <v>-0.18507111400000001</v>
      </c>
      <c r="M1287" s="10">
        <v>0.17763253400000001</v>
      </c>
      <c r="N1287" s="10">
        <v>-2.8667565999999998E-2</v>
      </c>
      <c r="O1287" s="9">
        <v>5.0058868249999999E-2</v>
      </c>
      <c r="P1287" s="10">
        <v>0.193614964489218</v>
      </c>
      <c r="Q1287" s="10">
        <v>3.7486754474161402E-2</v>
      </c>
    </row>
    <row r="1288" spans="1:17" x14ac:dyDescent="0.2">
      <c r="A1288" s="10">
        <v>1849</v>
      </c>
      <c r="B1288" s="10" t="s">
        <v>2822</v>
      </c>
      <c r="C1288" s="9" t="s">
        <v>2003</v>
      </c>
      <c r="D1288" s="10">
        <v>-0.37837778</v>
      </c>
      <c r="E1288" s="10">
        <v>0.25028703800000002</v>
      </c>
      <c r="F1288" s="10">
        <v>-0.31070737900000001</v>
      </c>
      <c r="G1288" s="10">
        <v>-5.2816622000000001E-2</v>
      </c>
      <c r="H1288" s="9">
        <v>-0.12290368575000001</v>
      </c>
      <c r="I1288" s="10">
        <v>0.285610896634648</v>
      </c>
      <c r="J1288" s="10">
        <v>8.1573584276447703E-2</v>
      </c>
      <c r="K1288" s="10">
        <v>-0.28177775199999999</v>
      </c>
      <c r="L1288" s="10">
        <v>-3.7347947999999999E-2</v>
      </c>
      <c r="M1288" s="10">
        <v>-0.220468782</v>
      </c>
      <c r="N1288" s="10">
        <v>-0.365871108</v>
      </c>
      <c r="O1288" s="9">
        <v>-0.22636639724999999</v>
      </c>
      <c r="P1288" s="10">
        <v>0.13939720056871399</v>
      </c>
      <c r="Q1288" s="10">
        <v>1.9431579526394401E-2</v>
      </c>
    </row>
    <row r="1289" spans="1:17" x14ac:dyDescent="0.2">
      <c r="A1289" s="10">
        <v>1849</v>
      </c>
      <c r="B1289" s="10" t="s">
        <v>2821</v>
      </c>
      <c r="C1289" s="9" t="s">
        <v>2004</v>
      </c>
      <c r="D1289" s="10">
        <v>0.71997042099999997</v>
      </c>
      <c r="E1289" s="10">
        <v>0.36304846400000002</v>
      </c>
      <c r="F1289" s="10">
        <v>0.53894940499999999</v>
      </c>
      <c r="G1289" s="10">
        <v>-0.132725394</v>
      </c>
      <c r="H1289" s="9">
        <v>0.37231072425</v>
      </c>
      <c r="I1289" s="10">
        <v>0.36687099679513502</v>
      </c>
      <c r="J1289" s="10">
        <v>0.134594328289456</v>
      </c>
      <c r="K1289" s="10">
        <v>0.52238679799999999</v>
      </c>
      <c r="L1289" s="10">
        <v>0.26838607799999997</v>
      </c>
      <c r="M1289" s="10">
        <v>-3.2075700999999998E-2</v>
      </c>
      <c r="N1289" s="10">
        <v>0.41389977500000003</v>
      </c>
      <c r="O1289" s="9">
        <v>0.29314923775000001</v>
      </c>
      <c r="P1289" s="10">
        <v>0.240496033329229</v>
      </c>
      <c r="Q1289" s="10">
        <v>5.7838342047093698E-2</v>
      </c>
    </row>
    <row r="1290" spans="1:17" x14ac:dyDescent="0.2">
      <c r="A1290" s="10">
        <v>1849</v>
      </c>
      <c r="B1290" s="10" t="s">
        <v>2820</v>
      </c>
      <c r="C1290" s="9" t="s">
        <v>2005</v>
      </c>
      <c r="D1290" s="10">
        <v>0.225976435</v>
      </c>
      <c r="E1290" s="10">
        <v>0.12211561</v>
      </c>
      <c r="F1290" s="10">
        <v>0.597501909</v>
      </c>
      <c r="G1290" s="10">
        <v>0.44379556599999997</v>
      </c>
      <c r="H1290" s="9">
        <v>0.34734737999999998</v>
      </c>
      <c r="I1290" s="10">
        <v>0.21396245579495801</v>
      </c>
      <c r="J1290" s="10">
        <v>4.5779932489809397E-2</v>
      </c>
      <c r="K1290" s="10">
        <v>0.12286214500000001</v>
      </c>
      <c r="L1290" s="10">
        <v>0.36740229800000002</v>
      </c>
      <c r="M1290" s="10">
        <v>0.51612987600000004</v>
      </c>
      <c r="N1290" s="10">
        <v>0.407301472</v>
      </c>
      <c r="O1290" s="9">
        <v>0.3534239475</v>
      </c>
      <c r="P1290" s="10">
        <v>0.166062383729774</v>
      </c>
      <c r="Q1290" s="10">
        <v>2.7576715290015E-2</v>
      </c>
    </row>
    <row r="1291" spans="1:17" x14ac:dyDescent="0.2">
      <c r="A1291" s="10">
        <v>1849</v>
      </c>
      <c r="B1291" s="10" t="s">
        <v>2814</v>
      </c>
      <c r="C1291" s="9" t="s">
        <v>2007</v>
      </c>
      <c r="D1291" s="10">
        <v>0.15966803500000001</v>
      </c>
      <c r="E1291" s="10">
        <v>0.119067548</v>
      </c>
      <c r="F1291" s="10">
        <v>0.70082949000000005</v>
      </c>
      <c r="G1291" s="10">
        <v>1.009870351</v>
      </c>
      <c r="H1291" s="9">
        <v>0.49735885600000002</v>
      </c>
      <c r="I1291" s="10">
        <v>0.43251502313156698</v>
      </c>
      <c r="J1291" s="10">
        <v>0.1870692452345</v>
      </c>
      <c r="K1291" s="10">
        <v>1.1378790940000001</v>
      </c>
      <c r="L1291" s="10">
        <v>0.12162513699999999</v>
      </c>
      <c r="M1291" s="10">
        <v>0.31413015599999999</v>
      </c>
      <c r="N1291" s="10">
        <v>0.66061590100000001</v>
      </c>
      <c r="O1291" s="9">
        <v>0.55856257200000003</v>
      </c>
      <c r="P1291" s="10">
        <v>0.44597609903003199</v>
      </c>
      <c r="Q1291" s="10">
        <v>0.19889468090604501</v>
      </c>
    </row>
    <row r="1292" spans="1:17" x14ac:dyDescent="0.2">
      <c r="A1292" s="10">
        <v>1849</v>
      </c>
      <c r="B1292" s="10" t="s">
        <v>2833</v>
      </c>
      <c r="C1292" s="9" t="s">
        <v>2008</v>
      </c>
      <c r="D1292" s="10">
        <v>0.67759200799999997</v>
      </c>
      <c r="E1292" s="10">
        <v>0.25793988000000001</v>
      </c>
      <c r="F1292" s="10">
        <v>-0.105658627</v>
      </c>
      <c r="G1292" s="10">
        <v>0.54656840399999995</v>
      </c>
      <c r="H1292" s="9">
        <v>0.34411041650000002</v>
      </c>
      <c r="I1292" s="10">
        <v>0.34733113999156701</v>
      </c>
      <c r="J1292" s="10">
        <v>0.120638920807841</v>
      </c>
      <c r="K1292" s="10">
        <v>0.53142268299999995</v>
      </c>
      <c r="L1292" s="10">
        <v>0.61681596699999997</v>
      </c>
      <c r="M1292" s="10">
        <v>-2.7089156999999999E-2</v>
      </c>
      <c r="N1292" s="10">
        <v>-0.39521057100000001</v>
      </c>
      <c r="O1292" s="9">
        <v>0.1814847305</v>
      </c>
      <c r="P1292" s="10">
        <v>0.47890513792453299</v>
      </c>
      <c r="Q1292" s="10">
        <v>0.229350131130516</v>
      </c>
    </row>
    <row r="1293" spans="1:17" x14ac:dyDescent="0.2">
      <c r="A1293" s="10">
        <v>1849</v>
      </c>
      <c r="B1293" s="10" t="s">
        <v>2825</v>
      </c>
      <c r="C1293" s="9" t="s">
        <v>2009</v>
      </c>
      <c r="D1293" s="10">
        <v>0.139514214</v>
      </c>
      <c r="E1293" s="10">
        <v>0.133364281</v>
      </c>
      <c r="F1293" s="10">
        <v>-0.15793363999999999</v>
      </c>
      <c r="G1293" s="10">
        <v>6.6319431999999998E-2</v>
      </c>
      <c r="H1293" s="9">
        <v>4.5316071749999999E-2</v>
      </c>
      <c r="I1293" s="10">
        <v>0.139495954091546</v>
      </c>
      <c r="J1293" s="10">
        <v>1.9459121207910698E-2</v>
      </c>
      <c r="K1293" s="10">
        <v>-0.13719611800000001</v>
      </c>
      <c r="L1293" s="10">
        <v>7.1219794000000003E-2</v>
      </c>
      <c r="M1293" s="10">
        <v>-0.11966876799999999</v>
      </c>
      <c r="N1293" s="10">
        <v>2.3852909999999999E-3</v>
      </c>
      <c r="O1293" s="9">
        <v>-4.58149505E-2</v>
      </c>
      <c r="P1293" s="10">
        <v>9.9708406255148097E-2</v>
      </c>
      <c r="Q1293" s="10">
        <v>9.9417662779415997E-3</v>
      </c>
    </row>
    <row r="1294" spans="1:17" x14ac:dyDescent="0.2">
      <c r="A1294" s="10">
        <v>1849</v>
      </c>
      <c r="B1294" s="10" t="s">
        <v>2818</v>
      </c>
      <c r="C1294" s="9" t="s">
        <v>2011</v>
      </c>
      <c r="D1294" s="10">
        <v>9.2521532000000004E-2</v>
      </c>
      <c r="E1294" s="10">
        <v>-8.7683065000000004E-2</v>
      </c>
      <c r="F1294" s="10">
        <v>-0.14833812299999999</v>
      </c>
      <c r="G1294" s="10">
        <v>-0.198402569</v>
      </c>
      <c r="H1294" s="9">
        <v>-8.5475556250000001E-2</v>
      </c>
      <c r="I1294" s="10">
        <v>0.127006625847363</v>
      </c>
      <c r="J1294" s="10">
        <v>1.6130683009132101E-2</v>
      </c>
      <c r="K1294" s="10">
        <v>-0.15155069800000001</v>
      </c>
      <c r="L1294" s="10">
        <v>-0.858142874</v>
      </c>
      <c r="M1294" s="10">
        <v>0.117473523</v>
      </c>
      <c r="N1294" s="10">
        <v>-0.13772359300000001</v>
      </c>
      <c r="O1294" s="9">
        <v>-0.25748591025000001</v>
      </c>
      <c r="P1294" s="10">
        <v>0.419105653549743</v>
      </c>
      <c r="Q1294" s="10">
        <v>0.17564954883735701</v>
      </c>
    </row>
    <row r="1295" spans="1:17" x14ac:dyDescent="0.2">
      <c r="A1295" s="10">
        <v>1849</v>
      </c>
      <c r="B1295" s="10" t="s">
        <v>2830</v>
      </c>
      <c r="C1295" s="9" t="s">
        <v>2012</v>
      </c>
      <c r="D1295" s="10">
        <v>0.108269922</v>
      </c>
      <c r="E1295" s="10">
        <v>-0.43213194999999999</v>
      </c>
      <c r="F1295" s="10">
        <v>-0.25669699000000001</v>
      </c>
      <c r="G1295" s="10">
        <v>-0.49794046199999997</v>
      </c>
      <c r="H1295" s="9">
        <v>-0.26962487024999998</v>
      </c>
      <c r="I1295" s="10">
        <v>0.27172790588040702</v>
      </c>
      <c r="J1295" s="10">
        <v>7.3836054834151496E-2</v>
      </c>
      <c r="K1295" s="10">
        <v>-0.58348785199999997</v>
      </c>
      <c r="L1295" s="10">
        <v>-0.55101804899999995</v>
      </c>
      <c r="M1295" s="10">
        <v>-0.29280481000000003</v>
      </c>
      <c r="N1295" s="10">
        <v>-2.0264767999999999E-2</v>
      </c>
      <c r="O1295" s="9">
        <v>-0.36189387000000001</v>
      </c>
      <c r="P1295" s="10">
        <v>0.26226932053778201</v>
      </c>
      <c r="Q1295" s="10">
        <v>6.8785196495350101E-2</v>
      </c>
    </row>
    <row r="1296" spans="1:17" x14ac:dyDescent="0.2">
      <c r="A1296" s="10">
        <v>1850</v>
      </c>
      <c r="B1296" s="10" t="s">
        <v>2822</v>
      </c>
      <c r="C1296" s="9" t="s">
        <v>2013</v>
      </c>
      <c r="D1296" s="10">
        <v>-0.396251929</v>
      </c>
      <c r="E1296" s="10">
        <v>7.5325960999999997E-2</v>
      </c>
      <c r="F1296" s="10">
        <v>-3.2017482999999999E-2</v>
      </c>
      <c r="G1296" s="10">
        <v>-0.13640903200000001</v>
      </c>
      <c r="H1296" s="9">
        <v>-0.12233812075</v>
      </c>
      <c r="I1296" s="10">
        <v>0.20203602955171099</v>
      </c>
      <c r="J1296" s="10">
        <v>4.0818557237020103E-2</v>
      </c>
      <c r="K1296" s="10">
        <v>0.31222514499999998</v>
      </c>
      <c r="L1296" s="10">
        <v>0.149208654</v>
      </c>
      <c r="M1296" s="10">
        <v>-0.22708510600000001</v>
      </c>
      <c r="N1296" s="10">
        <v>0.29540519799999998</v>
      </c>
      <c r="O1296" s="9">
        <v>0.13243847275000001</v>
      </c>
      <c r="P1296" s="10">
        <v>0.25061247888177401</v>
      </c>
      <c r="Q1296" s="10">
        <v>6.2806614571267697E-2</v>
      </c>
    </row>
    <row r="1297" spans="1:17" x14ac:dyDescent="0.2">
      <c r="A1297" s="10">
        <v>1850</v>
      </c>
      <c r="B1297" s="10" t="s">
        <v>2819</v>
      </c>
      <c r="C1297" s="9" t="s">
        <v>2014</v>
      </c>
      <c r="D1297" s="10">
        <v>-1.0110344469999999</v>
      </c>
      <c r="E1297" s="10">
        <v>-1.036813905</v>
      </c>
      <c r="F1297" s="10">
        <v>-2.219939745</v>
      </c>
      <c r="G1297" s="10">
        <v>-1.1506774660000001</v>
      </c>
      <c r="H1297" s="9">
        <v>-1.3546163904999999</v>
      </c>
      <c r="I1297" s="10">
        <v>0.58006395177846903</v>
      </c>
      <c r="J1297" s="10">
        <v>0.33647418815285401</v>
      </c>
      <c r="K1297" s="10">
        <v>-0.66616141500000003</v>
      </c>
      <c r="L1297" s="10">
        <v>-0.65032357100000004</v>
      </c>
      <c r="M1297" s="10">
        <v>-0.64590806599999995</v>
      </c>
      <c r="N1297" s="10">
        <v>-0.127715404</v>
      </c>
      <c r="O1297" s="9">
        <v>-0.52252711399999996</v>
      </c>
      <c r="P1297" s="10">
        <v>0.26335140814449198</v>
      </c>
      <c r="Q1297" s="10">
        <v>6.9353964171687196E-2</v>
      </c>
    </row>
    <row r="1298" spans="1:17" x14ac:dyDescent="0.2">
      <c r="A1298" s="10">
        <v>1850</v>
      </c>
      <c r="B1298" s="10" t="s">
        <v>2820</v>
      </c>
      <c r="C1298" s="9" t="s">
        <v>2586</v>
      </c>
      <c r="D1298" s="10">
        <v>-1.021039139</v>
      </c>
      <c r="E1298" s="10">
        <v>-1.0474834989999999</v>
      </c>
      <c r="F1298" s="10">
        <v>-0.40985121499999999</v>
      </c>
      <c r="G1298" s="10">
        <v>-0.80585369399999995</v>
      </c>
      <c r="H1298" s="9">
        <v>-0.82105688700000001</v>
      </c>
      <c r="I1298" s="10">
        <v>0.29472198962138102</v>
      </c>
      <c r="J1298" s="10">
        <v>8.6861051166385594E-2</v>
      </c>
      <c r="K1298" s="10">
        <v>-1.033008076</v>
      </c>
      <c r="L1298" s="10">
        <v>-0.286669601</v>
      </c>
      <c r="M1298" s="10">
        <v>-0.78977524899999996</v>
      </c>
      <c r="N1298" s="10">
        <v>-0.99984519599999999</v>
      </c>
      <c r="O1298" s="9">
        <v>-0.77732453025000003</v>
      </c>
      <c r="P1298" s="10">
        <v>0.34437711995612602</v>
      </c>
      <c r="Q1298" s="10">
        <v>0.118595600749276</v>
      </c>
    </row>
    <row r="1299" spans="1:17" x14ac:dyDescent="0.2">
      <c r="A1299" s="10">
        <v>1850</v>
      </c>
      <c r="B1299" s="10" t="s">
        <v>2817</v>
      </c>
      <c r="C1299" s="9" t="s">
        <v>2015</v>
      </c>
      <c r="D1299" s="10">
        <v>-0.77168208199999999</v>
      </c>
      <c r="E1299" s="10">
        <v>-0.72930973799999999</v>
      </c>
      <c r="F1299" s="10">
        <v>-0.106889475</v>
      </c>
      <c r="G1299" s="10">
        <v>5.7682521E-2</v>
      </c>
      <c r="H1299" s="9">
        <v>-0.38754969350000001</v>
      </c>
      <c r="I1299" s="10">
        <v>0.42479779620755898</v>
      </c>
      <c r="J1299" s="10">
        <v>0.18045316766279901</v>
      </c>
      <c r="K1299" s="10">
        <v>-0.41830509199999999</v>
      </c>
      <c r="L1299" s="10">
        <v>-1.688239577</v>
      </c>
      <c r="M1299" s="10">
        <v>-0.13709347099999999</v>
      </c>
      <c r="N1299" s="10">
        <v>-0.95752172000000002</v>
      </c>
      <c r="O1299" s="9">
        <v>-0.80028996475000003</v>
      </c>
      <c r="P1299" s="10">
        <v>0.68286610964035199</v>
      </c>
      <c r="Q1299" s="10">
        <v>0.46630612369534902</v>
      </c>
    </row>
    <row r="1300" spans="1:17" x14ac:dyDescent="0.2">
      <c r="A1300" s="10">
        <v>1850</v>
      </c>
      <c r="B1300" s="10" t="s">
        <v>2814</v>
      </c>
      <c r="C1300" s="9" t="s">
        <v>2016</v>
      </c>
      <c r="D1300" s="10">
        <v>-0.529626343</v>
      </c>
      <c r="E1300" s="10">
        <v>-0.46668196000000001</v>
      </c>
      <c r="F1300" s="10">
        <v>-0.57823321699999997</v>
      </c>
      <c r="G1300" s="10">
        <v>-0.44387158999999998</v>
      </c>
      <c r="H1300" s="9">
        <v>-0.50460327775000002</v>
      </c>
      <c r="I1300" s="10">
        <v>6.1029735881574898E-2</v>
      </c>
      <c r="J1300" s="10">
        <v>3.7246286617748001E-3</v>
      </c>
      <c r="K1300" s="10">
        <v>2.1281052000000002E-2</v>
      </c>
      <c r="L1300" s="10">
        <v>-0.16745380800000001</v>
      </c>
      <c r="M1300" s="10">
        <v>-0.90636237600000003</v>
      </c>
      <c r="N1300" s="10">
        <v>0.128147239</v>
      </c>
      <c r="O1300" s="9">
        <v>-0.23109697300000001</v>
      </c>
      <c r="P1300" s="10">
        <v>0.46647075231585899</v>
      </c>
      <c r="Q1300" s="10">
        <v>0.217594962766123</v>
      </c>
    </row>
    <row r="1301" spans="1:17" x14ac:dyDescent="0.2">
      <c r="A1301" s="10">
        <v>1850</v>
      </c>
      <c r="B1301" s="10" t="s">
        <v>2833</v>
      </c>
      <c r="C1301" s="9" t="s">
        <v>2017</v>
      </c>
      <c r="D1301" s="10">
        <v>-1.208945581</v>
      </c>
      <c r="E1301" s="10">
        <v>-0.49875153900000002</v>
      </c>
      <c r="F1301" s="10">
        <v>-0.36322822300000002</v>
      </c>
      <c r="G1301" s="10">
        <v>-0.82104189100000002</v>
      </c>
      <c r="H1301" s="9">
        <v>-0.7229918085</v>
      </c>
      <c r="I1301" s="10">
        <v>0.37659811630015999</v>
      </c>
      <c r="J1301" s="10">
        <v>0.14182614120082901</v>
      </c>
      <c r="K1301" s="10">
        <v>-0.20145079499999999</v>
      </c>
      <c r="L1301" s="10">
        <v>-0.60414463299999999</v>
      </c>
      <c r="M1301" s="10">
        <v>0.195549154</v>
      </c>
      <c r="N1301" s="10">
        <v>-0.30954075399999997</v>
      </c>
      <c r="O1301" s="9">
        <v>-0.22989675700000001</v>
      </c>
      <c r="P1301" s="10">
        <v>0.33076579573739301</v>
      </c>
      <c r="Q1301" s="10">
        <v>0.10940601162979</v>
      </c>
    </row>
    <row r="1302" spans="1:17" x14ac:dyDescent="0.2">
      <c r="A1302" s="10">
        <v>1850</v>
      </c>
      <c r="B1302" s="10" t="s">
        <v>2825</v>
      </c>
      <c r="C1302" s="9" t="s">
        <v>2018</v>
      </c>
      <c r="D1302" s="10">
        <v>-0.129148813</v>
      </c>
      <c r="E1302" s="10">
        <v>8.3338327000000004E-2</v>
      </c>
      <c r="F1302" s="10">
        <v>-0.64359238900000004</v>
      </c>
      <c r="G1302" s="10">
        <v>6.8008165999999995E-2</v>
      </c>
      <c r="H1302" s="9">
        <v>-0.15534867725000001</v>
      </c>
      <c r="I1302" s="10">
        <v>0.33957233906517298</v>
      </c>
      <c r="J1302" s="10">
        <v>0.115309373458193</v>
      </c>
      <c r="K1302" s="10">
        <v>0.82794101600000003</v>
      </c>
      <c r="L1302" s="10">
        <v>-2.7164960000000001E-3</v>
      </c>
      <c r="M1302" s="10">
        <v>0.25890344999999998</v>
      </c>
      <c r="N1302" s="10">
        <v>0.48874143599999997</v>
      </c>
      <c r="O1302" s="9">
        <v>0.39321735175</v>
      </c>
      <c r="P1302" s="10">
        <v>0.35256836260417901</v>
      </c>
      <c r="Q1302" s="10">
        <v>0.124304450309392</v>
      </c>
    </row>
    <row r="1303" spans="1:17" x14ac:dyDescent="0.2">
      <c r="A1303" s="10">
        <v>1850</v>
      </c>
      <c r="B1303" s="10" t="s">
        <v>74</v>
      </c>
      <c r="C1303" s="9" t="s">
        <v>2019</v>
      </c>
      <c r="D1303" s="10">
        <v>-0.50267668700000001</v>
      </c>
      <c r="E1303" s="10">
        <v>-0.45543470400000002</v>
      </c>
      <c r="F1303" s="10">
        <v>-0.62608660699999996</v>
      </c>
      <c r="G1303" s="10">
        <v>-7.1422510999999994E-2</v>
      </c>
      <c r="H1303" s="9">
        <v>-0.41390512725</v>
      </c>
      <c r="I1303" s="10">
        <v>0.239388400128206</v>
      </c>
      <c r="J1303" s="10">
        <v>5.7306806115942098E-2</v>
      </c>
      <c r="K1303" s="10">
        <v>0.144268011</v>
      </c>
      <c r="L1303" s="10">
        <v>1.163224E-2</v>
      </c>
      <c r="M1303" s="10">
        <v>-0.42033751000000003</v>
      </c>
      <c r="N1303" s="10">
        <v>0.29016574099999998</v>
      </c>
      <c r="O1303" s="9">
        <v>6.4321205000000001E-3</v>
      </c>
      <c r="P1303" s="10">
        <v>0.30641086733985501</v>
      </c>
      <c r="Q1303" s="10">
        <v>9.3887619623962207E-2</v>
      </c>
    </row>
    <row r="1304" spans="1:17" x14ac:dyDescent="0.2">
      <c r="A1304" s="10">
        <v>1850</v>
      </c>
      <c r="B1304" s="10" t="s">
        <v>2830</v>
      </c>
      <c r="C1304" s="9" t="s">
        <v>2020</v>
      </c>
      <c r="D1304" s="10">
        <v>3.7182641000000002E-2</v>
      </c>
      <c r="E1304" s="10">
        <v>-4.1679058999999997E-2</v>
      </c>
      <c r="F1304" s="10">
        <v>-0.386806125</v>
      </c>
      <c r="G1304" s="10">
        <v>-0.55022015899999999</v>
      </c>
      <c r="H1304" s="9">
        <v>-0.2353806755</v>
      </c>
      <c r="I1304" s="10">
        <v>0.27920401433540498</v>
      </c>
      <c r="J1304" s="10">
        <v>7.7954881621005306E-2</v>
      </c>
      <c r="K1304" s="10">
        <v>-2.154292E-2</v>
      </c>
      <c r="L1304" s="10">
        <v>-3.4156855E-2</v>
      </c>
      <c r="M1304" s="10">
        <v>-0.31433028400000002</v>
      </c>
      <c r="N1304" s="10">
        <v>-0.17450586700000001</v>
      </c>
      <c r="O1304" s="9">
        <v>-0.1361339815</v>
      </c>
      <c r="P1304" s="10">
        <v>0.13754607655423401</v>
      </c>
      <c r="Q1304" s="10">
        <v>1.8918923175463401E-2</v>
      </c>
    </row>
    <row r="1305" spans="1:17" x14ac:dyDescent="0.2">
      <c r="A1305" s="10">
        <v>1850</v>
      </c>
      <c r="B1305" s="10" t="s">
        <v>2835</v>
      </c>
      <c r="C1305" s="9" t="s">
        <v>2021</v>
      </c>
      <c r="D1305" s="10">
        <v>0.30782447899999998</v>
      </c>
      <c r="E1305" s="10">
        <v>0.53256424300000005</v>
      </c>
      <c r="F1305" s="10">
        <v>0.35033185900000002</v>
      </c>
      <c r="G1305" s="10">
        <v>0.35437882100000001</v>
      </c>
      <c r="H1305" s="9">
        <v>0.38627485049999999</v>
      </c>
      <c r="I1305" s="10">
        <v>9.9773581143074497E-2</v>
      </c>
      <c r="J1305" s="10">
        <v>9.9547674941136005E-3</v>
      </c>
      <c r="K1305" s="10">
        <v>0.44479294600000002</v>
      </c>
      <c r="L1305" s="10">
        <v>-5.3092211E-2</v>
      </c>
      <c r="M1305" s="10">
        <v>0.51560646600000004</v>
      </c>
      <c r="N1305" s="10">
        <v>9.2920693999999998E-2</v>
      </c>
      <c r="O1305" s="9">
        <v>0.25005697375000002</v>
      </c>
      <c r="P1305" s="10">
        <v>0.27387945666579</v>
      </c>
      <c r="Q1305" s="10">
        <v>7.5009956783548506E-2</v>
      </c>
    </row>
    <row r="1306" spans="1:17" x14ac:dyDescent="0.2">
      <c r="A1306" s="10">
        <v>1851</v>
      </c>
      <c r="B1306" s="10" t="s">
        <v>2831</v>
      </c>
      <c r="C1306" s="9" t="s">
        <v>2022</v>
      </c>
      <c r="D1306" s="10">
        <v>-0.96691508699999995</v>
      </c>
      <c r="E1306" s="10">
        <v>-1.1423181010000001</v>
      </c>
      <c r="F1306" s="10">
        <v>-1.674850916</v>
      </c>
      <c r="G1306" s="10">
        <v>-1.010763624</v>
      </c>
      <c r="H1306" s="9">
        <v>-1.1987119322499999</v>
      </c>
      <c r="I1306" s="10">
        <v>0.32605875753276198</v>
      </c>
      <c r="J1306" s="10">
        <v>0.10631431336380801</v>
      </c>
      <c r="K1306" s="10">
        <v>0.55064794500000003</v>
      </c>
      <c r="L1306" s="10">
        <v>0.21022784999999999</v>
      </c>
      <c r="M1306" s="10">
        <v>-0.355307869</v>
      </c>
      <c r="N1306" s="10">
        <v>0.227556073</v>
      </c>
      <c r="O1306" s="9">
        <v>0.15828099975000001</v>
      </c>
      <c r="P1306" s="10">
        <v>0.376484996094758</v>
      </c>
      <c r="Q1306" s="10">
        <v>0.14174095228447001</v>
      </c>
    </row>
    <row r="1307" spans="1:17" x14ac:dyDescent="0.2">
      <c r="A1307" s="10">
        <v>1851</v>
      </c>
      <c r="B1307" s="10" t="s">
        <v>2822</v>
      </c>
      <c r="C1307" s="9" t="s">
        <v>2023</v>
      </c>
      <c r="D1307" s="10">
        <v>-0.68341522700000001</v>
      </c>
      <c r="E1307" s="10">
        <v>-0.208705905</v>
      </c>
      <c r="F1307" s="10">
        <v>-0.29218335000000001</v>
      </c>
      <c r="G1307" s="10">
        <v>-0.45459761199999998</v>
      </c>
      <c r="H1307" s="9">
        <v>-0.40972552374999999</v>
      </c>
      <c r="I1307" s="10">
        <v>0.20908101117450401</v>
      </c>
      <c r="J1307" s="10">
        <v>4.3714869233753097E-2</v>
      </c>
      <c r="K1307" s="10">
        <v>-0.97509843500000004</v>
      </c>
      <c r="L1307" s="10">
        <v>-0.40762535100000002</v>
      </c>
      <c r="M1307" s="10">
        <v>-0.61825293100000001</v>
      </c>
      <c r="N1307" s="10">
        <v>-0.75963700999999995</v>
      </c>
      <c r="O1307" s="9">
        <v>-0.69015343174999999</v>
      </c>
      <c r="P1307" s="10">
        <v>0.238756096567149</v>
      </c>
      <c r="Q1307" s="10">
        <v>5.70044736479818E-2</v>
      </c>
    </row>
    <row r="1308" spans="1:17" x14ac:dyDescent="0.2">
      <c r="A1308" s="10">
        <v>1851</v>
      </c>
      <c r="B1308" s="10" t="s">
        <v>2821</v>
      </c>
      <c r="C1308" s="9" t="s">
        <v>2024</v>
      </c>
      <c r="D1308" s="10">
        <v>-6.5305308000000006E-2</v>
      </c>
      <c r="E1308" s="10">
        <v>5.0197219000000001E-2</v>
      </c>
      <c r="F1308" s="10">
        <v>-4.4995438999999998E-2</v>
      </c>
      <c r="G1308" s="10">
        <v>-1.3706157E-2</v>
      </c>
      <c r="H1308" s="9">
        <v>-1.8452421E-2</v>
      </c>
      <c r="I1308" s="10">
        <v>5.0448075347728799E-2</v>
      </c>
      <c r="J1308" s="10">
        <v>2.5450083062901001E-3</v>
      </c>
      <c r="K1308" s="10">
        <v>0.12293197</v>
      </c>
      <c r="L1308" s="10">
        <v>-9.0817160000000001E-3</v>
      </c>
      <c r="M1308" s="10">
        <v>-0.17706626</v>
      </c>
      <c r="N1308" s="10">
        <v>-0.55079696899999997</v>
      </c>
      <c r="O1308" s="9">
        <v>-0.15350324374999999</v>
      </c>
      <c r="P1308" s="10">
        <v>0.29193122759562801</v>
      </c>
      <c r="Q1308" s="10">
        <v>8.5223841645490794E-2</v>
      </c>
    </row>
    <row r="1309" spans="1:17" x14ac:dyDescent="0.2">
      <c r="A1309" s="10">
        <v>1851</v>
      </c>
      <c r="B1309" s="10" t="s">
        <v>2834</v>
      </c>
      <c r="C1309" s="9" t="s">
        <v>2025</v>
      </c>
      <c r="D1309" s="10">
        <v>-0.52940153099999998</v>
      </c>
      <c r="E1309" s="10">
        <v>-1.0891823780000001</v>
      </c>
      <c r="F1309" s="10">
        <v>-0.68316538400000004</v>
      </c>
      <c r="G1309" s="10">
        <v>-0.63601833699999999</v>
      </c>
      <c r="H1309" s="9">
        <v>-0.73444190725000003</v>
      </c>
      <c r="I1309" s="10">
        <v>0.245084229397458</v>
      </c>
      <c r="J1309" s="10">
        <v>6.0066279499345898E-2</v>
      </c>
      <c r="K1309" s="10">
        <v>-0.48657484400000001</v>
      </c>
      <c r="L1309" s="10">
        <v>-0.180673997</v>
      </c>
      <c r="M1309" s="10">
        <v>-0.64657984800000001</v>
      </c>
      <c r="N1309" s="10">
        <v>-0.44609221300000002</v>
      </c>
      <c r="O1309" s="9">
        <v>-0.43998022575000001</v>
      </c>
      <c r="P1309" s="10">
        <v>0.193331786505648</v>
      </c>
      <c r="Q1309" s="10">
        <v>3.73771796734658E-2</v>
      </c>
    </row>
    <row r="1310" spans="1:17" x14ac:dyDescent="0.2">
      <c r="A1310" s="10">
        <v>1852</v>
      </c>
      <c r="B1310" s="10" t="s">
        <v>2820</v>
      </c>
      <c r="C1310" s="9" t="s">
        <v>2030</v>
      </c>
      <c r="D1310" s="10">
        <v>-0.66239469299999998</v>
      </c>
      <c r="E1310" s="10">
        <v>-0.99251591500000003</v>
      </c>
      <c r="F1310" s="10">
        <v>-0.28956921400000002</v>
      </c>
      <c r="G1310" s="10">
        <v>5.7755313000000003E-2</v>
      </c>
      <c r="H1310" s="9">
        <v>-0.47168112699999998</v>
      </c>
      <c r="I1310" s="10">
        <v>0.45501217328178301</v>
      </c>
      <c r="J1310" s="10">
        <v>0.207036077834611</v>
      </c>
      <c r="K1310" s="10">
        <v>-1.125564477</v>
      </c>
      <c r="L1310" s="10">
        <v>-0.869307787</v>
      </c>
      <c r="M1310" s="10">
        <v>-0.185806412</v>
      </c>
      <c r="N1310" s="10">
        <v>-0.179000293</v>
      </c>
      <c r="O1310" s="9">
        <v>-0.58991974224999999</v>
      </c>
      <c r="P1310" s="10">
        <v>0.48205647624605602</v>
      </c>
      <c r="Q1310" s="10">
        <v>0.23237844629076401</v>
      </c>
    </row>
    <row r="1311" spans="1:17" x14ac:dyDescent="0.2">
      <c r="A1311" s="10">
        <v>1852</v>
      </c>
      <c r="B1311" s="10" t="s">
        <v>2817</v>
      </c>
      <c r="C1311" s="9" t="s">
        <v>2585</v>
      </c>
      <c r="D1311" s="10">
        <v>-4.2865687E-2</v>
      </c>
      <c r="E1311" s="10">
        <v>-0.45220582399999998</v>
      </c>
      <c r="F1311" s="10">
        <v>-0.83328120100000003</v>
      </c>
      <c r="G1311" s="10">
        <v>-9.7523322999999995E-2</v>
      </c>
      <c r="H1311" s="9">
        <v>-0.356469009</v>
      </c>
      <c r="I1311" s="10">
        <v>0.36602154583832602</v>
      </c>
      <c r="J1311" s="10">
        <v>0.13397177201787799</v>
      </c>
      <c r="K1311" s="10">
        <v>0.13089605600000001</v>
      </c>
      <c r="L1311" s="10">
        <v>-0.44087309400000002</v>
      </c>
      <c r="M1311" s="10">
        <v>-0.50807923300000002</v>
      </c>
      <c r="N1311" s="10">
        <v>0.11150076</v>
      </c>
      <c r="O1311" s="9">
        <v>-0.17663887775000001</v>
      </c>
      <c r="P1311" s="10">
        <v>0.34509641959159498</v>
      </c>
      <c r="Q1311" s="10">
        <v>0.119091538814938</v>
      </c>
    </row>
    <row r="1312" spans="1:17" x14ac:dyDescent="0.2">
      <c r="A1312" s="10">
        <v>1852</v>
      </c>
      <c r="B1312" s="10" t="s">
        <v>2814</v>
      </c>
      <c r="C1312" s="9" t="s">
        <v>2031</v>
      </c>
      <c r="D1312" s="10">
        <v>-0.96964994500000001</v>
      </c>
      <c r="E1312" s="10">
        <v>-7.1691625999999994E-2</v>
      </c>
      <c r="F1312" s="10">
        <v>-7.8934157000000005E-2</v>
      </c>
      <c r="G1312" s="10">
        <v>-0.17033925</v>
      </c>
      <c r="H1312" s="9">
        <v>-0.32265374450000001</v>
      </c>
      <c r="I1312" s="10">
        <v>0.43366077793186197</v>
      </c>
      <c r="J1312" s="10">
        <v>0.188061670316468</v>
      </c>
      <c r="K1312" s="10">
        <v>0.30957488799999999</v>
      </c>
      <c r="L1312" s="10">
        <v>0.11960462700000001</v>
      </c>
      <c r="M1312" s="10">
        <v>-0.27451414600000001</v>
      </c>
      <c r="N1312" s="10">
        <v>9.4172835999999996E-2</v>
      </c>
      <c r="O1312" s="9">
        <v>6.2209551000000002E-2</v>
      </c>
      <c r="P1312" s="10">
        <v>0.244191389697718</v>
      </c>
      <c r="Q1312" s="10">
        <v>5.9629434802502698E-2</v>
      </c>
    </row>
    <row r="1313" spans="1:17" x14ac:dyDescent="0.2">
      <c r="A1313" s="10">
        <v>1853</v>
      </c>
      <c r="B1313" s="10" t="s">
        <v>96</v>
      </c>
      <c r="C1313" s="9" t="s">
        <v>2035</v>
      </c>
      <c r="D1313" s="10">
        <v>-0.72803595700000001</v>
      </c>
      <c r="E1313" s="10">
        <v>-1.7612304000000001</v>
      </c>
      <c r="F1313" s="10">
        <v>-1.581526467</v>
      </c>
      <c r="G1313" s="10">
        <v>-1.058761619</v>
      </c>
      <c r="H1313" s="9">
        <v>-1.2823886105</v>
      </c>
      <c r="I1313" s="10">
        <v>0.474724064530406</v>
      </c>
      <c r="J1313" s="10">
        <v>0.225362937444269</v>
      </c>
      <c r="K1313" s="10">
        <v>-0.103215971</v>
      </c>
      <c r="L1313" s="10">
        <v>-0.82671935799999996</v>
      </c>
      <c r="M1313" s="10">
        <v>-0.43228469200000003</v>
      </c>
      <c r="N1313" s="10">
        <v>3.1928402000000002E-2</v>
      </c>
      <c r="O1313" s="9">
        <v>-0.33257290449999999</v>
      </c>
      <c r="P1313" s="10">
        <v>0.38279192061214401</v>
      </c>
      <c r="Q1313" s="10">
        <v>0.146529654485934</v>
      </c>
    </row>
    <row r="1314" spans="1:17" x14ac:dyDescent="0.2">
      <c r="A1314" s="10">
        <v>1853</v>
      </c>
      <c r="B1314" s="10" t="s">
        <v>2819</v>
      </c>
      <c r="C1314" s="9" t="s">
        <v>2036</v>
      </c>
      <c r="D1314" s="10">
        <v>-0.81515475900000001</v>
      </c>
      <c r="E1314" s="10">
        <v>-0.87411621399999995</v>
      </c>
      <c r="F1314" s="10">
        <v>-0.94476906699999996</v>
      </c>
      <c r="G1314" s="10">
        <v>-0.36467348900000002</v>
      </c>
      <c r="H1314" s="9">
        <v>-0.74967838225000005</v>
      </c>
      <c r="I1314" s="10">
        <v>0.26208209463551402</v>
      </c>
      <c r="J1314" s="10">
        <v>6.8687024328539001E-2</v>
      </c>
      <c r="K1314" s="10">
        <v>0.19669242200000001</v>
      </c>
      <c r="L1314" s="10">
        <v>-0.45750232800000001</v>
      </c>
      <c r="M1314" s="10">
        <v>0.38976836300000001</v>
      </c>
      <c r="N1314" s="10">
        <v>3.3636204000000003E-2</v>
      </c>
      <c r="O1314" s="9">
        <v>4.06486655E-2</v>
      </c>
      <c r="P1314" s="10">
        <v>0.36260070052628002</v>
      </c>
      <c r="Q1314" s="10">
        <v>0.13147926802214899</v>
      </c>
    </row>
    <row r="1315" spans="1:17" x14ac:dyDescent="0.2">
      <c r="A1315" s="10">
        <v>1853</v>
      </c>
      <c r="B1315" s="10" t="s">
        <v>2826</v>
      </c>
      <c r="C1315" s="9" t="s">
        <v>2037</v>
      </c>
      <c r="D1315" s="10">
        <v>-0.37919278299999998</v>
      </c>
      <c r="E1315" s="10">
        <v>-0.37714258699999997</v>
      </c>
      <c r="F1315" s="10">
        <v>-0.39767951800000001</v>
      </c>
      <c r="G1315" s="10">
        <v>0.17930436399999999</v>
      </c>
      <c r="H1315" s="9">
        <v>-0.24367763125</v>
      </c>
      <c r="I1315" s="10">
        <v>0.282139209253993</v>
      </c>
      <c r="J1315" s="10">
        <v>7.9602533398468595E-2</v>
      </c>
      <c r="K1315" s="10">
        <v>-0.149888561</v>
      </c>
      <c r="L1315" s="10">
        <v>1.9269252000000001E-2</v>
      </c>
      <c r="M1315" s="10">
        <v>-0.51133982600000005</v>
      </c>
      <c r="N1315" s="10">
        <v>-0.37835574399999999</v>
      </c>
      <c r="O1315" s="9">
        <v>-0.25507871975000002</v>
      </c>
      <c r="P1315" s="10">
        <v>0.23607820624078299</v>
      </c>
      <c r="Q1315" s="10">
        <v>5.5732919461865899E-2</v>
      </c>
    </row>
    <row r="1316" spans="1:17" x14ac:dyDescent="0.2">
      <c r="A1316" s="10">
        <v>1853</v>
      </c>
      <c r="B1316" s="10" t="s">
        <v>2824</v>
      </c>
      <c r="C1316" s="9" t="s">
        <v>2039</v>
      </c>
      <c r="D1316" s="10">
        <v>-0.58767725699999995</v>
      </c>
      <c r="E1316" s="10">
        <v>-1.1599474910000001</v>
      </c>
      <c r="F1316" s="10">
        <v>-1.123025502</v>
      </c>
      <c r="G1316" s="10">
        <v>-0.99548921499999998</v>
      </c>
      <c r="H1316" s="9">
        <v>-0.96653486624999996</v>
      </c>
      <c r="I1316" s="10">
        <v>0.26221441918671901</v>
      </c>
      <c r="J1316" s="10">
        <v>6.8756401629428601E-2</v>
      </c>
      <c r="K1316" s="10">
        <v>-0.105740479</v>
      </c>
      <c r="L1316" s="10">
        <v>0.162606731</v>
      </c>
      <c r="M1316" s="10">
        <v>-0.40209010899999997</v>
      </c>
      <c r="N1316" s="10">
        <v>0.19582798100000001</v>
      </c>
      <c r="O1316" s="9">
        <v>-3.7348969000000003E-2</v>
      </c>
      <c r="P1316" s="10">
        <v>0.27812902870332901</v>
      </c>
      <c r="Q1316" s="10">
        <v>7.7355756607457304E-2</v>
      </c>
    </row>
    <row r="1317" spans="1:17" x14ac:dyDescent="0.2">
      <c r="A1317" s="10">
        <v>1853</v>
      </c>
      <c r="B1317" s="10" t="s">
        <v>2833</v>
      </c>
      <c r="C1317" s="9" t="s">
        <v>2041</v>
      </c>
      <c r="D1317" s="10">
        <v>-0.80931333599999999</v>
      </c>
      <c r="E1317" s="10">
        <v>-1.54041261</v>
      </c>
      <c r="F1317" s="10">
        <v>-0.86128946799999995</v>
      </c>
      <c r="G1317" s="10">
        <v>-0.32152749899999999</v>
      </c>
      <c r="H1317" s="9">
        <v>-0.88313572849999999</v>
      </c>
      <c r="I1317" s="10">
        <v>0.50111332954025001</v>
      </c>
      <c r="J1317" s="10">
        <v>0.25111456904291501</v>
      </c>
      <c r="K1317" s="10">
        <v>0.352371873</v>
      </c>
      <c r="L1317" s="10">
        <v>0.281004527</v>
      </c>
      <c r="M1317" s="10">
        <v>0.18841038600000001</v>
      </c>
      <c r="N1317" s="10">
        <v>0.43000629699999998</v>
      </c>
      <c r="O1317" s="9">
        <v>0.31294827074999998</v>
      </c>
      <c r="P1317" s="10">
        <v>0.102935075697713</v>
      </c>
      <c r="Q1317" s="10">
        <v>1.05956298088939E-2</v>
      </c>
    </row>
    <row r="1318" spans="1:17" x14ac:dyDescent="0.2">
      <c r="A1318" s="10">
        <v>1853</v>
      </c>
      <c r="B1318" s="10" t="s">
        <v>2835</v>
      </c>
      <c r="C1318" s="9" t="s">
        <v>2044</v>
      </c>
      <c r="D1318" s="10">
        <v>-0.413889917</v>
      </c>
      <c r="E1318" s="10">
        <v>-0.74132529800000002</v>
      </c>
      <c r="F1318" s="10">
        <v>-1.2668938540000001</v>
      </c>
      <c r="G1318" s="10">
        <v>-0.77491626400000002</v>
      </c>
      <c r="H1318" s="9">
        <v>-0.79925633350000003</v>
      </c>
      <c r="I1318" s="10">
        <v>0.35172933220627001</v>
      </c>
      <c r="J1318" s="10">
        <v>0.12371352313426801</v>
      </c>
      <c r="K1318" s="10">
        <v>2.6512411E-2</v>
      </c>
      <c r="L1318" s="10">
        <v>-7.2051756999999994E-2</v>
      </c>
      <c r="M1318" s="10">
        <v>0.34595657400000002</v>
      </c>
      <c r="N1318" s="10">
        <v>-3.0938124000000001E-2</v>
      </c>
      <c r="O1318" s="9">
        <v>6.7369776000000006E-2</v>
      </c>
      <c r="P1318" s="10">
        <v>0.19007256102264</v>
      </c>
      <c r="Q1318" s="10">
        <v>3.6127578453705303E-2</v>
      </c>
    </row>
    <row r="1319" spans="1:17" x14ac:dyDescent="0.2">
      <c r="A1319" s="10">
        <v>1854</v>
      </c>
      <c r="B1319" s="10" t="s">
        <v>2831</v>
      </c>
      <c r="C1319" s="9" t="s">
        <v>2045</v>
      </c>
      <c r="D1319" s="10">
        <v>-0.55477154299999998</v>
      </c>
      <c r="E1319" s="10">
        <v>-0.54604203100000004</v>
      </c>
      <c r="F1319" s="10">
        <v>-1.0943126860000001</v>
      </c>
      <c r="G1319" s="10">
        <v>-0.91753564799999998</v>
      </c>
      <c r="H1319" s="9">
        <v>-0.77816547700000005</v>
      </c>
      <c r="I1319" s="10">
        <v>0.27273873105591301</v>
      </c>
      <c r="J1319" s="10">
        <v>7.4386415417990001E-2</v>
      </c>
      <c r="K1319" s="10">
        <v>0.15354172899999999</v>
      </c>
      <c r="L1319" s="10">
        <v>-0.18899561200000001</v>
      </c>
      <c r="M1319" s="10">
        <v>2.4345640000000002E-3</v>
      </c>
      <c r="N1319" s="10">
        <v>-2.4714777E-2</v>
      </c>
      <c r="O1319" s="9">
        <v>-1.4433524E-2</v>
      </c>
      <c r="P1319" s="10">
        <v>0.140330377732168</v>
      </c>
      <c r="Q1319" s="10">
        <v>1.9692614914453101E-2</v>
      </c>
    </row>
    <row r="1320" spans="1:17" x14ac:dyDescent="0.2">
      <c r="A1320" s="10">
        <v>1854</v>
      </c>
      <c r="B1320" s="10" t="s">
        <v>2819</v>
      </c>
      <c r="C1320" s="9" t="s">
        <v>2047</v>
      </c>
      <c r="D1320" s="10">
        <v>-0.33657373899999998</v>
      </c>
      <c r="E1320" s="10">
        <v>7.7297645999999998E-2</v>
      </c>
      <c r="F1320" s="10">
        <v>-0.303613093</v>
      </c>
      <c r="G1320" s="10">
        <v>1.8359638000000001E-2</v>
      </c>
      <c r="H1320" s="9">
        <v>-0.13613238675</v>
      </c>
      <c r="I1320" s="10">
        <v>0.21420137507248299</v>
      </c>
      <c r="J1320" s="10">
        <v>4.5882229082942601E-2</v>
      </c>
      <c r="K1320" s="10">
        <v>-0.39982659399999998</v>
      </c>
      <c r="L1320" s="10">
        <v>-0.22659716299999999</v>
      </c>
      <c r="M1320" s="10">
        <v>-0.30135933999999998</v>
      </c>
      <c r="N1320" s="10">
        <v>-0.203123098</v>
      </c>
      <c r="O1320" s="9">
        <v>-0.28272654874999997</v>
      </c>
      <c r="P1320" s="10">
        <v>8.8594241391673004E-2</v>
      </c>
      <c r="Q1320" s="10">
        <v>7.8489396077659999E-3</v>
      </c>
    </row>
    <row r="1321" spans="1:17" x14ac:dyDescent="0.2">
      <c r="A1321" s="10">
        <v>1854</v>
      </c>
      <c r="B1321" s="10" t="s">
        <v>2826</v>
      </c>
      <c r="C1321" s="9" t="s">
        <v>2048</v>
      </c>
      <c r="D1321" s="10">
        <v>-0.65041345399999995</v>
      </c>
      <c r="E1321" s="10">
        <v>-5.8168223999999998E-2</v>
      </c>
      <c r="F1321" s="10">
        <v>0.20686021099999999</v>
      </c>
      <c r="G1321" s="10">
        <v>9.6173005000000006E-2</v>
      </c>
      <c r="H1321" s="9">
        <v>-0.10138711575000001</v>
      </c>
      <c r="I1321" s="10">
        <v>0.38181330885463599</v>
      </c>
      <c r="J1321" s="10">
        <v>0.145781402818525</v>
      </c>
      <c r="K1321" s="10">
        <v>0.12867064</v>
      </c>
      <c r="L1321" s="10">
        <v>0.31610406299999999</v>
      </c>
      <c r="M1321" s="10">
        <v>-6.0873638000000001E-2</v>
      </c>
      <c r="N1321" s="10">
        <v>-5.5053922999999998E-2</v>
      </c>
      <c r="O1321" s="9">
        <v>8.2211785750000002E-2</v>
      </c>
      <c r="P1321" s="10">
        <v>0.17905244649149599</v>
      </c>
      <c r="Q1321" s="10">
        <v>3.2059778594590103E-2</v>
      </c>
    </row>
    <row r="1322" spans="1:17" x14ac:dyDescent="0.2">
      <c r="A1322" s="10">
        <v>1854</v>
      </c>
      <c r="B1322" s="10" t="s">
        <v>2821</v>
      </c>
      <c r="C1322" s="9" t="s">
        <v>2049</v>
      </c>
      <c r="D1322" s="10">
        <v>0.15650678000000001</v>
      </c>
      <c r="E1322" s="10">
        <v>-7.7338356999999996E-2</v>
      </c>
      <c r="F1322" s="10">
        <v>0.32025321200000001</v>
      </c>
      <c r="G1322" s="10">
        <v>0.26495246300000003</v>
      </c>
      <c r="H1322" s="9">
        <v>0.16609352450000001</v>
      </c>
      <c r="I1322" s="10">
        <v>0.17596333479088</v>
      </c>
      <c r="J1322" s="10">
        <v>3.0963095190727499E-2</v>
      </c>
      <c r="K1322" s="10">
        <v>0.18037837900000001</v>
      </c>
      <c r="L1322" s="10">
        <v>0.11262604700000001</v>
      </c>
      <c r="M1322" s="10">
        <v>2.6511614999999999E-2</v>
      </c>
      <c r="N1322" s="10">
        <v>0.62071071700000002</v>
      </c>
      <c r="O1322" s="9">
        <v>0.2350566895</v>
      </c>
      <c r="P1322" s="10">
        <v>0.26470049545809199</v>
      </c>
      <c r="Q1322" s="10">
        <v>7.0066352295759499E-2</v>
      </c>
    </row>
    <row r="1323" spans="1:17" x14ac:dyDescent="0.2">
      <c r="A1323" s="10">
        <v>1854</v>
      </c>
      <c r="B1323" s="10" t="s">
        <v>2834</v>
      </c>
      <c r="C1323" s="9" t="s">
        <v>2050</v>
      </c>
      <c r="D1323" s="10">
        <v>0.119977106</v>
      </c>
      <c r="E1323" s="10">
        <v>-2.0979713000000001E-2</v>
      </c>
      <c r="F1323" s="10">
        <v>-0.23933073999999999</v>
      </c>
      <c r="G1323" s="10">
        <v>-3.4054046999999997E-2</v>
      </c>
      <c r="H1323" s="9">
        <v>-4.35968485E-2</v>
      </c>
      <c r="I1323" s="10">
        <v>0.14795359041626899</v>
      </c>
      <c r="J1323" s="10">
        <v>2.18902649170651E-2</v>
      </c>
      <c r="K1323" s="10">
        <v>0.178523605</v>
      </c>
      <c r="L1323" s="10">
        <v>-1.5134705930000001</v>
      </c>
      <c r="M1323" s="10">
        <v>-0.80390717499999997</v>
      </c>
      <c r="N1323" s="10">
        <v>6.1759209000000002E-2</v>
      </c>
      <c r="O1323" s="9">
        <v>-0.51927373850000003</v>
      </c>
      <c r="P1323" s="10">
        <v>0.794557318542362</v>
      </c>
      <c r="Q1323" s="10">
        <v>0.63132133244922894</v>
      </c>
    </row>
    <row r="1324" spans="1:17" x14ac:dyDescent="0.2">
      <c r="A1324" s="10">
        <v>1854</v>
      </c>
      <c r="B1324" s="10" t="s">
        <v>2820</v>
      </c>
      <c r="C1324" s="9" t="s">
        <v>2051</v>
      </c>
      <c r="D1324" s="10">
        <v>0.52413688700000005</v>
      </c>
      <c r="E1324" s="10">
        <v>0.29627161699999999</v>
      </c>
      <c r="F1324" s="10">
        <v>0.90454325000000002</v>
      </c>
      <c r="G1324" s="10">
        <v>0.30991922500000002</v>
      </c>
      <c r="H1324" s="9">
        <v>0.50871774474999998</v>
      </c>
      <c r="I1324" s="10">
        <v>0.28376621199202201</v>
      </c>
      <c r="J1324" s="10">
        <v>8.0523263068301307E-2</v>
      </c>
      <c r="K1324" s="10">
        <v>0.120182764</v>
      </c>
      <c r="L1324" s="10">
        <v>0.12002349700000001</v>
      </c>
      <c r="M1324" s="10">
        <v>-0.50383529900000001</v>
      </c>
      <c r="N1324" s="10">
        <v>0.65349321400000004</v>
      </c>
      <c r="O1324" s="9">
        <v>9.7466044249999995E-2</v>
      </c>
      <c r="P1324" s="10">
        <v>0.47319988973132598</v>
      </c>
      <c r="Q1324" s="10">
        <v>0.22391813564173901</v>
      </c>
    </row>
    <row r="1325" spans="1:17" x14ac:dyDescent="0.2">
      <c r="A1325" s="10">
        <v>1854</v>
      </c>
      <c r="B1325" s="10" t="s">
        <v>2817</v>
      </c>
      <c r="C1325" s="9" t="s">
        <v>2052</v>
      </c>
      <c r="D1325" s="10">
        <v>-0.95581853299999997</v>
      </c>
      <c r="E1325" s="10">
        <v>-0.35006738999999998</v>
      </c>
      <c r="F1325" s="10">
        <v>-0.59391169899999996</v>
      </c>
      <c r="G1325" s="10">
        <v>-0.81700677200000005</v>
      </c>
      <c r="H1325" s="9">
        <v>-0.67920109824999997</v>
      </c>
      <c r="I1325" s="10">
        <v>0.265274002028207</v>
      </c>
      <c r="J1325" s="10">
        <v>7.0370296152061307E-2</v>
      </c>
      <c r="K1325" s="10">
        <v>-0.52122891500000001</v>
      </c>
      <c r="L1325" s="10">
        <v>-0.23798154699999999</v>
      </c>
      <c r="M1325" s="10">
        <v>-0.76233143699999995</v>
      </c>
      <c r="N1325" s="10">
        <v>-0.33676340500000002</v>
      </c>
      <c r="O1325" s="9">
        <v>-0.46457632625</v>
      </c>
      <c r="P1325" s="10">
        <v>0.23061436686355499</v>
      </c>
      <c r="Q1325" s="10">
        <v>5.31829862038787E-2</v>
      </c>
    </row>
    <row r="1326" spans="1:17" x14ac:dyDescent="0.2">
      <c r="A1326" s="10">
        <v>1854</v>
      </c>
      <c r="B1326" s="10" t="s">
        <v>2814</v>
      </c>
      <c r="C1326" s="9" t="s">
        <v>69</v>
      </c>
      <c r="D1326" s="10">
        <v>-0.98181082799999997</v>
      </c>
      <c r="E1326" s="10">
        <v>-1.5863522329999999</v>
      </c>
      <c r="F1326" s="10">
        <v>-1.1235957539999999</v>
      </c>
      <c r="G1326" s="10">
        <v>-0.435064016</v>
      </c>
      <c r="H1326" s="9">
        <v>-1.03170570775</v>
      </c>
      <c r="I1326" s="10">
        <v>0.47418257943935999</v>
      </c>
      <c r="J1326" s="10">
        <v>0.224849118643764</v>
      </c>
      <c r="K1326" s="10">
        <v>-3.0348342E-2</v>
      </c>
      <c r="L1326" s="10">
        <v>-0.61947779300000005</v>
      </c>
      <c r="M1326" s="10">
        <v>-0.90073255399999996</v>
      </c>
      <c r="N1326" s="10">
        <v>-0.35064585599999998</v>
      </c>
      <c r="O1326" s="9">
        <v>-0.47530113600000001</v>
      </c>
      <c r="P1326" s="10">
        <v>0.37206662824708803</v>
      </c>
      <c r="Q1326" s="10">
        <v>0.138433575855157</v>
      </c>
    </row>
    <row r="1327" spans="1:17" x14ac:dyDescent="0.2">
      <c r="A1327" s="10">
        <v>1854</v>
      </c>
      <c r="B1327" s="10" t="s">
        <v>2833</v>
      </c>
      <c r="C1327" s="9" t="s">
        <v>2053</v>
      </c>
      <c r="D1327" s="10">
        <v>0.19416071200000001</v>
      </c>
      <c r="E1327" s="10">
        <v>-6.2443865000000001E-2</v>
      </c>
      <c r="F1327" s="10">
        <v>0.19456983799999999</v>
      </c>
      <c r="G1327" s="10">
        <v>0.43204351699999999</v>
      </c>
      <c r="H1327" s="9">
        <v>0.18958255025000001</v>
      </c>
      <c r="I1327" s="10">
        <v>0.201949223804087</v>
      </c>
      <c r="J1327" s="10">
        <v>4.0783488995073398E-2</v>
      </c>
      <c r="K1327" s="10">
        <v>0.52265465099999997</v>
      </c>
      <c r="L1327" s="10">
        <v>-0.245868173</v>
      </c>
      <c r="M1327" s="10">
        <v>0.57281737600000004</v>
      </c>
      <c r="N1327" s="10">
        <v>0.74413811500000004</v>
      </c>
      <c r="O1327" s="9">
        <v>0.39843549249999999</v>
      </c>
      <c r="P1327" s="10">
        <v>0.439877618287772</v>
      </c>
      <c r="Q1327" s="10">
        <v>0.193492319070523</v>
      </c>
    </row>
    <row r="1328" spans="1:17" x14ac:dyDescent="0.2">
      <c r="A1328" s="10">
        <v>1854</v>
      </c>
      <c r="B1328" s="10" t="s">
        <v>2825</v>
      </c>
      <c r="C1328" s="9" t="s">
        <v>2054</v>
      </c>
      <c r="D1328" s="10">
        <v>-0.226158624</v>
      </c>
      <c r="E1328" s="10">
        <v>-6.0138839999999997E-3</v>
      </c>
      <c r="F1328" s="10">
        <v>-0.158978706</v>
      </c>
      <c r="G1328" s="10">
        <v>-4.5443153999999999E-2</v>
      </c>
      <c r="H1328" s="9">
        <v>-0.109148592</v>
      </c>
      <c r="I1328" s="10">
        <v>0.101438879257266</v>
      </c>
      <c r="J1328" s="10">
        <v>1.0289846224970299E-2</v>
      </c>
      <c r="K1328" s="10">
        <v>-0.13957301499999999</v>
      </c>
      <c r="L1328" s="10">
        <v>-0.46074430999999999</v>
      </c>
      <c r="M1328" s="10">
        <v>-0.52663850400000001</v>
      </c>
      <c r="N1328" s="10">
        <v>-8.8832364999999996E-2</v>
      </c>
      <c r="O1328" s="9">
        <v>-0.30394704825000002</v>
      </c>
      <c r="P1328" s="10">
        <v>0.22171303939474801</v>
      </c>
      <c r="Q1328" s="10">
        <v>4.9156671837657297E-2</v>
      </c>
    </row>
    <row r="1329" spans="1:17" x14ac:dyDescent="0.2">
      <c r="A1329" s="10">
        <v>1854</v>
      </c>
      <c r="B1329" s="10" t="s">
        <v>2830</v>
      </c>
      <c r="C1329" s="9" t="s">
        <v>2056</v>
      </c>
      <c r="D1329" s="10">
        <v>-6.0105347000000003E-2</v>
      </c>
      <c r="E1329" s="10">
        <v>-0.22908867199999999</v>
      </c>
      <c r="F1329" s="10">
        <v>-5.3203256999999997E-2</v>
      </c>
      <c r="G1329" s="10">
        <v>-1.1272597000000001E-2</v>
      </c>
      <c r="H1329" s="9">
        <v>-8.8417467999999999E-2</v>
      </c>
      <c r="I1329" s="10">
        <v>9.6231207010836498E-2</v>
      </c>
      <c r="J1329" s="10">
        <v>9.2604452027623997E-3</v>
      </c>
      <c r="K1329" s="10">
        <v>-0.17060051200000001</v>
      </c>
      <c r="L1329" s="10">
        <v>-5.2528419999999998E-3</v>
      </c>
      <c r="M1329" s="10">
        <v>-0.10811203699999999</v>
      </c>
      <c r="N1329" s="10">
        <v>-1.2657661000000001E-2</v>
      </c>
      <c r="O1329" s="9">
        <v>-7.4155762750000007E-2</v>
      </c>
      <c r="P1329" s="10">
        <v>7.9549245178842307E-2</v>
      </c>
      <c r="Q1329" s="10">
        <v>6.3280824085235002E-3</v>
      </c>
    </row>
    <row r="1330" spans="1:17" x14ac:dyDescent="0.2">
      <c r="A1330" s="10">
        <v>1854</v>
      </c>
      <c r="B1330" s="10" t="s">
        <v>2835</v>
      </c>
      <c r="C1330" s="9" t="s">
        <v>2057</v>
      </c>
      <c r="D1330" s="10">
        <v>-3.6553979E-2</v>
      </c>
      <c r="E1330" s="10">
        <v>-3.3671187999999998E-2</v>
      </c>
      <c r="F1330" s="10">
        <v>-0.15715063800000001</v>
      </c>
      <c r="G1330" s="10">
        <v>0.185569079</v>
      </c>
      <c r="H1330" s="9">
        <v>-1.0451681500000001E-2</v>
      </c>
      <c r="I1330" s="10">
        <v>0.14278795210855999</v>
      </c>
      <c r="J1330" s="10">
        <v>2.0388399267356399E-2</v>
      </c>
      <c r="K1330" s="10">
        <v>0.51429541400000001</v>
      </c>
      <c r="L1330" s="10">
        <v>3.4299957999999998E-2</v>
      </c>
      <c r="M1330" s="10">
        <v>0.289465786</v>
      </c>
      <c r="N1330" s="10">
        <v>0.63219630199999999</v>
      </c>
      <c r="O1330" s="9">
        <v>0.367564365</v>
      </c>
      <c r="P1330" s="10">
        <v>0.26377049104344003</v>
      </c>
      <c r="Q1330" s="10">
        <v>6.9574871945297698E-2</v>
      </c>
    </row>
    <row r="1331" spans="1:17" x14ac:dyDescent="0.2">
      <c r="A1331" s="10">
        <v>1855</v>
      </c>
      <c r="B1331" s="10" t="s">
        <v>2820</v>
      </c>
      <c r="C1331" s="9" t="s">
        <v>2060</v>
      </c>
      <c r="D1331" s="10">
        <v>-0.241259791</v>
      </c>
      <c r="E1331" s="10">
        <v>-0.14184829099999999</v>
      </c>
      <c r="F1331" s="10">
        <v>-0.14567169199999999</v>
      </c>
      <c r="G1331" s="10">
        <v>-0.19890756500000001</v>
      </c>
      <c r="H1331" s="9">
        <v>-0.18192183475000001</v>
      </c>
      <c r="I1331" s="10">
        <v>4.7361974346977302E-2</v>
      </c>
      <c r="J1331" s="10">
        <v>2.2431566140437001E-3</v>
      </c>
      <c r="K1331" s="10">
        <v>0.181857033</v>
      </c>
      <c r="L1331" s="10">
        <v>0.12520392999999999</v>
      </c>
      <c r="M1331" s="10">
        <v>-2.7255538999999999E-2</v>
      </c>
      <c r="N1331" s="10">
        <v>0.164557545</v>
      </c>
      <c r="O1331" s="9">
        <v>0.11109074225</v>
      </c>
      <c r="P1331" s="10">
        <v>9.5228571530102904E-2</v>
      </c>
      <c r="Q1331" s="10">
        <v>9.0684808356638995E-3</v>
      </c>
    </row>
    <row r="1332" spans="1:17" x14ac:dyDescent="0.2">
      <c r="A1332" s="10">
        <v>1855</v>
      </c>
      <c r="B1332" s="10" t="s">
        <v>2824</v>
      </c>
      <c r="C1332" s="9" t="s">
        <v>2061</v>
      </c>
      <c r="D1332" s="10">
        <v>0.30876983299999999</v>
      </c>
      <c r="E1332" s="10">
        <v>0.29529730799999998</v>
      </c>
      <c r="F1332" s="10">
        <v>8.6848638000000006E-2</v>
      </c>
      <c r="G1332" s="10">
        <v>-0.18763453199999999</v>
      </c>
      <c r="H1332" s="9">
        <v>0.12582031175</v>
      </c>
      <c r="I1332" s="10">
        <v>0.23235440603292401</v>
      </c>
      <c r="J1332" s="10">
        <v>5.3988570002913301E-2</v>
      </c>
      <c r="K1332" s="10">
        <v>0.34146649400000001</v>
      </c>
      <c r="L1332" s="10">
        <v>0.26407635600000001</v>
      </c>
      <c r="M1332" s="10">
        <v>6.5540037999999995E-2</v>
      </c>
      <c r="N1332" s="10">
        <v>0.14231018200000001</v>
      </c>
      <c r="O1332" s="9">
        <v>0.20334826750000001</v>
      </c>
      <c r="P1332" s="10">
        <v>0.12312771313261001</v>
      </c>
      <c r="Q1332" s="10">
        <v>1.5160433741266299E-2</v>
      </c>
    </row>
    <row r="1333" spans="1:17" x14ac:dyDescent="0.2">
      <c r="A1333" s="10">
        <v>1855</v>
      </c>
      <c r="B1333" s="10" t="s">
        <v>2817</v>
      </c>
      <c r="C1333" s="9" t="s">
        <v>2062</v>
      </c>
      <c r="D1333" s="10">
        <v>1.5324307000000001E-2</v>
      </c>
      <c r="E1333" s="10">
        <v>-0.482524167</v>
      </c>
      <c r="F1333" s="10">
        <v>0.10120596699999999</v>
      </c>
      <c r="G1333" s="10">
        <v>0.109211487</v>
      </c>
      <c r="H1333" s="9">
        <v>-6.4195601500000005E-2</v>
      </c>
      <c r="I1333" s="10">
        <v>0.28210512329357101</v>
      </c>
      <c r="J1333" s="10">
        <v>7.9583300588480996E-2</v>
      </c>
      <c r="K1333" s="10">
        <v>0.30242906600000002</v>
      </c>
      <c r="L1333" s="10">
        <v>-0.114334334</v>
      </c>
      <c r="M1333" s="10">
        <v>-9.4627550000000005E-2</v>
      </c>
      <c r="N1333" s="10">
        <v>0.30775339000000002</v>
      </c>
      <c r="O1333" s="9">
        <v>0.100305143</v>
      </c>
      <c r="P1333" s="10">
        <v>0.236613408551691</v>
      </c>
      <c r="Q1333" s="10">
        <v>5.5985905106449498E-2</v>
      </c>
    </row>
    <row r="1334" spans="1:17" x14ac:dyDescent="0.2">
      <c r="A1334" s="10">
        <v>1855</v>
      </c>
      <c r="B1334" s="10" t="s">
        <v>2825</v>
      </c>
      <c r="C1334" s="9" t="s">
        <v>2064</v>
      </c>
      <c r="D1334" s="10">
        <v>-9.3649330000000006E-3</v>
      </c>
      <c r="E1334" s="10">
        <v>-0.322296048</v>
      </c>
      <c r="F1334" s="10">
        <v>2.7992283999999999E-2</v>
      </c>
      <c r="G1334" s="10">
        <v>-0.27959585399999998</v>
      </c>
      <c r="H1334" s="9">
        <v>-0.1458161375</v>
      </c>
      <c r="I1334" s="10">
        <v>0.18061973863223499</v>
      </c>
      <c r="J1334" s="10">
        <v>3.2623489983576899E-2</v>
      </c>
      <c r="K1334" s="10">
        <v>-0.11929851900000001</v>
      </c>
      <c r="L1334" s="10">
        <v>-0.36343745300000002</v>
      </c>
      <c r="M1334" s="10">
        <v>-0.186538332</v>
      </c>
      <c r="N1334" s="10">
        <v>1.0455559999999999E-2</v>
      </c>
      <c r="O1334" s="9">
        <v>-0.16470468625000001</v>
      </c>
      <c r="P1334" s="10">
        <v>0.155685850949427</v>
      </c>
      <c r="Q1334" s="10">
        <v>2.4238084185847299E-2</v>
      </c>
    </row>
    <row r="1335" spans="1:17" x14ac:dyDescent="0.2">
      <c r="A1335" s="10">
        <v>1855</v>
      </c>
      <c r="B1335" s="10" t="s">
        <v>2818</v>
      </c>
      <c r="C1335" s="9" t="s">
        <v>2065</v>
      </c>
      <c r="D1335" s="10">
        <v>-0.20299273700000001</v>
      </c>
      <c r="E1335" s="10">
        <v>-8.6434386000000002E-2</v>
      </c>
      <c r="F1335" s="10">
        <v>-0.24010446999999999</v>
      </c>
      <c r="G1335" s="10">
        <v>-0.45256731</v>
      </c>
      <c r="H1335" s="9">
        <v>-0.24552472575000001</v>
      </c>
      <c r="I1335" s="10">
        <v>0.15276858003105401</v>
      </c>
      <c r="J1335" s="10">
        <v>2.3338239044704698E-2</v>
      </c>
      <c r="K1335" s="10">
        <v>-0.34780908900000002</v>
      </c>
      <c r="L1335" s="10">
        <v>-0.31276430100000002</v>
      </c>
      <c r="M1335" s="10">
        <v>-0.1804402</v>
      </c>
      <c r="N1335" s="10">
        <v>-7.0003210999999996E-2</v>
      </c>
      <c r="O1335" s="9">
        <v>-0.22775419999999999</v>
      </c>
      <c r="P1335" s="10">
        <v>0.127493637450803</v>
      </c>
      <c r="Q1335" s="10">
        <v>1.6254627590436801E-2</v>
      </c>
    </row>
    <row r="1336" spans="1:17" x14ac:dyDescent="0.2">
      <c r="A1336" s="10">
        <v>1855</v>
      </c>
      <c r="B1336" s="10" t="s">
        <v>2830</v>
      </c>
      <c r="C1336" s="9" t="s">
        <v>2066</v>
      </c>
      <c r="D1336" s="10">
        <v>0.56146360500000003</v>
      </c>
      <c r="E1336" s="10">
        <v>0.68257183899999996</v>
      </c>
      <c r="F1336" s="10">
        <v>0.59036123200000001</v>
      </c>
      <c r="G1336" s="10">
        <v>0.66320485100000004</v>
      </c>
      <c r="H1336" s="9">
        <v>0.62440038175000001</v>
      </c>
      <c r="I1336" s="10">
        <v>5.7762175789308701E-2</v>
      </c>
      <c r="J1336" s="10">
        <v>3.3364689519149999E-3</v>
      </c>
      <c r="K1336" s="10">
        <v>0.87485997400000004</v>
      </c>
      <c r="L1336" s="10">
        <v>0.74147120700000002</v>
      </c>
      <c r="M1336" s="10">
        <v>0.69122761799999999</v>
      </c>
      <c r="N1336" s="10">
        <v>0.80083526699999996</v>
      </c>
      <c r="O1336" s="9">
        <v>0.77709851674999997</v>
      </c>
      <c r="P1336" s="10">
        <v>7.9086139300195202E-2</v>
      </c>
      <c r="Q1336" s="10">
        <v>6.2546174294097999E-3</v>
      </c>
    </row>
    <row r="1337" spans="1:17" x14ac:dyDescent="0.2">
      <c r="A1337" s="10">
        <v>1856</v>
      </c>
      <c r="B1337" s="10" t="s">
        <v>2822</v>
      </c>
      <c r="C1337" s="9" t="s">
        <v>2067</v>
      </c>
      <c r="D1337" s="10">
        <v>0.61779664099999998</v>
      </c>
      <c r="E1337" s="10">
        <v>0.165698913</v>
      </c>
      <c r="F1337" s="10">
        <v>0.34511027799999999</v>
      </c>
      <c r="G1337" s="10">
        <v>0.157857518</v>
      </c>
      <c r="H1337" s="9">
        <v>0.32161583775000002</v>
      </c>
      <c r="I1337" s="10">
        <v>0.215562776353213</v>
      </c>
      <c r="J1337" s="10">
        <v>4.6467310549105398E-2</v>
      </c>
      <c r="K1337" s="10">
        <v>-6.8844951000000001E-2</v>
      </c>
      <c r="L1337" s="10">
        <v>-0.19436120300000001</v>
      </c>
      <c r="M1337" s="10">
        <v>0.41531227700000001</v>
      </c>
      <c r="N1337" s="10">
        <v>0.62309019499999996</v>
      </c>
      <c r="O1337" s="9">
        <v>0.19379907925000001</v>
      </c>
      <c r="P1337" s="10">
        <v>0.38859115197581501</v>
      </c>
      <c r="Q1337" s="10">
        <v>0.15100308339389101</v>
      </c>
    </row>
    <row r="1338" spans="1:17" x14ac:dyDescent="0.2">
      <c r="A1338" s="10">
        <v>1856</v>
      </c>
      <c r="B1338" s="10" t="s">
        <v>2824</v>
      </c>
      <c r="C1338" s="9" t="s">
        <v>2070</v>
      </c>
      <c r="D1338" s="10">
        <v>-1.0088907629999999</v>
      </c>
      <c r="E1338" s="10">
        <v>-0.96614323099999999</v>
      </c>
      <c r="F1338" s="10">
        <v>-0.68774727499999999</v>
      </c>
      <c r="G1338" s="10">
        <v>-1.572157577</v>
      </c>
      <c r="H1338" s="9">
        <v>-1.0587347115000001</v>
      </c>
      <c r="I1338" s="10">
        <v>0.370716566630233</v>
      </c>
      <c r="J1338" s="10">
        <v>0.13743077277410801</v>
      </c>
      <c r="K1338" s="10">
        <v>-0.10483129300000001</v>
      </c>
      <c r="L1338" s="10">
        <v>-0.635445818</v>
      </c>
      <c r="M1338" s="10">
        <v>-7.8549998999999995E-2</v>
      </c>
      <c r="N1338" s="10">
        <v>-0.43640151399999999</v>
      </c>
      <c r="O1338" s="9">
        <v>-0.31380715625</v>
      </c>
      <c r="P1338" s="10">
        <v>0.26925678372320799</v>
      </c>
      <c r="Q1338" s="10">
        <v>7.24992155809666E-2</v>
      </c>
    </row>
    <row r="1339" spans="1:17" x14ac:dyDescent="0.2">
      <c r="A1339" s="10">
        <v>1856</v>
      </c>
      <c r="B1339" s="10" t="s">
        <v>2833</v>
      </c>
      <c r="C1339" s="9" t="s">
        <v>2071</v>
      </c>
      <c r="D1339" s="10">
        <v>0.31146999399999997</v>
      </c>
      <c r="E1339" s="10">
        <v>0.43043144300000002</v>
      </c>
      <c r="F1339" s="10">
        <v>0.35617460499999998</v>
      </c>
      <c r="G1339" s="10">
        <v>0.57160964599999997</v>
      </c>
      <c r="H1339" s="9">
        <v>0.41742142225000001</v>
      </c>
      <c r="I1339" s="10">
        <v>0.11390075614991201</v>
      </c>
      <c r="J1339" s="10">
        <v>1.29733822515217E-2</v>
      </c>
      <c r="K1339" s="10">
        <v>0.48372412100000001</v>
      </c>
      <c r="L1339" s="10">
        <v>0.17948718899999999</v>
      </c>
      <c r="M1339" s="10">
        <v>0.50397000599999997</v>
      </c>
      <c r="N1339" s="10">
        <v>0.64419551600000002</v>
      </c>
      <c r="O1339" s="9">
        <v>0.45284420800000003</v>
      </c>
      <c r="P1339" s="10">
        <v>0.195709648167808</v>
      </c>
      <c r="Q1339" s="10">
        <v>3.8302266385967197E-2</v>
      </c>
    </row>
    <row r="1340" spans="1:17" x14ac:dyDescent="0.2">
      <c r="A1340" s="10">
        <v>1856</v>
      </c>
      <c r="B1340" s="10" t="s">
        <v>2825</v>
      </c>
      <c r="C1340" s="9" t="s">
        <v>2072</v>
      </c>
      <c r="D1340" s="10">
        <v>0.394320159</v>
      </c>
      <c r="E1340" s="10">
        <v>6.2610552999999999E-2</v>
      </c>
      <c r="F1340" s="10">
        <v>0.58611354100000002</v>
      </c>
      <c r="G1340" s="10">
        <v>0.177975155</v>
      </c>
      <c r="H1340" s="9">
        <v>0.30525485200000002</v>
      </c>
      <c r="I1340" s="10">
        <v>0.232300530350532</v>
      </c>
      <c r="J1340" s="10">
        <v>5.3963536401138698E-2</v>
      </c>
      <c r="K1340" s="10">
        <v>0.41857907700000002</v>
      </c>
      <c r="L1340" s="10">
        <v>-1.75599E-4</v>
      </c>
      <c r="M1340" s="10">
        <v>-5.0261404000000003E-2</v>
      </c>
      <c r="N1340" s="10">
        <v>0.42825153999999999</v>
      </c>
      <c r="O1340" s="9">
        <v>0.19909840325</v>
      </c>
      <c r="P1340" s="10">
        <v>0.25985468225953201</v>
      </c>
      <c r="Q1340" s="10">
        <v>6.7524455892202698E-2</v>
      </c>
    </row>
    <row r="1341" spans="1:17" x14ac:dyDescent="0.2">
      <c r="A1341" s="10">
        <v>1856</v>
      </c>
      <c r="B1341" s="10" t="s">
        <v>74</v>
      </c>
      <c r="C1341" s="9" t="s">
        <v>2073</v>
      </c>
      <c r="D1341" s="10">
        <v>-9.3899959999999994E-3</v>
      </c>
      <c r="E1341" s="10">
        <v>-0.257357689</v>
      </c>
      <c r="F1341" s="10">
        <v>0.174298855</v>
      </c>
      <c r="G1341" s="10">
        <v>7.1313918000000004E-2</v>
      </c>
      <c r="H1341" s="9">
        <v>-5.2837282500000004E-3</v>
      </c>
      <c r="I1341" s="10">
        <v>0.18409711815670399</v>
      </c>
      <c r="J1341" s="10">
        <v>3.3891748913603498E-2</v>
      </c>
      <c r="K1341" s="10">
        <v>1.2060082999999999E-2</v>
      </c>
      <c r="L1341" s="10">
        <v>-0.113482048</v>
      </c>
      <c r="M1341" s="10">
        <v>-7.2145550000000003E-2</v>
      </c>
      <c r="N1341" s="10">
        <v>8.8583674000000001E-2</v>
      </c>
      <c r="O1341" s="9">
        <v>-2.1245960250000001E-2</v>
      </c>
      <c r="P1341" s="10">
        <v>8.9944622215753098E-2</v>
      </c>
      <c r="Q1341" s="10">
        <v>8.0900350655345003E-3</v>
      </c>
    </row>
    <row r="1342" spans="1:17" x14ac:dyDescent="0.2">
      <c r="A1342" s="10">
        <v>1856</v>
      </c>
      <c r="B1342" s="10" t="s">
        <v>2818</v>
      </c>
      <c r="C1342" s="9" t="s">
        <v>2074</v>
      </c>
      <c r="D1342" s="10">
        <v>-0.27539250100000001</v>
      </c>
      <c r="E1342" s="10">
        <v>-0.31519791699999999</v>
      </c>
      <c r="F1342" s="10">
        <v>-0.47712610900000002</v>
      </c>
      <c r="G1342" s="10">
        <v>-0.44024532300000002</v>
      </c>
      <c r="H1342" s="9">
        <v>-0.37699046224999999</v>
      </c>
      <c r="I1342" s="10">
        <v>9.6899930404468398E-2</v>
      </c>
      <c r="J1342" s="10">
        <v>9.3895965123908E-3</v>
      </c>
      <c r="K1342" s="10">
        <v>-9.5314327000000004E-2</v>
      </c>
      <c r="L1342" s="10">
        <v>-0.12797617</v>
      </c>
      <c r="M1342" s="10">
        <v>-0.20049977599999999</v>
      </c>
      <c r="N1342" s="10">
        <v>-0.18346938700000001</v>
      </c>
      <c r="O1342" s="9">
        <v>-0.15181491499999999</v>
      </c>
      <c r="P1342" s="10">
        <v>4.8760720174162199E-2</v>
      </c>
      <c r="Q1342" s="10">
        <v>2.3776078319029002E-3</v>
      </c>
    </row>
    <row r="1343" spans="1:17" x14ac:dyDescent="0.2">
      <c r="A1343" s="10">
        <v>1857</v>
      </c>
      <c r="B1343" s="10" t="s">
        <v>2831</v>
      </c>
      <c r="C1343" s="9" t="s">
        <v>2075</v>
      </c>
      <c r="D1343" s="10">
        <v>0.51199812099999997</v>
      </c>
      <c r="E1343" s="10">
        <v>0.280309372</v>
      </c>
      <c r="F1343" s="10">
        <v>7.4716442999999994E-2</v>
      </c>
      <c r="G1343" s="10">
        <v>0.12417987</v>
      </c>
      <c r="H1343" s="9">
        <v>0.24780095150000001</v>
      </c>
      <c r="I1343" s="10">
        <v>0.196720919620607</v>
      </c>
      <c r="J1343" s="10">
        <v>3.8699120216377503E-2</v>
      </c>
      <c r="K1343" s="10">
        <v>1.7042457E-2</v>
      </c>
      <c r="L1343" s="10">
        <v>7.4386204999999997E-2</v>
      </c>
      <c r="M1343" s="10">
        <v>0.68525987899999996</v>
      </c>
      <c r="N1343" s="10">
        <v>0.67857440400000002</v>
      </c>
      <c r="O1343" s="9">
        <v>0.36381573649999999</v>
      </c>
      <c r="P1343" s="10">
        <v>0.36806725680389302</v>
      </c>
      <c r="Q1343" s="10">
        <v>0.13547350553114301</v>
      </c>
    </row>
    <row r="1344" spans="1:17" x14ac:dyDescent="0.2">
      <c r="A1344" s="10">
        <v>1857</v>
      </c>
      <c r="B1344" s="10" t="s">
        <v>2822</v>
      </c>
      <c r="C1344" s="9" t="s">
        <v>2076</v>
      </c>
      <c r="D1344" s="10">
        <v>-5.4117609999999997E-2</v>
      </c>
      <c r="E1344" s="10">
        <v>-0.4399458</v>
      </c>
      <c r="F1344" s="10">
        <v>-0.67276557000000003</v>
      </c>
      <c r="G1344" s="10">
        <v>-0.42071368599999998</v>
      </c>
      <c r="H1344" s="9">
        <v>-0.39688566624999999</v>
      </c>
      <c r="I1344" s="10">
        <v>0.255617951457695</v>
      </c>
      <c r="J1344" s="10">
        <v>6.5340537107428903E-2</v>
      </c>
      <c r="K1344" s="10">
        <v>3.5422784999999998E-2</v>
      </c>
      <c r="L1344" s="10">
        <v>0.14893300000000001</v>
      </c>
      <c r="M1344" s="10">
        <v>-0.35660562699999998</v>
      </c>
      <c r="N1344" s="10">
        <v>4.2429845000000001E-2</v>
      </c>
      <c r="O1344" s="9">
        <v>-3.2454999249999998E-2</v>
      </c>
      <c r="P1344" s="10">
        <v>0.22225388578205801</v>
      </c>
      <c r="Q1344" s="10">
        <v>4.93967897452244E-2</v>
      </c>
    </row>
    <row r="1345" spans="1:17" x14ac:dyDescent="0.2">
      <c r="A1345" s="10">
        <v>1857</v>
      </c>
      <c r="B1345" s="10" t="s">
        <v>96</v>
      </c>
      <c r="C1345" s="9" t="s">
        <v>2168</v>
      </c>
      <c r="D1345" s="10">
        <v>0.38542939599999998</v>
      </c>
      <c r="E1345" s="10">
        <v>0.38652962499999999</v>
      </c>
      <c r="F1345" s="10">
        <v>0.244104974</v>
      </c>
      <c r="G1345" s="10">
        <v>-2.4333614999999999E-2</v>
      </c>
      <c r="H1345" s="9">
        <v>0.24793259500000001</v>
      </c>
      <c r="I1345" s="10">
        <v>0.19344081506612301</v>
      </c>
      <c r="J1345" s="10">
        <v>3.7419348933445999E-2</v>
      </c>
      <c r="K1345" s="10">
        <v>6.9500529000000005E-2</v>
      </c>
      <c r="L1345" s="10">
        <v>-4.5842234000000003E-2</v>
      </c>
      <c r="M1345" s="10">
        <v>0.507578694</v>
      </c>
      <c r="N1345" s="10">
        <v>0.460464127</v>
      </c>
      <c r="O1345" s="9">
        <v>0.24792527875000001</v>
      </c>
      <c r="P1345" s="10">
        <v>0.27732496037266202</v>
      </c>
      <c r="Q1345" s="10">
        <v>7.6909133645698999E-2</v>
      </c>
    </row>
    <row r="1346" spans="1:17" x14ac:dyDescent="0.2">
      <c r="A1346" s="10">
        <v>1857</v>
      </c>
      <c r="B1346" s="10" t="s">
        <v>2823</v>
      </c>
      <c r="C1346" s="9" t="s">
        <v>2077</v>
      </c>
      <c r="D1346" s="10">
        <v>-1.305658298</v>
      </c>
      <c r="E1346" s="10">
        <v>-1.356176528</v>
      </c>
      <c r="F1346" s="10">
        <v>-0.55120862599999998</v>
      </c>
      <c r="G1346" s="10">
        <v>-0.91686110499999995</v>
      </c>
      <c r="H1346" s="9">
        <v>-1.0324761389999999</v>
      </c>
      <c r="I1346" s="10">
        <v>0.37611863775085602</v>
      </c>
      <c r="J1346" s="10">
        <v>0.14146522966355901</v>
      </c>
      <c r="K1346" s="10">
        <v>-0.37277482499999998</v>
      </c>
      <c r="L1346" s="10">
        <v>-0.26373086200000001</v>
      </c>
      <c r="M1346" s="10">
        <v>-0.69091166599999998</v>
      </c>
      <c r="N1346" s="10">
        <v>-0.22833962599999999</v>
      </c>
      <c r="O1346" s="9">
        <v>-0.38893924475000002</v>
      </c>
      <c r="P1346" s="10">
        <v>0.21048991132986</v>
      </c>
      <c r="Q1346" s="10">
        <v>4.4306002771652399E-2</v>
      </c>
    </row>
    <row r="1347" spans="1:17" x14ac:dyDescent="0.2">
      <c r="A1347" s="10">
        <v>1857</v>
      </c>
      <c r="B1347" s="10" t="s">
        <v>2819</v>
      </c>
      <c r="C1347" s="9" t="s">
        <v>2078</v>
      </c>
      <c r="D1347" s="10">
        <v>-1.0781291959999999</v>
      </c>
      <c r="E1347" s="10">
        <v>-0.28716450300000002</v>
      </c>
      <c r="F1347" s="10">
        <v>-1.081095132</v>
      </c>
      <c r="G1347" s="10">
        <v>-0.52142038099999999</v>
      </c>
      <c r="H1347" s="9">
        <v>-0.74195230324999994</v>
      </c>
      <c r="I1347" s="10">
        <v>0.40145528331272901</v>
      </c>
      <c r="J1347" s="10">
        <v>0.16116634449970299</v>
      </c>
      <c r="K1347" s="10">
        <v>0.125529688</v>
      </c>
      <c r="L1347" s="10">
        <v>0.14333581100000001</v>
      </c>
      <c r="M1347" s="10">
        <v>-0.28905045400000001</v>
      </c>
      <c r="N1347" s="10">
        <v>-0.77388532899999996</v>
      </c>
      <c r="O1347" s="9">
        <v>-0.198517571</v>
      </c>
      <c r="P1347" s="10">
        <v>0.43247914042201202</v>
      </c>
      <c r="Q1347" s="10">
        <v>0.18703820690016301</v>
      </c>
    </row>
    <row r="1348" spans="1:17" x14ac:dyDescent="0.2">
      <c r="A1348" s="10">
        <v>1857</v>
      </c>
      <c r="B1348" s="10" t="s">
        <v>2826</v>
      </c>
      <c r="C1348" s="9" t="s">
        <v>2167</v>
      </c>
      <c r="D1348" s="10">
        <v>-1.3657406830000001</v>
      </c>
      <c r="E1348" s="10">
        <v>-0.44675662300000002</v>
      </c>
      <c r="F1348" s="10">
        <v>-0.24455782200000001</v>
      </c>
      <c r="G1348" s="10">
        <v>-0.10220712999999999</v>
      </c>
      <c r="H1348" s="9">
        <v>-0.53981556424999999</v>
      </c>
      <c r="I1348" s="10">
        <v>0.56847472661912701</v>
      </c>
      <c r="J1348" s="10">
        <v>0.32316351480469202</v>
      </c>
      <c r="K1348" s="10">
        <v>-0.55186206000000004</v>
      </c>
      <c r="L1348" s="10">
        <v>8.8285989999999995E-2</v>
      </c>
      <c r="M1348" s="10">
        <v>-0.202139085</v>
      </c>
      <c r="N1348" s="10">
        <v>-0.26060932199999998</v>
      </c>
      <c r="O1348" s="9">
        <v>-0.23158111924999999</v>
      </c>
      <c r="P1348" s="10">
        <v>0.26242733503665899</v>
      </c>
      <c r="Q1348" s="10">
        <v>6.8868106174443194E-2</v>
      </c>
    </row>
    <row r="1349" spans="1:17" x14ac:dyDescent="0.2">
      <c r="A1349" s="10">
        <v>1857</v>
      </c>
      <c r="B1349" s="10" t="s">
        <v>2821</v>
      </c>
      <c r="C1349" s="9" t="s">
        <v>2079</v>
      </c>
      <c r="D1349" s="10">
        <v>0.145778767</v>
      </c>
      <c r="E1349" s="10">
        <v>-1.5361489000000001E-2</v>
      </c>
      <c r="F1349" s="10">
        <v>9.27573E-4</v>
      </c>
      <c r="G1349" s="10">
        <v>-0.20384765199999999</v>
      </c>
      <c r="H1349" s="9">
        <v>-1.8125700250000001E-2</v>
      </c>
      <c r="I1349" s="10">
        <v>0.143443352154209</v>
      </c>
      <c r="J1349" s="10">
        <v>2.05759952772364E-2</v>
      </c>
      <c r="K1349" s="10">
        <v>-0.47085452500000002</v>
      </c>
      <c r="L1349" s="10">
        <v>3.8423410999999998E-2</v>
      </c>
      <c r="M1349" s="10">
        <v>0.49209861100000002</v>
      </c>
      <c r="N1349" s="10">
        <v>-2.8765688000000001E-2</v>
      </c>
      <c r="O1349" s="9">
        <v>7.7254522499999997E-3</v>
      </c>
      <c r="P1349" s="10">
        <v>0.394093947991349</v>
      </c>
      <c r="Q1349" s="10">
        <v>0.15531003984340799</v>
      </c>
    </row>
    <row r="1350" spans="1:17" x14ac:dyDescent="0.2">
      <c r="A1350" s="10">
        <v>1857</v>
      </c>
      <c r="B1350" s="10" t="s">
        <v>2834</v>
      </c>
      <c r="C1350" s="9" t="s">
        <v>2080</v>
      </c>
      <c r="D1350" s="10">
        <v>-0.49123275</v>
      </c>
      <c r="E1350" s="10">
        <v>-0.66004932500000002</v>
      </c>
      <c r="F1350" s="10">
        <v>-0.723100623</v>
      </c>
      <c r="G1350" s="10">
        <v>-0.94650418300000005</v>
      </c>
      <c r="H1350" s="9">
        <v>-0.70522172024999996</v>
      </c>
      <c r="I1350" s="10">
        <v>0.18829826222912599</v>
      </c>
      <c r="J1350" s="10">
        <v>3.5456235558508901E-2</v>
      </c>
      <c r="K1350" s="10">
        <v>-0.252165207</v>
      </c>
      <c r="L1350" s="10">
        <v>-0.109647461</v>
      </c>
      <c r="M1350" s="10">
        <v>-0.46662994800000002</v>
      </c>
      <c r="N1350" s="10">
        <v>-0.55164416000000005</v>
      </c>
      <c r="O1350" s="9">
        <v>-0.34502169399999999</v>
      </c>
      <c r="P1350" s="10">
        <v>0.201250066364518</v>
      </c>
      <c r="Q1350" s="10">
        <v>4.0501589211722998E-2</v>
      </c>
    </row>
    <row r="1351" spans="1:17" x14ac:dyDescent="0.2">
      <c r="A1351" s="10">
        <v>1857</v>
      </c>
      <c r="B1351" s="10" t="s">
        <v>2820</v>
      </c>
      <c r="C1351" s="9" t="s">
        <v>2081</v>
      </c>
      <c r="D1351" s="10">
        <v>0.242255789</v>
      </c>
      <c r="E1351" s="10">
        <v>9.6122368999999999E-2</v>
      </c>
      <c r="F1351" s="10">
        <v>6.0060792000000002E-2</v>
      </c>
      <c r="G1351" s="10">
        <v>0.10050672200000001</v>
      </c>
      <c r="H1351" s="9">
        <v>0.124736418</v>
      </c>
      <c r="I1351" s="10">
        <v>8.0414719065509205E-2</v>
      </c>
      <c r="J1351" s="10">
        <v>6.4665270423846996E-3</v>
      </c>
      <c r="K1351" s="10">
        <v>1.3604125E-2</v>
      </c>
      <c r="L1351" s="10">
        <v>0.14813396400000001</v>
      </c>
      <c r="M1351" s="10">
        <v>-0.21829348500000001</v>
      </c>
      <c r="N1351" s="10">
        <v>-0.140984156</v>
      </c>
      <c r="O1351" s="9">
        <v>-4.9384888000000002E-2</v>
      </c>
      <c r="P1351" s="10">
        <v>0.163199114267159</v>
      </c>
      <c r="Q1351" s="10">
        <v>2.6633950897585398E-2</v>
      </c>
    </row>
    <row r="1352" spans="1:17" x14ac:dyDescent="0.2">
      <c r="A1352" s="10">
        <v>1857</v>
      </c>
      <c r="B1352" s="10" t="s">
        <v>2824</v>
      </c>
      <c r="C1352" s="9" t="s">
        <v>2082</v>
      </c>
      <c r="D1352" s="10">
        <v>-0.23176703000000001</v>
      </c>
      <c r="E1352" s="10">
        <v>-0.43610538599999998</v>
      </c>
      <c r="F1352" s="10">
        <v>-0.120692961</v>
      </c>
      <c r="G1352" s="10">
        <v>-5.5545702000000002E-2</v>
      </c>
      <c r="H1352" s="9">
        <v>-0.21102776975000001</v>
      </c>
      <c r="I1352" s="10">
        <v>0.16675840939936001</v>
      </c>
      <c r="J1352" s="10">
        <v>2.7808367105404699E-2</v>
      </c>
      <c r="K1352" s="10">
        <v>-0.21259706</v>
      </c>
      <c r="L1352" s="10">
        <v>0.18557880600000001</v>
      </c>
      <c r="M1352" s="10">
        <v>-0.137957365</v>
      </c>
      <c r="N1352" s="10">
        <v>0.174224924</v>
      </c>
      <c r="O1352" s="9">
        <v>2.312326E-3</v>
      </c>
      <c r="P1352" s="10">
        <v>0.207366161211541</v>
      </c>
      <c r="Q1352" s="10">
        <v>4.3000724815610798E-2</v>
      </c>
    </row>
    <row r="1353" spans="1:17" x14ac:dyDescent="0.2">
      <c r="A1353" s="10">
        <v>1857</v>
      </c>
      <c r="B1353" s="10" t="s">
        <v>2817</v>
      </c>
      <c r="C1353" s="9" t="s">
        <v>2083</v>
      </c>
      <c r="D1353" s="10">
        <v>-0.13791315700000001</v>
      </c>
      <c r="E1353" s="10">
        <v>-0.114034073</v>
      </c>
      <c r="F1353" s="10">
        <v>-0.25395714200000002</v>
      </c>
      <c r="G1353" s="10">
        <v>-0.241627642</v>
      </c>
      <c r="H1353" s="9">
        <v>-0.18688300350000001</v>
      </c>
      <c r="I1353" s="10">
        <v>7.1182694622687198E-2</v>
      </c>
      <c r="J1353" s="10">
        <v>5.0669760137466999E-3</v>
      </c>
      <c r="K1353" s="10">
        <v>0.18091924300000001</v>
      </c>
      <c r="L1353" s="10">
        <v>0.268058397</v>
      </c>
      <c r="M1353" s="10">
        <v>-0.169180993</v>
      </c>
      <c r="N1353" s="10">
        <v>0.14238248100000001</v>
      </c>
      <c r="O1353" s="9">
        <v>0.105544782</v>
      </c>
      <c r="P1353" s="10">
        <v>0.190545927926728</v>
      </c>
      <c r="Q1353" s="10">
        <v>3.6307750649457897E-2</v>
      </c>
    </row>
    <row r="1354" spans="1:17" x14ac:dyDescent="0.2">
      <c r="A1354" s="10">
        <v>1857</v>
      </c>
      <c r="B1354" s="10" t="s">
        <v>2814</v>
      </c>
      <c r="C1354" s="9" t="s">
        <v>2084</v>
      </c>
      <c r="D1354" s="10">
        <v>-2.6217530000000001E-3</v>
      </c>
      <c r="E1354" s="10">
        <v>3.5608318E-2</v>
      </c>
      <c r="F1354" s="10">
        <v>0.22874483900000001</v>
      </c>
      <c r="G1354" s="10">
        <v>-2.7984683999999999E-2</v>
      </c>
      <c r="H1354" s="9">
        <v>5.8436679999999998E-2</v>
      </c>
      <c r="I1354" s="10">
        <v>0.11650863706124701</v>
      </c>
      <c r="J1354" s="10">
        <v>1.35742625098694E-2</v>
      </c>
      <c r="K1354" s="10">
        <v>0.24893078799999999</v>
      </c>
      <c r="L1354" s="10">
        <v>-0.13883389600000001</v>
      </c>
      <c r="M1354" s="10">
        <v>-0.161283605</v>
      </c>
      <c r="N1354" s="10">
        <v>0.15835100099999999</v>
      </c>
      <c r="O1354" s="9">
        <v>2.6791071999999999E-2</v>
      </c>
      <c r="P1354" s="10">
        <v>0.207732024891606</v>
      </c>
      <c r="Q1354" s="10">
        <v>4.3152594165567E-2</v>
      </c>
    </row>
    <row r="1355" spans="1:17" x14ac:dyDescent="0.2">
      <c r="A1355" s="10">
        <v>1857</v>
      </c>
      <c r="B1355" s="10" t="s">
        <v>2825</v>
      </c>
      <c r="C1355" s="9" t="s">
        <v>2085</v>
      </c>
      <c r="D1355" s="10">
        <v>-5.5323811000000001E-2</v>
      </c>
      <c r="E1355" s="10">
        <v>-1.8975812000000002E-2</v>
      </c>
      <c r="F1355" s="10">
        <v>-2.6217093E-2</v>
      </c>
      <c r="G1355" s="10">
        <v>-1.3991274999999999E-2</v>
      </c>
      <c r="H1355" s="9">
        <v>-2.8626997750000001E-2</v>
      </c>
      <c r="I1355" s="10">
        <v>1.84921356744366E-2</v>
      </c>
      <c r="J1355" s="10">
        <v>3.4195908180169999E-4</v>
      </c>
      <c r="K1355" s="10">
        <v>-7.6811166E-2</v>
      </c>
      <c r="L1355" s="10">
        <v>0.114236475</v>
      </c>
      <c r="M1355" s="10">
        <v>3.460439E-3</v>
      </c>
      <c r="N1355" s="10">
        <v>-0.36641333500000001</v>
      </c>
      <c r="O1355" s="9">
        <v>-8.1381896499999995E-2</v>
      </c>
      <c r="P1355" s="10">
        <v>0.20553068033109501</v>
      </c>
      <c r="Q1355" s="10">
        <v>4.22428605573631E-2</v>
      </c>
    </row>
    <row r="1356" spans="1:17" x14ac:dyDescent="0.2">
      <c r="A1356" s="10">
        <v>1857</v>
      </c>
      <c r="B1356" s="10" t="s">
        <v>74</v>
      </c>
      <c r="C1356" s="9" t="s">
        <v>2086</v>
      </c>
      <c r="D1356" s="10">
        <v>0.108677254</v>
      </c>
      <c r="E1356" s="10">
        <v>-7.3790987000000002E-2</v>
      </c>
      <c r="F1356" s="10">
        <v>0.36603553500000002</v>
      </c>
      <c r="G1356" s="10">
        <v>0.37931240999999999</v>
      </c>
      <c r="H1356" s="9">
        <v>0.195058553</v>
      </c>
      <c r="I1356" s="10">
        <v>0.21826926502857499</v>
      </c>
      <c r="J1356" s="10">
        <v>4.7641472056114499E-2</v>
      </c>
      <c r="K1356" s="10">
        <v>-0.198464169</v>
      </c>
      <c r="L1356" s="10">
        <v>0.332798174</v>
      </c>
      <c r="M1356" s="10">
        <v>0.44340904399999997</v>
      </c>
      <c r="N1356" s="10">
        <v>0.26597525399999999</v>
      </c>
      <c r="O1356" s="9">
        <v>0.21092957574999999</v>
      </c>
      <c r="P1356" s="10">
        <v>0.28256676103866901</v>
      </c>
      <c r="Q1356" s="10">
        <v>7.98439744438844E-2</v>
      </c>
    </row>
    <row r="1357" spans="1:17" x14ac:dyDescent="0.2">
      <c r="A1357" s="10">
        <v>1857</v>
      </c>
      <c r="B1357" s="10" t="s">
        <v>2818</v>
      </c>
      <c r="C1357" s="9" t="s">
        <v>2087</v>
      </c>
      <c r="D1357" s="10">
        <v>-1.8044300999999999E-2</v>
      </c>
      <c r="E1357" s="10">
        <v>-1.2211358E-2</v>
      </c>
      <c r="F1357" s="10">
        <v>-0.67584376199999996</v>
      </c>
      <c r="G1357" s="10">
        <v>-0.58374970000000004</v>
      </c>
      <c r="H1357" s="9">
        <v>-0.32246228025000001</v>
      </c>
      <c r="I1357" s="10">
        <v>0.356873239965802</v>
      </c>
      <c r="J1357" s="10">
        <v>0.12735850940368901</v>
      </c>
      <c r="K1357" s="10">
        <v>-7.9819011999999995E-2</v>
      </c>
      <c r="L1357" s="10">
        <v>6.6555511999999997E-2</v>
      </c>
      <c r="M1357" s="10">
        <v>-0.40751806499999998</v>
      </c>
      <c r="N1357" s="10">
        <v>-0.41183640399999999</v>
      </c>
      <c r="O1357" s="9">
        <v>-0.20815449224999999</v>
      </c>
      <c r="P1357" s="10">
        <v>0.240255237362138</v>
      </c>
      <c r="Q1357" s="10">
        <v>5.77225790799374E-2</v>
      </c>
    </row>
    <row r="1358" spans="1:17" x14ac:dyDescent="0.2">
      <c r="A1358" s="10">
        <v>1857</v>
      </c>
      <c r="B1358" s="10" t="s">
        <v>2830</v>
      </c>
      <c r="C1358" s="9" t="s">
        <v>2088</v>
      </c>
      <c r="D1358" s="10">
        <v>0.24284973600000001</v>
      </c>
      <c r="E1358" s="10">
        <v>-0.84966283200000003</v>
      </c>
      <c r="F1358" s="10">
        <v>-0.293710105</v>
      </c>
      <c r="G1358" s="10">
        <v>-0.75940384900000002</v>
      </c>
      <c r="H1358" s="9">
        <v>-0.41498176250000002</v>
      </c>
      <c r="I1358" s="10">
        <v>0.50167163934929604</v>
      </c>
      <c r="J1358" s="10">
        <v>0.25167443372741</v>
      </c>
      <c r="K1358" s="10">
        <v>-0.36066677800000002</v>
      </c>
      <c r="L1358" s="10">
        <v>-0.78398749599999995</v>
      </c>
      <c r="M1358" s="10">
        <v>-1.01162584</v>
      </c>
      <c r="N1358" s="10">
        <v>-1.2281228769999999</v>
      </c>
      <c r="O1358" s="9">
        <v>-0.84610074774999999</v>
      </c>
      <c r="P1358" s="10">
        <v>0.37096435517503001</v>
      </c>
      <c r="Q1358" s="10">
        <v>0.13761455281042501</v>
      </c>
    </row>
    <row r="1359" spans="1:17" x14ac:dyDescent="0.2">
      <c r="A1359" s="10">
        <v>1857</v>
      </c>
      <c r="B1359" s="10" t="s">
        <v>2835</v>
      </c>
      <c r="C1359" s="9" t="s">
        <v>2089</v>
      </c>
      <c r="D1359" s="10">
        <v>0.109381796</v>
      </c>
      <c r="E1359" s="10">
        <v>-0.170489105</v>
      </c>
      <c r="F1359" s="10">
        <v>-1.3012690000000001E-3</v>
      </c>
      <c r="G1359" s="10">
        <v>-6.5490685000000007E-2</v>
      </c>
      <c r="H1359" s="9">
        <v>-3.1974815750000003E-2</v>
      </c>
      <c r="I1359" s="10">
        <v>0.117234920812416</v>
      </c>
      <c r="J1359" s="10">
        <v>1.3744026657893401E-2</v>
      </c>
      <c r="K1359" s="10">
        <v>-6.9871728999999994E-2</v>
      </c>
      <c r="L1359" s="10">
        <v>0.119330243</v>
      </c>
      <c r="M1359" s="10">
        <v>-4.7548753999999999E-2</v>
      </c>
      <c r="N1359" s="10">
        <v>-0.76612179400000002</v>
      </c>
      <c r="O1359" s="9">
        <v>-0.19105300850000001</v>
      </c>
      <c r="P1359" s="10">
        <v>0.39256432357386301</v>
      </c>
      <c r="Q1359" s="10">
        <v>0.15410674814300501</v>
      </c>
    </row>
    <row r="1360" spans="1:17" x14ac:dyDescent="0.2">
      <c r="A1360" s="10">
        <v>1857</v>
      </c>
      <c r="B1360" s="10" t="s">
        <v>2832</v>
      </c>
      <c r="C1360" s="9" t="s">
        <v>2090</v>
      </c>
      <c r="D1360" s="10">
        <v>-0.75368377600000003</v>
      </c>
      <c r="E1360" s="10">
        <v>-0.63491152399999995</v>
      </c>
      <c r="F1360" s="10">
        <v>-0.46797272699999998</v>
      </c>
      <c r="G1360" s="10">
        <v>-1.0404468790000001</v>
      </c>
      <c r="H1360" s="9">
        <v>-0.72425372649999997</v>
      </c>
      <c r="I1360" s="10">
        <v>0.24118196267115399</v>
      </c>
      <c r="J1360" s="10">
        <v>5.81687391179102E-2</v>
      </c>
      <c r="K1360" s="10">
        <v>0.14335977899999999</v>
      </c>
      <c r="L1360" s="10">
        <v>-0.105211975</v>
      </c>
      <c r="M1360" s="10">
        <v>2.986879E-3</v>
      </c>
      <c r="N1360" s="10">
        <v>-0.38735265499999999</v>
      </c>
      <c r="O1360" s="9">
        <v>-8.6554493250000003E-2</v>
      </c>
      <c r="P1360" s="10">
        <v>0.22487468040821501</v>
      </c>
      <c r="Q1360" s="10">
        <v>5.0568621888696902E-2</v>
      </c>
    </row>
    <row r="1361" spans="1:17" x14ac:dyDescent="0.2">
      <c r="A1361" s="10">
        <v>1858</v>
      </c>
      <c r="B1361" s="10" t="s">
        <v>2822</v>
      </c>
      <c r="C1361" s="9" t="s">
        <v>2091</v>
      </c>
      <c r="D1361" s="10">
        <v>0.17238271199999999</v>
      </c>
      <c r="E1361" s="10">
        <v>-0.170962804</v>
      </c>
      <c r="F1361" s="10">
        <v>9.8984889000000006E-2</v>
      </c>
      <c r="G1361" s="10">
        <v>-2.7281466000000001E-2</v>
      </c>
      <c r="H1361" s="9">
        <v>1.828083275E-2</v>
      </c>
      <c r="I1361" s="10">
        <v>0.15072006170528501</v>
      </c>
      <c r="J1361" s="10">
        <v>2.27165370004449E-2</v>
      </c>
      <c r="K1361" s="10">
        <v>0.42346607800000002</v>
      </c>
      <c r="L1361" s="10">
        <v>-0.62829516900000004</v>
      </c>
      <c r="M1361" s="10">
        <v>0.49537541099999999</v>
      </c>
      <c r="N1361" s="10">
        <v>0.21147206499999999</v>
      </c>
      <c r="O1361" s="9">
        <v>0.12550459624999999</v>
      </c>
      <c r="P1361" s="10">
        <v>0.51678169342728597</v>
      </c>
      <c r="Q1361" s="10">
        <v>0.26706331866157301</v>
      </c>
    </row>
    <row r="1362" spans="1:17" x14ac:dyDescent="0.2">
      <c r="A1362" s="10">
        <v>1858</v>
      </c>
      <c r="B1362" s="10" t="s">
        <v>2819</v>
      </c>
      <c r="C1362" s="9" t="s">
        <v>2092</v>
      </c>
      <c r="D1362" s="10">
        <v>-3.3933696999999999E-2</v>
      </c>
      <c r="E1362" s="10">
        <v>0.16648724200000001</v>
      </c>
      <c r="F1362" s="10">
        <v>4.8572376E-2</v>
      </c>
      <c r="G1362" s="10">
        <v>-0.52656652900000001</v>
      </c>
      <c r="H1362" s="9">
        <v>-8.6360151999999996E-2</v>
      </c>
      <c r="I1362" s="10">
        <v>0.30477794063897001</v>
      </c>
      <c r="J1362" s="10">
        <v>9.2889593100131701E-2</v>
      </c>
      <c r="K1362" s="10">
        <v>-7.5591199999999997E-2</v>
      </c>
      <c r="L1362" s="10">
        <v>0.15620655</v>
      </c>
      <c r="M1362" s="10">
        <v>-1.3969374050000001</v>
      </c>
      <c r="N1362" s="10">
        <v>-0.114146251</v>
      </c>
      <c r="O1362" s="9">
        <v>-0.35761707674999998</v>
      </c>
      <c r="P1362" s="10">
        <v>0.70309271609278801</v>
      </c>
      <c r="Q1362" s="10">
        <v>0.49433936742273399</v>
      </c>
    </row>
    <row r="1363" spans="1:17" x14ac:dyDescent="0.2">
      <c r="A1363" s="10">
        <v>1858</v>
      </c>
      <c r="B1363" s="10" t="s">
        <v>2821</v>
      </c>
      <c r="C1363" s="9" t="s">
        <v>2093</v>
      </c>
      <c r="D1363" s="10">
        <v>0.27089822299999999</v>
      </c>
      <c r="E1363" s="10">
        <v>2.575815E-2</v>
      </c>
      <c r="F1363" s="10">
        <v>-0.48725519</v>
      </c>
      <c r="G1363" s="10">
        <v>-8.876233E-2</v>
      </c>
      <c r="H1363" s="9">
        <v>-6.9840286749999994E-2</v>
      </c>
      <c r="I1363" s="10">
        <v>0.31614081161810098</v>
      </c>
      <c r="J1363" s="10">
        <v>9.9945012770551997E-2</v>
      </c>
      <c r="K1363" s="10">
        <v>0.15852786299999999</v>
      </c>
      <c r="L1363" s="10">
        <v>-9.0318220000000001E-3</v>
      </c>
      <c r="M1363" s="10">
        <v>-0.29997863299999999</v>
      </c>
      <c r="N1363" s="10">
        <v>-0.202570156</v>
      </c>
      <c r="O1363" s="9">
        <v>-8.826318675E-2</v>
      </c>
      <c r="P1363" s="10">
        <v>0.20418369572259401</v>
      </c>
      <c r="Q1363" s="10">
        <v>4.16909815989372E-2</v>
      </c>
    </row>
    <row r="1364" spans="1:17" x14ac:dyDescent="0.2">
      <c r="A1364" s="10">
        <v>1858</v>
      </c>
      <c r="B1364" s="10" t="s">
        <v>2820</v>
      </c>
      <c r="C1364" s="9" t="s">
        <v>2095</v>
      </c>
      <c r="D1364" s="10">
        <v>-0.123127944</v>
      </c>
      <c r="E1364" s="10">
        <v>-9.5628240000000003E-2</v>
      </c>
      <c r="F1364" s="10">
        <v>-0.57255997400000003</v>
      </c>
      <c r="G1364" s="10">
        <v>-0.48269464899999998</v>
      </c>
      <c r="H1364" s="9">
        <v>-0.31850270175000001</v>
      </c>
      <c r="I1364" s="10">
        <v>0.24450522475063799</v>
      </c>
      <c r="J1364" s="10">
        <v>5.97828049303602E-2</v>
      </c>
      <c r="K1364" s="10">
        <v>-0.56139607499999999</v>
      </c>
      <c r="L1364" s="10">
        <v>-0.51082433699999996</v>
      </c>
      <c r="M1364" s="10">
        <v>-0.62987758100000002</v>
      </c>
      <c r="N1364" s="10">
        <v>-0.51362472999999997</v>
      </c>
      <c r="O1364" s="9">
        <v>-0.55393068099999998</v>
      </c>
      <c r="P1364" s="10">
        <v>5.5696769224812197E-2</v>
      </c>
      <c r="Q1364" s="10">
        <v>3.1021301020819E-3</v>
      </c>
    </row>
    <row r="1365" spans="1:17" x14ac:dyDescent="0.2">
      <c r="A1365" s="10">
        <v>1858</v>
      </c>
      <c r="B1365" s="10" t="s">
        <v>2824</v>
      </c>
      <c r="C1365" s="9" t="s">
        <v>2096</v>
      </c>
      <c r="D1365" s="10">
        <v>0.36693012800000002</v>
      </c>
      <c r="E1365" s="10">
        <v>0.17748972099999999</v>
      </c>
      <c r="F1365" s="10">
        <v>9.9606075000000002E-2</v>
      </c>
      <c r="G1365" s="10">
        <v>0.10956730100000001</v>
      </c>
      <c r="H1365" s="9">
        <v>0.18839830599999999</v>
      </c>
      <c r="I1365" s="10">
        <v>0.123950253904014</v>
      </c>
      <c r="J1365" s="10">
        <v>1.53636654428697E-2</v>
      </c>
      <c r="K1365" s="10">
        <v>0.10189165</v>
      </c>
      <c r="L1365" s="10">
        <v>0.420310509</v>
      </c>
      <c r="M1365" s="10">
        <v>-0.13954665799999999</v>
      </c>
      <c r="N1365" s="10">
        <v>-0.25598279400000001</v>
      </c>
      <c r="O1365" s="9">
        <v>3.1668176999999999E-2</v>
      </c>
      <c r="P1365" s="10">
        <v>0.29890455512526598</v>
      </c>
      <c r="Q1365" s="10">
        <v>8.93439330746333E-2</v>
      </c>
    </row>
    <row r="1366" spans="1:17" x14ac:dyDescent="0.2">
      <c r="A1366" s="10">
        <v>1858</v>
      </c>
      <c r="B1366" s="10" t="s">
        <v>2817</v>
      </c>
      <c r="C1366" s="9" t="s">
        <v>2097</v>
      </c>
      <c r="D1366" s="10">
        <v>-5.9397101000000001E-2</v>
      </c>
      <c r="E1366" s="10">
        <v>-0.38518565599999999</v>
      </c>
      <c r="F1366" s="10">
        <v>-0.16897625399999999</v>
      </c>
      <c r="G1366" s="10">
        <v>-0.35518398899999998</v>
      </c>
      <c r="H1366" s="9">
        <v>-0.24218575000000001</v>
      </c>
      <c r="I1366" s="10">
        <v>0.154907386999382</v>
      </c>
      <c r="J1366" s="10">
        <v>2.39962985469763E-2</v>
      </c>
      <c r="K1366" s="10">
        <v>-6.4721109999999998E-2</v>
      </c>
      <c r="L1366" s="10">
        <v>2.7374460000000001E-3</v>
      </c>
      <c r="M1366" s="10">
        <v>-0.248331409</v>
      </c>
      <c r="N1366" s="10">
        <v>-0.260060244</v>
      </c>
      <c r="O1366" s="9">
        <v>-0.14259382949999999</v>
      </c>
      <c r="P1366" s="10">
        <v>0.13186373564503001</v>
      </c>
      <c r="Q1366" s="10">
        <v>1.7388044778262401E-2</v>
      </c>
    </row>
    <row r="1367" spans="1:17" x14ac:dyDescent="0.2">
      <c r="A1367" s="10">
        <v>1858</v>
      </c>
      <c r="B1367" s="10" t="s">
        <v>82</v>
      </c>
      <c r="C1367" s="9" t="s">
        <v>2098</v>
      </c>
      <c r="D1367" s="10">
        <v>-1.648692319</v>
      </c>
      <c r="E1367" s="10">
        <v>-0.37968611000000002</v>
      </c>
      <c r="F1367" s="10">
        <v>-0.82616848700000001</v>
      </c>
      <c r="G1367" s="10">
        <v>0.479343142</v>
      </c>
      <c r="H1367" s="9">
        <v>-0.59380094375000003</v>
      </c>
      <c r="I1367" s="10">
        <v>0.88774506091648997</v>
      </c>
      <c r="J1367" s="10">
        <v>0.78809129318162296</v>
      </c>
      <c r="K1367" s="10">
        <v>-0.14298749799999999</v>
      </c>
      <c r="L1367" s="10">
        <v>-3.6767563000000003E-2</v>
      </c>
      <c r="M1367" s="10">
        <v>0.41516904300000002</v>
      </c>
      <c r="N1367" s="10">
        <v>0.26938938099999998</v>
      </c>
      <c r="O1367" s="9">
        <v>0.12620084100000001</v>
      </c>
      <c r="P1367" s="10">
        <v>0.26014524296395802</v>
      </c>
      <c r="Q1367" s="10">
        <v>6.7675547436776798E-2</v>
      </c>
    </row>
    <row r="1368" spans="1:17" x14ac:dyDescent="0.2">
      <c r="A1368" s="10">
        <v>1858</v>
      </c>
      <c r="B1368" s="10" t="s">
        <v>2814</v>
      </c>
      <c r="C1368" s="9" t="s">
        <v>2099</v>
      </c>
      <c r="D1368" s="10">
        <v>0.51252466100000005</v>
      </c>
      <c r="E1368" s="10">
        <v>-0.41566682900000002</v>
      </c>
      <c r="F1368" s="10">
        <v>0.14574306200000001</v>
      </c>
      <c r="G1368" s="10">
        <v>-9.0840320000000002E-2</v>
      </c>
      <c r="H1368" s="9">
        <v>3.7940143500000002E-2</v>
      </c>
      <c r="I1368" s="10">
        <v>0.39123549036682698</v>
      </c>
      <c r="J1368" s="10">
        <v>0.153065208922572</v>
      </c>
      <c r="K1368" s="10">
        <v>-5.7588269999999997E-2</v>
      </c>
      <c r="L1368" s="10">
        <v>-6.5304386000000006E-2</v>
      </c>
      <c r="M1368" s="10">
        <v>0.348073405</v>
      </c>
      <c r="N1368" s="10">
        <v>-5.6768938999999997E-2</v>
      </c>
      <c r="O1368" s="9">
        <v>4.2102952749999999E-2</v>
      </c>
      <c r="P1368" s="10">
        <v>0.20401653931241301</v>
      </c>
      <c r="Q1368" s="10">
        <v>4.1622748313013498E-2</v>
      </c>
    </row>
    <row r="1369" spans="1:17" x14ac:dyDescent="0.2">
      <c r="A1369" s="10">
        <v>1858</v>
      </c>
      <c r="B1369" s="10" t="s">
        <v>2825</v>
      </c>
      <c r="C1369" s="9" t="s">
        <v>2101</v>
      </c>
      <c r="D1369" s="10">
        <v>0.13983531399999999</v>
      </c>
      <c r="E1369" s="10">
        <v>0.47339121299999998</v>
      </c>
      <c r="F1369" s="10">
        <v>0.51164097799999997</v>
      </c>
      <c r="G1369" s="10">
        <v>0.44591328299999999</v>
      </c>
      <c r="H1369" s="9">
        <v>0.39269519725000002</v>
      </c>
      <c r="I1369" s="10">
        <v>0.17071441154185801</v>
      </c>
      <c r="J1369" s="10">
        <v>2.9143410308083099E-2</v>
      </c>
      <c r="K1369" s="10">
        <v>0.125730068</v>
      </c>
      <c r="L1369" s="10">
        <v>4.7542991999999999E-2</v>
      </c>
      <c r="M1369" s="10">
        <v>-3.8621454999999999E-2</v>
      </c>
      <c r="N1369" s="10">
        <v>3.6873989000000003E-2</v>
      </c>
      <c r="O1369" s="9">
        <v>4.2881398500000001E-2</v>
      </c>
      <c r="P1369" s="10">
        <v>6.7241942737705507E-2</v>
      </c>
      <c r="Q1369" s="10">
        <v>4.5214788631407999E-3</v>
      </c>
    </row>
    <row r="1370" spans="1:17" x14ac:dyDescent="0.2">
      <c r="A1370" s="10">
        <v>1858</v>
      </c>
      <c r="B1370" s="10" t="s">
        <v>74</v>
      </c>
      <c r="C1370" s="9" t="s">
        <v>2102</v>
      </c>
      <c r="D1370" s="10">
        <v>-0.29131660700000001</v>
      </c>
      <c r="E1370" s="10">
        <v>-0.42930359800000001</v>
      </c>
      <c r="F1370" s="10">
        <v>-0.52973853900000001</v>
      </c>
      <c r="G1370" s="10">
        <v>0.20990393800000001</v>
      </c>
      <c r="H1370" s="9">
        <v>-0.26011370150000002</v>
      </c>
      <c r="I1370" s="10">
        <v>0.32823415261434702</v>
      </c>
      <c r="J1370" s="10">
        <v>0.107737658942458</v>
      </c>
      <c r="K1370" s="10">
        <v>2.4133399999999999E-2</v>
      </c>
      <c r="L1370" s="10">
        <v>-0.108815456</v>
      </c>
      <c r="M1370" s="10">
        <v>-0.21861014300000001</v>
      </c>
      <c r="N1370" s="10">
        <v>-0.31674392499999998</v>
      </c>
      <c r="O1370" s="9">
        <v>-0.15500903099999999</v>
      </c>
      <c r="P1370" s="10">
        <v>0.146548210884903</v>
      </c>
      <c r="Q1370" s="10">
        <v>2.1476378113566001E-2</v>
      </c>
    </row>
    <row r="1371" spans="1:17" x14ac:dyDescent="0.2">
      <c r="A1371" s="10">
        <v>1858</v>
      </c>
      <c r="B1371" s="10" t="s">
        <v>2818</v>
      </c>
      <c r="C1371" s="9" t="s">
        <v>2103</v>
      </c>
      <c r="D1371" s="10">
        <v>9.5005778999999999E-2</v>
      </c>
      <c r="E1371" s="10">
        <v>-0.35075211499999998</v>
      </c>
      <c r="F1371" s="10">
        <v>4.4690519999999997E-2</v>
      </c>
      <c r="G1371" s="10">
        <v>0.35979502299999999</v>
      </c>
      <c r="H1371" s="9">
        <v>3.7184801500000003E-2</v>
      </c>
      <c r="I1371" s="10">
        <v>0.29324165657301798</v>
      </c>
      <c r="J1371" s="10">
        <v>8.5990669149687907E-2</v>
      </c>
      <c r="K1371" s="10">
        <v>0.403557214</v>
      </c>
      <c r="L1371" s="10">
        <v>-0.376271517</v>
      </c>
      <c r="M1371" s="10">
        <v>-0.20985150599999999</v>
      </c>
      <c r="N1371" s="10">
        <v>5.7839186000000001E-2</v>
      </c>
      <c r="O1371" s="9">
        <v>-3.1181655499999999E-2</v>
      </c>
      <c r="P1371" s="10">
        <v>0.34055470576853802</v>
      </c>
      <c r="Q1371" s="10">
        <v>0.115977507621095</v>
      </c>
    </row>
    <row r="1372" spans="1:17" x14ac:dyDescent="0.2">
      <c r="A1372" s="10">
        <v>1858</v>
      </c>
      <c r="B1372" s="10" t="s">
        <v>2830</v>
      </c>
      <c r="C1372" s="9" t="s">
        <v>2104</v>
      </c>
      <c r="D1372" s="10">
        <v>1.3403805E-2</v>
      </c>
      <c r="E1372" s="10">
        <v>-0.209601391</v>
      </c>
      <c r="F1372" s="10">
        <v>-0.61017829999999995</v>
      </c>
      <c r="G1372" s="10">
        <v>-0.48287416100000002</v>
      </c>
      <c r="H1372" s="9">
        <v>-0.32231251174999997</v>
      </c>
      <c r="I1372" s="10">
        <v>0.27931821597572198</v>
      </c>
      <c r="J1372" s="10">
        <v>7.8018665775860405E-2</v>
      </c>
      <c r="K1372" s="10">
        <v>-0.38642556300000003</v>
      </c>
      <c r="L1372" s="10">
        <v>-0.25955329900000002</v>
      </c>
      <c r="M1372" s="10">
        <v>3.4266020000000001E-2</v>
      </c>
      <c r="N1372" s="10">
        <v>7.9006842999999993E-2</v>
      </c>
      <c r="O1372" s="9">
        <v>-0.13317649949999999</v>
      </c>
      <c r="P1372" s="10">
        <v>0.22595349948346299</v>
      </c>
      <c r="Q1372" s="10">
        <v>5.1054983928823398E-2</v>
      </c>
    </row>
    <row r="1373" spans="1:17" x14ac:dyDescent="0.2">
      <c r="A1373" s="10">
        <v>1859</v>
      </c>
      <c r="B1373" s="10" t="s">
        <v>2831</v>
      </c>
      <c r="C1373" s="9" t="s">
        <v>2166</v>
      </c>
      <c r="D1373" s="10">
        <v>4.7206795000000003E-2</v>
      </c>
      <c r="E1373" s="10">
        <v>-9.3750684000000001E-2</v>
      </c>
      <c r="F1373" s="10">
        <v>6.7048960000000001E-3</v>
      </c>
      <c r="G1373" s="10">
        <v>-7.2221001000000007E-2</v>
      </c>
      <c r="H1373" s="9">
        <v>-2.8014998499999999E-2</v>
      </c>
      <c r="I1373" s="10">
        <v>6.6179403383612403E-2</v>
      </c>
      <c r="J1373" s="10">
        <v>4.3797134322107996E-3</v>
      </c>
      <c r="K1373" s="10">
        <v>7.7085228000000006E-2</v>
      </c>
      <c r="L1373" s="10">
        <v>0.41917010500000002</v>
      </c>
      <c r="M1373" s="10">
        <v>-0.17340843</v>
      </c>
      <c r="N1373" s="10">
        <v>-0.24957515599999999</v>
      </c>
      <c r="O1373" s="9">
        <v>1.831793675E-2</v>
      </c>
      <c r="P1373" s="10">
        <v>0.30147513118105501</v>
      </c>
      <c r="Q1373" s="10">
        <v>9.0887254720634705E-2</v>
      </c>
    </row>
    <row r="1374" spans="1:17" x14ac:dyDescent="0.2">
      <c r="A1374" s="10">
        <v>1859</v>
      </c>
      <c r="B1374" s="10" t="s">
        <v>2822</v>
      </c>
      <c r="C1374" s="9" t="s">
        <v>2107</v>
      </c>
      <c r="D1374" s="10">
        <v>0.34387405700000001</v>
      </c>
      <c r="E1374" s="10">
        <v>0.138886972</v>
      </c>
      <c r="F1374" s="10">
        <v>0.15437801200000001</v>
      </c>
      <c r="G1374" s="10">
        <v>0.470452392</v>
      </c>
      <c r="H1374" s="9">
        <v>0.27689785849999998</v>
      </c>
      <c r="I1374" s="10">
        <v>0.159172114583358</v>
      </c>
      <c r="J1374" s="10">
        <v>2.5335762060937801E-2</v>
      </c>
      <c r="K1374" s="10">
        <v>0.27595848299999998</v>
      </c>
      <c r="L1374" s="10">
        <v>0.110203619</v>
      </c>
      <c r="M1374" s="10">
        <v>0.33620773900000001</v>
      </c>
      <c r="N1374" s="10">
        <v>0.454381392</v>
      </c>
      <c r="O1374" s="9">
        <v>0.29418780849999998</v>
      </c>
      <c r="P1374" s="10">
        <v>0.14330637232627699</v>
      </c>
      <c r="Q1374" s="10">
        <v>2.05367163493177E-2</v>
      </c>
    </row>
    <row r="1375" spans="1:17" x14ac:dyDescent="0.2">
      <c r="A1375" s="10">
        <v>1859</v>
      </c>
      <c r="B1375" s="10" t="s">
        <v>2819</v>
      </c>
      <c r="C1375" s="9" t="s">
        <v>2584</v>
      </c>
      <c r="D1375" s="10">
        <v>2.0532949000000002E-2</v>
      </c>
      <c r="E1375" s="10">
        <v>-0.24932986700000001</v>
      </c>
      <c r="F1375" s="10">
        <v>-2.0953965189999999</v>
      </c>
      <c r="G1375" s="10">
        <v>-0.83801426700000003</v>
      </c>
      <c r="H1375" s="9">
        <v>-0.79055192575</v>
      </c>
      <c r="I1375" s="10">
        <v>0.940859904076496</v>
      </c>
      <c r="J1375" s="10">
        <v>0.88521735909883303</v>
      </c>
      <c r="K1375" s="10">
        <v>-0.31760759900000002</v>
      </c>
      <c r="L1375" s="10">
        <v>-0.20910246099999999</v>
      </c>
      <c r="M1375" s="10">
        <v>-0.76942843299999997</v>
      </c>
      <c r="N1375" s="10">
        <v>-0.41629338500000002</v>
      </c>
      <c r="O1375" s="9">
        <v>-0.42810796950000002</v>
      </c>
      <c r="P1375" s="10">
        <v>0.242770802640915</v>
      </c>
      <c r="Q1375" s="10">
        <v>5.8937662614914399E-2</v>
      </c>
    </row>
    <row r="1376" spans="1:17" x14ac:dyDescent="0.2">
      <c r="A1376" s="10">
        <v>1859</v>
      </c>
      <c r="B1376" s="10" t="s">
        <v>2834</v>
      </c>
      <c r="C1376" s="9" t="s">
        <v>2109</v>
      </c>
      <c r="D1376" s="10">
        <v>0.688991719</v>
      </c>
      <c r="E1376" s="10">
        <v>0.12214016799999999</v>
      </c>
      <c r="F1376" s="10">
        <v>0.39829347300000001</v>
      </c>
      <c r="G1376" s="10">
        <v>0.71376023099999997</v>
      </c>
      <c r="H1376" s="9">
        <v>0.48079639800000001</v>
      </c>
      <c r="I1376" s="10">
        <v>0.27872236073657802</v>
      </c>
      <c r="J1376" s="10">
        <v>7.7686154374571104E-2</v>
      </c>
      <c r="K1376" s="10">
        <v>0.42656775699999999</v>
      </c>
      <c r="L1376" s="10">
        <v>-0.76685233799999997</v>
      </c>
      <c r="M1376" s="10">
        <v>6.9759720999999997E-2</v>
      </c>
      <c r="N1376" s="10">
        <v>0.290332429</v>
      </c>
      <c r="O1376" s="9">
        <v>4.9518922500000001E-3</v>
      </c>
      <c r="P1376" s="10">
        <v>0.53512734081515301</v>
      </c>
      <c r="Q1376" s="10">
        <v>0.28636127088789698</v>
      </c>
    </row>
    <row r="1377" spans="1:17" x14ac:dyDescent="0.2">
      <c r="A1377" s="10">
        <v>1859</v>
      </c>
      <c r="B1377" s="10" t="s">
        <v>2824</v>
      </c>
      <c r="C1377" s="9" t="s">
        <v>2110</v>
      </c>
      <c r="D1377" s="10">
        <v>-0.71578832599999997</v>
      </c>
      <c r="E1377" s="10">
        <v>0.37870595000000001</v>
      </c>
      <c r="F1377" s="10">
        <v>0.39908811900000002</v>
      </c>
      <c r="G1377" s="10">
        <v>-0.52868536200000005</v>
      </c>
      <c r="H1377" s="9">
        <v>-0.11666990475</v>
      </c>
      <c r="I1377" s="10">
        <v>0.58881326870970296</v>
      </c>
      <c r="J1377" s="10">
        <v>0.34670106540860501</v>
      </c>
      <c r="K1377" s="10">
        <v>-0.22343138600000001</v>
      </c>
      <c r="L1377" s="10">
        <v>1.7920843999999998E-2</v>
      </c>
      <c r="M1377" s="10">
        <v>0.31393906399999999</v>
      </c>
      <c r="N1377" s="10">
        <v>0.20496941399999999</v>
      </c>
      <c r="O1377" s="9">
        <v>7.8349483750000004E-2</v>
      </c>
      <c r="P1377" s="10">
        <v>0.23541337466110299</v>
      </c>
      <c r="Q1377" s="10">
        <v>5.5419456969329199E-2</v>
      </c>
    </row>
    <row r="1378" spans="1:17" x14ac:dyDescent="0.2">
      <c r="A1378" s="10">
        <v>1859</v>
      </c>
      <c r="B1378" s="10" t="s">
        <v>2817</v>
      </c>
      <c r="C1378" s="9" t="s">
        <v>2111</v>
      </c>
      <c r="D1378" s="10">
        <v>0.32853455300000001</v>
      </c>
      <c r="E1378" s="10">
        <v>-0.18911225700000001</v>
      </c>
      <c r="F1378" s="10">
        <v>-0.222519311</v>
      </c>
      <c r="G1378" s="10">
        <v>-1.0202197390000001</v>
      </c>
      <c r="H1378" s="9">
        <v>-0.27582918849999999</v>
      </c>
      <c r="I1378" s="10">
        <v>0.556696983095056</v>
      </c>
      <c r="J1378" s="10">
        <v>0.30991153098713697</v>
      </c>
      <c r="K1378" s="10">
        <v>-0.312401286</v>
      </c>
      <c r="L1378" s="10">
        <v>-0.15997866599999999</v>
      </c>
      <c r="M1378" s="10">
        <v>-0.18370613999999999</v>
      </c>
      <c r="N1378" s="10">
        <v>-0.24969712599999999</v>
      </c>
      <c r="O1378" s="9">
        <v>-0.22644580449999999</v>
      </c>
      <c r="P1378" s="10">
        <v>6.8735066677167403E-2</v>
      </c>
      <c r="Q1378" s="10">
        <v>4.7245093911145999E-3</v>
      </c>
    </row>
    <row r="1379" spans="1:17" x14ac:dyDescent="0.2">
      <c r="A1379" s="10">
        <v>1859</v>
      </c>
      <c r="B1379" s="10" t="s">
        <v>82</v>
      </c>
      <c r="C1379" s="9" t="s">
        <v>2165</v>
      </c>
      <c r="D1379" s="10">
        <v>0.30156220700000003</v>
      </c>
      <c r="E1379" s="10">
        <v>7.8384934000000003E-2</v>
      </c>
      <c r="F1379" s="10">
        <v>-5.9685060000000002E-3</v>
      </c>
      <c r="G1379" s="10">
        <v>1.1228448E-2</v>
      </c>
      <c r="H1379" s="9">
        <v>9.6301770999999994E-2</v>
      </c>
      <c r="I1379" s="10">
        <v>0.141597480531862</v>
      </c>
      <c r="J1379" s="10">
        <v>2.0049846492971202E-2</v>
      </c>
      <c r="K1379" s="10">
        <v>-0.19179063199999999</v>
      </c>
      <c r="L1379" s="10">
        <v>0.12395131099999999</v>
      </c>
      <c r="M1379" s="10">
        <v>0.16044635300000001</v>
      </c>
      <c r="N1379" s="10">
        <v>0.42453675699999999</v>
      </c>
      <c r="O1379" s="9">
        <v>0.12928594725000001</v>
      </c>
      <c r="P1379" s="10">
        <v>0.25249596672114499</v>
      </c>
      <c r="Q1379" s="10">
        <v>6.3754213210445498E-2</v>
      </c>
    </row>
    <row r="1380" spans="1:17" x14ac:dyDescent="0.2">
      <c r="A1380" s="10">
        <v>1859</v>
      </c>
      <c r="B1380" s="10" t="s">
        <v>2833</v>
      </c>
      <c r="C1380" s="9" t="s">
        <v>2112</v>
      </c>
      <c r="D1380" s="10">
        <v>6.183582E-2</v>
      </c>
      <c r="E1380" s="10">
        <v>8.2163892000000002E-2</v>
      </c>
      <c r="F1380" s="10">
        <v>9.0058783000000003E-2</v>
      </c>
      <c r="G1380" s="10">
        <v>-0.26985584099999999</v>
      </c>
      <c r="H1380" s="9">
        <v>-8.9493362500000003E-3</v>
      </c>
      <c r="I1380" s="10">
        <v>0.17434350251324399</v>
      </c>
      <c r="J1380" s="10">
        <v>3.0395656868585801E-2</v>
      </c>
      <c r="K1380" s="10">
        <v>-0.22535688700000001</v>
      </c>
      <c r="L1380" s="10">
        <v>-0.191836125</v>
      </c>
      <c r="M1380" s="10">
        <v>0.23495765900000001</v>
      </c>
      <c r="N1380" s="10">
        <v>-6.3386907000000006E-2</v>
      </c>
      <c r="O1380" s="9">
        <v>-6.1405565000000002E-2</v>
      </c>
      <c r="P1380" s="10">
        <v>0.20954494603247301</v>
      </c>
      <c r="Q1380" s="10">
        <v>4.3909084407752097E-2</v>
      </c>
    </row>
    <row r="1381" spans="1:17" x14ac:dyDescent="0.2">
      <c r="A1381" s="10">
        <v>1859</v>
      </c>
      <c r="B1381" s="10" t="s">
        <v>2825</v>
      </c>
      <c r="C1381" s="9" t="s">
        <v>45</v>
      </c>
      <c r="D1381" s="10">
        <v>-0.31332159100000001</v>
      </c>
      <c r="E1381" s="10">
        <v>-0.18973561999999999</v>
      </c>
      <c r="F1381" s="10">
        <v>-0.53434446499999999</v>
      </c>
      <c r="G1381" s="10">
        <v>-0.41295530200000002</v>
      </c>
      <c r="H1381" s="9">
        <v>-0.36258924474999998</v>
      </c>
      <c r="I1381" s="10">
        <v>0.14644939137381199</v>
      </c>
      <c r="J1381" s="10">
        <v>2.14474242337599E-2</v>
      </c>
      <c r="K1381" s="10">
        <v>0.21278746700000001</v>
      </c>
      <c r="L1381" s="10">
        <v>0.22209852399999999</v>
      </c>
      <c r="M1381" s="10">
        <v>-1.5599035000000001E-2</v>
      </c>
      <c r="N1381" s="10">
        <v>-0.36958829999999998</v>
      </c>
      <c r="O1381" s="9">
        <v>1.2424664E-2</v>
      </c>
      <c r="P1381" s="10">
        <v>0.27738517910601201</v>
      </c>
      <c r="Q1381" s="10">
        <v>7.6942537587674706E-2</v>
      </c>
    </row>
    <row r="1382" spans="1:17" x14ac:dyDescent="0.2">
      <c r="A1382" s="10">
        <v>1859</v>
      </c>
      <c r="B1382" s="10" t="s">
        <v>74</v>
      </c>
      <c r="C1382" s="9" t="s">
        <v>2113</v>
      </c>
      <c r="D1382" s="10">
        <v>-0.286755859</v>
      </c>
      <c r="E1382" s="10">
        <v>-0.25906546699999999</v>
      </c>
      <c r="F1382" s="10">
        <v>-2.0538029999999999E-2</v>
      </c>
      <c r="G1382" s="10">
        <v>-0.22608906200000001</v>
      </c>
      <c r="H1382" s="9">
        <v>-0.19811210474999999</v>
      </c>
      <c r="I1382" s="10">
        <v>0.120952180216537</v>
      </c>
      <c r="J1382" s="10">
        <v>1.46294298991336E-2</v>
      </c>
      <c r="K1382" s="10">
        <v>-0.21294728600000001</v>
      </c>
      <c r="L1382" s="10">
        <v>-7.7483194000000005E-2</v>
      </c>
      <c r="M1382" s="10">
        <v>-0.50547651999999998</v>
      </c>
      <c r="N1382" s="10">
        <v>-0.93276493199999999</v>
      </c>
      <c r="O1382" s="9">
        <v>-0.43216798275000001</v>
      </c>
      <c r="P1382" s="10">
        <v>0.37851924675253901</v>
      </c>
      <c r="Q1382" s="10">
        <v>0.14327682016210899</v>
      </c>
    </row>
    <row r="1383" spans="1:17" x14ac:dyDescent="0.2">
      <c r="A1383" s="10">
        <v>1859</v>
      </c>
      <c r="B1383" s="10" t="s">
        <v>2818</v>
      </c>
      <c r="C1383" s="9" t="s">
        <v>2114</v>
      </c>
      <c r="D1383" s="10">
        <v>0.56870865900000001</v>
      </c>
      <c r="E1383" s="10">
        <v>0.61682817599999995</v>
      </c>
      <c r="F1383" s="10">
        <v>0.38651477699999998</v>
      </c>
      <c r="G1383" s="10">
        <v>0.20562343799999999</v>
      </c>
      <c r="H1383" s="9">
        <v>0.44441876274999997</v>
      </c>
      <c r="I1383" s="10">
        <v>0.18757137554829501</v>
      </c>
      <c r="J1383" s="10">
        <v>3.5183020925079703E-2</v>
      </c>
      <c r="K1383" s="10">
        <v>0.27783348899999999</v>
      </c>
      <c r="L1383" s="10">
        <v>0.32394648700000001</v>
      </c>
      <c r="M1383" s="10">
        <v>-7.8356444999999997E-2</v>
      </c>
      <c r="N1383" s="10">
        <v>0.80734241500000004</v>
      </c>
      <c r="O1383" s="9">
        <v>0.33269148625</v>
      </c>
      <c r="P1383" s="10">
        <v>0.36393212774834099</v>
      </c>
      <c r="Q1383" s="10">
        <v>0.13244659360743499</v>
      </c>
    </row>
    <row r="1384" spans="1:17" x14ac:dyDescent="0.2">
      <c r="A1384" s="10">
        <v>1859</v>
      </c>
      <c r="B1384" s="10" t="s">
        <v>2830</v>
      </c>
      <c r="C1384" s="9" t="s">
        <v>2115</v>
      </c>
      <c r="D1384" s="10">
        <v>-1.5335699999999999E-4</v>
      </c>
      <c r="E1384" s="10">
        <v>-9.4995543000000002E-2</v>
      </c>
      <c r="F1384" s="10">
        <v>-0.14708401800000001</v>
      </c>
      <c r="G1384" s="10">
        <v>0.532166319</v>
      </c>
      <c r="H1384" s="9">
        <v>7.2483350249999995E-2</v>
      </c>
      <c r="I1384" s="10">
        <v>0.31243320986701101</v>
      </c>
      <c r="J1384" s="10">
        <v>9.7614510627803894E-2</v>
      </c>
      <c r="K1384" s="10">
        <v>-0.60846524300000004</v>
      </c>
      <c r="L1384" s="10">
        <v>-0.123060444</v>
      </c>
      <c r="M1384" s="10">
        <v>0.18556566199999999</v>
      </c>
      <c r="N1384" s="10">
        <v>0.68467956100000005</v>
      </c>
      <c r="O1384" s="9">
        <v>3.4679883750000001E-2</v>
      </c>
      <c r="P1384" s="10">
        <v>0.54276568411674697</v>
      </c>
      <c r="Q1384" s="10">
        <v>0.29459458785472098</v>
      </c>
    </row>
    <row r="1385" spans="1:17" x14ac:dyDescent="0.2">
      <c r="A1385" s="10">
        <v>1859</v>
      </c>
      <c r="B1385" s="10" t="s">
        <v>2835</v>
      </c>
      <c r="C1385" s="9" t="s">
        <v>2116</v>
      </c>
      <c r="D1385" s="10">
        <v>0.39857595200000001</v>
      </c>
      <c r="E1385" s="10">
        <v>0.12279781100000001</v>
      </c>
      <c r="F1385" s="10">
        <v>-0.181191567</v>
      </c>
      <c r="G1385" s="10">
        <v>-0.10793183000000001</v>
      </c>
      <c r="H1385" s="9">
        <v>5.8062591500000003E-2</v>
      </c>
      <c r="I1385" s="10">
        <v>0.26136608913640502</v>
      </c>
      <c r="J1385" s="10">
        <v>6.8312232550459595E-2</v>
      </c>
      <c r="K1385" s="10">
        <v>-8.9262060000000004E-2</v>
      </c>
      <c r="L1385" s="10">
        <v>-4.7576687999999999E-2</v>
      </c>
      <c r="M1385" s="10">
        <v>0.201980987</v>
      </c>
      <c r="N1385" s="10">
        <v>-5.4358980000000001E-2</v>
      </c>
      <c r="O1385" s="9">
        <v>2.6958149999999998E-3</v>
      </c>
      <c r="P1385" s="10">
        <v>0.13410618273587299</v>
      </c>
      <c r="Q1385" s="10">
        <v>1.7984468247987401E-2</v>
      </c>
    </row>
    <row r="1386" spans="1:17" x14ac:dyDescent="0.2">
      <c r="A1386" s="10">
        <v>1860</v>
      </c>
      <c r="B1386" s="10" t="s">
        <v>2831</v>
      </c>
      <c r="C1386" s="9" t="s">
        <v>2117</v>
      </c>
      <c r="D1386" s="10">
        <v>8.9902609999999994E-3</v>
      </c>
      <c r="E1386" s="10">
        <v>-0.53087493699999999</v>
      </c>
      <c r="F1386" s="10">
        <v>-9.7750834999999994E-2</v>
      </c>
      <c r="G1386" s="10">
        <v>0.16959128200000001</v>
      </c>
      <c r="H1386" s="9">
        <v>-0.112511057</v>
      </c>
      <c r="I1386" s="10">
        <v>0.299772413778159</v>
      </c>
      <c r="J1386" s="10">
        <v>8.9863500062383903E-2</v>
      </c>
      <c r="K1386" s="10">
        <v>3.3604034999999997E-2</v>
      </c>
      <c r="L1386" s="10">
        <v>-5.0772229999999996E-3</v>
      </c>
      <c r="M1386" s="10">
        <v>0.35246999699999998</v>
      </c>
      <c r="N1386" s="10">
        <v>-1.015080607</v>
      </c>
      <c r="O1386" s="9">
        <v>-0.15852094975</v>
      </c>
      <c r="P1386" s="10">
        <v>0.59308885819153401</v>
      </c>
      <c r="Q1386" s="10">
        <v>0.35175439371093797</v>
      </c>
    </row>
    <row r="1387" spans="1:17" x14ac:dyDescent="0.2">
      <c r="A1387" s="10">
        <v>1860</v>
      </c>
      <c r="B1387" s="10" t="s">
        <v>2819</v>
      </c>
      <c r="C1387" s="9" t="s">
        <v>2163</v>
      </c>
      <c r="D1387" s="10">
        <v>-0.13231969399999999</v>
      </c>
      <c r="E1387" s="10">
        <v>-0.40772444800000002</v>
      </c>
      <c r="F1387" s="10">
        <v>-0.15268637199999999</v>
      </c>
      <c r="G1387" s="10">
        <v>-0.64086050100000003</v>
      </c>
      <c r="H1387" s="9">
        <v>-0.33339775399999999</v>
      </c>
      <c r="I1387" s="10">
        <v>0.24024070431650299</v>
      </c>
      <c r="J1387" s="10">
        <v>5.77155960104897E-2</v>
      </c>
      <c r="K1387" s="10">
        <v>-0.316934787</v>
      </c>
      <c r="L1387" s="10">
        <v>0.21681598399999999</v>
      </c>
      <c r="M1387" s="10">
        <v>-0.71659096200000005</v>
      </c>
      <c r="N1387" s="10">
        <v>-0.57687504300000003</v>
      </c>
      <c r="O1387" s="9">
        <v>-0.34839620199999999</v>
      </c>
      <c r="P1387" s="10">
        <v>0.411592273134818</v>
      </c>
      <c r="Q1387" s="10">
        <v>0.16940819930428699</v>
      </c>
    </row>
    <row r="1388" spans="1:17" x14ac:dyDescent="0.2">
      <c r="A1388" s="10">
        <v>1860</v>
      </c>
      <c r="B1388" s="10" t="s">
        <v>2824</v>
      </c>
      <c r="C1388" s="9" t="s">
        <v>2162</v>
      </c>
      <c r="D1388" s="10">
        <v>2.0412566E-2</v>
      </c>
      <c r="E1388" s="10">
        <v>-0.39718644199999997</v>
      </c>
      <c r="F1388" s="10">
        <v>-0.492989807</v>
      </c>
      <c r="G1388" s="10">
        <v>-0.89135748100000001</v>
      </c>
      <c r="H1388" s="9">
        <v>-0.44028029099999999</v>
      </c>
      <c r="I1388" s="10">
        <v>0.37431889823505099</v>
      </c>
      <c r="J1388" s="10">
        <v>0.14011463757590201</v>
      </c>
      <c r="K1388" s="10">
        <v>-0.32186042100000001</v>
      </c>
      <c r="L1388" s="10">
        <v>-0.23311308</v>
      </c>
      <c r="M1388" s="10">
        <v>0.30044106199999998</v>
      </c>
      <c r="N1388" s="10">
        <v>-0.58248244000000005</v>
      </c>
      <c r="O1388" s="9">
        <v>-0.20925371975000001</v>
      </c>
      <c r="P1388" s="10">
        <v>0.37073709750557599</v>
      </c>
      <c r="Q1388" s="10">
        <v>0.13744599546685901</v>
      </c>
    </row>
    <row r="1389" spans="1:17" x14ac:dyDescent="0.2">
      <c r="A1389" s="10">
        <v>1860</v>
      </c>
      <c r="B1389" s="10" t="s">
        <v>82</v>
      </c>
      <c r="C1389" s="9" t="s">
        <v>2118</v>
      </c>
      <c r="D1389" s="10">
        <v>-0.56781539800000003</v>
      </c>
      <c r="E1389" s="10">
        <v>-0.51348479300000005</v>
      </c>
      <c r="F1389" s="10">
        <v>-0.10236012799999999</v>
      </c>
      <c r="G1389" s="10">
        <v>-0.52996321199999996</v>
      </c>
      <c r="H1389" s="9">
        <v>-0.4284058825</v>
      </c>
      <c r="I1389" s="10">
        <v>0.218550649527333</v>
      </c>
      <c r="J1389" s="10">
        <v>4.77643864088192E-2</v>
      </c>
      <c r="K1389" s="10">
        <v>-0.61708886799999996</v>
      </c>
      <c r="L1389" s="10">
        <v>-0.41095478400000002</v>
      </c>
      <c r="M1389" s="10">
        <v>-0.51116875900000003</v>
      </c>
      <c r="N1389" s="10">
        <v>-0.66135406900000004</v>
      </c>
      <c r="O1389" s="9">
        <v>-0.55014162</v>
      </c>
      <c r="P1389" s="10">
        <v>0.112163574059744</v>
      </c>
      <c r="Q1389" s="10">
        <v>1.25806673458557E-2</v>
      </c>
    </row>
    <row r="1390" spans="1:17" x14ac:dyDescent="0.2">
      <c r="A1390" s="10">
        <v>1860</v>
      </c>
      <c r="B1390" s="10" t="s">
        <v>2814</v>
      </c>
      <c r="C1390" s="9" t="s">
        <v>2119</v>
      </c>
      <c r="D1390" s="10">
        <v>-6.0194415000000001E-2</v>
      </c>
      <c r="E1390" s="10">
        <v>-7.2150620999999998E-2</v>
      </c>
      <c r="F1390" s="10">
        <v>-0.16024126699999999</v>
      </c>
      <c r="G1390" s="10">
        <v>-0.35895134699999998</v>
      </c>
      <c r="H1390" s="9">
        <v>-0.16288441249999999</v>
      </c>
      <c r="I1390" s="10">
        <v>0.13811478985355699</v>
      </c>
      <c r="J1390" s="10">
        <v>1.90756951762923E-2</v>
      </c>
      <c r="K1390" s="10">
        <v>0.164132533</v>
      </c>
      <c r="L1390" s="10">
        <v>1.182155E-2</v>
      </c>
      <c r="M1390" s="10">
        <v>6.4450480000000004E-2</v>
      </c>
      <c r="N1390" s="10">
        <v>7.8959649000000007E-2</v>
      </c>
      <c r="O1390" s="9">
        <v>7.9841052999999995E-2</v>
      </c>
      <c r="P1390" s="10">
        <v>6.3164739634379699E-2</v>
      </c>
      <c r="Q1390" s="10">
        <v>3.9897843330789001E-3</v>
      </c>
    </row>
    <row r="1391" spans="1:17" x14ac:dyDescent="0.2">
      <c r="A1391" s="10">
        <v>1860</v>
      </c>
      <c r="B1391" s="10" t="s">
        <v>2833</v>
      </c>
      <c r="C1391" s="9" t="s">
        <v>2120</v>
      </c>
      <c r="D1391" s="10">
        <v>-9.5139109999999999E-2</v>
      </c>
      <c r="E1391" s="10">
        <v>0.27031590700000002</v>
      </c>
      <c r="F1391" s="10">
        <v>-0.25450199600000001</v>
      </c>
      <c r="G1391" s="10">
        <v>-0.107725271</v>
      </c>
      <c r="H1391" s="9">
        <v>-4.6762617749999999E-2</v>
      </c>
      <c r="I1391" s="10">
        <v>0.22342125400762999</v>
      </c>
      <c r="J1391" s="10">
        <v>4.99170567423423E-2</v>
      </c>
      <c r="K1391" s="10">
        <v>-0.269976722</v>
      </c>
      <c r="L1391" s="10">
        <v>-0.33719275300000001</v>
      </c>
      <c r="M1391" s="10">
        <v>-0.14827040799999999</v>
      </c>
      <c r="N1391" s="10">
        <v>-0.221309533</v>
      </c>
      <c r="O1391" s="9">
        <v>-0.244187354</v>
      </c>
      <c r="P1391" s="10">
        <v>7.9662937783019194E-2</v>
      </c>
      <c r="Q1391" s="10">
        <v>6.3461836562211001E-3</v>
      </c>
    </row>
    <row r="1392" spans="1:17" x14ac:dyDescent="0.2">
      <c r="A1392" s="10">
        <v>1860</v>
      </c>
      <c r="B1392" s="10" t="s">
        <v>2825</v>
      </c>
      <c r="C1392" s="9" t="s">
        <v>2121</v>
      </c>
      <c r="D1392" s="10">
        <v>-4.3228390999999998E-2</v>
      </c>
      <c r="E1392" s="10">
        <v>-4.3940196000000001E-2</v>
      </c>
      <c r="F1392" s="10">
        <v>-0.28836675299999998</v>
      </c>
      <c r="G1392" s="10">
        <v>-0.45949426199999999</v>
      </c>
      <c r="H1392" s="9">
        <v>-0.2087574005</v>
      </c>
      <c r="I1392" s="10">
        <v>0.20311834531095799</v>
      </c>
      <c r="J1392" s="10">
        <v>4.1257062201861698E-2</v>
      </c>
      <c r="K1392" s="10">
        <v>-0.11821577799999999</v>
      </c>
      <c r="L1392" s="10">
        <v>1.3891058E-2</v>
      </c>
      <c r="M1392" s="10">
        <v>-0.25954267800000003</v>
      </c>
      <c r="N1392" s="10">
        <v>-0.27952542600000002</v>
      </c>
      <c r="O1392" s="9">
        <v>-0.16084820624999999</v>
      </c>
      <c r="P1392" s="10">
        <v>0.136840802456387</v>
      </c>
      <c r="Q1392" s="10">
        <v>1.8725405216907999E-2</v>
      </c>
    </row>
    <row r="1393" spans="1:17" x14ac:dyDescent="0.2">
      <c r="A1393" s="10">
        <v>1860</v>
      </c>
      <c r="B1393" s="10" t="s">
        <v>74</v>
      </c>
      <c r="C1393" s="9" t="s">
        <v>2160</v>
      </c>
      <c r="D1393" s="10">
        <v>2.0481987E-2</v>
      </c>
      <c r="E1393" s="10">
        <v>-9.5906926000000003E-2</v>
      </c>
      <c r="F1393" s="10">
        <v>-0.25666436300000001</v>
      </c>
      <c r="G1393" s="10">
        <v>-0.100529251</v>
      </c>
      <c r="H1393" s="9">
        <v>-0.108154638</v>
      </c>
      <c r="I1393" s="10">
        <v>0.11374045408604699</v>
      </c>
      <c r="J1393" s="10">
        <v>1.29368908957003E-2</v>
      </c>
      <c r="K1393" s="10">
        <v>3.4279509E-2</v>
      </c>
      <c r="L1393" s="10">
        <v>-1.7318268000000001E-2</v>
      </c>
      <c r="M1393" s="10">
        <v>-2.7621509999999998E-2</v>
      </c>
      <c r="N1393" s="10">
        <v>-0.18338934100000001</v>
      </c>
      <c r="O1393" s="9">
        <v>-4.8512402750000003E-2</v>
      </c>
      <c r="P1393" s="10">
        <v>9.3907388004720302E-2</v>
      </c>
      <c r="Q1393" s="10">
        <v>8.8185975218690003E-3</v>
      </c>
    </row>
    <row r="1394" spans="1:17" x14ac:dyDescent="0.2">
      <c r="A1394" s="10">
        <v>1860</v>
      </c>
      <c r="B1394" s="10" t="s">
        <v>2818</v>
      </c>
      <c r="C1394" s="9" t="s">
        <v>2159</v>
      </c>
      <c r="D1394" s="10">
        <v>-0.40643690799999999</v>
      </c>
      <c r="E1394" s="10">
        <v>-4.2974181E-2</v>
      </c>
      <c r="F1394" s="10">
        <v>3.7525240000000001E-2</v>
      </c>
      <c r="G1394" s="10">
        <v>-0.56111902000000002</v>
      </c>
      <c r="H1394" s="9">
        <v>-0.24325121750000001</v>
      </c>
      <c r="I1394" s="10">
        <v>0.286714619953716</v>
      </c>
      <c r="J1394" s="10">
        <v>8.2205273295204107E-2</v>
      </c>
      <c r="K1394" s="10">
        <v>-0.247446729</v>
      </c>
      <c r="L1394" s="10">
        <v>0.22459216800000001</v>
      </c>
      <c r="M1394" s="10">
        <v>-0.247442941</v>
      </c>
      <c r="N1394" s="10">
        <v>-0.37760221100000002</v>
      </c>
      <c r="O1394" s="9">
        <v>-0.16197492825000001</v>
      </c>
      <c r="P1394" s="10">
        <v>0.264914737790725</v>
      </c>
      <c r="Q1394" s="10">
        <v>7.0179818298729005E-2</v>
      </c>
    </row>
    <row r="1395" spans="1:17" x14ac:dyDescent="0.2">
      <c r="A1395" s="10">
        <v>1860</v>
      </c>
      <c r="B1395" s="10" t="s">
        <v>2830</v>
      </c>
      <c r="C1395" s="9" t="s">
        <v>2158</v>
      </c>
      <c r="D1395" s="10">
        <v>0.51329323400000004</v>
      </c>
      <c r="E1395" s="10">
        <v>0.38700822400000001</v>
      </c>
      <c r="F1395" s="10">
        <v>0.27550507099999999</v>
      </c>
      <c r="G1395" s="10">
        <v>0.39712230100000001</v>
      </c>
      <c r="H1395" s="9">
        <v>0.39323220749999999</v>
      </c>
      <c r="I1395" s="10">
        <v>9.7173726817438202E-2</v>
      </c>
      <c r="J1395" s="10">
        <v>9.4427331835900997E-3</v>
      </c>
      <c r="K1395" s="10">
        <v>0.25353130800000001</v>
      </c>
      <c r="L1395" s="10">
        <v>0.19642108599999999</v>
      </c>
      <c r="M1395" s="10">
        <v>0.25819336900000001</v>
      </c>
      <c r="N1395" s="10">
        <v>3.0816429999999998E-3</v>
      </c>
      <c r="O1395" s="9">
        <v>0.17780685125000001</v>
      </c>
      <c r="P1395" s="10">
        <v>0.119821497402577</v>
      </c>
      <c r="Q1395" s="10">
        <v>1.43571912397958E-2</v>
      </c>
    </row>
    <row r="1396" spans="1:17" x14ac:dyDescent="0.2">
      <c r="A1396" s="10">
        <v>1860</v>
      </c>
      <c r="B1396" s="10" t="s">
        <v>2832</v>
      </c>
      <c r="C1396" s="9" t="s">
        <v>2122</v>
      </c>
      <c r="D1396" s="10">
        <v>0.23062737799999999</v>
      </c>
      <c r="E1396" s="10">
        <v>-0.29413175699999999</v>
      </c>
      <c r="F1396" s="10">
        <v>5.7353194000000003E-2</v>
      </c>
      <c r="G1396" s="10">
        <v>-0.405547769</v>
      </c>
      <c r="H1396" s="9">
        <v>-0.1029247385</v>
      </c>
      <c r="I1396" s="10">
        <v>0.29725794218757001</v>
      </c>
      <c r="J1396" s="10">
        <v>8.8362284193589102E-2</v>
      </c>
      <c r="K1396" s="10">
        <v>-9.1145262000000005E-2</v>
      </c>
      <c r="L1396" s="10">
        <v>-5.3821460000000002E-2</v>
      </c>
      <c r="M1396" s="10">
        <v>-0.34449428300000001</v>
      </c>
      <c r="N1396" s="10">
        <v>-0.18408720100000001</v>
      </c>
      <c r="O1396" s="9">
        <v>-0.16838705125</v>
      </c>
      <c r="P1396" s="10">
        <v>0.12955284697994099</v>
      </c>
      <c r="Q1396" s="10">
        <v>1.6783940160608E-2</v>
      </c>
    </row>
    <row r="1397" spans="1:17" x14ac:dyDescent="0.2">
      <c r="A1397" s="10">
        <v>1861</v>
      </c>
      <c r="B1397" s="10" t="s">
        <v>2822</v>
      </c>
      <c r="C1397" s="9" t="s">
        <v>2156</v>
      </c>
      <c r="D1397" s="10">
        <v>-0.90571477499999997</v>
      </c>
      <c r="E1397" s="10">
        <v>1.5322418000000001E-2</v>
      </c>
      <c r="F1397" s="10">
        <v>1.185619E-3</v>
      </c>
      <c r="G1397" s="10">
        <v>-0.77531223000000005</v>
      </c>
      <c r="H1397" s="9">
        <v>-0.41612974175</v>
      </c>
      <c r="I1397" s="10">
        <v>0.49295322331120001</v>
      </c>
      <c r="J1397" s="10">
        <v>0.24300288037290199</v>
      </c>
      <c r="K1397" s="10">
        <v>-7.6764420000000003E-3</v>
      </c>
      <c r="L1397" s="10">
        <v>-2.4148467999999999E-2</v>
      </c>
      <c r="M1397" s="10">
        <v>-0.50589849600000003</v>
      </c>
      <c r="N1397" s="10">
        <v>-0.36091843000000001</v>
      </c>
      <c r="O1397" s="9">
        <v>-0.22466045900000001</v>
      </c>
      <c r="P1397" s="10">
        <v>0.248292965590308</v>
      </c>
      <c r="Q1397" s="10">
        <v>6.1649396761630199E-2</v>
      </c>
    </row>
    <row r="1398" spans="1:17" x14ac:dyDescent="0.2">
      <c r="A1398" s="10">
        <v>1861</v>
      </c>
      <c r="B1398" s="10" t="s">
        <v>79</v>
      </c>
      <c r="C1398" s="9" t="s">
        <v>2154</v>
      </c>
      <c r="D1398" s="10">
        <v>0.46843092800000002</v>
      </c>
      <c r="E1398" s="10">
        <v>-5.6372883999999998E-2</v>
      </c>
      <c r="F1398" s="10">
        <v>0.19286541800000001</v>
      </c>
      <c r="G1398" s="10">
        <v>0.19517498599999999</v>
      </c>
      <c r="H1398" s="9">
        <v>0.20002461175</v>
      </c>
      <c r="I1398" s="10">
        <v>0.21436448660698701</v>
      </c>
      <c r="J1398" s="10">
        <v>4.5952133118277103E-2</v>
      </c>
      <c r="K1398" s="10">
        <v>-9.2312516999999997E-2</v>
      </c>
      <c r="L1398" s="10">
        <v>-0.48851898300000002</v>
      </c>
      <c r="M1398" s="10">
        <v>0.30022570799999998</v>
      </c>
      <c r="N1398" s="10">
        <v>0.237056135</v>
      </c>
      <c r="O1398" s="9">
        <v>-1.0887414E-2</v>
      </c>
      <c r="P1398" s="10">
        <v>0.361952732307808</v>
      </c>
      <c r="Q1398" s="10">
        <v>0.13100978042508801</v>
      </c>
    </row>
    <row r="1399" spans="1:17" x14ac:dyDescent="0.2">
      <c r="A1399" s="10">
        <v>1861</v>
      </c>
      <c r="B1399" s="10" t="s">
        <v>2820</v>
      </c>
      <c r="C1399" s="9" t="s">
        <v>2123</v>
      </c>
      <c r="D1399" s="10">
        <v>-0.41099054699999998</v>
      </c>
      <c r="E1399" s="10">
        <v>-0.370673048</v>
      </c>
      <c r="F1399" s="10">
        <v>-0.74853346099999996</v>
      </c>
      <c r="G1399" s="10">
        <v>-0.72331772900000002</v>
      </c>
      <c r="H1399" s="9">
        <v>-0.56337869625000003</v>
      </c>
      <c r="I1399" s="10">
        <v>0.20018357908507001</v>
      </c>
      <c r="J1399" s="10">
        <v>4.0073465335308797E-2</v>
      </c>
      <c r="K1399" s="10">
        <v>-0.70840888000000002</v>
      </c>
      <c r="L1399" s="10">
        <v>-0.45010699900000001</v>
      </c>
      <c r="M1399" s="10">
        <v>-0.24970605500000001</v>
      </c>
      <c r="N1399" s="10">
        <v>-0.83689625400000001</v>
      </c>
      <c r="O1399" s="9">
        <v>-0.56127954700000005</v>
      </c>
      <c r="P1399" s="10">
        <v>0.26270959007519701</v>
      </c>
      <c r="Q1399" s="10">
        <v>6.9016328717478301E-2</v>
      </c>
    </row>
    <row r="1400" spans="1:17" x14ac:dyDescent="0.2">
      <c r="A1400" s="10">
        <v>1861</v>
      </c>
      <c r="B1400" s="10" t="s">
        <v>2824</v>
      </c>
      <c r="C1400" s="9" t="s">
        <v>2153</v>
      </c>
      <c r="D1400" s="10">
        <v>5.7598888000000001E-2</v>
      </c>
      <c r="E1400" s="10">
        <v>0.14812895400000001</v>
      </c>
      <c r="F1400" s="10">
        <v>-0.31667758400000001</v>
      </c>
      <c r="G1400" s="10">
        <v>-0.413266252</v>
      </c>
      <c r="H1400" s="9">
        <v>-0.13105399875000001</v>
      </c>
      <c r="I1400" s="10">
        <v>0.27545895282287403</v>
      </c>
      <c r="J1400" s="10">
        <v>7.5877634690274406E-2</v>
      </c>
      <c r="K1400" s="10">
        <v>2.6976909E-2</v>
      </c>
      <c r="L1400" s="10">
        <v>0.17984789200000001</v>
      </c>
      <c r="M1400" s="10">
        <v>-0.27278672399999998</v>
      </c>
      <c r="N1400" s="10">
        <v>-0.33870422900000002</v>
      </c>
      <c r="O1400" s="9">
        <v>-0.10116653824999999</v>
      </c>
      <c r="P1400" s="10">
        <v>0.245809883016362</v>
      </c>
      <c r="Q1400" s="10">
        <v>6.0422498588517601E-2</v>
      </c>
    </row>
    <row r="1401" spans="1:17" x14ac:dyDescent="0.2">
      <c r="A1401" s="10">
        <v>1861</v>
      </c>
      <c r="B1401" s="10" t="s">
        <v>2817</v>
      </c>
      <c r="C1401" s="9" t="s">
        <v>2124</v>
      </c>
      <c r="D1401" s="10">
        <v>0.137360697</v>
      </c>
      <c r="E1401" s="10">
        <v>-0.47214209800000001</v>
      </c>
      <c r="F1401" s="10">
        <v>0.52211337700000005</v>
      </c>
      <c r="G1401" s="10">
        <v>0.46930685500000002</v>
      </c>
      <c r="H1401" s="9">
        <v>0.1641597075</v>
      </c>
      <c r="I1401" s="10">
        <v>0.45710822415931202</v>
      </c>
      <c r="J1401" s="10">
        <v>0.20894792859408001</v>
      </c>
      <c r="K1401" s="10">
        <v>-0.83270384500000005</v>
      </c>
      <c r="L1401" s="10">
        <v>0.19945350000000001</v>
      </c>
      <c r="M1401" s="10">
        <v>0.947023065</v>
      </c>
      <c r="N1401" s="10">
        <v>0.96987041900000004</v>
      </c>
      <c r="O1401" s="9">
        <v>0.32091078475000001</v>
      </c>
      <c r="P1401" s="10">
        <v>0.84828135669674598</v>
      </c>
      <c r="Q1401" s="10">
        <v>0.71958126011927304</v>
      </c>
    </row>
    <row r="1402" spans="1:17" x14ac:dyDescent="0.2">
      <c r="A1402" s="10">
        <v>1861</v>
      </c>
      <c r="B1402" s="10" t="s">
        <v>2814</v>
      </c>
      <c r="C1402" s="9" t="s">
        <v>2583</v>
      </c>
      <c r="D1402" s="10">
        <v>-0.94697958900000001</v>
      </c>
      <c r="E1402" s="10">
        <v>-0.27779435099999999</v>
      </c>
      <c r="F1402" s="10">
        <v>-0.90036232699999996</v>
      </c>
      <c r="G1402" s="10">
        <v>5.1076622000000002E-2</v>
      </c>
      <c r="H1402" s="9">
        <v>-0.51851491149999995</v>
      </c>
      <c r="I1402" s="10">
        <v>0.48709011208451702</v>
      </c>
      <c r="J1402" s="10">
        <v>0.23725677729050801</v>
      </c>
      <c r="K1402" s="10">
        <v>-0.75313663200000003</v>
      </c>
      <c r="L1402" s="10">
        <v>-0.27475175699999999</v>
      </c>
      <c r="M1402" s="10">
        <v>-0.77431608200000002</v>
      </c>
      <c r="N1402" s="10">
        <v>-0.29012191100000001</v>
      </c>
      <c r="O1402" s="9">
        <v>-0.52308159524999998</v>
      </c>
      <c r="P1402" s="10">
        <v>0.27807793291192701</v>
      </c>
      <c r="Q1402" s="10">
        <v>7.7327336772570199E-2</v>
      </c>
    </row>
    <row r="1403" spans="1:17" x14ac:dyDescent="0.2">
      <c r="A1403" s="10">
        <v>1861</v>
      </c>
      <c r="B1403" s="10" t="s">
        <v>2833</v>
      </c>
      <c r="C1403" s="9" t="s">
        <v>2152</v>
      </c>
      <c r="D1403" s="10">
        <v>3.4592356999999997E-2</v>
      </c>
      <c r="E1403" s="10">
        <v>-0.13386529</v>
      </c>
      <c r="F1403" s="10">
        <v>-0.20044042100000001</v>
      </c>
      <c r="G1403" s="10">
        <v>-0.31717172799999999</v>
      </c>
      <c r="H1403" s="9">
        <v>-0.15422127050000001</v>
      </c>
      <c r="I1403" s="10">
        <v>0.146917225384711</v>
      </c>
      <c r="J1403" s="10">
        <v>2.1584671114742E-2</v>
      </c>
      <c r="K1403" s="10">
        <v>0.19237929500000001</v>
      </c>
      <c r="L1403" s="10">
        <v>0.164435476</v>
      </c>
      <c r="M1403" s="10">
        <v>1.4567099999999999E-3</v>
      </c>
      <c r="N1403" s="10">
        <v>-0.248882722</v>
      </c>
      <c r="O1403" s="9">
        <v>2.7347189750000001E-2</v>
      </c>
      <c r="P1403" s="10">
        <v>0.20248627531868801</v>
      </c>
      <c r="Q1403" s="10">
        <v>4.1000691692435601E-2</v>
      </c>
    </row>
    <row r="1404" spans="1:17" x14ac:dyDescent="0.2">
      <c r="A1404" s="10">
        <v>1861</v>
      </c>
      <c r="B1404" s="10" t="s">
        <v>2825</v>
      </c>
      <c r="C1404" s="9" t="s">
        <v>2125</v>
      </c>
      <c r="D1404" s="10">
        <v>-0.14970845299999999</v>
      </c>
      <c r="E1404" s="10">
        <v>6.8785133999999998E-2</v>
      </c>
      <c r="F1404" s="10">
        <v>-0.352047518</v>
      </c>
      <c r="G1404" s="10">
        <v>-0.15368374300000001</v>
      </c>
      <c r="H1404" s="9">
        <v>-0.14666364500000001</v>
      </c>
      <c r="I1404" s="10">
        <v>0.171910116332884</v>
      </c>
      <c r="J1404" s="10">
        <v>2.9553088097585799E-2</v>
      </c>
      <c r="K1404" s="10">
        <v>-0.21526293599999999</v>
      </c>
      <c r="L1404" s="10">
        <v>0.10107050200000001</v>
      </c>
      <c r="M1404" s="10">
        <v>-0.30566480200000001</v>
      </c>
      <c r="N1404" s="10">
        <v>-0.27348586000000003</v>
      </c>
      <c r="O1404" s="9">
        <v>-0.173335774</v>
      </c>
      <c r="P1404" s="10">
        <v>0.18672413038026101</v>
      </c>
      <c r="Q1404" s="10">
        <v>3.4865900866264801E-2</v>
      </c>
    </row>
    <row r="1405" spans="1:17" x14ac:dyDescent="0.2">
      <c r="A1405" s="10">
        <v>1861</v>
      </c>
      <c r="B1405" s="10" t="s">
        <v>2830</v>
      </c>
      <c r="C1405" s="9" t="s">
        <v>2151</v>
      </c>
      <c r="D1405" s="10">
        <v>-0.18167562400000001</v>
      </c>
      <c r="E1405" s="10">
        <v>-9.3617806999999997E-2</v>
      </c>
      <c r="F1405" s="10">
        <v>-0.46957239299999998</v>
      </c>
      <c r="G1405" s="10">
        <v>-0.13015235</v>
      </c>
      <c r="H1405" s="9">
        <v>-0.21875454350000001</v>
      </c>
      <c r="I1405" s="10">
        <v>0.17106917841814101</v>
      </c>
      <c r="J1405" s="10">
        <v>2.9264663804658E-2</v>
      </c>
      <c r="K1405" s="10">
        <v>8.2096158000000002E-2</v>
      </c>
      <c r="L1405" s="10">
        <v>-0.27575606000000003</v>
      </c>
      <c r="M1405" s="10">
        <v>0.12470268399999999</v>
      </c>
      <c r="N1405" s="10">
        <v>4.6509011000000003E-2</v>
      </c>
      <c r="O1405" s="9">
        <v>-5.6120517500000003E-3</v>
      </c>
      <c r="P1405" s="10">
        <v>0.182910771312779</v>
      </c>
      <c r="Q1405" s="10">
        <v>3.3456350262235902E-2</v>
      </c>
    </row>
    <row r="1406" spans="1:17" x14ac:dyDescent="0.2">
      <c r="A1406" s="10">
        <v>1861</v>
      </c>
      <c r="B1406" s="10" t="s">
        <v>2835</v>
      </c>
      <c r="C1406" s="9" t="s">
        <v>2126</v>
      </c>
      <c r="D1406" s="10">
        <v>0.124001658</v>
      </c>
      <c r="E1406" s="10">
        <v>-8.2314649000000004E-2</v>
      </c>
      <c r="F1406" s="10">
        <v>-0.51781281999999995</v>
      </c>
      <c r="G1406" s="10">
        <v>-0.58148080800000002</v>
      </c>
      <c r="H1406" s="9">
        <v>-0.26440165474999999</v>
      </c>
      <c r="I1406" s="10">
        <v>0.340963937055555</v>
      </c>
      <c r="J1406" s="10">
        <v>0.116256406372424</v>
      </c>
      <c r="K1406" s="10">
        <v>-6.4161929999999997E-3</v>
      </c>
      <c r="L1406" s="10">
        <v>5.7739589000000001E-2</v>
      </c>
      <c r="M1406" s="10">
        <v>-0.40188001600000001</v>
      </c>
      <c r="N1406" s="10">
        <v>-0.61879175200000003</v>
      </c>
      <c r="O1406" s="9">
        <v>-0.242337093</v>
      </c>
      <c r="P1406" s="10">
        <v>0.32294310164440698</v>
      </c>
      <c r="Q1406" s="10">
        <v>0.10429224689970901</v>
      </c>
    </row>
    <row r="1407" spans="1:17" x14ac:dyDescent="0.2">
      <c r="A1407" s="10">
        <v>1861</v>
      </c>
      <c r="B1407" s="10" t="s">
        <v>2832</v>
      </c>
      <c r="C1407" s="9" t="s">
        <v>2150</v>
      </c>
      <c r="D1407" s="10">
        <v>-0.46987921799999999</v>
      </c>
      <c r="E1407" s="10">
        <v>-0.394543115</v>
      </c>
      <c r="F1407" s="10">
        <v>-0.25231361600000002</v>
      </c>
      <c r="G1407" s="10">
        <v>-0.28593657700000003</v>
      </c>
      <c r="H1407" s="9">
        <v>-0.35066813149999998</v>
      </c>
      <c r="I1407" s="10">
        <v>0.100000136981342</v>
      </c>
      <c r="J1407" s="10">
        <v>1.00000273962873E-2</v>
      </c>
      <c r="K1407" s="10">
        <v>-0.126623499</v>
      </c>
      <c r="L1407" s="10">
        <v>-5.8569920999999997E-2</v>
      </c>
      <c r="M1407" s="10">
        <v>-0.37686034800000001</v>
      </c>
      <c r="N1407" s="10">
        <v>-0.486453737</v>
      </c>
      <c r="O1407" s="9">
        <v>-0.26212687624999997</v>
      </c>
      <c r="P1407" s="10">
        <v>0.202717298448327</v>
      </c>
      <c r="Q1407" s="10">
        <v>4.1094303090188002E-2</v>
      </c>
    </row>
    <row r="1408" spans="1:17" x14ac:dyDescent="0.2">
      <c r="A1408" s="10">
        <v>1862</v>
      </c>
      <c r="B1408" s="10" t="s">
        <v>2831</v>
      </c>
      <c r="C1408" s="9" t="s">
        <v>2127</v>
      </c>
      <c r="D1408" s="10">
        <v>0.32333053</v>
      </c>
      <c r="E1408" s="10">
        <v>-0.11523075200000001</v>
      </c>
      <c r="F1408" s="10">
        <v>-0.88333301799999997</v>
      </c>
      <c r="G1408" s="10">
        <v>-0.49741123399999998</v>
      </c>
      <c r="H1408" s="9">
        <v>-0.29316111849999998</v>
      </c>
      <c r="I1408" s="10">
        <v>0.51695974976596604</v>
      </c>
      <c r="J1408" s="10">
        <v>0.26724738287809102</v>
      </c>
      <c r="K1408" s="10">
        <v>-4.3405103E-2</v>
      </c>
      <c r="L1408" s="10">
        <v>4.6092135999999999E-2</v>
      </c>
      <c r="M1408" s="10">
        <v>-0.166369343</v>
      </c>
      <c r="N1408" s="10">
        <v>-0.30264237700000002</v>
      </c>
      <c r="O1408" s="9">
        <v>-0.116581172</v>
      </c>
      <c r="P1408" s="10">
        <v>0.15156404167604401</v>
      </c>
      <c r="Q1408" s="10">
        <v>2.2971658729177599E-2</v>
      </c>
    </row>
    <row r="1409" spans="1:17" x14ac:dyDescent="0.2">
      <c r="A1409" s="10">
        <v>1862</v>
      </c>
      <c r="B1409" s="10" t="s">
        <v>2822</v>
      </c>
      <c r="C1409" s="9" t="s">
        <v>2149</v>
      </c>
      <c r="D1409" s="10">
        <v>-0.44677260200000002</v>
      </c>
      <c r="E1409" s="10">
        <v>-0.269790433</v>
      </c>
      <c r="F1409" s="10">
        <v>-0.57795417000000004</v>
      </c>
      <c r="G1409" s="10">
        <v>-1.025221639</v>
      </c>
      <c r="H1409" s="9">
        <v>-0.57993471100000005</v>
      </c>
      <c r="I1409" s="10">
        <v>0.32259675098580798</v>
      </c>
      <c r="J1409" s="10">
        <v>0.104068663746599</v>
      </c>
      <c r="K1409" s="10">
        <v>-0.32032351100000001</v>
      </c>
      <c r="L1409" s="10">
        <v>-9.1562798000000001E-2</v>
      </c>
      <c r="M1409" s="10">
        <v>-1.393941981</v>
      </c>
      <c r="N1409" s="10">
        <v>-0.571137071</v>
      </c>
      <c r="O1409" s="9">
        <v>-0.59424133999999995</v>
      </c>
      <c r="P1409" s="10">
        <v>0.56797054386448398</v>
      </c>
      <c r="Q1409" s="10">
        <v>0.32259053869771798</v>
      </c>
    </row>
    <row r="1410" spans="1:17" x14ac:dyDescent="0.2">
      <c r="A1410" s="10">
        <v>1862</v>
      </c>
      <c r="B1410" s="10" t="s">
        <v>2826</v>
      </c>
      <c r="C1410" s="9" t="s">
        <v>2148</v>
      </c>
      <c r="D1410" s="10">
        <v>-0.12205021000000001</v>
      </c>
      <c r="E1410" s="10">
        <v>-0.236302555</v>
      </c>
      <c r="F1410" s="10">
        <v>-1.3491404380000001</v>
      </c>
      <c r="G1410" s="10">
        <v>-1.1459389600000001</v>
      </c>
      <c r="H1410" s="9">
        <v>-0.713358041</v>
      </c>
      <c r="I1410" s="10">
        <v>0.62411868410385196</v>
      </c>
      <c r="J1410" s="10">
        <v>0.38952413184752299</v>
      </c>
      <c r="K1410" s="10">
        <v>-0.26978423400000001</v>
      </c>
      <c r="L1410" s="10">
        <v>-2.0594908749999998</v>
      </c>
      <c r="M1410" s="10">
        <v>-2.1306323109999998</v>
      </c>
      <c r="N1410" s="10">
        <v>-1.3606627600000001</v>
      </c>
      <c r="O1410" s="9">
        <v>-1.455142545</v>
      </c>
      <c r="P1410" s="10">
        <v>0.863235016893804</v>
      </c>
      <c r="Q1410" s="10">
        <v>0.74517469439164696</v>
      </c>
    </row>
    <row r="1411" spans="1:17" x14ac:dyDescent="0.2">
      <c r="A1411" s="10">
        <v>1862</v>
      </c>
      <c r="B1411" s="10" t="s">
        <v>2821</v>
      </c>
      <c r="C1411" s="9" t="s">
        <v>2147</v>
      </c>
      <c r="D1411" s="10">
        <v>5.8739027999999999E-2</v>
      </c>
      <c r="E1411" s="10">
        <v>3.7883385999999998E-2</v>
      </c>
      <c r="F1411" s="10">
        <v>-8.5559920999999997E-2</v>
      </c>
      <c r="G1411" s="10">
        <v>0.122321361</v>
      </c>
      <c r="H1411" s="9">
        <v>3.3345963499999999E-2</v>
      </c>
      <c r="I1411" s="10">
        <v>8.7026100790998304E-2</v>
      </c>
      <c r="J1411" s="10">
        <v>7.5735422188850004E-3</v>
      </c>
      <c r="K1411" s="10">
        <v>-0.25209484199999999</v>
      </c>
      <c r="L1411" s="10">
        <v>-0.44921596200000002</v>
      </c>
      <c r="M1411" s="10">
        <v>0.26407618100000002</v>
      </c>
      <c r="N1411" s="10">
        <v>8.0490229999999996E-2</v>
      </c>
      <c r="O1411" s="9">
        <v>-8.9186098249999998E-2</v>
      </c>
      <c r="P1411" s="10">
        <v>0.32132281581578398</v>
      </c>
      <c r="Q1411" s="10">
        <v>0.103248351963784</v>
      </c>
    </row>
    <row r="1412" spans="1:17" x14ac:dyDescent="0.2">
      <c r="A1412" s="10">
        <v>1862</v>
      </c>
      <c r="B1412" s="10" t="s">
        <v>2820</v>
      </c>
      <c r="C1412" s="9" t="s">
        <v>2128</v>
      </c>
      <c r="D1412" s="10">
        <v>-0.31101658599999998</v>
      </c>
      <c r="E1412" s="10">
        <v>-0.23498340700000001</v>
      </c>
      <c r="F1412" s="10">
        <v>0.14806054199999999</v>
      </c>
      <c r="G1412" s="10">
        <v>0.32601085800000001</v>
      </c>
      <c r="H1412" s="9">
        <v>-1.79821485E-2</v>
      </c>
      <c r="I1412" s="10">
        <v>0.30488254095684802</v>
      </c>
      <c r="J1412" s="10">
        <v>9.2953363780304304E-2</v>
      </c>
      <c r="K1412" s="10">
        <v>-0.12384893299999999</v>
      </c>
      <c r="L1412" s="10">
        <v>-4.912614E-3</v>
      </c>
      <c r="M1412" s="10">
        <v>0.228269731</v>
      </c>
      <c r="N1412" s="10">
        <v>0.71013064299999995</v>
      </c>
      <c r="O1412" s="9">
        <v>0.20240970650000001</v>
      </c>
      <c r="P1412" s="10">
        <v>0.36872597533194001</v>
      </c>
      <c r="Q1412" s="10">
        <v>0.135958844884491</v>
      </c>
    </row>
    <row r="1413" spans="1:17" x14ac:dyDescent="0.2">
      <c r="A1413" s="10">
        <v>1862</v>
      </c>
      <c r="B1413" s="10" t="s">
        <v>2824</v>
      </c>
      <c r="C1413" s="9" t="s">
        <v>2129</v>
      </c>
      <c r="D1413" s="10">
        <v>0.16451528800000001</v>
      </c>
      <c r="E1413" s="10">
        <v>0.136728343</v>
      </c>
      <c r="F1413" s="10">
        <v>-0.132198977</v>
      </c>
      <c r="G1413" s="10">
        <v>-8.2714245000000006E-2</v>
      </c>
      <c r="H1413" s="9">
        <v>2.1582602249999999E-2</v>
      </c>
      <c r="I1413" s="10">
        <v>0.15079224198820501</v>
      </c>
      <c r="J1413" s="10">
        <v>2.2738300243829401E-2</v>
      </c>
      <c r="K1413" s="10">
        <v>0.20128254000000001</v>
      </c>
      <c r="L1413" s="10">
        <v>0.25833837599999998</v>
      </c>
      <c r="M1413" s="10">
        <v>-4.2192703999999998E-2</v>
      </c>
      <c r="N1413" s="10">
        <v>6.6315014000000005E-2</v>
      </c>
      <c r="O1413" s="9">
        <v>0.12093580650000001</v>
      </c>
      <c r="P1413" s="10">
        <v>0.13531371647717799</v>
      </c>
      <c r="Q1413" s="10">
        <v>1.8309801866866302E-2</v>
      </c>
    </row>
    <row r="1414" spans="1:17" x14ac:dyDescent="0.2">
      <c r="A1414" s="10">
        <v>1862</v>
      </c>
      <c r="B1414" s="10" t="s">
        <v>2817</v>
      </c>
      <c r="C1414" s="9" t="s">
        <v>2146</v>
      </c>
      <c r="D1414" s="10">
        <v>0.142536883</v>
      </c>
      <c r="E1414" s="10">
        <v>-0.16113185499999999</v>
      </c>
      <c r="F1414" s="10">
        <v>6.7425410000000005E-2</v>
      </c>
      <c r="G1414" s="10">
        <v>0.151108623</v>
      </c>
      <c r="H1414" s="9">
        <v>4.998476525E-2</v>
      </c>
      <c r="I1414" s="10">
        <v>0.14567810695883601</v>
      </c>
      <c r="J1414" s="10">
        <v>2.12221108471101E-2</v>
      </c>
      <c r="K1414" s="10">
        <v>-8.5766554999999994E-2</v>
      </c>
      <c r="L1414" s="10">
        <v>-0.24818195900000001</v>
      </c>
      <c r="M1414" s="10">
        <v>-7.2346056000000006E-2</v>
      </c>
      <c r="N1414" s="10">
        <v>0.114990166</v>
      </c>
      <c r="O1414" s="9">
        <v>-7.2826101000000004E-2</v>
      </c>
      <c r="P1414" s="10">
        <v>0.14853990808046499</v>
      </c>
      <c r="Q1414" s="10">
        <v>2.2064104292553201E-2</v>
      </c>
    </row>
    <row r="1415" spans="1:17" x14ac:dyDescent="0.2">
      <c r="A1415" s="10">
        <v>1862</v>
      </c>
      <c r="B1415" s="10" t="s">
        <v>2833</v>
      </c>
      <c r="C1415" s="9" t="s">
        <v>2130</v>
      </c>
      <c r="D1415" s="10">
        <v>0.239796233</v>
      </c>
      <c r="E1415" s="10">
        <v>0.32270469800000001</v>
      </c>
      <c r="F1415" s="10">
        <v>0.27580410900000002</v>
      </c>
      <c r="G1415" s="10">
        <v>8.4455843000000003E-2</v>
      </c>
      <c r="H1415" s="9">
        <v>0.23069022075000001</v>
      </c>
      <c r="I1415" s="10">
        <v>0.10323006608485499</v>
      </c>
      <c r="J1415" s="10">
        <v>1.06564465438837E-2</v>
      </c>
      <c r="K1415" s="10">
        <v>0.15668742599999999</v>
      </c>
      <c r="L1415" s="10">
        <v>0.40939573600000001</v>
      </c>
      <c r="M1415" s="10">
        <v>-4.1500062999999997E-2</v>
      </c>
      <c r="N1415" s="10">
        <v>-0.287959723</v>
      </c>
      <c r="O1415" s="9">
        <v>5.9155843749999999E-2</v>
      </c>
      <c r="P1415" s="10">
        <v>0.29597365868340297</v>
      </c>
      <c r="Q1415" s="10">
        <v>8.7600406634439507E-2</v>
      </c>
    </row>
    <row r="1416" spans="1:17" x14ac:dyDescent="0.2">
      <c r="A1416" s="10">
        <v>1862</v>
      </c>
      <c r="B1416" s="10" t="s">
        <v>2818</v>
      </c>
      <c r="C1416" s="9" t="s">
        <v>2145</v>
      </c>
      <c r="D1416" s="10">
        <v>0.53028407799999999</v>
      </c>
      <c r="E1416" s="10">
        <v>0.53225317999999999</v>
      </c>
      <c r="F1416" s="10">
        <v>0.45308886799999998</v>
      </c>
      <c r="G1416" s="10">
        <v>0.80104136400000003</v>
      </c>
      <c r="H1416" s="9">
        <v>0.57916687249999999</v>
      </c>
      <c r="I1416" s="10">
        <v>0.152440562558219</v>
      </c>
      <c r="J1416" s="10">
        <v>2.3238125113066398E-2</v>
      </c>
      <c r="K1416" s="10">
        <v>0.43205310899999999</v>
      </c>
      <c r="L1416" s="10">
        <v>0.48791510500000002</v>
      </c>
      <c r="M1416" s="10">
        <v>0.465883608</v>
      </c>
      <c r="N1416" s="10">
        <v>0.81225154300000002</v>
      </c>
      <c r="O1416" s="9">
        <v>0.54952584125000004</v>
      </c>
      <c r="P1416" s="10">
        <v>0.17665082619546801</v>
      </c>
      <c r="Q1416" s="10">
        <v>3.1205514395541499E-2</v>
      </c>
    </row>
    <row r="1417" spans="1:17" x14ac:dyDescent="0.2">
      <c r="A1417" s="10">
        <v>1862</v>
      </c>
      <c r="B1417" s="10" t="s">
        <v>2830</v>
      </c>
      <c r="C1417" s="9" t="s">
        <v>2144</v>
      </c>
      <c r="D1417" s="10">
        <v>-1.4915631620000001</v>
      </c>
      <c r="E1417" s="10">
        <v>-1.5078754599999999</v>
      </c>
      <c r="F1417" s="10">
        <v>-0.51919227999999995</v>
      </c>
      <c r="G1417" s="10">
        <v>-0.24815236600000001</v>
      </c>
      <c r="H1417" s="9">
        <v>-0.94169581724999996</v>
      </c>
      <c r="I1417" s="10">
        <v>0.65381578507697302</v>
      </c>
      <c r="J1417" s="10">
        <v>0.42747508081581798</v>
      </c>
      <c r="K1417" s="10">
        <v>-0.37271565800000001</v>
      </c>
      <c r="L1417" s="10">
        <v>-0.488070016</v>
      </c>
      <c r="M1417" s="10">
        <v>-0.48721910200000002</v>
      </c>
      <c r="N1417" s="10">
        <v>7.9466042000000001E-2</v>
      </c>
      <c r="O1417" s="9">
        <v>-0.31713468324999999</v>
      </c>
      <c r="P1417" s="10">
        <v>0.26989440991300301</v>
      </c>
      <c r="Q1417" s="10">
        <v>7.2842992502288206E-2</v>
      </c>
    </row>
    <row r="1418" spans="1:17" x14ac:dyDescent="0.2">
      <c r="A1418" s="10">
        <v>1863</v>
      </c>
      <c r="B1418" s="10" t="s">
        <v>2831</v>
      </c>
      <c r="C1418" s="9" t="s">
        <v>2132</v>
      </c>
      <c r="D1418" s="10">
        <v>-0.16316297299999999</v>
      </c>
      <c r="E1418" s="10">
        <v>-0.24304786</v>
      </c>
      <c r="F1418" s="10">
        <v>-0.21799315899999999</v>
      </c>
      <c r="G1418" s="10">
        <v>1.7331216999999999E-2</v>
      </c>
      <c r="H1418" s="9">
        <v>-0.151718194</v>
      </c>
      <c r="I1418" s="10">
        <v>0.117533208361479</v>
      </c>
      <c r="J1418" s="10">
        <v>1.38140550677428E-2</v>
      </c>
      <c r="K1418" s="10">
        <v>6.7522254000000004E-2</v>
      </c>
      <c r="L1418" s="10">
        <v>4.7960151999999999E-2</v>
      </c>
      <c r="M1418" s="10">
        <v>0.21866063299999999</v>
      </c>
      <c r="N1418" s="10">
        <v>-0.26869817200000001</v>
      </c>
      <c r="O1418" s="9">
        <v>1.6361216750000001E-2</v>
      </c>
      <c r="P1418" s="10">
        <v>0.20477618137130699</v>
      </c>
      <c r="Q1418" s="10">
        <v>4.1933284457014601E-2</v>
      </c>
    </row>
    <row r="1419" spans="1:17" x14ac:dyDescent="0.2">
      <c r="A1419" s="10">
        <v>1863</v>
      </c>
      <c r="B1419" s="10" t="s">
        <v>2822</v>
      </c>
      <c r="C1419" s="9" t="s">
        <v>2143</v>
      </c>
      <c r="D1419" s="10">
        <v>0.16212847699999999</v>
      </c>
      <c r="E1419" s="10">
        <v>0.14393657600000001</v>
      </c>
      <c r="F1419" s="10">
        <v>-7.6537425000000006E-2</v>
      </c>
      <c r="G1419" s="10">
        <v>0.27685315500000002</v>
      </c>
      <c r="H1419" s="9">
        <v>0.12659519575</v>
      </c>
      <c r="I1419" s="10">
        <v>0.147652354621821</v>
      </c>
      <c r="J1419" s="10">
        <v>2.1801217825368199E-2</v>
      </c>
      <c r="K1419" s="10">
        <v>0.110100552</v>
      </c>
      <c r="L1419" s="10">
        <v>0.54782919299999999</v>
      </c>
      <c r="M1419" s="10">
        <v>7.8828048999999997E-2</v>
      </c>
      <c r="N1419" s="10">
        <v>0.53234963199999996</v>
      </c>
      <c r="O1419" s="9">
        <v>0.31727685625000002</v>
      </c>
      <c r="P1419" s="10">
        <v>0.25767585165043499</v>
      </c>
      <c r="Q1419" s="10">
        <v>6.6396844523777102E-2</v>
      </c>
    </row>
    <row r="1420" spans="1:17" x14ac:dyDescent="0.2">
      <c r="A1420" s="10">
        <v>1863</v>
      </c>
      <c r="B1420" s="10" t="s">
        <v>2821</v>
      </c>
      <c r="C1420" s="9" t="s">
        <v>2142</v>
      </c>
      <c r="D1420" s="10">
        <v>-0.16257696299999999</v>
      </c>
      <c r="E1420" s="10">
        <v>-0.29006629699999997</v>
      </c>
      <c r="F1420" s="10">
        <v>-0.16132537599999999</v>
      </c>
      <c r="G1420" s="10">
        <v>-1.7516328000000001E-2</v>
      </c>
      <c r="H1420" s="9">
        <v>-0.157871241</v>
      </c>
      <c r="I1420" s="10">
        <v>0.111368920413522</v>
      </c>
      <c r="J1420" s="10">
        <v>1.24030364340734E-2</v>
      </c>
      <c r="K1420" s="10">
        <v>-0.22092004000000001</v>
      </c>
      <c r="L1420" s="10">
        <v>8.5689514999999994E-2</v>
      </c>
      <c r="M1420" s="10">
        <v>-0.71087136100000003</v>
      </c>
      <c r="N1420" s="10">
        <v>0.201413276</v>
      </c>
      <c r="O1420" s="9">
        <v>-0.16117215225000001</v>
      </c>
      <c r="P1420" s="10">
        <v>0.40749147464605401</v>
      </c>
      <c r="Q1420" s="10">
        <v>0.16604930190921599</v>
      </c>
    </row>
    <row r="1421" spans="1:17" x14ac:dyDescent="0.2">
      <c r="A1421" s="10">
        <v>1863</v>
      </c>
      <c r="B1421" s="10" t="s">
        <v>79</v>
      </c>
      <c r="C1421" s="9" t="s">
        <v>2141</v>
      </c>
      <c r="D1421" s="10">
        <v>0.38562095200000002</v>
      </c>
      <c r="E1421" s="10">
        <v>0.427244234</v>
      </c>
      <c r="F1421" s="10">
        <v>-0.138764253</v>
      </c>
      <c r="G1421" s="10">
        <v>-8.9101993000000004E-2</v>
      </c>
      <c r="H1421" s="9">
        <v>0.14624973475</v>
      </c>
      <c r="I1421" s="10">
        <v>0.30159569914294798</v>
      </c>
      <c r="J1421" s="10">
        <v>9.0959965741523999E-2</v>
      </c>
      <c r="K1421" s="10">
        <v>-1.2101618999999999E-2</v>
      </c>
      <c r="L1421" s="10">
        <v>0.27698545299999999</v>
      </c>
      <c r="M1421" s="10">
        <v>-0.42557264500000003</v>
      </c>
      <c r="N1421" s="10">
        <v>-0.76630066799999996</v>
      </c>
      <c r="O1421" s="9">
        <v>-0.23174736974999999</v>
      </c>
      <c r="P1421" s="10">
        <v>0.458391683592902</v>
      </c>
      <c r="Q1421" s="10">
        <v>0.21012293558713499</v>
      </c>
    </row>
    <row r="1422" spans="1:17" x14ac:dyDescent="0.2">
      <c r="A1422" s="10">
        <v>1863</v>
      </c>
      <c r="B1422" s="10" t="s">
        <v>2824</v>
      </c>
      <c r="C1422" s="9" t="s">
        <v>2133</v>
      </c>
      <c r="D1422" s="10">
        <v>-6.0158706999999999E-2</v>
      </c>
      <c r="E1422" s="10">
        <v>-0.15155354100000001</v>
      </c>
      <c r="F1422" s="10">
        <v>-0.23462164499999999</v>
      </c>
      <c r="G1422" s="10">
        <v>-0.41104797300000001</v>
      </c>
      <c r="H1422" s="9">
        <v>-0.2143454665</v>
      </c>
      <c r="I1422" s="10">
        <v>0.149241841978107</v>
      </c>
      <c r="J1422" s="10">
        <v>2.22731273970182E-2</v>
      </c>
      <c r="K1422" s="10">
        <v>-6.2267900000000001E-2</v>
      </c>
      <c r="L1422" s="10">
        <v>-0.13659898700000001</v>
      </c>
      <c r="M1422" s="10">
        <v>-0.38182456599999998</v>
      </c>
      <c r="N1422" s="10">
        <v>-0.32761997900000001</v>
      </c>
      <c r="O1422" s="9">
        <v>-0.22707785775</v>
      </c>
      <c r="P1422" s="10">
        <v>0.15210085479204499</v>
      </c>
      <c r="Q1422" s="10">
        <v>2.3134670028470701E-2</v>
      </c>
    </row>
    <row r="1423" spans="1:17" x14ac:dyDescent="0.2">
      <c r="A1423" s="10">
        <v>1863</v>
      </c>
      <c r="B1423" s="10" t="s">
        <v>2817</v>
      </c>
      <c r="C1423" s="9" t="s">
        <v>2140</v>
      </c>
      <c r="D1423" s="10">
        <v>0.17691549500000001</v>
      </c>
      <c r="E1423" s="10">
        <v>0.27007308600000002</v>
      </c>
      <c r="F1423" s="10">
        <v>-0.14553428600000001</v>
      </c>
      <c r="G1423" s="10">
        <v>-2.9225384E-2</v>
      </c>
      <c r="H1423" s="9">
        <v>6.8057227750000004E-2</v>
      </c>
      <c r="I1423" s="10">
        <v>0.18951321029422899</v>
      </c>
      <c r="J1423" s="10">
        <v>3.5915256876024697E-2</v>
      </c>
      <c r="K1423" s="10">
        <v>0.26205210200000001</v>
      </c>
      <c r="L1423" s="10">
        <v>0.511766834</v>
      </c>
      <c r="M1423" s="10">
        <v>0.12432984399999999</v>
      </c>
      <c r="N1423" s="10">
        <v>8.9945519999999994E-3</v>
      </c>
      <c r="O1423" s="9">
        <v>0.22678583275</v>
      </c>
      <c r="P1423" s="10">
        <v>0.21632394876028799</v>
      </c>
      <c r="Q1423" s="10">
        <v>4.6796050807243798E-2</v>
      </c>
    </row>
    <row r="1424" spans="1:17" x14ac:dyDescent="0.2">
      <c r="A1424" s="10">
        <v>1863</v>
      </c>
      <c r="B1424" s="10" t="s">
        <v>2814</v>
      </c>
      <c r="C1424" s="9" t="s">
        <v>2139</v>
      </c>
      <c r="D1424" s="10">
        <v>0.16541212999999999</v>
      </c>
      <c r="E1424" s="10">
        <v>-8.7233951000000004E-2</v>
      </c>
      <c r="F1424" s="10">
        <v>0.13507544299999999</v>
      </c>
      <c r="G1424" s="10">
        <v>0.31577530100000001</v>
      </c>
      <c r="H1424" s="9">
        <v>0.13225723075000001</v>
      </c>
      <c r="I1424" s="10">
        <v>0.166295370389416</v>
      </c>
      <c r="J1424" s="10">
        <v>2.7654150212953001E-2</v>
      </c>
      <c r="K1424" s="10">
        <v>8.1452123000000001E-2</v>
      </c>
      <c r="L1424" s="10">
        <v>-0.167705734</v>
      </c>
      <c r="M1424" s="10">
        <v>0.27178191600000001</v>
      </c>
      <c r="N1424" s="10">
        <v>0.28402623500000002</v>
      </c>
      <c r="O1424" s="9">
        <v>0.11738863500000001</v>
      </c>
      <c r="P1424" s="10">
        <v>0.21148333825776</v>
      </c>
      <c r="Q1424" s="10">
        <v>4.47252023606464E-2</v>
      </c>
    </row>
    <row r="1425" spans="1:17" x14ac:dyDescent="0.2">
      <c r="A1425" s="10">
        <v>1863</v>
      </c>
      <c r="B1425" s="10" t="s">
        <v>2833</v>
      </c>
      <c r="C1425" s="9" t="s">
        <v>2134</v>
      </c>
      <c r="D1425" s="10">
        <v>-0.14969305799999999</v>
      </c>
      <c r="E1425" s="10">
        <v>-7.6075721999999998E-2</v>
      </c>
      <c r="F1425" s="10">
        <v>-7.5182777000000006E-2</v>
      </c>
      <c r="G1425" s="10">
        <v>-0.29928877399999998</v>
      </c>
      <c r="H1425" s="9">
        <v>-0.15006008274999999</v>
      </c>
      <c r="I1425" s="10">
        <v>0.10543502509653301</v>
      </c>
      <c r="J1425" s="10">
        <v>1.11165445171066E-2</v>
      </c>
      <c r="K1425" s="10">
        <v>-0.13890138799999999</v>
      </c>
      <c r="L1425" s="10">
        <v>-0.129579</v>
      </c>
      <c r="M1425" s="10">
        <v>-0.13872536299999999</v>
      </c>
      <c r="N1425" s="10">
        <v>-0.17926002399999999</v>
      </c>
      <c r="O1425" s="9">
        <v>-0.14661644374999999</v>
      </c>
      <c r="P1425" s="10">
        <v>2.2193610654880101E-2</v>
      </c>
      <c r="Q1425" s="10">
        <v>4.9255635390039998E-4</v>
      </c>
    </row>
    <row r="1426" spans="1:17" x14ac:dyDescent="0.2">
      <c r="A1426" s="10">
        <v>1863</v>
      </c>
      <c r="B1426" s="10" t="s">
        <v>2825</v>
      </c>
      <c r="C1426" s="9" t="s">
        <v>2138</v>
      </c>
      <c r="D1426" s="10">
        <v>-5.3896289999999999E-2</v>
      </c>
      <c r="E1426" s="10">
        <v>-0.17990451199999999</v>
      </c>
      <c r="F1426" s="10">
        <v>-0.30179680800000003</v>
      </c>
      <c r="G1426" s="10">
        <v>-0.22896726100000001</v>
      </c>
      <c r="H1426" s="9">
        <v>-0.19114121749999999</v>
      </c>
      <c r="I1426" s="10">
        <v>0.10430388767241799</v>
      </c>
      <c r="J1426" s="10">
        <v>1.08793009835805E-2</v>
      </c>
      <c r="K1426" s="10">
        <v>3.0185457999999998E-2</v>
      </c>
      <c r="L1426" s="10">
        <v>4.5557996000000003E-2</v>
      </c>
      <c r="M1426" s="10">
        <v>-4.7516940000000001E-2</v>
      </c>
      <c r="N1426" s="10">
        <v>-0.46856651999999999</v>
      </c>
      <c r="O1426" s="9">
        <v>-0.11008500124999999</v>
      </c>
      <c r="P1426" s="10">
        <v>0.24243508127954499</v>
      </c>
      <c r="Q1426" s="10">
        <v>5.8774768635019903E-2</v>
      </c>
    </row>
    <row r="1427" spans="1:17" x14ac:dyDescent="0.2">
      <c r="A1427" s="10">
        <v>1863</v>
      </c>
      <c r="B1427" s="10" t="s">
        <v>74</v>
      </c>
      <c r="C1427" s="9" t="s">
        <v>2135</v>
      </c>
      <c r="D1427" s="10">
        <v>-0.14707446499999999</v>
      </c>
      <c r="E1427" s="10">
        <v>-0.35896233100000002</v>
      </c>
      <c r="F1427" s="10">
        <v>-0.439847461</v>
      </c>
      <c r="G1427" s="10">
        <v>-0.29630675200000001</v>
      </c>
      <c r="H1427" s="9">
        <v>-0.31054775200000001</v>
      </c>
      <c r="I1427" s="10">
        <v>0.12381263781862201</v>
      </c>
      <c r="J1427" s="10">
        <v>1.5329569283605401E-2</v>
      </c>
      <c r="K1427" s="10">
        <v>-0.151157615</v>
      </c>
      <c r="L1427" s="10">
        <v>-4.9395115000000003E-2</v>
      </c>
      <c r="M1427" s="10">
        <v>0.21267218700000001</v>
      </c>
      <c r="N1427" s="10">
        <v>-0.418256621</v>
      </c>
      <c r="O1427" s="9">
        <v>-0.10153429075000001</v>
      </c>
      <c r="P1427" s="10">
        <v>0.260908485294851</v>
      </c>
      <c r="Q1427" s="10">
        <v>6.8073237698853706E-2</v>
      </c>
    </row>
    <row r="1428" spans="1:17" x14ac:dyDescent="0.2">
      <c r="A1428" s="10">
        <v>1863</v>
      </c>
      <c r="B1428" s="10" t="s">
        <v>2818</v>
      </c>
      <c r="C1428" s="9" t="s">
        <v>2137</v>
      </c>
      <c r="D1428" s="10">
        <v>3.0449292999999999E-2</v>
      </c>
      <c r="E1428" s="10">
        <v>-9.8636741999999999E-2</v>
      </c>
      <c r="F1428" s="10">
        <v>-0.128573885</v>
      </c>
      <c r="G1428" s="10">
        <v>0.28787770800000001</v>
      </c>
      <c r="H1428" s="9">
        <v>2.27790935E-2</v>
      </c>
      <c r="I1428" s="10">
        <v>0.18972404221322201</v>
      </c>
      <c r="J1428" s="10">
        <v>3.5995212193724598E-2</v>
      </c>
      <c r="K1428" s="10">
        <v>-0.31065414899999999</v>
      </c>
      <c r="L1428" s="10">
        <v>-0.32410208099999999</v>
      </c>
      <c r="M1428" s="10">
        <v>-0.12868628900000001</v>
      </c>
      <c r="N1428" s="10">
        <v>-0.185441674</v>
      </c>
      <c r="O1428" s="9">
        <v>-0.23722104825000001</v>
      </c>
      <c r="P1428" s="10">
        <v>9.5571320141283694E-2</v>
      </c>
      <c r="Q1428" s="10">
        <v>9.1338772335477006E-3</v>
      </c>
    </row>
  </sheetData>
  <autoFilter ref="A1:Q1428" xr:uid="{0F9B7470-5BB2-654C-9A35-795CD71DF0A3}">
    <sortState xmlns:xlrd2="http://schemas.microsoft.com/office/spreadsheetml/2017/richdata2" ref="A2:Q1428">
      <sortCondition ref="A1:A1428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7286E-1267-9941-8345-4AB30BF43227}">
  <dimension ref="A1:J71"/>
  <sheetViews>
    <sheetView workbookViewId="0">
      <selection activeCell="D1" sqref="D1"/>
    </sheetView>
  </sheetViews>
  <sheetFormatPr baseColWidth="10" defaultRowHeight="16" x14ac:dyDescent="0.2"/>
  <cols>
    <col min="4" max="4" width="10.83203125" style="9"/>
    <col min="5" max="5" width="25.33203125" bestFit="1" customWidth="1"/>
    <col min="6" max="6" width="43" bestFit="1" customWidth="1"/>
    <col min="9" max="9" width="15.33203125" bestFit="1" customWidth="1"/>
  </cols>
  <sheetData>
    <row r="1" spans="1:10" x14ac:dyDescent="0.2">
      <c r="A1" s="13" t="s">
        <v>4190</v>
      </c>
      <c r="B1" s="13" t="s">
        <v>2582</v>
      </c>
      <c r="C1" s="13" t="s">
        <v>4189</v>
      </c>
      <c r="D1" s="10" t="s">
        <v>73</v>
      </c>
      <c r="E1" s="13" t="s">
        <v>2784</v>
      </c>
      <c r="F1" s="13" t="s">
        <v>2811</v>
      </c>
      <c r="G1" s="13" t="s">
        <v>2812</v>
      </c>
      <c r="H1" s="13" t="s">
        <v>2838</v>
      </c>
      <c r="I1" s="13" t="s">
        <v>2813</v>
      </c>
      <c r="J1" s="13" t="s">
        <v>2836</v>
      </c>
    </row>
    <row r="2" spans="1:10" x14ac:dyDescent="0.2">
      <c r="A2" s="13" t="s">
        <v>74</v>
      </c>
      <c r="B2" s="13">
        <v>1577</v>
      </c>
      <c r="C2" s="13" t="s">
        <v>2814</v>
      </c>
      <c r="D2" s="9" t="str">
        <f t="shared" ref="D2:D15" si="0">CONCATENATE(A2,B2,C2)</f>
        <v>S1577P</v>
      </c>
      <c r="E2" s="13" t="s">
        <v>2783</v>
      </c>
      <c r="F2" s="13" t="s">
        <v>2828</v>
      </c>
      <c r="G2" s="13"/>
      <c r="H2" s="14" t="s">
        <v>2783</v>
      </c>
      <c r="I2" s="13">
        <v>3.3578900000000001E-3</v>
      </c>
      <c r="J2" s="14" t="s">
        <v>2816</v>
      </c>
    </row>
    <row r="3" spans="1:10" x14ac:dyDescent="0.2">
      <c r="A3" s="13" t="s">
        <v>2819</v>
      </c>
      <c r="B3" s="13">
        <v>1581</v>
      </c>
      <c r="C3" s="13" t="s">
        <v>2831</v>
      </c>
      <c r="D3" s="9" t="str">
        <f t="shared" si="0"/>
        <v>E1581*</v>
      </c>
      <c r="E3" s="13" t="s">
        <v>2779</v>
      </c>
      <c r="F3" s="13" t="s">
        <v>2815</v>
      </c>
      <c r="G3" s="13"/>
      <c r="H3" s="11" t="s">
        <v>2779</v>
      </c>
      <c r="I3" s="13">
        <v>-1.601150834</v>
      </c>
      <c r="J3" s="11" t="s">
        <v>2827</v>
      </c>
    </row>
    <row r="4" spans="1:10" x14ac:dyDescent="0.2">
      <c r="A4" s="13" t="s">
        <v>2822</v>
      </c>
      <c r="B4" s="13">
        <v>1584</v>
      </c>
      <c r="C4" s="13" t="s">
        <v>74</v>
      </c>
      <c r="D4" s="9" t="str">
        <f t="shared" si="0"/>
        <v>A1584S</v>
      </c>
      <c r="E4" s="13" t="s">
        <v>2782</v>
      </c>
      <c r="F4" s="13" t="s">
        <v>2828</v>
      </c>
      <c r="G4" s="13"/>
      <c r="H4" s="14" t="s">
        <v>2782</v>
      </c>
      <c r="I4" s="13">
        <v>-0.22199500599999999</v>
      </c>
      <c r="J4" s="14" t="s">
        <v>2816</v>
      </c>
    </row>
    <row r="5" spans="1:10" x14ac:dyDescent="0.2">
      <c r="A5" s="13" t="s">
        <v>74</v>
      </c>
      <c r="B5" s="13">
        <v>1587</v>
      </c>
      <c r="C5" s="13" t="s">
        <v>2831</v>
      </c>
      <c r="D5" s="9" t="str">
        <f t="shared" si="0"/>
        <v>S1587*</v>
      </c>
      <c r="E5" s="13" t="s">
        <v>2779</v>
      </c>
      <c r="F5" s="13" t="s">
        <v>2815</v>
      </c>
      <c r="G5" s="13"/>
      <c r="H5" s="11" t="s">
        <v>2779</v>
      </c>
      <c r="I5" s="13">
        <v>-0.73985359500000003</v>
      </c>
      <c r="J5" s="11" t="s">
        <v>2827</v>
      </c>
    </row>
    <row r="6" spans="1:10" x14ac:dyDescent="0.2">
      <c r="A6" s="13" t="s">
        <v>2820</v>
      </c>
      <c r="B6" s="13">
        <v>1601</v>
      </c>
      <c r="C6" s="13" t="s">
        <v>2831</v>
      </c>
      <c r="D6" s="9" t="str">
        <f t="shared" si="0"/>
        <v>K1601*</v>
      </c>
      <c r="E6" s="13" t="s">
        <v>2779</v>
      </c>
      <c r="F6" s="13" t="s">
        <v>2815</v>
      </c>
      <c r="G6" s="13"/>
      <c r="H6" s="11" t="s">
        <v>2779</v>
      </c>
      <c r="I6" s="13">
        <v>-0.66777864200000003</v>
      </c>
      <c r="J6" s="11" t="s">
        <v>2827</v>
      </c>
    </row>
    <row r="7" spans="1:10" x14ac:dyDescent="0.2">
      <c r="A7" s="13" t="s">
        <v>2833</v>
      </c>
      <c r="B7" s="13">
        <v>1604</v>
      </c>
      <c r="C7" s="13" t="s">
        <v>2831</v>
      </c>
      <c r="D7" s="9" t="str">
        <f t="shared" si="0"/>
        <v>Q1604*</v>
      </c>
      <c r="E7" s="13" t="s">
        <v>2779</v>
      </c>
      <c r="F7" s="13" t="s">
        <v>2815</v>
      </c>
      <c r="G7" s="13"/>
      <c r="H7" s="11" t="s">
        <v>2779</v>
      </c>
      <c r="I7" s="13">
        <v>-1.0268309739999999</v>
      </c>
      <c r="J7" s="11" t="s">
        <v>2827</v>
      </c>
    </row>
    <row r="8" spans="1:10" x14ac:dyDescent="0.2">
      <c r="A8" s="13" t="s">
        <v>2820</v>
      </c>
      <c r="B8" s="13">
        <v>1606</v>
      </c>
      <c r="C8" s="13" t="s">
        <v>2819</v>
      </c>
      <c r="D8" s="9" t="str">
        <f t="shared" si="0"/>
        <v>K1606E</v>
      </c>
      <c r="E8" s="13" t="s">
        <v>2136</v>
      </c>
      <c r="F8" s="13" t="s">
        <v>2815</v>
      </c>
      <c r="G8" s="13"/>
      <c r="H8" s="14" t="s">
        <v>2136</v>
      </c>
      <c r="I8" s="13">
        <v>-0.61284298199999998</v>
      </c>
      <c r="J8" s="11" t="s">
        <v>2827</v>
      </c>
    </row>
    <row r="9" spans="1:10" x14ac:dyDescent="0.2">
      <c r="A9" s="13" t="s">
        <v>2814</v>
      </c>
      <c r="B9" s="13">
        <v>1614</v>
      </c>
      <c r="C9" s="13" t="s">
        <v>74</v>
      </c>
      <c r="D9" s="9" t="str">
        <f t="shared" si="0"/>
        <v>P1614S</v>
      </c>
      <c r="E9" s="13" t="s">
        <v>2136</v>
      </c>
      <c r="F9" s="13" t="s">
        <v>2815</v>
      </c>
      <c r="G9" s="13"/>
      <c r="H9" s="14" t="s">
        <v>2136</v>
      </c>
      <c r="I9" s="13">
        <v>-0.20594096200000001</v>
      </c>
      <c r="J9" s="14" t="s">
        <v>2816</v>
      </c>
    </row>
    <row r="10" spans="1:10" x14ac:dyDescent="0.2">
      <c r="A10" s="13" t="s">
        <v>2819</v>
      </c>
      <c r="B10" s="13">
        <v>1635</v>
      </c>
      <c r="C10" s="13" t="s">
        <v>2831</v>
      </c>
      <c r="D10" s="9" t="str">
        <f t="shared" si="0"/>
        <v>E1635*</v>
      </c>
      <c r="E10" s="13" t="s">
        <v>2779</v>
      </c>
      <c r="F10" s="13" t="s">
        <v>2815</v>
      </c>
      <c r="G10" s="13"/>
      <c r="H10" s="11" t="s">
        <v>2779</v>
      </c>
      <c r="I10" s="13">
        <v>-1.05299589</v>
      </c>
      <c r="J10" s="11" t="s">
        <v>2827</v>
      </c>
    </row>
    <row r="11" spans="1:10" x14ac:dyDescent="0.2">
      <c r="A11" s="13" t="s">
        <v>2820</v>
      </c>
      <c r="B11" s="13">
        <v>1648</v>
      </c>
      <c r="C11" s="13" t="s">
        <v>2831</v>
      </c>
      <c r="D11" s="9" t="str">
        <f t="shared" si="0"/>
        <v>K1648*</v>
      </c>
      <c r="E11" s="13" t="s">
        <v>2779</v>
      </c>
      <c r="F11" s="13" t="s">
        <v>2829</v>
      </c>
      <c r="G11" s="13"/>
      <c r="H11" s="11" t="s">
        <v>2779</v>
      </c>
      <c r="I11" s="13">
        <v>-1.243584821</v>
      </c>
      <c r="J11" s="11" t="s">
        <v>2827</v>
      </c>
    </row>
    <row r="12" spans="1:10" x14ac:dyDescent="0.2">
      <c r="A12" s="13" t="s">
        <v>2817</v>
      </c>
      <c r="B12" s="13">
        <v>1652</v>
      </c>
      <c r="C12" s="13" t="s">
        <v>79</v>
      </c>
      <c r="D12" s="9" t="str">
        <f t="shared" si="0"/>
        <v>M1652I</v>
      </c>
      <c r="E12" s="13" t="s">
        <v>2136</v>
      </c>
      <c r="F12" s="13" t="s">
        <v>2815</v>
      </c>
      <c r="G12" s="13"/>
      <c r="H12" s="14" t="s">
        <v>2136</v>
      </c>
      <c r="I12" s="13">
        <v>0.56410755700000004</v>
      </c>
      <c r="J12" s="14" t="s">
        <v>2816</v>
      </c>
    </row>
    <row r="13" spans="1:10" x14ac:dyDescent="0.2">
      <c r="A13" s="13" t="s">
        <v>2817</v>
      </c>
      <c r="B13" s="13">
        <v>1652</v>
      </c>
      <c r="C13" s="13" t="s">
        <v>2818</v>
      </c>
      <c r="D13" s="9" t="str">
        <f t="shared" si="0"/>
        <v>M1652T</v>
      </c>
      <c r="E13" s="13" t="s">
        <v>2136</v>
      </c>
      <c r="F13" s="13" t="s">
        <v>2815</v>
      </c>
      <c r="G13" s="13"/>
      <c r="H13" s="14" t="s">
        <v>2136</v>
      </c>
      <c r="I13" s="13">
        <v>-0.451995645</v>
      </c>
      <c r="J13" s="13" t="s">
        <v>2786</v>
      </c>
    </row>
    <row r="14" spans="1:10" x14ac:dyDescent="0.2">
      <c r="A14" s="13" t="s">
        <v>2830</v>
      </c>
      <c r="B14" s="13">
        <v>1653</v>
      </c>
      <c r="C14" s="13" t="s">
        <v>2824</v>
      </c>
      <c r="D14" s="9" t="str">
        <f t="shared" si="0"/>
        <v>V1653L</v>
      </c>
      <c r="E14" s="13" t="s">
        <v>2781</v>
      </c>
      <c r="F14" s="13" t="s">
        <v>2829</v>
      </c>
      <c r="G14" s="13"/>
      <c r="H14" s="11" t="s">
        <v>2781</v>
      </c>
      <c r="I14" s="13">
        <v>-0.87228093100000004</v>
      </c>
      <c r="J14" s="11" t="s">
        <v>2827</v>
      </c>
    </row>
    <row r="15" spans="1:10" x14ac:dyDescent="0.2">
      <c r="A15" s="13" t="s">
        <v>74</v>
      </c>
      <c r="B15" s="13">
        <v>1655</v>
      </c>
      <c r="C15" s="13" t="s">
        <v>2831</v>
      </c>
      <c r="D15" s="9" t="str">
        <f t="shared" si="0"/>
        <v>S1655*</v>
      </c>
      <c r="E15" s="13"/>
      <c r="F15" s="13"/>
      <c r="G15" s="13" t="s">
        <v>2779</v>
      </c>
      <c r="H15" s="11" t="s">
        <v>2779</v>
      </c>
      <c r="I15" s="13">
        <v>-0.68985160499999998</v>
      </c>
      <c r="J15" s="11" t="s">
        <v>2827</v>
      </c>
    </row>
    <row r="16" spans="1:10" x14ac:dyDescent="0.2">
      <c r="A16" s="13" t="s">
        <v>2824</v>
      </c>
      <c r="B16" s="13">
        <v>1657</v>
      </c>
      <c r="C16" s="13" t="s">
        <v>2831</v>
      </c>
      <c r="D16" s="9" t="s">
        <v>692</v>
      </c>
      <c r="E16" s="13"/>
      <c r="F16" s="13"/>
      <c r="G16" s="13" t="s">
        <v>2779</v>
      </c>
      <c r="H16" s="11" t="s">
        <v>2779</v>
      </c>
      <c r="I16" s="13">
        <v>-1.3980846060000001</v>
      </c>
      <c r="J16" s="11" t="s">
        <v>2827</v>
      </c>
    </row>
    <row r="17" spans="1:10" x14ac:dyDescent="0.2">
      <c r="A17" s="13" t="s">
        <v>2826</v>
      </c>
      <c r="B17" s="13">
        <v>1662</v>
      </c>
      <c r="C17" s="13" t="s">
        <v>74</v>
      </c>
      <c r="D17" s="9" t="str">
        <f t="shared" ref="D17:D34" si="1">CONCATENATE(A17,B17,C17)</f>
        <v>F1662S</v>
      </c>
      <c r="E17" s="13" t="s">
        <v>2136</v>
      </c>
      <c r="F17" s="13" t="s">
        <v>2815</v>
      </c>
      <c r="G17" s="13"/>
      <c r="H17" s="14" t="s">
        <v>2136</v>
      </c>
      <c r="I17" s="13">
        <v>-0.31792403000000002</v>
      </c>
      <c r="J17" s="13" t="s">
        <v>2786</v>
      </c>
    </row>
    <row r="18" spans="1:10" x14ac:dyDescent="0.2">
      <c r="A18" s="13" t="s">
        <v>2818</v>
      </c>
      <c r="B18" s="13">
        <v>1675</v>
      </c>
      <c r="C18" s="13" t="s">
        <v>2822</v>
      </c>
      <c r="D18" s="9" t="str">
        <f t="shared" si="1"/>
        <v>T1675A</v>
      </c>
      <c r="E18" s="13" t="s">
        <v>2782</v>
      </c>
      <c r="F18" s="13" t="s">
        <v>2829</v>
      </c>
      <c r="G18" s="13"/>
      <c r="H18" s="14" t="s">
        <v>2782</v>
      </c>
      <c r="I18" s="13">
        <v>-1.9559109000000002E-2</v>
      </c>
      <c r="J18" s="14" t="s">
        <v>2816</v>
      </c>
    </row>
    <row r="19" spans="1:10" x14ac:dyDescent="0.2">
      <c r="A19" s="13" t="s">
        <v>2818</v>
      </c>
      <c r="B19" s="13">
        <v>1675</v>
      </c>
      <c r="C19" s="13" t="s">
        <v>79</v>
      </c>
      <c r="D19" s="9" t="str">
        <f t="shared" si="1"/>
        <v>T1675I</v>
      </c>
      <c r="E19" s="13" t="s">
        <v>2136</v>
      </c>
      <c r="F19" s="13" t="s">
        <v>2815</v>
      </c>
      <c r="G19" s="13"/>
      <c r="H19" s="14" t="s">
        <v>2136</v>
      </c>
      <c r="I19" s="13">
        <v>-5.2617116999999998E-2</v>
      </c>
      <c r="J19" s="14" t="s">
        <v>2816</v>
      </c>
    </row>
    <row r="20" spans="1:10" x14ac:dyDescent="0.2">
      <c r="A20" s="13" t="s">
        <v>2819</v>
      </c>
      <c r="B20" s="13">
        <v>1682</v>
      </c>
      <c r="C20" s="13" t="s">
        <v>2820</v>
      </c>
      <c r="D20" s="9" t="str">
        <f t="shared" si="1"/>
        <v>E1682K</v>
      </c>
      <c r="E20" s="13" t="s">
        <v>2136</v>
      </c>
      <c r="F20" s="13" t="s">
        <v>2815</v>
      </c>
      <c r="G20" s="13"/>
      <c r="H20" s="14" t="s">
        <v>2136</v>
      </c>
      <c r="I20" s="13">
        <v>-0.17146020200000001</v>
      </c>
      <c r="J20" s="14" t="s">
        <v>2816</v>
      </c>
    </row>
    <row r="21" spans="1:10" x14ac:dyDescent="0.2">
      <c r="A21" s="13" t="s">
        <v>2819</v>
      </c>
      <c r="B21" s="13">
        <v>1683</v>
      </c>
      <c r="C21" s="13" t="s">
        <v>2831</v>
      </c>
      <c r="D21" s="9" t="str">
        <f t="shared" si="1"/>
        <v>E1683*</v>
      </c>
      <c r="E21" s="13" t="s">
        <v>2779</v>
      </c>
      <c r="F21" s="13" t="s">
        <v>2815</v>
      </c>
      <c r="G21" s="13"/>
      <c r="H21" s="11" t="s">
        <v>2779</v>
      </c>
      <c r="I21" s="13">
        <v>-1.3309994080000001</v>
      </c>
      <c r="J21" s="11" t="s">
        <v>2827</v>
      </c>
    </row>
    <row r="22" spans="1:10" x14ac:dyDescent="0.2">
      <c r="A22" s="13" t="s">
        <v>2818</v>
      </c>
      <c r="B22" s="13">
        <v>1685</v>
      </c>
      <c r="C22" s="13" t="s">
        <v>79</v>
      </c>
      <c r="D22" s="9" t="str">
        <f t="shared" si="1"/>
        <v>T1685I</v>
      </c>
      <c r="E22" s="13" t="s">
        <v>2779</v>
      </c>
      <c r="F22" s="13" t="s">
        <v>2815</v>
      </c>
      <c r="G22" s="13"/>
      <c r="H22" s="11" t="s">
        <v>2779</v>
      </c>
      <c r="I22" s="13">
        <v>-1.6202287580000001</v>
      </c>
      <c r="J22" s="11" t="s">
        <v>2827</v>
      </c>
    </row>
    <row r="23" spans="1:10" x14ac:dyDescent="0.2">
      <c r="A23" s="13" t="s">
        <v>2830</v>
      </c>
      <c r="B23" s="13">
        <v>1687</v>
      </c>
      <c r="C23" s="13" t="s">
        <v>2821</v>
      </c>
      <c r="D23" s="9" t="str">
        <f t="shared" si="1"/>
        <v>V1687G</v>
      </c>
      <c r="E23" s="13" t="s">
        <v>2781</v>
      </c>
      <c r="F23" s="13" t="s">
        <v>2829</v>
      </c>
      <c r="G23" s="13"/>
      <c r="H23" s="11" t="s">
        <v>2781</v>
      </c>
      <c r="I23" s="13">
        <v>-1.9851925779999999</v>
      </c>
      <c r="J23" s="11" t="s">
        <v>2827</v>
      </c>
    </row>
    <row r="24" spans="1:10" x14ac:dyDescent="0.2">
      <c r="A24" s="13" t="s">
        <v>2830</v>
      </c>
      <c r="B24" s="13">
        <v>1688</v>
      </c>
      <c r="C24" s="13" t="s">
        <v>2826</v>
      </c>
      <c r="D24" s="9" t="str">
        <f t="shared" si="1"/>
        <v>V1688F</v>
      </c>
      <c r="E24" s="13" t="s">
        <v>2781</v>
      </c>
      <c r="F24" s="13" t="s">
        <v>2829</v>
      </c>
      <c r="G24" s="13"/>
      <c r="H24" s="11" t="s">
        <v>2781</v>
      </c>
      <c r="I24" s="13">
        <v>-2.592292638</v>
      </c>
      <c r="J24" s="11" t="s">
        <v>2827</v>
      </c>
    </row>
    <row r="25" spans="1:10" x14ac:dyDescent="0.2">
      <c r="A25" s="13" t="s">
        <v>2820</v>
      </c>
      <c r="B25" s="13">
        <v>1690</v>
      </c>
      <c r="C25" s="13" t="s">
        <v>2831</v>
      </c>
      <c r="D25" s="9" t="str">
        <f t="shared" si="1"/>
        <v>K1690*</v>
      </c>
      <c r="E25" s="13" t="s">
        <v>2779</v>
      </c>
      <c r="F25" s="13" t="s">
        <v>2815</v>
      </c>
      <c r="G25" s="13"/>
      <c r="H25" s="11" t="s">
        <v>2779</v>
      </c>
      <c r="I25" s="13">
        <v>-1.155441967</v>
      </c>
      <c r="J25" s="11" t="s">
        <v>2827</v>
      </c>
    </row>
    <row r="26" spans="1:10" x14ac:dyDescent="0.2">
      <c r="A26" s="13" t="s">
        <v>2823</v>
      </c>
      <c r="B26" s="13">
        <v>1692</v>
      </c>
      <c r="C26" s="13" t="s">
        <v>2834</v>
      </c>
      <c r="D26" s="9" t="str">
        <f t="shared" si="1"/>
        <v>D1692H</v>
      </c>
      <c r="E26" s="13" t="s">
        <v>2779</v>
      </c>
      <c r="F26" s="13" t="s">
        <v>2815</v>
      </c>
      <c r="G26" s="13"/>
      <c r="H26" s="11" t="s">
        <v>2779</v>
      </c>
      <c r="I26" s="13">
        <v>-1.5327652709999999</v>
      </c>
      <c r="J26" s="11" t="s">
        <v>2827</v>
      </c>
    </row>
    <row r="27" spans="1:10" x14ac:dyDescent="0.2">
      <c r="A27" s="13" t="s">
        <v>2823</v>
      </c>
      <c r="B27" s="13">
        <v>1692</v>
      </c>
      <c r="C27" s="13" t="s">
        <v>2832</v>
      </c>
      <c r="D27" s="9" t="str">
        <f t="shared" si="1"/>
        <v>D1692Y</v>
      </c>
      <c r="E27" s="13" t="s">
        <v>2779</v>
      </c>
      <c r="F27" s="13" t="s">
        <v>2829</v>
      </c>
      <c r="G27" s="13"/>
      <c r="H27" s="11" t="s">
        <v>2779</v>
      </c>
      <c r="I27" s="13">
        <v>-1.0172000910000001</v>
      </c>
      <c r="J27" s="11" t="s">
        <v>2827</v>
      </c>
    </row>
    <row r="28" spans="1:10" x14ac:dyDescent="0.2">
      <c r="A28" s="13" t="s">
        <v>2819</v>
      </c>
      <c r="B28" s="13">
        <v>1694</v>
      </c>
      <c r="C28" s="13" t="s">
        <v>2831</v>
      </c>
      <c r="D28" s="9" t="str">
        <f t="shared" si="1"/>
        <v>E1694*</v>
      </c>
      <c r="E28" s="13" t="s">
        <v>2779</v>
      </c>
      <c r="F28" s="13" t="s">
        <v>2815</v>
      </c>
      <c r="G28" s="13"/>
      <c r="H28" s="11" t="s">
        <v>2779</v>
      </c>
      <c r="I28" s="13">
        <v>-1.4428583429999999</v>
      </c>
      <c r="J28" s="11" t="s">
        <v>2827</v>
      </c>
    </row>
    <row r="29" spans="1:10" x14ac:dyDescent="0.2">
      <c r="A29" s="13" t="s">
        <v>2826</v>
      </c>
      <c r="B29" s="13">
        <v>1695</v>
      </c>
      <c r="C29" s="13" t="s">
        <v>2824</v>
      </c>
      <c r="D29" s="9" t="str">
        <f t="shared" si="1"/>
        <v>F1695L</v>
      </c>
      <c r="E29" s="13" t="s">
        <v>2782</v>
      </c>
      <c r="F29" s="13" t="s">
        <v>2829</v>
      </c>
      <c r="G29" s="13"/>
      <c r="H29" s="14" t="s">
        <v>2782</v>
      </c>
      <c r="I29" s="13">
        <v>0.19739145599999999</v>
      </c>
      <c r="J29" s="14" t="s">
        <v>2816</v>
      </c>
    </row>
    <row r="30" spans="1:10" x14ac:dyDescent="0.2">
      <c r="A30" s="13" t="s">
        <v>96</v>
      </c>
      <c r="B30" s="13">
        <v>1697</v>
      </c>
      <c r="C30" s="13" t="s">
        <v>2825</v>
      </c>
      <c r="D30" s="9" t="str">
        <f t="shared" si="1"/>
        <v>C1697R</v>
      </c>
      <c r="E30" s="13" t="s">
        <v>2779</v>
      </c>
      <c r="F30" s="13" t="s">
        <v>2815</v>
      </c>
      <c r="G30" s="13"/>
      <c r="H30" s="11" t="s">
        <v>2779</v>
      </c>
      <c r="I30" s="13">
        <v>-1.3418287010000001</v>
      </c>
      <c r="J30" s="11" t="s">
        <v>2827</v>
      </c>
    </row>
    <row r="31" spans="1:10" x14ac:dyDescent="0.2">
      <c r="A31" s="13" t="s">
        <v>2819</v>
      </c>
      <c r="B31" s="13">
        <v>1698</v>
      </c>
      <c r="C31" s="13" t="s">
        <v>2831</v>
      </c>
      <c r="D31" s="9" t="str">
        <f t="shared" si="1"/>
        <v>E1698*</v>
      </c>
      <c r="E31" s="13" t="s">
        <v>2781</v>
      </c>
      <c r="F31" s="13" t="s">
        <v>2829</v>
      </c>
      <c r="G31" s="13"/>
      <c r="H31" s="11" t="s">
        <v>2781</v>
      </c>
      <c r="I31" s="13">
        <v>-1.6632257029999999</v>
      </c>
      <c r="J31" s="11" t="s">
        <v>2827</v>
      </c>
    </row>
    <row r="32" spans="1:10" x14ac:dyDescent="0.2">
      <c r="A32" s="13" t="s">
        <v>2825</v>
      </c>
      <c r="B32" s="13">
        <v>1699</v>
      </c>
      <c r="C32" s="13" t="s">
        <v>2835</v>
      </c>
      <c r="D32" s="9" t="str">
        <f t="shared" si="1"/>
        <v>R1699W</v>
      </c>
      <c r="E32" s="13" t="s">
        <v>2779</v>
      </c>
      <c r="F32" s="13" t="s">
        <v>2815</v>
      </c>
      <c r="G32" s="13"/>
      <c r="H32" s="11" t="s">
        <v>2779</v>
      </c>
      <c r="I32" s="13">
        <v>-1.1159870169999999</v>
      </c>
      <c r="J32" s="11" t="s">
        <v>2827</v>
      </c>
    </row>
    <row r="33" spans="1:10" x14ac:dyDescent="0.2">
      <c r="A33" s="13" t="s">
        <v>2821</v>
      </c>
      <c r="B33" s="13">
        <v>1706</v>
      </c>
      <c r="C33" s="13" t="s">
        <v>2822</v>
      </c>
      <c r="D33" s="9" t="str">
        <f t="shared" si="1"/>
        <v>G1706A</v>
      </c>
      <c r="E33" s="13" t="s">
        <v>2136</v>
      </c>
      <c r="F33" s="13" t="s">
        <v>2815</v>
      </c>
      <c r="G33" s="13"/>
      <c r="H33" s="14" t="s">
        <v>2136</v>
      </c>
      <c r="I33" s="13">
        <v>6.1182518999999998E-2</v>
      </c>
      <c r="J33" s="14" t="s">
        <v>2816</v>
      </c>
    </row>
    <row r="34" spans="1:10" x14ac:dyDescent="0.2">
      <c r="A34" s="13" t="s">
        <v>2821</v>
      </c>
      <c r="B34" s="13">
        <v>1706</v>
      </c>
      <c r="C34" s="13" t="s">
        <v>2825</v>
      </c>
      <c r="D34" s="9" t="str">
        <f t="shared" si="1"/>
        <v>G1706R</v>
      </c>
      <c r="E34" s="13" t="s">
        <v>2779</v>
      </c>
      <c r="F34" s="13" t="s">
        <v>2828</v>
      </c>
      <c r="G34" s="13"/>
      <c r="H34" s="11" t="s">
        <v>2779</v>
      </c>
      <c r="I34" s="13">
        <v>-1.8478959989999999</v>
      </c>
      <c r="J34" s="11" t="s">
        <v>2827</v>
      </c>
    </row>
    <row r="35" spans="1:10" x14ac:dyDescent="0.2">
      <c r="A35" s="13" t="s">
        <v>2830</v>
      </c>
      <c r="B35" s="13">
        <v>1713</v>
      </c>
      <c r="C35" s="13" t="s">
        <v>2831</v>
      </c>
      <c r="D35" s="9" t="s">
        <v>1008</v>
      </c>
      <c r="E35" s="13"/>
      <c r="F35" s="13"/>
      <c r="G35" s="13" t="s">
        <v>2779</v>
      </c>
      <c r="H35" s="11" t="s">
        <v>2779</v>
      </c>
      <c r="I35" s="13">
        <v>-2.247117882</v>
      </c>
      <c r="J35" s="11" t="s">
        <v>2827</v>
      </c>
    </row>
    <row r="36" spans="1:10" x14ac:dyDescent="0.2">
      <c r="A36" s="13" t="s">
        <v>74</v>
      </c>
      <c r="B36" s="13">
        <v>1715</v>
      </c>
      <c r="C36" s="13" t="s">
        <v>2825</v>
      </c>
      <c r="D36" s="9" t="str">
        <f>CONCATENATE(A36,B36,C36)</f>
        <v>S1715R</v>
      </c>
      <c r="E36" s="13" t="s">
        <v>2779</v>
      </c>
      <c r="F36" s="13" t="s">
        <v>2815</v>
      </c>
      <c r="G36" s="13"/>
      <c r="H36" s="11" t="s">
        <v>2779</v>
      </c>
      <c r="I36" s="13">
        <v>-1.761181251</v>
      </c>
      <c r="J36" s="11" t="s">
        <v>2827</v>
      </c>
    </row>
    <row r="37" spans="1:10" x14ac:dyDescent="0.2">
      <c r="A37" s="13" t="s">
        <v>2832</v>
      </c>
      <c r="B37" s="13">
        <v>1716</v>
      </c>
      <c r="C37" s="13" t="s">
        <v>2831</v>
      </c>
      <c r="D37" s="9" t="str">
        <f>CONCATENATE(A37,B37,C37)</f>
        <v>Y1716*</v>
      </c>
      <c r="E37" s="13" t="s">
        <v>2779</v>
      </c>
      <c r="F37" s="13" t="s">
        <v>2815</v>
      </c>
      <c r="G37" s="13"/>
      <c r="H37" s="11" t="s">
        <v>2779</v>
      </c>
      <c r="I37" s="13">
        <v>-1.074637946</v>
      </c>
      <c r="J37" s="11" t="s">
        <v>2827</v>
      </c>
    </row>
    <row r="38" spans="1:10" x14ac:dyDescent="0.2">
      <c r="A38" s="13" t="s">
        <v>2819</v>
      </c>
      <c r="B38" s="13">
        <v>1731</v>
      </c>
      <c r="C38" s="13" t="s">
        <v>2831</v>
      </c>
      <c r="D38" s="9" t="str">
        <f>CONCATENATE(A38,B38,C38)</f>
        <v>E1731*</v>
      </c>
      <c r="E38" s="13" t="s">
        <v>2779</v>
      </c>
      <c r="F38" s="13" t="s">
        <v>2828</v>
      </c>
      <c r="G38" s="13"/>
      <c r="H38" s="11" t="s">
        <v>2779</v>
      </c>
      <c r="I38" s="13">
        <v>-1.4579846620000001</v>
      </c>
      <c r="J38" s="11" t="s">
        <v>2827</v>
      </c>
    </row>
    <row r="39" spans="1:10" x14ac:dyDescent="0.2">
      <c r="A39" s="13" t="s">
        <v>2823</v>
      </c>
      <c r="B39" s="13">
        <v>1733</v>
      </c>
      <c r="C39" s="13" t="s">
        <v>2821</v>
      </c>
      <c r="D39" s="9" t="str">
        <f>CONCATENATE(A39,B39,C39)</f>
        <v>D1733G</v>
      </c>
      <c r="E39" s="13" t="s">
        <v>2136</v>
      </c>
      <c r="F39" s="13" t="s">
        <v>2815</v>
      </c>
      <c r="G39" s="13"/>
      <c r="H39" s="14" t="s">
        <v>2136</v>
      </c>
      <c r="I39" s="13">
        <v>0.142281143</v>
      </c>
      <c r="J39" s="14" t="s">
        <v>2816</v>
      </c>
    </row>
    <row r="40" spans="1:10" x14ac:dyDescent="0.2">
      <c r="A40" s="13" t="s">
        <v>2819</v>
      </c>
      <c r="B40" s="13">
        <v>1735</v>
      </c>
      <c r="C40" s="13" t="s">
        <v>2831</v>
      </c>
      <c r="D40" s="9" t="s">
        <v>1089</v>
      </c>
      <c r="E40" s="13"/>
      <c r="F40" s="13"/>
      <c r="G40" s="13" t="s">
        <v>2779</v>
      </c>
      <c r="H40" s="11" t="s">
        <v>2779</v>
      </c>
      <c r="I40" s="13">
        <v>-2.7917025799999999</v>
      </c>
      <c r="J40" s="11" t="s">
        <v>2827</v>
      </c>
    </row>
    <row r="41" spans="1:10" x14ac:dyDescent="0.2">
      <c r="A41" s="13" t="s">
        <v>2830</v>
      </c>
      <c r="B41" s="13">
        <v>1736</v>
      </c>
      <c r="C41" s="13" t="s">
        <v>2822</v>
      </c>
      <c r="D41" s="9" t="str">
        <f t="shared" ref="D41:D67" si="2">CONCATENATE(A41,B41,C41)</f>
        <v>V1736A</v>
      </c>
      <c r="E41" s="13" t="s">
        <v>2779</v>
      </c>
      <c r="F41" s="13" t="s">
        <v>2815</v>
      </c>
      <c r="G41" s="13"/>
      <c r="H41" s="11" t="s">
        <v>2779</v>
      </c>
      <c r="I41" s="13">
        <v>-0.39490731800000001</v>
      </c>
      <c r="J41" s="13" t="s">
        <v>2786</v>
      </c>
    </row>
    <row r="42" spans="1:10" x14ac:dyDescent="0.2">
      <c r="A42" s="13" t="s">
        <v>2821</v>
      </c>
      <c r="B42" s="13">
        <v>1738</v>
      </c>
      <c r="C42" s="13" t="s">
        <v>2830</v>
      </c>
      <c r="D42" s="9" t="str">
        <f t="shared" si="2"/>
        <v>G1738V</v>
      </c>
      <c r="E42" s="13" t="s">
        <v>2779</v>
      </c>
      <c r="F42" s="13" t="s">
        <v>2829</v>
      </c>
      <c r="G42" s="13"/>
      <c r="H42" s="11" t="s">
        <v>2779</v>
      </c>
      <c r="I42" s="13">
        <v>-1.743774596</v>
      </c>
      <c r="J42" s="11" t="s">
        <v>2827</v>
      </c>
    </row>
    <row r="43" spans="1:10" x14ac:dyDescent="0.2">
      <c r="A43" s="13" t="s">
        <v>2823</v>
      </c>
      <c r="B43" s="13">
        <v>1739</v>
      </c>
      <c r="C43" s="13" t="s">
        <v>2821</v>
      </c>
      <c r="D43" s="9" t="str">
        <f t="shared" si="2"/>
        <v>D1739G</v>
      </c>
      <c r="E43" s="13" t="s">
        <v>2781</v>
      </c>
      <c r="F43" s="13" t="s">
        <v>2828</v>
      </c>
      <c r="G43" s="13"/>
      <c r="H43" s="11" t="s">
        <v>2781</v>
      </c>
      <c r="I43" s="13">
        <v>-1.2479526949999999</v>
      </c>
      <c r="J43" s="11" t="s">
        <v>2827</v>
      </c>
    </row>
    <row r="44" spans="1:10" x14ac:dyDescent="0.2">
      <c r="A44" s="13" t="s">
        <v>2823</v>
      </c>
      <c r="B44" s="13">
        <v>1739</v>
      </c>
      <c r="C44" s="13" t="s">
        <v>2830</v>
      </c>
      <c r="D44" s="9" t="str">
        <f t="shared" si="2"/>
        <v>D1739V</v>
      </c>
      <c r="E44" s="13" t="s">
        <v>2780</v>
      </c>
      <c r="F44" s="13" t="s">
        <v>2828</v>
      </c>
      <c r="G44" s="13"/>
      <c r="H44" s="11" t="s">
        <v>2780</v>
      </c>
      <c r="I44" s="13">
        <v>-1.423675003</v>
      </c>
      <c r="J44" s="11" t="s">
        <v>2827</v>
      </c>
    </row>
    <row r="45" spans="1:10" x14ac:dyDescent="0.2">
      <c r="A45" s="13" t="s">
        <v>2821</v>
      </c>
      <c r="B45" s="13">
        <v>1748</v>
      </c>
      <c r="C45" s="13" t="s">
        <v>2823</v>
      </c>
      <c r="D45" s="9" t="str">
        <f t="shared" si="2"/>
        <v>G1748D</v>
      </c>
      <c r="E45" s="13" t="s">
        <v>2781</v>
      </c>
      <c r="F45" s="13" t="s">
        <v>2828</v>
      </c>
      <c r="G45" s="13"/>
      <c r="H45" s="11" t="s">
        <v>2781</v>
      </c>
      <c r="I45" s="13">
        <v>-1.600713126</v>
      </c>
      <c r="J45" s="11" t="s">
        <v>2827</v>
      </c>
    </row>
    <row r="46" spans="1:10" x14ac:dyDescent="0.2">
      <c r="A46" s="13" t="s">
        <v>2825</v>
      </c>
      <c r="B46" s="13">
        <v>1751</v>
      </c>
      <c r="C46" s="13" t="s">
        <v>2831</v>
      </c>
      <c r="D46" s="9" t="str">
        <f t="shared" si="2"/>
        <v>R1751*</v>
      </c>
      <c r="E46" s="13" t="s">
        <v>2779</v>
      </c>
      <c r="F46" s="13" t="s">
        <v>2815</v>
      </c>
      <c r="G46" s="13"/>
      <c r="H46" s="11" t="s">
        <v>2779</v>
      </c>
      <c r="I46" s="13">
        <v>-1.729136894</v>
      </c>
      <c r="J46" s="11" t="s">
        <v>2827</v>
      </c>
    </row>
    <row r="47" spans="1:10" x14ac:dyDescent="0.2">
      <c r="A47" s="13" t="s">
        <v>2825</v>
      </c>
      <c r="B47" s="13">
        <v>1751</v>
      </c>
      <c r="C47" s="13" t="s">
        <v>2814</v>
      </c>
      <c r="D47" s="9" t="str">
        <f t="shared" si="2"/>
        <v>R1751P</v>
      </c>
      <c r="E47" s="13" t="s">
        <v>2781</v>
      </c>
      <c r="F47" s="13" t="s">
        <v>2828</v>
      </c>
      <c r="G47" s="13"/>
      <c r="H47" s="11" t="s">
        <v>2781</v>
      </c>
      <c r="I47" s="13">
        <v>-1.658556819</v>
      </c>
      <c r="J47" s="11" t="s">
        <v>2827</v>
      </c>
    </row>
    <row r="48" spans="1:10" x14ac:dyDescent="0.2">
      <c r="A48" s="13" t="s">
        <v>2824</v>
      </c>
      <c r="B48" s="13">
        <v>1764</v>
      </c>
      <c r="C48" s="13" t="s">
        <v>2831</v>
      </c>
      <c r="D48" s="9" t="str">
        <f t="shared" si="2"/>
        <v>L1764*</v>
      </c>
      <c r="E48" s="13"/>
      <c r="F48" s="13"/>
      <c r="G48" s="13" t="s">
        <v>2779</v>
      </c>
      <c r="H48" s="11" t="s">
        <v>2779</v>
      </c>
      <c r="I48" s="13">
        <v>-1.8113551429999999</v>
      </c>
      <c r="J48" s="11" t="s">
        <v>2827</v>
      </c>
    </row>
    <row r="49" spans="1:10" x14ac:dyDescent="0.2">
      <c r="A49" s="13" t="s">
        <v>2824</v>
      </c>
      <c r="B49" s="13">
        <v>1764</v>
      </c>
      <c r="C49" s="13" t="s">
        <v>2814</v>
      </c>
      <c r="D49" s="9" t="str">
        <f t="shared" si="2"/>
        <v>L1764P</v>
      </c>
      <c r="E49" s="13" t="s">
        <v>2779</v>
      </c>
      <c r="F49" s="13" t="s">
        <v>2815</v>
      </c>
      <c r="G49" s="13"/>
      <c r="H49" s="11" t="s">
        <v>2779</v>
      </c>
      <c r="I49" s="13">
        <v>-2.0302318509999999</v>
      </c>
      <c r="J49" s="11" t="s">
        <v>2827</v>
      </c>
    </row>
    <row r="50" spans="1:10" x14ac:dyDescent="0.2">
      <c r="A50" s="13" t="s">
        <v>79</v>
      </c>
      <c r="B50" s="13">
        <v>1766</v>
      </c>
      <c r="C50" s="13" t="s">
        <v>74</v>
      </c>
      <c r="D50" s="9" t="str">
        <f t="shared" si="2"/>
        <v>I1766S</v>
      </c>
      <c r="E50" s="13" t="s">
        <v>2779</v>
      </c>
      <c r="F50" s="13" t="s">
        <v>2815</v>
      </c>
      <c r="G50" s="13"/>
      <c r="H50" s="11" t="s">
        <v>2779</v>
      </c>
      <c r="I50" s="13">
        <v>-2.120067771</v>
      </c>
      <c r="J50" s="11" t="s">
        <v>2827</v>
      </c>
    </row>
    <row r="51" spans="1:10" x14ac:dyDescent="0.2">
      <c r="A51" s="13" t="s">
        <v>96</v>
      </c>
      <c r="B51" s="13">
        <v>1767</v>
      </c>
      <c r="C51" s="13" t="s">
        <v>2831</v>
      </c>
      <c r="D51" s="9" t="str">
        <f t="shared" si="2"/>
        <v>C1767*</v>
      </c>
      <c r="E51" s="13" t="s">
        <v>2779</v>
      </c>
      <c r="F51" s="13" t="s">
        <v>2815</v>
      </c>
      <c r="G51" s="13"/>
      <c r="H51" s="11" t="s">
        <v>2779</v>
      </c>
      <c r="I51" s="13">
        <v>-1.584533135</v>
      </c>
      <c r="J51" s="11" t="s">
        <v>2827</v>
      </c>
    </row>
    <row r="52" spans="1:10" x14ac:dyDescent="0.2">
      <c r="A52" s="13" t="s">
        <v>2821</v>
      </c>
      <c r="B52" s="13">
        <v>1770</v>
      </c>
      <c r="C52" s="13" t="s">
        <v>2830</v>
      </c>
      <c r="D52" s="9" t="str">
        <f t="shared" si="2"/>
        <v>G1770V</v>
      </c>
      <c r="E52" s="13" t="s">
        <v>2779</v>
      </c>
      <c r="F52" s="13" t="s">
        <v>2815</v>
      </c>
      <c r="G52" s="13"/>
      <c r="H52" s="11" t="s">
        <v>2779</v>
      </c>
      <c r="I52" s="13">
        <v>-0.56854915800000005</v>
      </c>
      <c r="J52" s="11" t="s">
        <v>2827</v>
      </c>
    </row>
    <row r="53" spans="1:10" x14ac:dyDescent="0.2">
      <c r="A53" s="13" t="s">
        <v>2835</v>
      </c>
      <c r="B53" s="13">
        <v>1782</v>
      </c>
      <c r="C53" s="13" t="s">
        <v>2831</v>
      </c>
      <c r="D53" s="9" t="str">
        <f t="shared" si="2"/>
        <v>W1782*</v>
      </c>
      <c r="E53" s="13" t="s">
        <v>2779</v>
      </c>
      <c r="F53" s="13" t="s">
        <v>2815</v>
      </c>
      <c r="G53" s="13"/>
      <c r="H53" s="11" t="s">
        <v>2779</v>
      </c>
      <c r="I53" s="13">
        <v>-0.73900587900000003</v>
      </c>
      <c r="J53" s="11" t="s">
        <v>2827</v>
      </c>
    </row>
    <row r="54" spans="1:10" x14ac:dyDescent="0.2">
      <c r="A54" s="13" t="s">
        <v>2819</v>
      </c>
      <c r="B54" s="13">
        <v>1794</v>
      </c>
      <c r="C54" s="13" t="s">
        <v>2831</v>
      </c>
      <c r="D54" s="9" t="str">
        <f t="shared" si="2"/>
        <v>E1794*</v>
      </c>
      <c r="E54" s="13" t="s">
        <v>2779</v>
      </c>
      <c r="F54" s="13" t="s">
        <v>2815</v>
      </c>
      <c r="G54" s="13"/>
      <c r="H54" s="11" t="s">
        <v>2779</v>
      </c>
      <c r="I54" s="13">
        <v>-1.5397722659999999</v>
      </c>
      <c r="J54" s="11" t="s">
        <v>2827</v>
      </c>
    </row>
    <row r="55" spans="1:10" x14ac:dyDescent="0.2">
      <c r="A55" s="13" t="s">
        <v>74</v>
      </c>
      <c r="B55" s="13">
        <v>1796</v>
      </c>
      <c r="C55" s="13" t="s">
        <v>2831</v>
      </c>
      <c r="D55" s="9" t="str">
        <f t="shared" si="2"/>
        <v>S1796*</v>
      </c>
      <c r="E55" s="13" t="s">
        <v>2779</v>
      </c>
      <c r="F55" s="13" t="s">
        <v>2815</v>
      </c>
      <c r="G55" s="13"/>
      <c r="H55" s="11" t="s">
        <v>2779</v>
      </c>
      <c r="I55" s="13">
        <v>-0.89123525299999995</v>
      </c>
      <c r="J55" s="11" t="s">
        <v>2827</v>
      </c>
    </row>
    <row r="56" spans="1:10" x14ac:dyDescent="0.2">
      <c r="A56" s="13" t="s">
        <v>2822</v>
      </c>
      <c r="B56" s="13">
        <v>1823</v>
      </c>
      <c r="C56" s="13" t="s">
        <v>2818</v>
      </c>
      <c r="D56" s="9" t="str">
        <f t="shared" si="2"/>
        <v>A1823T</v>
      </c>
      <c r="E56" s="13" t="s">
        <v>2779</v>
      </c>
      <c r="F56" s="13" t="s">
        <v>2828</v>
      </c>
      <c r="G56" s="13"/>
      <c r="H56" s="11" t="s">
        <v>2779</v>
      </c>
      <c r="I56" s="13">
        <v>-3.7210940999999997E-2</v>
      </c>
      <c r="J56" s="14" t="s">
        <v>2816</v>
      </c>
    </row>
    <row r="57" spans="1:10" x14ac:dyDescent="0.2">
      <c r="A57" s="13" t="s">
        <v>2825</v>
      </c>
      <c r="B57" s="13">
        <v>1835</v>
      </c>
      <c r="C57" s="13" t="s">
        <v>2831</v>
      </c>
      <c r="D57" s="9" t="str">
        <f t="shared" si="2"/>
        <v>R1835*</v>
      </c>
      <c r="E57" s="13" t="s">
        <v>2779</v>
      </c>
      <c r="F57" s="13" t="s">
        <v>2815</v>
      </c>
      <c r="G57" s="13"/>
      <c r="H57" s="11" t="s">
        <v>2779</v>
      </c>
      <c r="I57" s="13">
        <v>-0.51848967300000004</v>
      </c>
      <c r="J57" s="13" t="s">
        <v>2786</v>
      </c>
    </row>
    <row r="58" spans="1:10" x14ac:dyDescent="0.2">
      <c r="A58" s="13" t="s">
        <v>2819</v>
      </c>
      <c r="B58" s="13">
        <v>1836</v>
      </c>
      <c r="C58" s="13" t="s">
        <v>2831</v>
      </c>
      <c r="D58" s="9" t="str">
        <f t="shared" si="2"/>
        <v>E1836*</v>
      </c>
      <c r="E58" s="13" t="s">
        <v>2779</v>
      </c>
      <c r="F58" s="13" t="s">
        <v>2815</v>
      </c>
      <c r="G58" s="13"/>
      <c r="H58" s="11" t="s">
        <v>2779</v>
      </c>
      <c r="I58" s="13">
        <v>-0.247164518</v>
      </c>
      <c r="J58" s="13" t="s">
        <v>2786</v>
      </c>
    </row>
    <row r="59" spans="1:10" x14ac:dyDescent="0.2">
      <c r="A59" s="13" t="s">
        <v>2835</v>
      </c>
      <c r="B59" s="13">
        <v>1837</v>
      </c>
      <c r="C59" s="13" t="s">
        <v>96</v>
      </c>
      <c r="D59" s="9" t="str">
        <f t="shared" si="2"/>
        <v>W1837C</v>
      </c>
      <c r="E59" s="13" t="s">
        <v>2780</v>
      </c>
      <c r="F59" s="13" t="s">
        <v>2828</v>
      </c>
      <c r="G59" s="13"/>
      <c r="H59" s="11" t="s">
        <v>2780</v>
      </c>
      <c r="I59" s="13">
        <v>-1.3114605909999999</v>
      </c>
      <c r="J59" s="11" t="s">
        <v>2827</v>
      </c>
    </row>
    <row r="60" spans="1:10" x14ac:dyDescent="0.2">
      <c r="A60" s="13" t="s">
        <v>2835</v>
      </c>
      <c r="B60" s="13">
        <v>1837</v>
      </c>
      <c r="C60" s="13" t="s">
        <v>2821</v>
      </c>
      <c r="D60" s="9" t="str">
        <f t="shared" si="2"/>
        <v>W1837G</v>
      </c>
      <c r="E60" s="13" t="s">
        <v>2780</v>
      </c>
      <c r="F60" s="13" t="s">
        <v>2828</v>
      </c>
      <c r="G60" s="13"/>
      <c r="H60" s="11" t="s">
        <v>2780</v>
      </c>
      <c r="I60" s="13">
        <v>-1.9610558760000001</v>
      </c>
      <c r="J60" s="11" t="s">
        <v>2827</v>
      </c>
    </row>
    <row r="61" spans="1:10" x14ac:dyDescent="0.2">
      <c r="A61" s="13" t="s">
        <v>2835</v>
      </c>
      <c r="B61" s="13">
        <v>1837</v>
      </c>
      <c r="C61" s="13" t="s">
        <v>2825</v>
      </c>
      <c r="D61" s="9" t="str">
        <f t="shared" si="2"/>
        <v>W1837R</v>
      </c>
      <c r="E61" s="13" t="s">
        <v>2779</v>
      </c>
      <c r="F61" s="13" t="s">
        <v>2815</v>
      </c>
      <c r="G61" s="13"/>
      <c r="H61" s="11" t="s">
        <v>2779</v>
      </c>
      <c r="I61" s="13">
        <v>-0.99117029300000004</v>
      </c>
      <c r="J61" s="11" t="s">
        <v>2827</v>
      </c>
    </row>
    <row r="62" spans="1:10" x14ac:dyDescent="0.2">
      <c r="A62" s="13" t="s">
        <v>2830</v>
      </c>
      <c r="B62" s="13">
        <v>1838</v>
      </c>
      <c r="C62" s="13" t="s">
        <v>2819</v>
      </c>
      <c r="D62" s="9" t="str">
        <f t="shared" si="2"/>
        <v>V1838E</v>
      </c>
      <c r="E62" s="13" t="s">
        <v>2779</v>
      </c>
      <c r="F62" s="13" t="s">
        <v>2815</v>
      </c>
      <c r="G62" s="13"/>
      <c r="H62" s="11" t="s">
        <v>2779</v>
      </c>
      <c r="I62" s="13">
        <v>-1.7956378230000001</v>
      </c>
      <c r="J62" s="11" t="s">
        <v>2827</v>
      </c>
    </row>
    <row r="63" spans="1:10" x14ac:dyDescent="0.2">
      <c r="A63" s="13" t="s">
        <v>2830</v>
      </c>
      <c r="B63" s="13">
        <v>1838</v>
      </c>
      <c r="C63" s="13" t="s">
        <v>2821</v>
      </c>
      <c r="D63" s="9" t="str">
        <f t="shared" si="2"/>
        <v>V1838G</v>
      </c>
      <c r="E63" s="13" t="s">
        <v>2781</v>
      </c>
      <c r="F63" s="13" t="s">
        <v>2829</v>
      </c>
      <c r="G63" s="13"/>
      <c r="H63" s="11" t="s">
        <v>2781</v>
      </c>
      <c r="I63" s="13">
        <v>-0.74299932899999999</v>
      </c>
      <c r="J63" s="11" t="s">
        <v>2827</v>
      </c>
    </row>
    <row r="64" spans="1:10" x14ac:dyDescent="0.2">
      <c r="A64" s="13" t="s">
        <v>2824</v>
      </c>
      <c r="B64" s="13">
        <v>1839</v>
      </c>
      <c r="C64" s="13" t="s">
        <v>74</v>
      </c>
      <c r="D64" s="9" t="str">
        <f t="shared" si="2"/>
        <v>L1839S</v>
      </c>
      <c r="E64" s="13" t="s">
        <v>2779</v>
      </c>
      <c r="F64" s="13" t="s">
        <v>2815</v>
      </c>
      <c r="G64" s="13"/>
      <c r="H64" s="11" t="s">
        <v>2779</v>
      </c>
      <c r="I64" s="13">
        <v>-1.1002949740000001</v>
      </c>
      <c r="J64" s="11" t="s">
        <v>2827</v>
      </c>
    </row>
    <row r="65" spans="1:10" x14ac:dyDescent="0.2">
      <c r="A65" s="13" t="s">
        <v>2832</v>
      </c>
      <c r="B65" s="13">
        <v>1845</v>
      </c>
      <c r="C65" s="13" t="s">
        <v>2831</v>
      </c>
      <c r="D65" s="9" t="str">
        <f t="shared" si="2"/>
        <v>Y1845*</v>
      </c>
      <c r="E65" s="13" t="s">
        <v>2779</v>
      </c>
      <c r="F65" s="13" t="s">
        <v>2815</v>
      </c>
      <c r="G65" s="13"/>
      <c r="H65" s="11" t="s">
        <v>2779</v>
      </c>
      <c r="I65" s="13">
        <v>-1.699771184</v>
      </c>
      <c r="J65" s="11" t="s">
        <v>2827</v>
      </c>
    </row>
    <row r="66" spans="1:10" x14ac:dyDescent="0.2">
      <c r="A66" s="13" t="s">
        <v>2833</v>
      </c>
      <c r="B66" s="13">
        <v>1848</v>
      </c>
      <c r="C66" s="13" t="s">
        <v>2831</v>
      </c>
      <c r="D66" s="9" t="str">
        <f t="shared" si="2"/>
        <v>Q1848*</v>
      </c>
      <c r="E66" s="13" t="s">
        <v>2779</v>
      </c>
      <c r="F66" s="13" t="s">
        <v>2815</v>
      </c>
      <c r="G66" s="13"/>
      <c r="H66" s="11" t="s">
        <v>2779</v>
      </c>
      <c r="I66" s="13">
        <v>-0.91351466599999998</v>
      </c>
      <c r="J66" s="11" t="s">
        <v>2827</v>
      </c>
    </row>
    <row r="67" spans="1:10" x14ac:dyDescent="0.2">
      <c r="A67" s="13" t="s">
        <v>2832</v>
      </c>
      <c r="B67" s="13">
        <v>1853</v>
      </c>
      <c r="C67" s="13" t="s">
        <v>2831</v>
      </c>
      <c r="D67" s="9" t="str">
        <f t="shared" si="2"/>
        <v>Y1853*</v>
      </c>
      <c r="E67" s="13" t="s">
        <v>2779</v>
      </c>
      <c r="F67" s="13" t="s">
        <v>2815</v>
      </c>
      <c r="G67" s="13"/>
      <c r="H67" s="11" t="s">
        <v>2779</v>
      </c>
      <c r="I67" s="13">
        <v>-0.795723446</v>
      </c>
      <c r="J67" s="11" t="s">
        <v>2827</v>
      </c>
    </row>
    <row r="68" spans="1:10" x14ac:dyDescent="0.2">
      <c r="A68" s="13" t="s">
        <v>2824</v>
      </c>
      <c r="B68" s="13">
        <v>1854</v>
      </c>
      <c r="C68" s="13" t="s">
        <v>2831</v>
      </c>
      <c r="D68" s="9" t="s">
        <v>2045</v>
      </c>
      <c r="E68" s="13"/>
      <c r="F68" s="13"/>
      <c r="G68" s="13" t="s">
        <v>2779</v>
      </c>
      <c r="H68" s="11" t="s">
        <v>2779</v>
      </c>
      <c r="I68" s="13">
        <v>-1.8828786129999999</v>
      </c>
      <c r="J68" s="11" t="s">
        <v>2827</v>
      </c>
    </row>
    <row r="69" spans="1:10" x14ac:dyDescent="0.2">
      <c r="A69" s="13" t="s">
        <v>2814</v>
      </c>
      <c r="B69" s="13">
        <v>1856</v>
      </c>
      <c r="C69" s="13" t="s">
        <v>74</v>
      </c>
      <c r="D69" s="9" t="str">
        <f>CONCATENATE(A69,B69,C69)</f>
        <v>P1856S</v>
      </c>
      <c r="E69" s="13" t="s">
        <v>2782</v>
      </c>
      <c r="F69" s="13" t="s">
        <v>2828</v>
      </c>
      <c r="G69" s="13"/>
      <c r="H69" s="14" t="s">
        <v>2782</v>
      </c>
      <c r="I69" s="13">
        <v>1.7985398999999999E-2</v>
      </c>
      <c r="J69" s="14" t="s">
        <v>2816</v>
      </c>
    </row>
    <row r="70" spans="1:10" x14ac:dyDescent="0.2">
      <c r="A70" s="13" t="s">
        <v>79</v>
      </c>
      <c r="B70" s="13">
        <v>1858</v>
      </c>
      <c r="C70" s="13" t="s">
        <v>2824</v>
      </c>
      <c r="D70" s="9" t="str">
        <f>CONCATENATE(A70,B70,C70)</f>
        <v>I1858L</v>
      </c>
      <c r="E70" s="13" t="s">
        <v>2136</v>
      </c>
      <c r="F70" s="13" t="s">
        <v>2815</v>
      </c>
      <c r="G70" s="13"/>
      <c r="H70" s="14" t="s">
        <v>2136</v>
      </c>
      <c r="I70" s="13">
        <v>4.2476286000000002E-2</v>
      </c>
      <c r="J70" s="14" t="s">
        <v>2816</v>
      </c>
    </row>
    <row r="71" spans="1:10" x14ac:dyDescent="0.2">
      <c r="A71" s="13" t="s">
        <v>2814</v>
      </c>
      <c r="B71" s="13">
        <v>1859</v>
      </c>
      <c r="C71" s="13" t="s">
        <v>2825</v>
      </c>
      <c r="D71" s="9" t="str">
        <f>CONCATENATE(A71,B71,C71)</f>
        <v>P1859R</v>
      </c>
      <c r="E71" s="13" t="s">
        <v>2136</v>
      </c>
      <c r="F71" s="13" t="s">
        <v>2815</v>
      </c>
      <c r="G71" s="13"/>
      <c r="H71" s="14" t="s">
        <v>2136</v>
      </c>
      <c r="I71" s="13">
        <v>-7.0206908999999998E-2</v>
      </c>
      <c r="J71" s="14" t="s">
        <v>2816</v>
      </c>
    </row>
  </sheetData>
  <autoFilter ref="A1:J71" xr:uid="{D8F7286E-1267-9941-8345-4AB30BF43227}">
    <sortState xmlns:xlrd2="http://schemas.microsoft.com/office/spreadsheetml/2017/richdata2" ref="A2:J71">
      <sortCondition ref="B1:B7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DEF65-85F4-CF49-A6C5-C778CF93FF46}">
  <dimension ref="A1:J66"/>
  <sheetViews>
    <sheetView workbookViewId="0">
      <selection activeCell="D1" sqref="D1"/>
    </sheetView>
  </sheetViews>
  <sheetFormatPr baseColWidth="10" defaultRowHeight="16" x14ac:dyDescent="0.2"/>
  <cols>
    <col min="3" max="3" width="10.83203125" customWidth="1"/>
    <col min="4" max="4" width="10.83203125" style="9"/>
    <col min="5" max="5" width="25.33203125" bestFit="1" customWidth="1"/>
    <col min="6" max="6" width="43" bestFit="1" customWidth="1"/>
    <col min="8" max="8" width="25.33203125" style="10" bestFit="1" customWidth="1"/>
  </cols>
  <sheetData>
    <row r="1" spans="1:10" x14ac:dyDescent="0.2">
      <c r="A1" s="13" t="s">
        <v>4190</v>
      </c>
      <c r="B1" s="13" t="s">
        <v>2582</v>
      </c>
      <c r="C1" s="13" t="s">
        <v>4189</v>
      </c>
      <c r="D1" s="10" t="s">
        <v>73</v>
      </c>
      <c r="E1" s="10" t="s">
        <v>2784</v>
      </c>
      <c r="F1" s="10" t="s">
        <v>2811</v>
      </c>
      <c r="G1" s="10" t="s">
        <v>2812</v>
      </c>
      <c r="H1" s="10" t="s">
        <v>2838</v>
      </c>
      <c r="I1" s="10" t="s">
        <v>2837</v>
      </c>
      <c r="J1" t="s">
        <v>2839</v>
      </c>
    </row>
    <row r="2" spans="1:10" x14ac:dyDescent="0.2">
      <c r="A2" s="10" t="s">
        <v>2818</v>
      </c>
      <c r="B2" s="10">
        <v>1675</v>
      </c>
      <c r="C2" s="10" t="s">
        <v>79</v>
      </c>
      <c r="D2" s="9" t="str">
        <f t="shared" ref="D2:D16" si="0">CONCATENATE(A2,B2,C2)</f>
        <v>T1675I</v>
      </c>
      <c r="E2" s="10" t="s">
        <v>2136</v>
      </c>
      <c r="F2" s="10" t="s">
        <v>2815</v>
      </c>
      <c r="G2" s="10"/>
      <c r="H2" s="14" t="s">
        <v>2136</v>
      </c>
      <c r="I2" s="10">
        <v>-5.2902339999999999E-2</v>
      </c>
      <c r="J2" s="14" t="str">
        <f>IF(H2&gt;-0.503,"FUNC"," ")</f>
        <v>FUNC</v>
      </c>
    </row>
    <row r="3" spans="1:10" x14ac:dyDescent="0.2">
      <c r="A3" s="10" t="s">
        <v>2818</v>
      </c>
      <c r="B3" s="10">
        <v>1675</v>
      </c>
      <c r="C3" s="10" t="s">
        <v>2822</v>
      </c>
      <c r="D3" s="9" t="str">
        <f t="shared" si="0"/>
        <v>T1675A</v>
      </c>
      <c r="E3" s="10" t="s">
        <v>2782</v>
      </c>
      <c r="F3" s="10" t="s">
        <v>2829</v>
      </c>
      <c r="G3" s="10"/>
      <c r="H3" s="14" t="s">
        <v>2782</v>
      </c>
      <c r="I3" s="10">
        <v>4.2660094000000003E-2</v>
      </c>
      <c r="J3" s="14" t="str">
        <f>IF(H3&gt;-0.503,"FUNC"," ")</f>
        <v>FUNC</v>
      </c>
    </row>
    <row r="4" spans="1:10" x14ac:dyDescent="0.2">
      <c r="A4" s="10" t="s">
        <v>2819</v>
      </c>
      <c r="B4" s="10">
        <v>1682</v>
      </c>
      <c r="C4" s="10" t="s">
        <v>2820</v>
      </c>
      <c r="D4" s="9" t="str">
        <f t="shared" si="0"/>
        <v>E1682K</v>
      </c>
      <c r="E4" s="10" t="s">
        <v>2136</v>
      </c>
      <c r="F4" s="10" t="s">
        <v>2815</v>
      </c>
      <c r="G4" s="10"/>
      <c r="H4" s="14" t="s">
        <v>2136</v>
      </c>
      <c r="I4" s="10">
        <v>-3.0648175E-2</v>
      </c>
      <c r="J4" s="14" t="str">
        <f>IF(H4&gt;-0.503,"FUNC"," ")</f>
        <v>FUNC</v>
      </c>
    </row>
    <row r="5" spans="1:10" x14ac:dyDescent="0.2">
      <c r="A5" s="10" t="s">
        <v>2819</v>
      </c>
      <c r="B5" s="10">
        <v>1683</v>
      </c>
      <c r="C5" s="10" t="s">
        <v>2831</v>
      </c>
      <c r="D5" s="9" t="str">
        <f t="shared" si="0"/>
        <v>E1683*</v>
      </c>
      <c r="E5" s="10" t="s">
        <v>2779</v>
      </c>
      <c r="F5" s="10" t="s">
        <v>2815</v>
      </c>
      <c r="G5" s="10"/>
      <c r="H5" s="11" t="s">
        <v>2779</v>
      </c>
      <c r="I5" s="10">
        <v>-1.5029249570000001</v>
      </c>
      <c r="J5" s="11" t="str">
        <f>IF(I5&lt;-0.729,"LOF"," ")</f>
        <v>LOF</v>
      </c>
    </row>
    <row r="6" spans="1:10" x14ac:dyDescent="0.2">
      <c r="A6" s="10" t="s">
        <v>2818</v>
      </c>
      <c r="B6" s="10">
        <v>1685</v>
      </c>
      <c r="C6" s="10" t="s">
        <v>79</v>
      </c>
      <c r="D6" s="9" t="str">
        <f t="shared" si="0"/>
        <v>T1685I</v>
      </c>
      <c r="E6" s="10" t="s">
        <v>2779</v>
      </c>
      <c r="F6" s="10" t="s">
        <v>2815</v>
      </c>
      <c r="G6" s="10"/>
      <c r="H6" s="11" t="s">
        <v>2779</v>
      </c>
      <c r="I6" s="10">
        <v>-1.0335025090000001</v>
      </c>
      <c r="J6" s="11" t="str">
        <f>IF(I6&lt;-0.729,"LOF"," ")</f>
        <v>LOF</v>
      </c>
    </row>
    <row r="7" spans="1:10" x14ac:dyDescent="0.2">
      <c r="A7" s="10" t="s">
        <v>2830</v>
      </c>
      <c r="B7" s="10">
        <v>1687</v>
      </c>
      <c r="C7" s="10" t="s">
        <v>2821</v>
      </c>
      <c r="D7" s="9" t="str">
        <f t="shared" si="0"/>
        <v>V1687G</v>
      </c>
      <c r="E7" s="10" t="s">
        <v>2781</v>
      </c>
      <c r="F7" s="10" t="s">
        <v>2829</v>
      </c>
      <c r="G7" s="10"/>
      <c r="H7" s="11" t="s">
        <v>2781</v>
      </c>
      <c r="I7" s="10">
        <v>-1.423840821</v>
      </c>
      <c r="J7" s="11" t="str">
        <f>IF(I7&lt;-0.729,"LOF"," ")</f>
        <v>LOF</v>
      </c>
    </row>
    <row r="8" spans="1:10" x14ac:dyDescent="0.2">
      <c r="A8" s="10" t="s">
        <v>2817</v>
      </c>
      <c r="B8" s="10">
        <v>1689</v>
      </c>
      <c r="C8" s="10" t="s">
        <v>2825</v>
      </c>
      <c r="D8" s="9" t="str">
        <f t="shared" si="0"/>
        <v>M1689R</v>
      </c>
      <c r="E8" s="10" t="s">
        <v>2780</v>
      </c>
      <c r="F8" s="10" t="s">
        <v>2828</v>
      </c>
      <c r="G8" s="10"/>
      <c r="H8" s="11" t="s">
        <v>2780</v>
      </c>
      <c r="I8" s="10">
        <v>-3.197975515</v>
      </c>
      <c r="J8" s="11" t="str">
        <f>IF(I8&lt;-0.729,"LOF"," ")</f>
        <v>LOF</v>
      </c>
    </row>
    <row r="9" spans="1:10" x14ac:dyDescent="0.2">
      <c r="A9" s="10" t="s">
        <v>2820</v>
      </c>
      <c r="B9" s="10">
        <v>1690</v>
      </c>
      <c r="C9" s="10" t="s">
        <v>2831</v>
      </c>
      <c r="D9" s="9" t="str">
        <f t="shared" si="0"/>
        <v>K1690*</v>
      </c>
      <c r="E9" s="10" t="s">
        <v>2779</v>
      </c>
      <c r="F9" s="10" t="s">
        <v>2815</v>
      </c>
      <c r="G9" s="10"/>
      <c r="H9" s="11" t="s">
        <v>2779</v>
      </c>
      <c r="I9" s="10">
        <v>-0.68016185100000004</v>
      </c>
      <c r="J9" s="10" t="s">
        <v>2786</v>
      </c>
    </row>
    <row r="10" spans="1:10" x14ac:dyDescent="0.2">
      <c r="A10" s="10" t="s">
        <v>2823</v>
      </c>
      <c r="B10" s="10">
        <v>1692</v>
      </c>
      <c r="C10" s="10" t="s">
        <v>2832</v>
      </c>
      <c r="D10" s="9" t="str">
        <f t="shared" si="0"/>
        <v>D1692Y</v>
      </c>
      <c r="E10" s="10" t="s">
        <v>2779</v>
      </c>
      <c r="F10" s="10" t="s">
        <v>2829</v>
      </c>
      <c r="G10" s="10"/>
      <c r="H10" s="11" t="s">
        <v>2779</v>
      </c>
      <c r="I10" s="10">
        <v>-1.096514432</v>
      </c>
      <c r="J10" s="11" t="str">
        <f>IF(I10&lt;-0.729,"LOF"," ")</f>
        <v>LOF</v>
      </c>
    </row>
    <row r="11" spans="1:10" x14ac:dyDescent="0.2">
      <c r="A11" s="10" t="s">
        <v>2819</v>
      </c>
      <c r="B11" s="10">
        <v>1694</v>
      </c>
      <c r="C11" s="10" t="s">
        <v>2831</v>
      </c>
      <c r="D11" s="9" t="str">
        <f t="shared" si="0"/>
        <v>E1694*</v>
      </c>
      <c r="E11" s="10" t="s">
        <v>2779</v>
      </c>
      <c r="F11" s="10" t="s">
        <v>2815</v>
      </c>
      <c r="G11" s="10"/>
      <c r="H11" s="11" t="s">
        <v>2779</v>
      </c>
      <c r="I11" s="10">
        <v>-0.975074353</v>
      </c>
      <c r="J11" s="11" t="str">
        <f>IF(I11&lt;-0.729,"LOF"," ")</f>
        <v>LOF</v>
      </c>
    </row>
    <row r="12" spans="1:10" x14ac:dyDescent="0.2">
      <c r="A12" s="10" t="s">
        <v>2826</v>
      </c>
      <c r="B12" s="10">
        <v>1695</v>
      </c>
      <c r="C12" s="10" t="s">
        <v>2824</v>
      </c>
      <c r="D12" s="9" t="str">
        <f t="shared" si="0"/>
        <v>F1695L</v>
      </c>
      <c r="E12" s="10" t="s">
        <v>2782</v>
      </c>
      <c r="F12" s="10" t="s">
        <v>2829</v>
      </c>
      <c r="G12" s="10"/>
      <c r="H12" s="14" t="s">
        <v>2782</v>
      </c>
      <c r="I12" s="10">
        <v>-0.357556188</v>
      </c>
      <c r="J12" s="14" t="str">
        <f>IF(H12&gt;-0.503,"FUNC"," ")</f>
        <v>FUNC</v>
      </c>
    </row>
    <row r="13" spans="1:10" x14ac:dyDescent="0.2">
      <c r="A13" s="10" t="s">
        <v>96</v>
      </c>
      <c r="B13" s="10">
        <v>1697</v>
      </c>
      <c r="C13" s="10" t="s">
        <v>2825</v>
      </c>
      <c r="D13" s="9" t="str">
        <f t="shared" si="0"/>
        <v>C1697R</v>
      </c>
      <c r="E13" s="10" t="s">
        <v>2779</v>
      </c>
      <c r="F13" s="10" t="s">
        <v>2815</v>
      </c>
      <c r="G13" s="10"/>
      <c r="H13" s="11" t="s">
        <v>2779</v>
      </c>
      <c r="I13" s="10">
        <v>-1.3122278009999999</v>
      </c>
      <c r="J13" s="11" t="str">
        <f>IF(I13&lt;-0.729,"LOF"," ")</f>
        <v>LOF</v>
      </c>
    </row>
    <row r="14" spans="1:10" x14ac:dyDescent="0.2">
      <c r="A14" s="10" t="s">
        <v>2821</v>
      </c>
      <c r="B14" s="10">
        <v>1706</v>
      </c>
      <c r="C14" s="10" t="s">
        <v>2822</v>
      </c>
      <c r="D14" s="9" t="str">
        <f t="shared" si="0"/>
        <v>G1706A</v>
      </c>
      <c r="E14" s="10" t="s">
        <v>2136</v>
      </c>
      <c r="F14" s="10" t="s">
        <v>2815</v>
      </c>
      <c r="G14" s="10"/>
      <c r="H14" s="14" t="s">
        <v>2136</v>
      </c>
      <c r="I14" s="10">
        <v>-0.232512202</v>
      </c>
      <c r="J14" s="14" t="str">
        <f>IF(H14&gt;-0.503,"FUNC"," ")</f>
        <v>FUNC</v>
      </c>
    </row>
    <row r="15" spans="1:10" x14ac:dyDescent="0.2">
      <c r="A15" s="10" t="s">
        <v>2821</v>
      </c>
      <c r="B15" s="10">
        <v>1706</v>
      </c>
      <c r="C15" s="10" t="s">
        <v>2825</v>
      </c>
      <c r="D15" s="9" t="str">
        <f t="shared" si="0"/>
        <v>G1706R</v>
      </c>
      <c r="E15" s="10" t="s">
        <v>2779</v>
      </c>
      <c r="F15" s="10" t="s">
        <v>2828</v>
      </c>
      <c r="G15" s="10"/>
      <c r="H15" s="11" t="s">
        <v>2779</v>
      </c>
      <c r="I15" s="10">
        <v>-1.5925379529999999</v>
      </c>
      <c r="J15" s="11" t="str">
        <f>IF(I15&lt;-0.729,"LOF"," ")</f>
        <v>LOF</v>
      </c>
    </row>
    <row r="16" spans="1:10" x14ac:dyDescent="0.2">
      <c r="A16" s="10" t="s">
        <v>2821</v>
      </c>
      <c r="B16" s="10">
        <v>1710</v>
      </c>
      <c r="C16" s="10" t="s">
        <v>2831</v>
      </c>
      <c r="D16" s="9" t="str">
        <f t="shared" si="0"/>
        <v>G1710*</v>
      </c>
      <c r="E16" s="10" t="s">
        <v>2779</v>
      </c>
      <c r="F16" s="10" t="s">
        <v>2815</v>
      </c>
      <c r="G16" s="10"/>
      <c r="H16" s="11" t="s">
        <v>2779</v>
      </c>
      <c r="I16" s="10">
        <v>-1.3015325120000001</v>
      </c>
      <c r="J16" s="11" t="str">
        <f>IF(I16&lt;-0.729,"LOF"," ")</f>
        <v>LOF</v>
      </c>
    </row>
    <row r="17" spans="1:10" x14ac:dyDescent="0.2">
      <c r="A17" s="9" t="s">
        <v>2830</v>
      </c>
      <c r="B17" s="9">
        <v>1713</v>
      </c>
      <c r="C17" s="9" t="s">
        <v>2831</v>
      </c>
      <c r="D17" s="9" t="s">
        <v>1008</v>
      </c>
      <c r="E17" s="10"/>
      <c r="F17" s="10"/>
      <c r="G17" s="10" t="s">
        <v>2779</v>
      </c>
      <c r="H17" s="11" t="s">
        <v>2779</v>
      </c>
      <c r="I17" s="10">
        <v>-1.340828205</v>
      </c>
      <c r="J17" s="11" t="str">
        <f>IF(I17&lt;-0.729,"LOF"," ")</f>
        <v>LOF</v>
      </c>
    </row>
    <row r="18" spans="1:10" x14ac:dyDescent="0.2">
      <c r="A18" s="10" t="s">
        <v>74</v>
      </c>
      <c r="B18" s="10">
        <v>1715</v>
      </c>
      <c r="C18" s="10" t="s">
        <v>2825</v>
      </c>
      <c r="D18" s="9" t="str">
        <f>CONCATENATE(A18,B18,C18)</f>
        <v>S1715R</v>
      </c>
      <c r="E18" s="10" t="s">
        <v>2779</v>
      </c>
      <c r="F18" s="10" t="s">
        <v>2815</v>
      </c>
      <c r="G18" s="10"/>
      <c r="H18" s="11" t="s">
        <v>2779</v>
      </c>
      <c r="I18" s="10">
        <v>-1.3141570119999999</v>
      </c>
      <c r="J18" s="11" t="str">
        <f>IF(I18&lt;-0.729,"LOF"," ")</f>
        <v>LOF</v>
      </c>
    </row>
    <row r="19" spans="1:10" x14ac:dyDescent="0.2">
      <c r="A19" s="10" t="s">
        <v>2832</v>
      </c>
      <c r="B19" s="10">
        <v>1716</v>
      </c>
      <c r="C19" s="10" t="s">
        <v>2831</v>
      </c>
      <c r="D19" s="9" t="str">
        <f>CONCATENATE(A19,B19,C19)</f>
        <v>Y1716*</v>
      </c>
      <c r="E19" s="10" t="s">
        <v>2779</v>
      </c>
      <c r="F19" s="10" t="s">
        <v>2815</v>
      </c>
      <c r="G19" s="10"/>
      <c r="H19" s="11" t="s">
        <v>2779</v>
      </c>
      <c r="I19" s="10">
        <v>-2.0375781669999999</v>
      </c>
      <c r="J19" s="11" t="str">
        <f>IF(I19&lt;-0.729,"LOF"," ")</f>
        <v>LOF</v>
      </c>
    </row>
    <row r="20" spans="1:10" x14ac:dyDescent="0.2">
      <c r="A20" s="10" t="s">
        <v>2823</v>
      </c>
      <c r="B20" s="10">
        <v>1733</v>
      </c>
      <c r="C20" s="10" t="s">
        <v>2821</v>
      </c>
      <c r="D20" s="9" t="str">
        <f>CONCATENATE(A20,B20,C20)</f>
        <v>D1733G</v>
      </c>
      <c r="E20" s="10" t="s">
        <v>2136</v>
      </c>
      <c r="F20" s="10" t="s">
        <v>2815</v>
      </c>
      <c r="G20" s="10"/>
      <c r="H20" s="14" t="s">
        <v>2136</v>
      </c>
      <c r="I20" s="10">
        <v>-0.18718441099999999</v>
      </c>
      <c r="J20" s="14" t="str">
        <f>IF(H20&gt;-0.503,"FUNC"," ")</f>
        <v>FUNC</v>
      </c>
    </row>
    <row r="21" spans="1:10" x14ac:dyDescent="0.2">
      <c r="A21" s="9" t="s">
        <v>2819</v>
      </c>
      <c r="B21" s="9">
        <v>1735</v>
      </c>
      <c r="C21" s="9" t="s">
        <v>2831</v>
      </c>
      <c r="D21" s="9" t="s">
        <v>1089</v>
      </c>
      <c r="E21" s="10"/>
      <c r="F21" s="10"/>
      <c r="G21" s="10" t="s">
        <v>2779</v>
      </c>
      <c r="H21" s="11" t="s">
        <v>2779</v>
      </c>
      <c r="I21" s="10">
        <v>-2.1337122279999998</v>
      </c>
      <c r="J21" s="11" t="str">
        <f>IF(I21&lt;-0.729,"LOF"," ")</f>
        <v>LOF</v>
      </c>
    </row>
    <row r="22" spans="1:10" x14ac:dyDescent="0.2">
      <c r="A22" s="10" t="s">
        <v>2830</v>
      </c>
      <c r="B22" s="10">
        <v>1736</v>
      </c>
      <c r="C22" s="10" t="s">
        <v>2822</v>
      </c>
      <c r="D22" s="9" t="str">
        <f t="shared" ref="D22:D62" si="1">CONCATENATE(A22,B22,C22)</f>
        <v>V1736A</v>
      </c>
      <c r="E22" s="10" t="s">
        <v>2779</v>
      </c>
      <c r="F22" s="10" t="s">
        <v>2815</v>
      </c>
      <c r="G22" s="10"/>
      <c r="H22" s="11" t="s">
        <v>2779</v>
      </c>
      <c r="I22" s="10">
        <v>-0.552579406</v>
      </c>
      <c r="J22" s="10" t="s">
        <v>2786</v>
      </c>
    </row>
    <row r="23" spans="1:10" x14ac:dyDescent="0.2">
      <c r="A23" s="10" t="s">
        <v>2821</v>
      </c>
      <c r="B23" s="10">
        <v>1738</v>
      </c>
      <c r="C23" s="10" t="s">
        <v>2830</v>
      </c>
      <c r="D23" s="9" t="str">
        <f t="shared" si="1"/>
        <v>G1738V</v>
      </c>
      <c r="E23" s="10" t="s">
        <v>2779</v>
      </c>
      <c r="F23" s="10" t="s">
        <v>2829</v>
      </c>
      <c r="G23" s="10"/>
      <c r="H23" s="11" t="s">
        <v>2779</v>
      </c>
      <c r="I23" s="10">
        <v>-1.748689714</v>
      </c>
      <c r="J23" s="11" t="str">
        <f t="shared" ref="J23:J35" si="2">IF(I23&lt;-0.729,"LOF"," ")</f>
        <v>LOF</v>
      </c>
    </row>
    <row r="24" spans="1:10" x14ac:dyDescent="0.2">
      <c r="A24" s="10" t="s">
        <v>2821</v>
      </c>
      <c r="B24" s="10">
        <v>1738</v>
      </c>
      <c r="C24" s="10" t="s">
        <v>2819</v>
      </c>
      <c r="D24" s="9" t="str">
        <f t="shared" si="1"/>
        <v>G1738E</v>
      </c>
      <c r="E24" s="10" t="s">
        <v>2780</v>
      </c>
      <c r="F24" s="10" t="s">
        <v>2828</v>
      </c>
      <c r="G24" s="10"/>
      <c r="H24" s="11" t="s">
        <v>2780</v>
      </c>
      <c r="I24" s="10">
        <v>-1.8102039839999999</v>
      </c>
      <c r="J24" s="11" t="str">
        <f t="shared" si="2"/>
        <v>LOF</v>
      </c>
    </row>
    <row r="25" spans="1:10" x14ac:dyDescent="0.2">
      <c r="A25" s="10" t="s">
        <v>2823</v>
      </c>
      <c r="B25" s="10">
        <v>1739</v>
      </c>
      <c r="C25" s="10" t="s">
        <v>2821</v>
      </c>
      <c r="D25" s="9" t="str">
        <f t="shared" si="1"/>
        <v>D1739G</v>
      </c>
      <c r="E25" s="10" t="s">
        <v>2781</v>
      </c>
      <c r="F25" s="10" t="s">
        <v>2828</v>
      </c>
      <c r="G25" s="10"/>
      <c r="H25" s="11" t="s">
        <v>2781</v>
      </c>
      <c r="I25" s="10">
        <v>-2.0514480430000002</v>
      </c>
      <c r="J25" s="11" t="str">
        <f t="shared" si="2"/>
        <v>LOF</v>
      </c>
    </row>
    <row r="26" spans="1:10" x14ac:dyDescent="0.2">
      <c r="A26" s="10" t="s">
        <v>2823</v>
      </c>
      <c r="B26" s="10">
        <v>1739</v>
      </c>
      <c r="C26" s="10" t="s">
        <v>2830</v>
      </c>
      <c r="D26" s="9" t="str">
        <f t="shared" si="1"/>
        <v>D1739V</v>
      </c>
      <c r="E26" s="10" t="s">
        <v>2780</v>
      </c>
      <c r="F26" s="10" t="s">
        <v>2828</v>
      </c>
      <c r="G26" s="10"/>
      <c r="H26" s="11" t="s">
        <v>2780</v>
      </c>
      <c r="I26" s="10">
        <v>-2.010844031</v>
      </c>
      <c r="J26" s="11" t="str">
        <f t="shared" si="2"/>
        <v>LOF</v>
      </c>
    </row>
    <row r="27" spans="1:10" x14ac:dyDescent="0.2">
      <c r="A27" s="10" t="s">
        <v>2821</v>
      </c>
      <c r="B27" s="10">
        <v>1748</v>
      </c>
      <c r="C27" s="10" t="s">
        <v>2823</v>
      </c>
      <c r="D27" s="9" t="str">
        <f t="shared" si="1"/>
        <v>G1748D</v>
      </c>
      <c r="E27" s="10" t="s">
        <v>2781</v>
      </c>
      <c r="F27" s="10" t="s">
        <v>2828</v>
      </c>
      <c r="G27" s="10"/>
      <c r="H27" s="11" t="s">
        <v>2781</v>
      </c>
      <c r="I27" s="10">
        <v>-2.1331254140000002</v>
      </c>
      <c r="J27" s="11" t="str">
        <f t="shared" si="2"/>
        <v>LOF</v>
      </c>
    </row>
    <row r="28" spans="1:10" x14ac:dyDescent="0.2">
      <c r="A28" s="10" t="s">
        <v>2825</v>
      </c>
      <c r="B28" s="10">
        <v>1751</v>
      </c>
      <c r="C28" s="10" t="s">
        <v>2814</v>
      </c>
      <c r="D28" s="9" t="str">
        <f t="shared" si="1"/>
        <v>R1751P</v>
      </c>
      <c r="E28" s="10" t="s">
        <v>2781</v>
      </c>
      <c r="F28" s="10" t="s">
        <v>2828</v>
      </c>
      <c r="G28" s="10"/>
      <c r="H28" s="11" t="s">
        <v>2781</v>
      </c>
      <c r="I28" s="10">
        <v>-1.315656355</v>
      </c>
      <c r="J28" s="11" t="str">
        <f t="shared" si="2"/>
        <v>LOF</v>
      </c>
    </row>
    <row r="29" spans="1:10" x14ac:dyDescent="0.2">
      <c r="A29" s="10" t="s">
        <v>2825</v>
      </c>
      <c r="B29" s="10">
        <v>1751</v>
      </c>
      <c r="C29" s="10" t="s">
        <v>2831</v>
      </c>
      <c r="D29" s="9" t="str">
        <f t="shared" si="1"/>
        <v>R1751*</v>
      </c>
      <c r="E29" s="10" t="s">
        <v>2779</v>
      </c>
      <c r="F29" s="10" t="s">
        <v>2815</v>
      </c>
      <c r="G29" s="10"/>
      <c r="H29" s="11" t="s">
        <v>2779</v>
      </c>
      <c r="I29" s="10">
        <v>-1.487236714</v>
      </c>
      <c r="J29" s="11" t="str">
        <f t="shared" si="2"/>
        <v>LOF</v>
      </c>
    </row>
    <row r="30" spans="1:10" x14ac:dyDescent="0.2">
      <c r="A30" s="10" t="s">
        <v>2824</v>
      </c>
      <c r="B30" s="10">
        <v>1764</v>
      </c>
      <c r="C30" s="10" t="s">
        <v>2814</v>
      </c>
      <c r="D30" s="9" t="str">
        <f t="shared" si="1"/>
        <v>L1764P</v>
      </c>
      <c r="E30" s="10" t="s">
        <v>2779</v>
      </c>
      <c r="F30" s="10" t="s">
        <v>2815</v>
      </c>
      <c r="G30" s="10"/>
      <c r="H30" s="11" t="s">
        <v>2779</v>
      </c>
      <c r="I30" s="10">
        <v>-1.1098435</v>
      </c>
      <c r="J30" s="11" t="str">
        <f t="shared" si="2"/>
        <v>LOF</v>
      </c>
    </row>
    <row r="31" spans="1:10" x14ac:dyDescent="0.2">
      <c r="A31" s="9" t="s">
        <v>2824</v>
      </c>
      <c r="B31" s="9">
        <v>1764</v>
      </c>
      <c r="C31" s="9" t="s">
        <v>2831</v>
      </c>
      <c r="D31" s="9" t="str">
        <f t="shared" si="1"/>
        <v>L1764*</v>
      </c>
      <c r="E31" s="10"/>
      <c r="F31" s="10"/>
      <c r="G31" s="10" t="s">
        <v>2779</v>
      </c>
      <c r="H31" s="11" t="s">
        <v>2779</v>
      </c>
      <c r="I31" s="10">
        <v>-1.198809469</v>
      </c>
      <c r="J31" s="11" t="str">
        <f t="shared" si="2"/>
        <v>LOF</v>
      </c>
    </row>
    <row r="32" spans="1:10" x14ac:dyDescent="0.2">
      <c r="A32" s="10" t="s">
        <v>79</v>
      </c>
      <c r="B32" s="10">
        <v>1766</v>
      </c>
      <c r="C32" s="10" t="s">
        <v>74</v>
      </c>
      <c r="D32" s="9" t="str">
        <f t="shared" si="1"/>
        <v>I1766S</v>
      </c>
      <c r="E32" s="10" t="s">
        <v>2779</v>
      </c>
      <c r="F32" s="10" t="s">
        <v>2815</v>
      </c>
      <c r="G32" s="10"/>
      <c r="H32" s="11" t="s">
        <v>2779</v>
      </c>
      <c r="I32" s="10">
        <v>-1.8181649989999999</v>
      </c>
      <c r="J32" s="11" t="str">
        <f t="shared" si="2"/>
        <v>LOF</v>
      </c>
    </row>
    <row r="33" spans="1:10" x14ac:dyDescent="0.2">
      <c r="A33" s="10" t="s">
        <v>96</v>
      </c>
      <c r="B33" s="10">
        <v>1767</v>
      </c>
      <c r="C33" s="10" t="s">
        <v>2831</v>
      </c>
      <c r="D33" s="9" t="str">
        <f t="shared" si="1"/>
        <v>C1767*</v>
      </c>
      <c r="E33" s="10" t="s">
        <v>2779</v>
      </c>
      <c r="F33" s="10" t="s">
        <v>2815</v>
      </c>
      <c r="G33" s="10"/>
      <c r="H33" s="11" t="s">
        <v>2779</v>
      </c>
      <c r="I33" s="10">
        <v>-1.3377273160000001</v>
      </c>
      <c r="J33" s="11" t="str">
        <f t="shared" si="2"/>
        <v>LOF</v>
      </c>
    </row>
    <row r="34" spans="1:10" x14ac:dyDescent="0.2">
      <c r="A34" s="10" t="s">
        <v>2821</v>
      </c>
      <c r="B34" s="10">
        <v>1770</v>
      </c>
      <c r="C34" s="10" t="s">
        <v>2830</v>
      </c>
      <c r="D34" s="9" t="str">
        <f t="shared" si="1"/>
        <v>G1770V</v>
      </c>
      <c r="E34" s="10" t="s">
        <v>2779</v>
      </c>
      <c r="F34" s="10" t="s">
        <v>2815</v>
      </c>
      <c r="G34" s="10"/>
      <c r="H34" s="11" t="s">
        <v>2779</v>
      </c>
      <c r="I34" s="10">
        <v>-0.92307675499999997</v>
      </c>
      <c r="J34" s="11" t="str">
        <f t="shared" si="2"/>
        <v>LOF</v>
      </c>
    </row>
    <row r="35" spans="1:10" x14ac:dyDescent="0.2">
      <c r="A35" s="10" t="s">
        <v>2817</v>
      </c>
      <c r="B35" s="10">
        <v>1775</v>
      </c>
      <c r="C35" s="10" t="s">
        <v>2825</v>
      </c>
      <c r="D35" s="9" t="str">
        <f t="shared" si="1"/>
        <v>M1775R</v>
      </c>
      <c r="E35" s="10" t="s">
        <v>2779</v>
      </c>
      <c r="F35" s="10" t="s">
        <v>2815</v>
      </c>
      <c r="G35" s="10"/>
      <c r="H35" s="11" t="s">
        <v>2779</v>
      </c>
      <c r="I35" s="10">
        <v>-0.93153072199999998</v>
      </c>
      <c r="J35" s="11" t="str">
        <f t="shared" si="2"/>
        <v>LOF</v>
      </c>
    </row>
    <row r="36" spans="1:10" x14ac:dyDescent="0.2">
      <c r="A36" s="10" t="s">
        <v>2823</v>
      </c>
      <c r="B36" s="10">
        <v>1778</v>
      </c>
      <c r="C36" s="10" t="s">
        <v>2821</v>
      </c>
      <c r="D36" s="9" t="str">
        <f t="shared" si="1"/>
        <v>D1778G</v>
      </c>
      <c r="E36" s="10" t="s">
        <v>2783</v>
      </c>
      <c r="F36" s="10" t="s">
        <v>2828</v>
      </c>
      <c r="G36" s="10"/>
      <c r="H36" s="14" t="s">
        <v>2783</v>
      </c>
      <c r="I36" s="10">
        <v>-0.18912894399999999</v>
      </c>
      <c r="J36" s="14" t="str">
        <f>IF(H36&gt;-0.503,"FUNC"," ")</f>
        <v>FUNC</v>
      </c>
    </row>
    <row r="37" spans="1:10" x14ac:dyDescent="0.2">
      <c r="A37" s="10" t="s">
        <v>2824</v>
      </c>
      <c r="B37" s="10">
        <v>1780</v>
      </c>
      <c r="C37" s="10" t="s">
        <v>2814</v>
      </c>
      <c r="D37" s="9" t="str">
        <f t="shared" si="1"/>
        <v>L1780P</v>
      </c>
      <c r="E37" s="10" t="s">
        <v>2780</v>
      </c>
      <c r="F37" s="10" t="s">
        <v>2828</v>
      </c>
      <c r="G37" s="10"/>
      <c r="H37" s="11" t="s">
        <v>2780</v>
      </c>
      <c r="I37" s="10">
        <v>-1.476875481</v>
      </c>
      <c r="J37" s="11" t="str">
        <f>IF(I37&lt;-0.729,"LOF"," ")</f>
        <v>LOF</v>
      </c>
    </row>
    <row r="38" spans="1:10" x14ac:dyDescent="0.2">
      <c r="A38" s="10" t="s">
        <v>2819</v>
      </c>
      <c r="B38" s="10">
        <v>1781</v>
      </c>
      <c r="C38" s="10" t="s">
        <v>2831</v>
      </c>
      <c r="D38" s="9" t="str">
        <f t="shared" si="1"/>
        <v>E1781*</v>
      </c>
      <c r="E38" s="10" t="s">
        <v>2779</v>
      </c>
      <c r="F38" s="10" t="s">
        <v>2815</v>
      </c>
      <c r="G38" s="10"/>
      <c r="H38" s="11" t="s">
        <v>2779</v>
      </c>
      <c r="I38" s="10">
        <v>-1.1343672149999999</v>
      </c>
      <c r="J38" s="11" t="str">
        <f>IF(I38&lt;-0.729,"LOF"," ")</f>
        <v>LOF</v>
      </c>
    </row>
    <row r="39" spans="1:10" x14ac:dyDescent="0.2">
      <c r="A39" s="10" t="s">
        <v>2835</v>
      </c>
      <c r="B39" s="10">
        <v>1782</v>
      </c>
      <c r="C39" s="10" t="s">
        <v>2831</v>
      </c>
      <c r="D39" s="9" t="str">
        <f t="shared" si="1"/>
        <v>W1782*</v>
      </c>
      <c r="E39" s="10" t="s">
        <v>2779</v>
      </c>
      <c r="F39" s="10" t="s">
        <v>2815</v>
      </c>
      <c r="G39" s="10"/>
      <c r="H39" s="11" t="s">
        <v>2779</v>
      </c>
      <c r="I39" s="10">
        <v>-0.87201342500000001</v>
      </c>
      <c r="J39" s="11" t="str">
        <f>IF(I39&lt;-0.729,"LOF"," ")</f>
        <v>LOF</v>
      </c>
    </row>
    <row r="40" spans="1:10" x14ac:dyDescent="0.2">
      <c r="A40" s="10" t="s">
        <v>2833</v>
      </c>
      <c r="B40" s="10">
        <v>1785</v>
      </c>
      <c r="C40" s="10" t="s">
        <v>2831</v>
      </c>
      <c r="D40" s="9" t="str">
        <f t="shared" si="1"/>
        <v>Q1785*</v>
      </c>
      <c r="E40" s="10" t="s">
        <v>2779</v>
      </c>
      <c r="F40" s="10" t="s">
        <v>2815</v>
      </c>
      <c r="G40" s="10"/>
      <c r="H40" s="11" t="s">
        <v>2779</v>
      </c>
      <c r="I40" s="10">
        <v>-0.733387911</v>
      </c>
      <c r="J40" s="11" t="str">
        <f>IF(I40&lt;-0.729,"LOF"," ")</f>
        <v>LOF</v>
      </c>
    </row>
    <row r="41" spans="1:10" x14ac:dyDescent="0.2">
      <c r="A41" s="10" t="s">
        <v>2821</v>
      </c>
      <c r="B41" s="10">
        <v>1788</v>
      </c>
      <c r="C41" s="10" t="s">
        <v>2822</v>
      </c>
      <c r="D41" s="9" t="str">
        <f t="shared" si="1"/>
        <v>G1788A</v>
      </c>
      <c r="E41" s="10" t="s">
        <v>2781</v>
      </c>
      <c r="F41" s="10" t="s">
        <v>2829</v>
      </c>
      <c r="G41" s="10"/>
      <c r="H41" s="11" t="s">
        <v>2781</v>
      </c>
      <c r="I41" s="10">
        <v>-0.43423520199999999</v>
      </c>
      <c r="J41" s="14" t="str">
        <f>IF(H41&gt;-0.503,"FUNC"," ")</f>
        <v>FUNC</v>
      </c>
    </row>
    <row r="42" spans="1:10" x14ac:dyDescent="0.2">
      <c r="A42" s="10" t="s">
        <v>2821</v>
      </c>
      <c r="B42" s="10">
        <v>1788</v>
      </c>
      <c r="C42" s="10" t="s">
        <v>2830</v>
      </c>
      <c r="D42" s="9" t="str">
        <f t="shared" si="1"/>
        <v>G1788V</v>
      </c>
      <c r="E42" s="10" t="s">
        <v>2779</v>
      </c>
      <c r="F42" s="10" t="s">
        <v>2815</v>
      </c>
      <c r="G42" s="10"/>
      <c r="H42" s="11" t="s">
        <v>2779</v>
      </c>
      <c r="I42" s="10">
        <v>-1.458801287</v>
      </c>
      <c r="J42" s="11" t="str">
        <f>IF(I42&lt;-0.729,"LOF"," ")</f>
        <v>LOF</v>
      </c>
    </row>
    <row r="43" spans="1:10" x14ac:dyDescent="0.2">
      <c r="A43" s="10" t="s">
        <v>2820</v>
      </c>
      <c r="B43" s="10">
        <v>1793</v>
      </c>
      <c r="C43" s="10" t="s">
        <v>2831</v>
      </c>
      <c r="D43" s="9" t="str">
        <f t="shared" si="1"/>
        <v>K1793*</v>
      </c>
      <c r="E43" s="10" t="s">
        <v>2779</v>
      </c>
      <c r="F43" s="10" t="s">
        <v>2815</v>
      </c>
      <c r="G43" s="10"/>
      <c r="H43" s="11" t="s">
        <v>2779</v>
      </c>
      <c r="I43" s="10">
        <v>-0.89761753200000005</v>
      </c>
      <c r="J43" s="11" t="str">
        <f>IF(I43&lt;-0.729,"LOF"," ")</f>
        <v>LOF</v>
      </c>
    </row>
    <row r="44" spans="1:10" x14ac:dyDescent="0.2">
      <c r="A44" s="10" t="s">
        <v>2819</v>
      </c>
      <c r="B44" s="10">
        <v>1794</v>
      </c>
      <c r="C44" s="10" t="s">
        <v>2823</v>
      </c>
      <c r="D44" s="9" t="str">
        <f t="shared" si="1"/>
        <v>E1794D</v>
      </c>
      <c r="E44" s="10" t="s">
        <v>2782</v>
      </c>
      <c r="F44" s="10" t="s">
        <v>2828</v>
      </c>
      <c r="G44" s="10"/>
      <c r="H44" s="14" t="s">
        <v>2782</v>
      </c>
      <c r="I44" s="10">
        <v>0.29362535099999998</v>
      </c>
      <c r="J44" s="14" t="str">
        <f>IF(H44&gt;-0.503,"FUNC"," ")</f>
        <v>FUNC</v>
      </c>
    </row>
    <row r="45" spans="1:10" x14ac:dyDescent="0.2">
      <c r="A45" s="10" t="s">
        <v>74</v>
      </c>
      <c r="B45" s="10">
        <v>1797</v>
      </c>
      <c r="C45" s="10" t="s">
        <v>2824</v>
      </c>
      <c r="D45" s="9" t="str">
        <f t="shared" si="1"/>
        <v>S1797L</v>
      </c>
      <c r="E45" s="10" t="s">
        <v>2782</v>
      </c>
      <c r="F45" s="10" t="s">
        <v>2829</v>
      </c>
      <c r="G45" s="10"/>
      <c r="H45" s="14" t="s">
        <v>2782</v>
      </c>
      <c r="I45" s="10">
        <v>-0.45229909400000001</v>
      </c>
      <c r="J45" s="14" t="str">
        <f>IF(H45&gt;-0.503,"FUNC"," ")</f>
        <v>FUNC</v>
      </c>
    </row>
    <row r="46" spans="1:10" x14ac:dyDescent="0.2">
      <c r="A46" s="10" t="s">
        <v>2821</v>
      </c>
      <c r="B46" s="10">
        <v>1801</v>
      </c>
      <c r="C46" s="10" t="s">
        <v>2823</v>
      </c>
      <c r="D46" s="9" t="str">
        <f t="shared" si="1"/>
        <v>G1801D</v>
      </c>
      <c r="E46" s="10" t="s">
        <v>2783</v>
      </c>
      <c r="F46" s="10" t="s">
        <v>2828</v>
      </c>
      <c r="G46" s="10"/>
      <c r="H46" s="14" t="s">
        <v>2783</v>
      </c>
      <c r="I46" s="10">
        <v>-0.13403047700000001</v>
      </c>
      <c r="J46" s="14" t="str">
        <f>IF(H46&gt;-0.503,"FUNC"," ")</f>
        <v>FUNC</v>
      </c>
    </row>
    <row r="47" spans="1:10" x14ac:dyDescent="0.2">
      <c r="A47" s="10" t="s">
        <v>2833</v>
      </c>
      <c r="B47" s="10">
        <v>1811</v>
      </c>
      <c r="C47" s="10" t="s">
        <v>2831</v>
      </c>
      <c r="D47" s="9" t="str">
        <f t="shared" si="1"/>
        <v>Q1811*</v>
      </c>
      <c r="E47" s="10" t="s">
        <v>2779</v>
      </c>
      <c r="F47" s="10" t="s">
        <v>2815</v>
      </c>
      <c r="G47" s="10"/>
      <c r="H47" s="11" t="s">
        <v>2779</v>
      </c>
      <c r="I47" s="10">
        <v>-1.685087451</v>
      </c>
      <c r="J47" s="11" t="str">
        <f>IF(I47&lt;-0.729,"LOF"," ")</f>
        <v>LOF</v>
      </c>
    </row>
    <row r="48" spans="1:10" x14ac:dyDescent="0.2">
      <c r="A48" s="10" t="s">
        <v>2814</v>
      </c>
      <c r="B48" s="10">
        <v>1812</v>
      </c>
      <c r="C48" s="10" t="s">
        <v>2822</v>
      </c>
      <c r="D48" s="9" t="str">
        <f t="shared" si="1"/>
        <v>P1812A</v>
      </c>
      <c r="E48" s="10" t="s">
        <v>2780</v>
      </c>
      <c r="F48" s="10" t="s">
        <v>2828</v>
      </c>
      <c r="G48" s="10"/>
      <c r="H48" s="11" t="s">
        <v>2780</v>
      </c>
      <c r="I48" s="10">
        <v>-0.83115249599999996</v>
      </c>
      <c r="J48" s="11" t="str">
        <f>IF(I48&lt;-0.729,"LOF"," ")</f>
        <v>LOF</v>
      </c>
    </row>
    <row r="49" spans="1:10" x14ac:dyDescent="0.2">
      <c r="A49" s="10" t="s">
        <v>2823</v>
      </c>
      <c r="B49" s="10">
        <v>1818</v>
      </c>
      <c r="C49" s="10" t="s">
        <v>2821</v>
      </c>
      <c r="D49" s="9" t="str">
        <f t="shared" si="1"/>
        <v>D1818G</v>
      </c>
      <c r="E49" s="10" t="s">
        <v>2780</v>
      </c>
      <c r="F49" s="10" t="s">
        <v>2828</v>
      </c>
      <c r="G49" s="10"/>
      <c r="H49" s="11" t="s">
        <v>2780</v>
      </c>
      <c r="I49" s="10">
        <v>-7.9862332999999994E-2</v>
      </c>
      <c r="J49" s="14" t="str">
        <f>IF(H49&gt;-0.503,"FUNC"," ")</f>
        <v>FUNC</v>
      </c>
    </row>
    <row r="50" spans="1:10" x14ac:dyDescent="0.2">
      <c r="A50" s="10" t="s">
        <v>82</v>
      </c>
      <c r="B50" s="10">
        <v>1819</v>
      </c>
      <c r="C50" s="10" t="s">
        <v>74</v>
      </c>
      <c r="D50" s="9" t="str">
        <f t="shared" si="1"/>
        <v>N1819S</v>
      </c>
      <c r="E50" s="10" t="s">
        <v>2783</v>
      </c>
      <c r="F50" s="10" t="s">
        <v>2828</v>
      </c>
      <c r="G50" s="10"/>
      <c r="H50" s="14" t="s">
        <v>2783</v>
      </c>
      <c r="I50" s="10">
        <v>-7.9031752999999996E-2</v>
      </c>
      <c r="J50" s="14" t="str">
        <f>IF(H50&gt;-0.503,"FUNC"," ")</f>
        <v>FUNC</v>
      </c>
    </row>
    <row r="51" spans="1:10" x14ac:dyDescent="0.2">
      <c r="A51" s="10" t="s">
        <v>2822</v>
      </c>
      <c r="B51" s="10">
        <v>1823</v>
      </c>
      <c r="C51" s="10" t="s">
        <v>2818</v>
      </c>
      <c r="D51" s="9" t="str">
        <f t="shared" si="1"/>
        <v>A1823T</v>
      </c>
      <c r="E51" s="10" t="s">
        <v>2779</v>
      </c>
      <c r="F51" s="10" t="s">
        <v>2828</v>
      </c>
      <c r="G51" s="10"/>
      <c r="H51" s="11" t="s">
        <v>2779</v>
      </c>
      <c r="I51" s="10">
        <v>-1.8967240999999999E-2</v>
      </c>
      <c r="J51" s="14" t="str">
        <f>IF(H51&gt;-0.503,"FUNC"," ")</f>
        <v>FUNC</v>
      </c>
    </row>
    <row r="52" spans="1:10" x14ac:dyDescent="0.2">
      <c r="A52" s="10" t="s">
        <v>2833</v>
      </c>
      <c r="B52" s="10">
        <v>1826</v>
      </c>
      <c r="C52" s="10" t="s">
        <v>2831</v>
      </c>
      <c r="D52" s="9" t="str">
        <f t="shared" si="1"/>
        <v>Q1826*</v>
      </c>
      <c r="E52" s="10" t="s">
        <v>2779</v>
      </c>
      <c r="F52" s="10" t="s">
        <v>2829</v>
      </c>
      <c r="G52" s="10"/>
      <c r="H52" s="11" t="s">
        <v>2779</v>
      </c>
      <c r="I52" s="10">
        <v>-1.3293847400000001</v>
      </c>
      <c r="J52" s="11" t="str">
        <f>IF(I52&lt;-0.729,"LOF"," ")</f>
        <v>LOF</v>
      </c>
    </row>
    <row r="53" spans="1:10" x14ac:dyDescent="0.2">
      <c r="A53" s="10" t="s">
        <v>2819</v>
      </c>
      <c r="B53" s="10">
        <v>1836</v>
      </c>
      <c r="C53" s="10" t="s">
        <v>2831</v>
      </c>
      <c r="D53" s="9" t="str">
        <f t="shared" si="1"/>
        <v>E1836*</v>
      </c>
      <c r="E53" s="10" t="s">
        <v>2779</v>
      </c>
      <c r="F53" s="10" t="s">
        <v>2815</v>
      </c>
      <c r="G53" s="10"/>
      <c r="H53" s="11" t="s">
        <v>2779</v>
      </c>
      <c r="I53" s="10">
        <v>-0.76839429800000003</v>
      </c>
      <c r="J53" s="11" t="str">
        <f>IF(I53&lt;-0.729,"LOF"," ")</f>
        <v>LOF</v>
      </c>
    </row>
    <row r="54" spans="1:10" x14ac:dyDescent="0.2">
      <c r="A54" s="10" t="s">
        <v>2835</v>
      </c>
      <c r="B54" s="10">
        <v>1837</v>
      </c>
      <c r="C54" s="10" t="s">
        <v>2825</v>
      </c>
      <c r="D54" s="9" t="str">
        <f t="shared" si="1"/>
        <v>W1837R</v>
      </c>
      <c r="E54" s="10" t="s">
        <v>2779</v>
      </c>
      <c r="F54" s="10" t="s">
        <v>2815</v>
      </c>
      <c r="G54" s="10"/>
      <c r="H54" s="11" t="s">
        <v>2779</v>
      </c>
      <c r="I54" s="10">
        <v>-1.114951644</v>
      </c>
      <c r="J54" s="11" t="str">
        <f>IF(I54&lt;-0.729,"LOF"," ")</f>
        <v>LOF</v>
      </c>
    </row>
    <row r="55" spans="1:10" x14ac:dyDescent="0.2">
      <c r="A55" s="10" t="s">
        <v>2835</v>
      </c>
      <c r="B55" s="10">
        <v>1837</v>
      </c>
      <c r="C55" s="10" t="s">
        <v>2821</v>
      </c>
      <c r="D55" s="9" t="str">
        <f t="shared" si="1"/>
        <v>W1837G</v>
      </c>
      <c r="E55" s="10" t="s">
        <v>2780</v>
      </c>
      <c r="F55" s="10" t="s">
        <v>2828</v>
      </c>
      <c r="G55" s="10"/>
      <c r="H55" s="11" t="s">
        <v>2780</v>
      </c>
      <c r="I55" s="10">
        <v>-0.79422333199999995</v>
      </c>
      <c r="J55" s="11" t="str">
        <f>IF(I55&lt;-0.729,"LOF"," ")</f>
        <v>LOF</v>
      </c>
    </row>
    <row r="56" spans="1:10" x14ac:dyDescent="0.2">
      <c r="A56" s="10" t="s">
        <v>2830</v>
      </c>
      <c r="B56" s="10">
        <v>1838</v>
      </c>
      <c r="C56" s="10" t="s">
        <v>2821</v>
      </c>
      <c r="D56" s="9" t="str">
        <f t="shared" si="1"/>
        <v>V1838G</v>
      </c>
      <c r="E56" s="10" t="s">
        <v>2781</v>
      </c>
      <c r="F56" s="10" t="s">
        <v>2829</v>
      </c>
      <c r="G56" s="10"/>
      <c r="H56" s="11" t="s">
        <v>2781</v>
      </c>
      <c r="I56" s="10">
        <v>-0.65478948000000003</v>
      </c>
      <c r="J56" s="10" t="s">
        <v>2786</v>
      </c>
    </row>
    <row r="57" spans="1:10" x14ac:dyDescent="0.2">
      <c r="A57" s="10" t="s">
        <v>2824</v>
      </c>
      <c r="B57" s="10">
        <v>1839</v>
      </c>
      <c r="C57" s="10" t="s">
        <v>74</v>
      </c>
      <c r="D57" s="9" t="str">
        <f t="shared" si="1"/>
        <v>L1839S</v>
      </c>
      <c r="E57" s="10" t="s">
        <v>2779</v>
      </c>
      <c r="F57" s="10" t="s">
        <v>2815</v>
      </c>
      <c r="G57" s="10"/>
      <c r="H57" s="11" t="s">
        <v>2779</v>
      </c>
      <c r="I57" s="10">
        <v>-0.82959757999999995</v>
      </c>
      <c r="J57" s="11" t="str">
        <f>IF(I57&lt;-0.729,"LOF"," ")</f>
        <v>LOF</v>
      </c>
    </row>
    <row r="58" spans="1:10" x14ac:dyDescent="0.2">
      <c r="A58" s="10" t="s">
        <v>2822</v>
      </c>
      <c r="B58" s="10">
        <v>1843</v>
      </c>
      <c r="C58" s="10" t="s">
        <v>2814</v>
      </c>
      <c r="D58" s="9" t="str">
        <f t="shared" si="1"/>
        <v>A1843P</v>
      </c>
      <c r="E58" s="10" t="s">
        <v>2781</v>
      </c>
      <c r="F58" s="10" t="s">
        <v>2828</v>
      </c>
      <c r="G58" s="10"/>
      <c r="H58" s="11" t="s">
        <v>2781</v>
      </c>
      <c r="I58" s="10">
        <v>-8.0813610000000004E-3</v>
      </c>
      <c r="J58" s="14" t="str">
        <f>IF(H58&gt;-0.503,"FUNC"," ")</f>
        <v>FUNC</v>
      </c>
    </row>
    <row r="59" spans="1:10" x14ac:dyDescent="0.2">
      <c r="A59" s="10" t="s">
        <v>2832</v>
      </c>
      <c r="B59" s="10">
        <v>1845</v>
      </c>
      <c r="C59" s="10" t="s">
        <v>2831</v>
      </c>
      <c r="D59" s="9" t="str">
        <f t="shared" si="1"/>
        <v>Y1845*</v>
      </c>
      <c r="E59" s="10" t="s">
        <v>2779</v>
      </c>
      <c r="F59" s="10" t="s">
        <v>2815</v>
      </c>
      <c r="G59" s="10"/>
      <c r="H59" s="11" t="s">
        <v>2779</v>
      </c>
      <c r="I59" s="10">
        <v>-0.81285569700000004</v>
      </c>
      <c r="J59" s="11" t="str">
        <f>IF(I59&lt;-0.729,"LOF"," ")</f>
        <v>LOF</v>
      </c>
    </row>
    <row r="60" spans="1:10" x14ac:dyDescent="0.2">
      <c r="A60" s="10" t="s">
        <v>2833</v>
      </c>
      <c r="B60" s="10">
        <v>1846</v>
      </c>
      <c r="C60" s="10" t="s">
        <v>2831</v>
      </c>
      <c r="D60" s="9" t="str">
        <f t="shared" si="1"/>
        <v>Q1846*</v>
      </c>
      <c r="E60" s="10" t="s">
        <v>2779</v>
      </c>
      <c r="F60" s="10" t="s">
        <v>2815</v>
      </c>
      <c r="G60" s="10"/>
      <c r="H60" s="11" t="s">
        <v>2779</v>
      </c>
      <c r="I60" s="10">
        <v>-1.217297107</v>
      </c>
      <c r="J60" s="11" t="str">
        <f>IF(I60&lt;-0.729,"LOF"," ")</f>
        <v>LOF</v>
      </c>
    </row>
    <row r="61" spans="1:10" x14ac:dyDescent="0.2">
      <c r="A61" s="10" t="s">
        <v>2833</v>
      </c>
      <c r="B61" s="10">
        <v>1848</v>
      </c>
      <c r="C61" s="10" t="s">
        <v>2831</v>
      </c>
      <c r="D61" s="9" t="str">
        <f t="shared" si="1"/>
        <v>Q1848*</v>
      </c>
      <c r="E61" s="10" t="s">
        <v>2779</v>
      </c>
      <c r="F61" s="10" t="s">
        <v>2815</v>
      </c>
      <c r="G61" s="10"/>
      <c r="H61" s="11" t="s">
        <v>2779</v>
      </c>
      <c r="I61" s="10">
        <v>-0.82394186400000002</v>
      </c>
      <c r="J61" s="11" t="str">
        <f>IF(I61&lt;-0.729,"LOF"," ")</f>
        <v>LOF</v>
      </c>
    </row>
    <row r="62" spans="1:10" x14ac:dyDescent="0.2">
      <c r="A62" s="10" t="s">
        <v>2832</v>
      </c>
      <c r="B62" s="10">
        <v>1853</v>
      </c>
      <c r="C62" s="10" t="s">
        <v>96</v>
      </c>
      <c r="D62" s="9" t="str">
        <f t="shared" si="1"/>
        <v>Y1853C</v>
      </c>
      <c r="E62" s="10" t="s">
        <v>2780</v>
      </c>
      <c r="F62" s="10" t="s">
        <v>2828</v>
      </c>
      <c r="G62" s="10"/>
      <c r="H62" s="11" t="s">
        <v>2780</v>
      </c>
      <c r="I62" s="10">
        <v>-1.282388611</v>
      </c>
      <c r="J62" s="11" t="str">
        <f>IF(I62&lt;-0.729,"LOF"," ")</f>
        <v>LOF</v>
      </c>
    </row>
    <row r="63" spans="1:10" x14ac:dyDescent="0.2">
      <c r="A63" s="9" t="s">
        <v>2824</v>
      </c>
      <c r="B63" s="9">
        <v>1854</v>
      </c>
      <c r="C63" s="9" t="s">
        <v>2831</v>
      </c>
      <c r="D63" s="9" t="s">
        <v>2045</v>
      </c>
      <c r="E63" s="10"/>
      <c r="F63" s="10"/>
      <c r="G63" s="10" t="s">
        <v>2779</v>
      </c>
      <c r="H63" s="11" t="s">
        <v>2779</v>
      </c>
      <c r="I63" s="10">
        <v>-0.77816547700000005</v>
      </c>
      <c r="J63" s="11" t="str">
        <f>IF(I63&lt;-0.729,"LOF"," ")</f>
        <v>LOF</v>
      </c>
    </row>
    <row r="64" spans="1:10" x14ac:dyDescent="0.2">
      <c r="A64" s="10" t="s">
        <v>2814</v>
      </c>
      <c r="B64" s="10">
        <v>1856</v>
      </c>
      <c r="C64" s="10" t="s">
        <v>74</v>
      </c>
      <c r="D64" s="9" t="str">
        <f>CONCATENATE(A64,B64,C64)</f>
        <v>P1856S</v>
      </c>
      <c r="E64" s="10" t="s">
        <v>2782</v>
      </c>
      <c r="F64" s="10" t="s">
        <v>2828</v>
      </c>
      <c r="G64" s="10"/>
      <c r="H64" s="14" t="s">
        <v>2782</v>
      </c>
      <c r="I64" s="10">
        <v>-5.2837279999999997E-3</v>
      </c>
      <c r="J64" s="14" t="str">
        <f>IF(H64&gt;-0.503,"FUNC"," ")</f>
        <v>FUNC</v>
      </c>
    </row>
    <row r="65" spans="1:10" x14ac:dyDescent="0.2">
      <c r="A65" s="10" t="s">
        <v>79</v>
      </c>
      <c r="B65" s="10">
        <v>1858</v>
      </c>
      <c r="C65" s="10" t="s">
        <v>2824</v>
      </c>
      <c r="D65" s="9" t="str">
        <f>CONCATENATE(A65,B65,C65)</f>
        <v>I1858L</v>
      </c>
      <c r="E65" s="10" t="s">
        <v>2136</v>
      </c>
      <c r="F65" s="10" t="s">
        <v>2815</v>
      </c>
      <c r="G65" s="10"/>
      <c r="H65" s="14" t="s">
        <v>2136</v>
      </c>
      <c r="I65" s="10">
        <v>0.18839830599999999</v>
      </c>
      <c r="J65" s="14" t="str">
        <f>IF(H65&gt;-0.503,"FUNC"," ")</f>
        <v>FUNC</v>
      </c>
    </row>
    <row r="66" spans="1:10" x14ac:dyDescent="0.2">
      <c r="A66" s="10" t="s">
        <v>2814</v>
      </c>
      <c r="B66" s="10">
        <v>1859</v>
      </c>
      <c r="C66" s="10" t="s">
        <v>2825</v>
      </c>
      <c r="D66" s="9" t="str">
        <f>CONCATENATE(A66,B66,C66)</f>
        <v>P1859R</v>
      </c>
      <c r="E66" s="10" t="s">
        <v>2136</v>
      </c>
      <c r="F66" s="10" t="s">
        <v>2815</v>
      </c>
      <c r="G66" s="10"/>
      <c r="H66" s="14" t="s">
        <v>2136</v>
      </c>
      <c r="I66" s="10">
        <v>-0.362589245</v>
      </c>
      <c r="J66" s="14" t="str">
        <f>IF(H66&gt;-0.503,"FUNC"," ")</f>
        <v>FUNC</v>
      </c>
    </row>
  </sheetData>
  <autoFilter ref="A1:J66" xr:uid="{428DEF65-85F4-CF49-A6C5-C778CF93FF46}">
    <sortState xmlns:xlrd2="http://schemas.microsoft.com/office/spreadsheetml/2017/richdata2" ref="A2:J66">
      <sortCondition ref="B1:B66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C3A7-BE91-DF4C-9406-8C14C2C1E408}">
  <dimension ref="A1:R4"/>
  <sheetViews>
    <sheetView workbookViewId="0">
      <selection activeCell="P16" sqref="P16"/>
    </sheetView>
  </sheetViews>
  <sheetFormatPr baseColWidth="10" defaultRowHeight="16" x14ac:dyDescent="0.2"/>
  <cols>
    <col min="1" max="1" width="6.33203125" bestFit="1" customWidth="1"/>
    <col min="2" max="2" width="13.1640625" bestFit="1" customWidth="1"/>
    <col min="4" max="4" width="11.83203125" bestFit="1" customWidth="1"/>
    <col min="5" max="5" width="16.83203125" bestFit="1" customWidth="1"/>
    <col min="6" max="6" width="13.33203125" bestFit="1" customWidth="1"/>
    <col min="7" max="7" width="23.1640625" bestFit="1" customWidth="1"/>
    <col min="8" max="8" width="17.6640625" bestFit="1" customWidth="1"/>
    <col min="9" max="9" width="15.5" bestFit="1" customWidth="1"/>
    <col min="10" max="10" width="18.5" bestFit="1" customWidth="1"/>
    <col min="11" max="11" width="16.5" bestFit="1" customWidth="1"/>
    <col min="12" max="12" width="23.6640625" bestFit="1" customWidth="1"/>
    <col min="13" max="13" width="21.6640625" bestFit="1" customWidth="1"/>
    <col min="14" max="14" width="32.5" bestFit="1" customWidth="1"/>
    <col min="15" max="15" width="30.33203125" bestFit="1" customWidth="1"/>
    <col min="16" max="16" width="23.33203125" bestFit="1" customWidth="1"/>
    <col min="17" max="17" width="21.1640625" bestFit="1" customWidth="1"/>
  </cols>
  <sheetData>
    <row r="1" spans="1:18" x14ac:dyDescent="0.2">
      <c r="A1" s="9" t="s">
        <v>2794</v>
      </c>
      <c r="B1" s="9" t="s">
        <v>2795</v>
      </c>
      <c r="C1" s="9" t="s">
        <v>2796</v>
      </c>
      <c r="D1" s="9" t="s">
        <v>2797</v>
      </c>
      <c r="E1" s="9" t="s">
        <v>2798</v>
      </c>
      <c r="F1" s="9" t="s">
        <v>2799</v>
      </c>
      <c r="G1" s="9" t="s">
        <v>2800</v>
      </c>
      <c r="H1" s="9" t="s">
        <v>2801</v>
      </c>
      <c r="I1" s="9" t="s">
        <v>2802</v>
      </c>
      <c r="J1" s="9" t="s">
        <v>2803</v>
      </c>
      <c r="K1" s="9" t="s">
        <v>2804</v>
      </c>
      <c r="L1" s="9" t="s">
        <v>2805</v>
      </c>
      <c r="M1" s="9" t="s">
        <v>2806</v>
      </c>
      <c r="N1" s="9" t="s">
        <v>2807</v>
      </c>
      <c r="O1" s="9" t="s">
        <v>2808</v>
      </c>
      <c r="P1" s="9" t="s">
        <v>2809</v>
      </c>
      <c r="Q1" s="9" t="s">
        <v>2810</v>
      </c>
      <c r="R1" s="12"/>
    </row>
    <row r="2" spans="1:18" x14ac:dyDescent="0.2">
      <c r="A2" s="9" t="s">
        <v>2787</v>
      </c>
      <c r="B2" s="9" t="s">
        <v>2791</v>
      </c>
      <c r="C2" s="13"/>
      <c r="D2" s="13">
        <v>70</v>
      </c>
      <c r="E2" s="13">
        <v>54</v>
      </c>
      <c r="F2" s="13">
        <v>16</v>
      </c>
      <c r="G2" s="13">
        <f t="shared" ref="G2:G4" si="0">(E2/D2)</f>
        <v>0.77142857142857146</v>
      </c>
      <c r="H2" s="13">
        <v>51</v>
      </c>
      <c r="I2" s="13">
        <v>14</v>
      </c>
      <c r="J2" s="13">
        <v>50</v>
      </c>
      <c r="K2" s="13">
        <v>1</v>
      </c>
      <c r="L2" s="55">
        <f t="shared" ref="L2" si="1">(J2)/(H2+1)</f>
        <v>0.96153846153846156</v>
      </c>
      <c r="M2" s="13">
        <f t="shared" ref="M2" si="2">(K2)/(I2)</f>
        <v>7.1428571428571425E-2</v>
      </c>
      <c r="N2" s="56">
        <f t="shared" ref="N2:O4" si="3">((L2)*(1-$G2))/((1-L2)*($G2))</f>
        <v>7.407407407407411</v>
      </c>
      <c r="O2" s="9">
        <f t="shared" si="3"/>
        <v>2.2792022792022786E-2</v>
      </c>
      <c r="P2" s="9" t="s">
        <v>2788</v>
      </c>
      <c r="Q2" s="9" t="s">
        <v>2790</v>
      </c>
    </row>
    <row r="3" spans="1:18" x14ac:dyDescent="0.2">
      <c r="A3" s="9" t="s">
        <v>2787</v>
      </c>
      <c r="B3" s="9" t="s">
        <v>2792</v>
      </c>
      <c r="C3" s="13"/>
      <c r="D3" s="13">
        <v>65</v>
      </c>
      <c r="E3" s="13">
        <v>51</v>
      </c>
      <c r="F3" s="13">
        <v>14</v>
      </c>
      <c r="G3" s="13">
        <f t="shared" si="0"/>
        <v>0.7846153846153846</v>
      </c>
      <c r="H3" s="13">
        <v>44</v>
      </c>
      <c r="I3" s="13">
        <v>18</v>
      </c>
      <c r="J3" s="13">
        <v>44</v>
      </c>
      <c r="K3" s="13">
        <v>4</v>
      </c>
      <c r="L3" s="55">
        <f t="shared" ref="L3:L4" si="4">(J3)/(H3+1)</f>
        <v>0.97777777777777775</v>
      </c>
      <c r="M3" s="13">
        <f t="shared" ref="M3:M4" si="5">(K3)/(I3)</f>
        <v>0.22222222222222221</v>
      </c>
      <c r="N3" s="56">
        <f t="shared" si="3"/>
        <v>12.078431372549003</v>
      </c>
      <c r="O3" s="9">
        <f t="shared" si="3"/>
        <v>7.8431372549019607E-2</v>
      </c>
      <c r="P3" s="9" t="s">
        <v>2788</v>
      </c>
      <c r="Q3" s="9" t="s">
        <v>2790</v>
      </c>
    </row>
    <row r="4" spans="1:18" x14ac:dyDescent="0.2">
      <c r="A4" s="9" t="s">
        <v>2787</v>
      </c>
      <c r="B4" s="9" t="s">
        <v>2793</v>
      </c>
      <c r="C4" s="13"/>
      <c r="D4" s="13">
        <v>68</v>
      </c>
      <c r="E4" s="13">
        <v>29</v>
      </c>
      <c r="F4" s="13">
        <v>39</v>
      </c>
      <c r="G4" s="13">
        <f t="shared" si="0"/>
        <v>0.4264705882352941</v>
      </c>
      <c r="H4" s="13">
        <v>26</v>
      </c>
      <c r="I4" s="13">
        <v>41</v>
      </c>
      <c r="J4" s="13">
        <v>26</v>
      </c>
      <c r="K4" s="13">
        <v>2</v>
      </c>
      <c r="L4" s="55">
        <f t="shared" si="4"/>
        <v>0.96296296296296291</v>
      </c>
      <c r="M4" s="13">
        <f t="shared" si="5"/>
        <v>4.878048780487805E-2</v>
      </c>
      <c r="N4" s="56">
        <f t="shared" si="3"/>
        <v>34.96551724137926</v>
      </c>
      <c r="O4" s="9">
        <f t="shared" si="3"/>
        <v>6.8965517241379309E-2</v>
      </c>
      <c r="P4" s="9" t="s">
        <v>2789</v>
      </c>
      <c r="Q4" s="9" t="s">
        <v>2790</v>
      </c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78A6-25BC-F549-81BF-5903535579D5}">
  <dimension ref="A1:V192"/>
  <sheetViews>
    <sheetView workbookViewId="0">
      <selection activeCell="N45" sqref="N45"/>
    </sheetView>
  </sheetViews>
  <sheetFormatPr baseColWidth="10" defaultColWidth="9.1640625" defaultRowHeight="16" x14ac:dyDescent="0.2"/>
  <cols>
    <col min="1" max="1" width="9.1640625" style="6"/>
    <col min="2" max="2" width="9.1640625" style="5"/>
    <col min="3" max="3" width="15.5" style="16" customWidth="1"/>
    <col min="4" max="4" width="10.6640625" style="8" bestFit="1" customWidth="1"/>
    <col min="5" max="5" width="13.83203125" style="8" customWidth="1"/>
    <col min="6" max="7" width="12.6640625" style="5" customWidth="1"/>
    <col min="8" max="8" width="9.1640625" style="5"/>
    <col min="9" max="9" width="25.33203125" style="10" bestFit="1" customWidth="1"/>
    <col min="10" max="10" width="43" style="10" bestFit="1" customWidth="1"/>
    <col min="11" max="11" width="14.1640625" style="5" bestFit="1" customWidth="1"/>
    <col min="12" max="16384" width="9.1640625" style="5"/>
  </cols>
  <sheetData>
    <row r="1" spans="1:11" x14ac:dyDescent="0.2">
      <c r="A1" s="17"/>
      <c r="B1" s="18"/>
      <c r="C1" s="19" t="s">
        <v>21</v>
      </c>
      <c r="D1" s="36" t="s">
        <v>2649</v>
      </c>
      <c r="E1" s="36" t="s">
        <v>2777</v>
      </c>
      <c r="F1" s="18" t="s">
        <v>2650</v>
      </c>
      <c r="G1" s="18" t="s">
        <v>2785</v>
      </c>
      <c r="H1" s="18"/>
      <c r="I1" s="20" t="s">
        <v>2784</v>
      </c>
      <c r="J1" s="20" t="s">
        <v>2840</v>
      </c>
      <c r="K1" s="18" t="s">
        <v>2873</v>
      </c>
    </row>
    <row r="2" spans="1:11" x14ac:dyDescent="0.2">
      <c r="A2" s="21">
        <v>7</v>
      </c>
      <c r="B2" s="21" t="s">
        <v>96</v>
      </c>
      <c r="C2" s="22" t="s">
        <v>2776</v>
      </c>
      <c r="D2" s="23">
        <v>0.82</v>
      </c>
      <c r="E2" s="23">
        <v>6.5300000000000002E-3</v>
      </c>
      <c r="F2" s="18" t="s">
        <v>2723</v>
      </c>
      <c r="G2" s="24" t="str">
        <f t="shared" ref="G2:G16" si="0">IF(D2&lt;0.48,"LOF","FUNC")</f>
        <v>FUNC</v>
      </c>
      <c r="H2" s="18"/>
      <c r="I2" s="20"/>
      <c r="J2" s="20"/>
      <c r="K2" s="18" t="s">
        <v>2846</v>
      </c>
    </row>
    <row r="3" spans="1:11" x14ac:dyDescent="0.2">
      <c r="A3" s="21">
        <v>7</v>
      </c>
      <c r="B3" s="21" t="s">
        <v>2834</v>
      </c>
      <c r="C3" s="22" t="s">
        <v>2775</v>
      </c>
      <c r="D3" s="23">
        <v>1.01</v>
      </c>
      <c r="E3" s="23">
        <v>3.6249999999999998E-2</v>
      </c>
      <c r="F3" s="18" t="s">
        <v>2723</v>
      </c>
      <c r="G3" s="24" t="str">
        <f t="shared" si="0"/>
        <v>FUNC</v>
      </c>
      <c r="H3" s="18"/>
      <c r="I3" s="20"/>
      <c r="J3" s="20"/>
      <c r="K3" s="18" t="s">
        <v>2846</v>
      </c>
    </row>
    <row r="4" spans="1:11" x14ac:dyDescent="0.2">
      <c r="A4" s="21">
        <v>9</v>
      </c>
      <c r="B4" s="21" t="s">
        <v>2833</v>
      </c>
      <c r="C4" s="22" t="s">
        <v>2774</v>
      </c>
      <c r="D4" s="23">
        <v>1.1399999999999999</v>
      </c>
      <c r="E4" s="23">
        <v>3.9503999999999997E-2</v>
      </c>
      <c r="F4" s="18" t="s">
        <v>2723</v>
      </c>
      <c r="G4" s="24" t="str">
        <f t="shared" si="0"/>
        <v>FUNC</v>
      </c>
      <c r="H4" s="18"/>
      <c r="I4" s="20"/>
      <c r="J4" s="20"/>
      <c r="K4" s="18" t="s">
        <v>2846</v>
      </c>
    </row>
    <row r="5" spans="1:11" x14ac:dyDescent="0.2">
      <c r="A5" s="21">
        <v>15</v>
      </c>
      <c r="B5" s="21" t="s">
        <v>2818</v>
      </c>
      <c r="C5" s="22" t="s">
        <v>2773</v>
      </c>
      <c r="D5" s="23">
        <v>0.35299900000000001</v>
      </c>
      <c r="E5" s="23">
        <v>1.0553E-2</v>
      </c>
      <c r="F5" s="18" t="s">
        <v>2723</v>
      </c>
      <c r="G5" s="25" t="str">
        <f t="shared" si="0"/>
        <v>LOF</v>
      </c>
      <c r="H5" s="18"/>
      <c r="I5" s="20"/>
      <c r="J5" s="20"/>
      <c r="K5" s="18" t="s">
        <v>2846</v>
      </c>
    </row>
    <row r="6" spans="1:11" x14ac:dyDescent="0.2">
      <c r="A6" s="21">
        <v>18</v>
      </c>
      <c r="B6" s="21" t="s">
        <v>2818</v>
      </c>
      <c r="C6" s="22" t="s">
        <v>2772</v>
      </c>
      <c r="D6" s="23">
        <v>0.16</v>
      </c>
      <c r="E6" s="23">
        <v>3.7999999999999999E-2</v>
      </c>
      <c r="F6" s="18" t="s">
        <v>2723</v>
      </c>
      <c r="G6" s="25" t="str">
        <f t="shared" si="0"/>
        <v>LOF</v>
      </c>
      <c r="H6" s="18"/>
      <c r="I6" s="26" t="s">
        <v>2779</v>
      </c>
      <c r="J6" s="20" t="s">
        <v>2815</v>
      </c>
      <c r="K6" s="18" t="s">
        <v>2844</v>
      </c>
    </row>
    <row r="7" spans="1:11" x14ac:dyDescent="0.2">
      <c r="A7" s="21">
        <v>21</v>
      </c>
      <c r="B7" s="21" t="s">
        <v>2819</v>
      </c>
      <c r="C7" s="22" t="s">
        <v>2771</v>
      </c>
      <c r="D7" s="23">
        <v>1.03</v>
      </c>
      <c r="E7" s="23">
        <v>4.9798000000000002E-2</v>
      </c>
      <c r="F7" s="18" t="s">
        <v>2723</v>
      </c>
      <c r="G7" s="24" t="str">
        <f t="shared" si="0"/>
        <v>FUNC</v>
      </c>
      <c r="H7" s="18"/>
      <c r="I7" s="20"/>
      <c r="J7" s="20"/>
      <c r="K7" s="18"/>
    </row>
    <row r="8" spans="1:11" x14ac:dyDescent="0.2">
      <c r="A8" s="21">
        <v>21</v>
      </c>
      <c r="B8" s="21" t="s">
        <v>2830</v>
      </c>
      <c r="C8" s="22" t="s">
        <v>2770</v>
      </c>
      <c r="D8" s="23">
        <v>0.99</v>
      </c>
      <c r="E8" s="23">
        <v>2.3E-2</v>
      </c>
      <c r="F8" s="18" t="s">
        <v>2723</v>
      </c>
      <c r="G8" s="24" t="str">
        <f t="shared" si="0"/>
        <v>FUNC</v>
      </c>
      <c r="H8" s="18"/>
      <c r="I8" s="20"/>
      <c r="J8" s="20"/>
      <c r="K8" s="18" t="s">
        <v>2844</v>
      </c>
    </row>
    <row r="9" spans="1:11" x14ac:dyDescent="0.2">
      <c r="A9" s="21">
        <v>22</v>
      </c>
      <c r="B9" s="21" t="s">
        <v>74</v>
      </c>
      <c r="C9" s="22" t="s">
        <v>2769</v>
      </c>
      <c r="D9" s="23">
        <v>0.33161299999999999</v>
      </c>
      <c r="E9" s="23">
        <v>8.6149999999999994E-3</v>
      </c>
      <c r="F9" s="18" t="s">
        <v>2723</v>
      </c>
      <c r="G9" s="25" t="str">
        <f t="shared" si="0"/>
        <v>LOF</v>
      </c>
      <c r="H9" s="18"/>
      <c r="I9" s="26" t="s">
        <v>2779</v>
      </c>
      <c r="J9" s="20" t="s">
        <v>2815</v>
      </c>
      <c r="K9" s="18" t="s">
        <v>2846</v>
      </c>
    </row>
    <row r="10" spans="1:11" x14ac:dyDescent="0.2">
      <c r="A10" s="17">
        <v>23</v>
      </c>
      <c r="B10" s="21" t="s">
        <v>2655</v>
      </c>
      <c r="C10" s="22" t="s">
        <v>2768</v>
      </c>
      <c r="D10" s="23">
        <v>9.4746999999999998E-2</v>
      </c>
      <c r="E10" s="23">
        <v>2.2499999999999998E-3</v>
      </c>
      <c r="F10" s="18" t="s">
        <v>2653</v>
      </c>
      <c r="G10" s="25" t="str">
        <f t="shared" si="0"/>
        <v>LOF</v>
      </c>
      <c r="H10" s="18"/>
      <c r="I10" s="26" t="s">
        <v>2779</v>
      </c>
      <c r="J10" s="20" t="s">
        <v>2815</v>
      </c>
      <c r="K10" s="18" t="s">
        <v>2845</v>
      </c>
    </row>
    <row r="11" spans="1:11" x14ac:dyDescent="0.2">
      <c r="A11" s="21">
        <v>24</v>
      </c>
      <c r="B11" s="21" t="s">
        <v>2825</v>
      </c>
      <c r="C11" s="22" t="s">
        <v>2767</v>
      </c>
      <c r="D11" s="23">
        <v>0.14000000000000001</v>
      </c>
      <c r="E11" s="23">
        <v>3.4639999999999997E-2</v>
      </c>
      <c r="F11" s="18" t="s">
        <v>2723</v>
      </c>
      <c r="G11" s="25" t="str">
        <f t="shared" si="0"/>
        <v>LOF</v>
      </c>
      <c r="H11" s="18"/>
      <c r="I11" s="26" t="s">
        <v>2780</v>
      </c>
      <c r="J11" s="20" t="s">
        <v>2828</v>
      </c>
      <c r="K11" s="18" t="s">
        <v>2844</v>
      </c>
    </row>
    <row r="12" spans="1:11" x14ac:dyDescent="0.2">
      <c r="A12" s="21">
        <v>26</v>
      </c>
      <c r="B12" s="21" t="s">
        <v>2822</v>
      </c>
      <c r="C12" s="22" t="s">
        <v>2766</v>
      </c>
      <c r="D12" s="23">
        <v>0.74</v>
      </c>
      <c r="E12" s="23">
        <v>2.3099999999999999E-2</v>
      </c>
      <c r="F12" s="18" t="s">
        <v>2723</v>
      </c>
      <c r="G12" s="24" t="str">
        <f t="shared" si="0"/>
        <v>FUNC</v>
      </c>
      <c r="H12" s="18" t="s">
        <v>2740</v>
      </c>
      <c r="I12" s="20"/>
      <c r="J12" s="20"/>
      <c r="K12" s="18"/>
    </row>
    <row r="13" spans="1:11" x14ac:dyDescent="0.2">
      <c r="A13" s="21">
        <v>27</v>
      </c>
      <c r="B13" s="21" t="s">
        <v>2822</v>
      </c>
      <c r="C13" s="22" t="s">
        <v>2765</v>
      </c>
      <c r="D13" s="23">
        <v>0.14000000000000001</v>
      </c>
      <c r="E13" s="23">
        <v>2.8899999999999999E-2</v>
      </c>
      <c r="F13" s="18" t="s">
        <v>2723</v>
      </c>
      <c r="G13" s="25" t="str">
        <f t="shared" si="0"/>
        <v>LOF</v>
      </c>
      <c r="H13" s="18" t="s">
        <v>2740</v>
      </c>
      <c r="I13" s="20"/>
      <c r="J13" s="20"/>
      <c r="K13" s="18" t="s">
        <v>2844</v>
      </c>
    </row>
    <row r="14" spans="1:11" x14ac:dyDescent="0.2">
      <c r="A14" s="21">
        <v>28</v>
      </c>
      <c r="B14" s="21" t="s">
        <v>2814</v>
      </c>
      <c r="C14" s="22" t="s">
        <v>2764</v>
      </c>
      <c r="D14" s="23">
        <v>0.31612600000000002</v>
      </c>
      <c r="E14" s="23">
        <v>2.9395999999999999E-2</v>
      </c>
      <c r="F14" s="18" t="s">
        <v>2723</v>
      </c>
      <c r="G14" s="25" t="str">
        <f t="shared" si="0"/>
        <v>LOF</v>
      </c>
      <c r="H14" s="18" t="s">
        <v>2740</v>
      </c>
      <c r="I14" s="20"/>
      <c r="J14" s="20"/>
      <c r="K14" s="18" t="s">
        <v>2846</v>
      </c>
    </row>
    <row r="15" spans="1:11" x14ac:dyDescent="0.2">
      <c r="A15" s="21">
        <v>30</v>
      </c>
      <c r="B15" s="21" t="s">
        <v>2826</v>
      </c>
      <c r="C15" s="22" t="s">
        <v>2763</v>
      </c>
      <c r="D15" s="23">
        <v>0.83</v>
      </c>
      <c r="E15" s="23">
        <v>1.9924000000000001E-2</v>
      </c>
      <c r="F15" s="18" t="s">
        <v>2723</v>
      </c>
      <c r="G15" s="24" t="str">
        <f t="shared" si="0"/>
        <v>FUNC</v>
      </c>
      <c r="H15" s="18"/>
      <c r="I15" s="20"/>
      <c r="J15" s="20"/>
      <c r="K15" s="18" t="s">
        <v>2846</v>
      </c>
    </row>
    <row r="16" spans="1:11" x14ac:dyDescent="0.2">
      <c r="A16" s="21">
        <v>31</v>
      </c>
      <c r="B16" s="21" t="s">
        <v>2817</v>
      </c>
      <c r="C16" s="22" t="s">
        <v>2762</v>
      </c>
      <c r="D16" s="23">
        <v>0.96</v>
      </c>
      <c r="E16" s="23">
        <v>2.8899999999999999E-2</v>
      </c>
      <c r="F16" s="18" t="s">
        <v>2723</v>
      </c>
      <c r="G16" s="24" t="str">
        <f t="shared" si="0"/>
        <v>FUNC</v>
      </c>
      <c r="H16" s="18"/>
      <c r="I16" s="20"/>
      <c r="J16" s="20"/>
      <c r="K16" s="18" t="s">
        <v>2844</v>
      </c>
    </row>
    <row r="17" spans="1:11" x14ac:dyDescent="0.2">
      <c r="A17" s="21">
        <v>34</v>
      </c>
      <c r="B17" s="21" t="s">
        <v>74</v>
      </c>
      <c r="C17" s="22" t="s">
        <v>2761</v>
      </c>
      <c r="D17" s="23">
        <v>0.48</v>
      </c>
      <c r="E17" s="23">
        <v>9.2599999999999991E-3</v>
      </c>
      <c r="F17" s="18" t="s">
        <v>2723</v>
      </c>
      <c r="G17" s="27" t="s">
        <v>2786</v>
      </c>
      <c r="H17" s="18"/>
      <c r="I17" s="20"/>
      <c r="J17" s="20"/>
      <c r="K17" s="18"/>
    </row>
    <row r="18" spans="1:11" x14ac:dyDescent="0.2">
      <c r="A18" s="21">
        <v>36</v>
      </c>
      <c r="B18" s="21" t="s">
        <v>79</v>
      </c>
      <c r="C18" s="22" t="s">
        <v>2760</v>
      </c>
      <c r="D18" s="23">
        <v>0.95</v>
      </c>
      <c r="E18" s="23">
        <v>3.3224999999999998E-2</v>
      </c>
      <c r="F18" s="18" t="s">
        <v>2723</v>
      </c>
      <c r="G18" s="24" t="str">
        <f t="shared" ref="G18:G49" si="1">IF(D18&lt;0.48,"LOF","FUNC")</f>
        <v>FUNC</v>
      </c>
      <c r="H18" s="18"/>
      <c r="I18" s="20"/>
      <c r="J18" s="20"/>
      <c r="K18" s="18"/>
    </row>
    <row r="19" spans="1:11" x14ac:dyDescent="0.2">
      <c r="A19" s="21">
        <v>36</v>
      </c>
      <c r="B19" s="21" t="s">
        <v>2832</v>
      </c>
      <c r="C19" s="22" t="s">
        <v>2759</v>
      </c>
      <c r="D19" s="23">
        <v>1.4022289766970619</v>
      </c>
      <c r="E19" s="23">
        <v>3.3207450084236902E-2</v>
      </c>
      <c r="F19" s="18" t="s">
        <v>2723</v>
      </c>
      <c r="G19" s="24" t="str">
        <f t="shared" si="1"/>
        <v>FUNC</v>
      </c>
      <c r="H19" s="18"/>
      <c r="I19" s="20"/>
      <c r="J19" s="20"/>
      <c r="K19" s="18" t="s">
        <v>2845</v>
      </c>
    </row>
    <row r="20" spans="1:11" x14ac:dyDescent="0.2">
      <c r="A20" s="21">
        <v>37</v>
      </c>
      <c r="B20" s="21" t="s">
        <v>2825</v>
      </c>
      <c r="C20" s="22" t="s">
        <v>2758</v>
      </c>
      <c r="D20" s="23">
        <v>0.14000000000000001</v>
      </c>
      <c r="E20" s="23">
        <v>4.0399999999999998E-2</v>
      </c>
      <c r="F20" s="18" t="s">
        <v>2723</v>
      </c>
      <c r="G20" s="25" t="str">
        <f t="shared" si="1"/>
        <v>LOF</v>
      </c>
      <c r="H20" s="18"/>
      <c r="I20" s="26" t="s">
        <v>2780</v>
      </c>
      <c r="J20" s="20" t="s">
        <v>2828</v>
      </c>
      <c r="K20" s="18" t="s">
        <v>2846</v>
      </c>
    </row>
    <row r="21" spans="1:11" x14ac:dyDescent="0.2">
      <c r="A21" s="21">
        <v>38</v>
      </c>
      <c r="B21" s="21" t="s">
        <v>82</v>
      </c>
      <c r="C21" s="22" t="s">
        <v>2757</v>
      </c>
      <c r="D21" s="23">
        <v>1.1000000000000001</v>
      </c>
      <c r="E21" s="23">
        <v>2.3050000000000001E-2</v>
      </c>
      <c r="F21" s="18" t="s">
        <v>2723</v>
      </c>
      <c r="G21" s="24" t="str">
        <f t="shared" si="1"/>
        <v>FUNC</v>
      </c>
      <c r="H21" s="18"/>
      <c r="I21" s="20"/>
      <c r="J21" s="20"/>
      <c r="K21" s="18" t="s">
        <v>2846</v>
      </c>
    </row>
    <row r="22" spans="1:11" x14ac:dyDescent="0.2">
      <c r="A22" s="21">
        <v>39</v>
      </c>
      <c r="B22" s="21" t="s">
        <v>2832</v>
      </c>
      <c r="C22" s="22" t="s">
        <v>2756</v>
      </c>
      <c r="D22" s="23">
        <v>0.12</v>
      </c>
      <c r="E22" s="23">
        <v>3.4599999999999999E-2</v>
      </c>
      <c r="F22" s="18" t="s">
        <v>2723</v>
      </c>
      <c r="G22" s="25" t="str">
        <f t="shared" si="1"/>
        <v>LOF</v>
      </c>
      <c r="H22" s="18"/>
      <c r="I22" s="26" t="s">
        <v>2779</v>
      </c>
      <c r="J22" s="20" t="s">
        <v>2828</v>
      </c>
      <c r="K22" s="18" t="s">
        <v>2844</v>
      </c>
    </row>
    <row r="23" spans="1:11" x14ac:dyDescent="0.2">
      <c r="A23" s="21">
        <v>41</v>
      </c>
      <c r="B23" s="21" t="s">
        <v>2825</v>
      </c>
      <c r="C23" s="22" t="s">
        <v>2755</v>
      </c>
      <c r="D23" s="23">
        <v>0.14000000000000001</v>
      </c>
      <c r="E23" s="23">
        <v>2.8899999999999999E-2</v>
      </c>
      <c r="F23" s="18" t="s">
        <v>2723</v>
      </c>
      <c r="G23" s="25" t="str">
        <f t="shared" si="1"/>
        <v>LOF</v>
      </c>
      <c r="H23" s="18"/>
      <c r="I23" s="26" t="s">
        <v>2779</v>
      </c>
      <c r="J23" s="20" t="s">
        <v>2815</v>
      </c>
      <c r="K23" s="18" t="s">
        <v>2844</v>
      </c>
    </row>
    <row r="24" spans="1:11" x14ac:dyDescent="0.2">
      <c r="A24" s="21">
        <v>42</v>
      </c>
      <c r="B24" s="21" t="s">
        <v>2830</v>
      </c>
      <c r="C24" s="22" t="s">
        <v>2754</v>
      </c>
      <c r="D24" s="23">
        <v>1.06</v>
      </c>
      <c r="E24" s="23">
        <v>0.11547</v>
      </c>
      <c r="F24" s="18" t="s">
        <v>2723</v>
      </c>
      <c r="G24" s="24" t="str">
        <f t="shared" si="1"/>
        <v>FUNC</v>
      </c>
      <c r="H24" s="18"/>
      <c r="I24" s="20"/>
      <c r="J24" s="20"/>
      <c r="K24" s="18" t="s">
        <v>2844</v>
      </c>
    </row>
    <row r="25" spans="1:11" x14ac:dyDescent="0.2">
      <c r="A25" s="21">
        <v>44</v>
      </c>
      <c r="B25" s="21" t="s">
        <v>2826</v>
      </c>
      <c r="C25" s="22" t="s">
        <v>2753</v>
      </c>
      <c r="D25" s="23">
        <v>0.16</v>
      </c>
      <c r="E25" s="23">
        <v>1.7299999999999999E-2</v>
      </c>
      <c r="F25" s="18" t="s">
        <v>2723</v>
      </c>
      <c r="G25" s="25" t="str">
        <f t="shared" si="1"/>
        <v>LOF</v>
      </c>
      <c r="H25" s="18" t="s">
        <v>2740</v>
      </c>
      <c r="I25" s="26" t="s">
        <v>2779</v>
      </c>
      <c r="J25" s="20" t="s">
        <v>2815</v>
      </c>
      <c r="K25" s="18" t="s">
        <v>2844</v>
      </c>
    </row>
    <row r="26" spans="1:11" x14ac:dyDescent="0.2">
      <c r="A26" s="21">
        <v>44</v>
      </c>
      <c r="B26" s="21" t="s">
        <v>74</v>
      </c>
      <c r="C26" s="22" t="s">
        <v>2752</v>
      </c>
      <c r="D26" s="23">
        <v>0.18854499999999999</v>
      </c>
      <c r="E26" s="23">
        <v>8.6149999999999994E-3</v>
      </c>
      <c r="F26" s="18" t="s">
        <v>2723</v>
      </c>
      <c r="G26" s="25" t="str">
        <f t="shared" si="1"/>
        <v>LOF</v>
      </c>
      <c r="H26" s="18" t="s">
        <v>2740</v>
      </c>
      <c r="I26" s="26" t="s">
        <v>2779</v>
      </c>
      <c r="J26" s="20" t="s">
        <v>2815</v>
      </c>
      <c r="K26" s="18" t="s">
        <v>2846</v>
      </c>
    </row>
    <row r="27" spans="1:11" x14ac:dyDescent="0.2">
      <c r="A27" s="21">
        <v>45</v>
      </c>
      <c r="B27" s="21" t="s">
        <v>82</v>
      </c>
      <c r="C27" s="22" t="s">
        <v>2751</v>
      </c>
      <c r="D27" s="23">
        <v>0.83825000000000005</v>
      </c>
      <c r="E27" s="23">
        <v>1.6271000000000001E-2</v>
      </c>
      <c r="F27" s="18" t="s">
        <v>2723</v>
      </c>
      <c r="G27" s="24" t="str">
        <f t="shared" si="1"/>
        <v>FUNC</v>
      </c>
      <c r="H27" s="18" t="s">
        <v>2740</v>
      </c>
      <c r="I27" s="20"/>
      <c r="J27" s="20"/>
      <c r="K27" s="18" t="s">
        <v>2846</v>
      </c>
    </row>
    <row r="28" spans="1:11" x14ac:dyDescent="0.2">
      <c r="A28" s="21">
        <v>47</v>
      </c>
      <c r="B28" s="21" t="s">
        <v>2821</v>
      </c>
      <c r="C28" s="22" t="s">
        <v>2750</v>
      </c>
      <c r="D28" s="23">
        <v>0.16</v>
      </c>
      <c r="E28" s="23">
        <v>1.7299999999999999E-2</v>
      </c>
      <c r="F28" s="18" t="s">
        <v>2723</v>
      </c>
      <c r="G28" s="25" t="str">
        <f t="shared" si="1"/>
        <v>LOF</v>
      </c>
      <c r="H28" s="18"/>
      <c r="I28" s="26" t="s">
        <v>2781</v>
      </c>
      <c r="J28" s="20" t="s">
        <v>2829</v>
      </c>
      <c r="K28" s="18" t="s">
        <v>2844</v>
      </c>
    </row>
    <row r="29" spans="1:11" x14ac:dyDescent="0.2">
      <c r="A29" s="21">
        <v>49</v>
      </c>
      <c r="B29" s="21" t="s">
        <v>2817</v>
      </c>
      <c r="C29" s="22" t="s">
        <v>2749</v>
      </c>
      <c r="D29" s="23">
        <v>0.78</v>
      </c>
      <c r="E29" s="23">
        <v>4.4356E-2</v>
      </c>
      <c r="F29" s="18" t="s">
        <v>2723</v>
      </c>
      <c r="G29" s="24" t="str">
        <f t="shared" si="1"/>
        <v>FUNC</v>
      </c>
      <c r="H29" s="18"/>
      <c r="I29" s="20"/>
      <c r="J29" s="20"/>
      <c r="K29" s="18" t="s">
        <v>2846</v>
      </c>
    </row>
    <row r="30" spans="1:11" x14ac:dyDescent="0.2">
      <c r="A30" s="21">
        <v>51</v>
      </c>
      <c r="B30" s="21" t="s">
        <v>2835</v>
      </c>
      <c r="C30" s="22" t="s">
        <v>2748</v>
      </c>
      <c r="D30" s="23">
        <v>0.66</v>
      </c>
      <c r="E30" s="23">
        <v>8.1290000000000008E-3</v>
      </c>
      <c r="F30" s="18" t="s">
        <v>2723</v>
      </c>
      <c r="G30" s="24" t="str">
        <f t="shared" si="1"/>
        <v>FUNC</v>
      </c>
      <c r="H30" s="18"/>
      <c r="I30" s="20"/>
      <c r="J30" s="20"/>
      <c r="K30" s="18"/>
    </row>
    <row r="31" spans="1:11" x14ac:dyDescent="0.2">
      <c r="A31" s="17">
        <v>52</v>
      </c>
      <c r="B31" s="21" t="s">
        <v>2826</v>
      </c>
      <c r="C31" s="22" t="s">
        <v>2747</v>
      </c>
      <c r="D31" s="23">
        <v>1.02</v>
      </c>
      <c r="E31" s="23">
        <v>9.8000000000000004E-2</v>
      </c>
      <c r="F31" s="18" t="s">
        <v>2723</v>
      </c>
      <c r="G31" s="24" t="str">
        <f t="shared" si="1"/>
        <v>FUNC</v>
      </c>
      <c r="H31" s="18"/>
      <c r="I31" s="20"/>
      <c r="J31" s="20"/>
      <c r="K31" s="18" t="s">
        <v>2844</v>
      </c>
    </row>
    <row r="32" spans="1:11" x14ac:dyDescent="0.2">
      <c r="A32" s="21">
        <v>61</v>
      </c>
      <c r="B32" s="21" t="s">
        <v>2821</v>
      </c>
      <c r="C32" s="22" t="s">
        <v>2746</v>
      </c>
      <c r="D32" s="23">
        <v>0.16</v>
      </c>
      <c r="E32" s="23">
        <v>2.8899999999999999E-2</v>
      </c>
      <c r="F32" s="18" t="s">
        <v>2723</v>
      </c>
      <c r="G32" s="25" t="str">
        <f t="shared" si="1"/>
        <v>LOF</v>
      </c>
      <c r="H32" s="18"/>
      <c r="I32" s="26" t="s">
        <v>2779</v>
      </c>
      <c r="J32" s="20" t="s">
        <v>2815</v>
      </c>
      <c r="K32" s="18" t="s">
        <v>2844</v>
      </c>
    </row>
    <row r="33" spans="1:11" x14ac:dyDescent="0.2">
      <c r="A33" s="21">
        <v>64</v>
      </c>
      <c r="B33" s="21" t="s">
        <v>2821</v>
      </c>
      <c r="C33" s="22" t="s">
        <v>2745</v>
      </c>
      <c r="D33" s="23">
        <v>0.15</v>
      </c>
      <c r="E33" s="23">
        <v>2.8899999999999999E-2</v>
      </c>
      <c r="F33" s="18" t="s">
        <v>2723</v>
      </c>
      <c r="G33" s="25" t="str">
        <f t="shared" si="1"/>
        <v>LOF</v>
      </c>
      <c r="H33" s="18"/>
      <c r="I33" s="26" t="s">
        <v>2779</v>
      </c>
      <c r="J33" s="20" t="s">
        <v>2828</v>
      </c>
      <c r="K33" s="18" t="s">
        <v>2844</v>
      </c>
    </row>
    <row r="34" spans="1:11" x14ac:dyDescent="0.2">
      <c r="A34" s="21">
        <v>67</v>
      </c>
      <c r="B34" s="21" t="s">
        <v>2819</v>
      </c>
      <c r="C34" s="22" t="s">
        <v>2744</v>
      </c>
      <c r="D34" s="23">
        <v>1.0442480000000001</v>
      </c>
      <c r="E34" s="23">
        <v>3.2892999999999999E-2</v>
      </c>
      <c r="F34" s="18" t="s">
        <v>2723</v>
      </c>
      <c r="G34" s="24" t="str">
        <f t="shared" si="1"/>
        <v>FUNC</v>
      </c>
      <c r="H34" s="18"/>
      <c r="I34" s="20"/>
      <c r="J34" s="20"/>
      <c r="K34" s="18" t="s">
        <v>2846</v>
      </c>
    </row>
    <row r="35" spans="1:11" x14ac:dyDescent="0.2">
      <c r="A35" s="17">
        <v>67</v>
      </c>
      <c r="B35" s="21" t="s">
        <v>2832</v>
      </c>
      <c r="C35" s="22" t="s">
        <v>2743</v>
      </c>
      <c r="D35" s="23">
        <v>1.1000000000000001</v>
      </c>
      <c r="E35" s="23">
        <v>0.10970000000000001</v>
      </c>
      <c r="F35" s="18" t="s">
        <v>2723</v>
      </c>
      <c r="G35" s="24" t="str">
        <f t="shared" si="1"/>
        <v>FUNC</v>
      </c>
      <c r="H35" s="18"/>
      <c r="I35" s="28" t="s">
        <v>2136</v>
      </c>
      <c r="J35" s="20" t="s">
        <v>2815</v>
      </c>
      <c r="K35" s="18" t="s">
        <v>2844</v>
      </c>
    </row>
    <row r="36" spans="1:11" x14ac:dyDescent="0.2">
      <c r="A36" s="21">
        <v>68</v>
      </c>
      <c r="B36" s="21" t="s">
        <v>2820</v>
      </c>
      <c r="C36" s="22" t="s">
        <v>2742</v>
      </c>
      <c r="D36" s="23">
        <v>1.033677</v>
      </c>
      <c r="E36" s="23">
        <v>4.6198000000000003E-2</v>
      </c>
      <c r="F36" s="18" t="s">
        <v>2723</v>
      </c>
      <c r="G36" s="24" t="str">
        <f t="shared" si="1"/>
        <v>FUNC</v>
      </c>
      <c r="H36" s="18"/>
      <c r="I36" s="20"/>
      <c r="J36" s="20"/>
      <c r="K36" s="18" t="s">
        <v>2846</v>
      </c>
    </row>
    <row r="37" spans="1:11" x14ac:dyDescent="0.2">
      <c r="A37" s="21">
        <v>71</v>
      </c>
      <c r="B37" s="21" t="s">
        <v>2821</v>
      </c>
      <c r="C37" s="22" t="s">
        <v>2741</v>
      </c>
      <c r="D37" s="23">
        <v>1.23</v>
      </c>
      <c r="E37" s="23">
        <v>0.1905</v>
      </c>
      <c r="F37" s="18" t="s">
        <v>2723</v>
      </c>
      <c r="G37" s="24" t="str">
        <f t="shared" si="1"/>
        <v>FUNC</v>
      </c>
      <c r="H37" s="18" t="s">
        <v>2740</v>
      </c>
      <c r="I37" s="26" t="s">
        <v>2779</v>
      </c>
      <c r="J37" s="20" t="s">
        <v>2815</v>
      </c>
      <c r="K37" s="18" t="s">
        <v>2844</v>
      </c>
    </row>
    <row r="38" spans="1:11" x14ac:dyDescent="0.2">
      <c r="A38" s="21">
        <v>72</v>
      </c>
      <c r="B38" s="21" t="s">
        <v>2825</v>
      </c>
      <c r="C38" s="22" t="s">
        <v>2739</v>
      </c>
      <c r="D38" s="23">
        <v>0.97812200000000005</v>
      </c>
      <c r="E38" s="23">
        <v>4.6338999999999998E-2</v>
      </c>
      <c r="F38" s="18" t="s">
        <v>2723</v>
      </c>
      <c r="G38" s="24" t="str">
        <f t="shared" si="1"/>
        <v>FUNC</v>
      </c>
      <c r="H38" s="18"/>
      <c r="I38" s="20"/>
      <c r="J38" s="20"/>
      <c r="K38" s="18" t="s">
        <v>2846</v>
      </c>
    </row>
    <row r="39" spans="1:11" x14ac:dyDescent="0.2">
      <c r="A39" s="21">
        <v>79</v>
      </c>
      <c r="B39" s="21" t="s">
        <v>2830</v>
      </c>
      <c r="C39" s="22" t="s">
        <v>2738</v>
      </c>
      <c r="D39" s="23">
        <v>0.92002799999999996</v>
      </c>
      <c r="E39" s="23">
        <v>5.7603000000000001E-2</v>
      </c>
      <c r="F39" s="18" t="s">
        <v>2723</v>
      </c>
      <c r="G39" s="24" t="str">
        <f t="shared" si="1"/>
        <v>FUNC</v>
      </c>
      <c r="H39" s="18"/>
      <c r="I39" s="20"/>
      <c r="J39" s="20"/>
      <c r="K39" s="18"/>
    </row>
    <row r="40" spans="1:11" x14ac:dyDescent="0.2">
      <c r="A40" s="21">
        <v>85</v>
      </c>
      <c r="B40" s="21" t="s">
        <v>2823</v>
      </c>
      <c r="C40" s="22" t="s">
        <v>2737</v>
      </c>
      <c r="D40" s="23">
        <v>0.73146999999999995</v>
      </c>
      <c r="E40" s="23">
        <v>2.1337999999999999E-2</v>
      </c>
      <c r="F40" s="18" t="s">
        <v>2723</v>
      </c>
      <c r="G40" s="24" t="str">
        <f t="shared" si="1"/>
        <v>FUNC</v>
      </c>
      <c r="H40" s="18"/>
      <c r="I40" s="20"/>
      <c r="J40" s="20"/>
      <c r="K40" s="18"/>
    </row>
    <row r="41" spans="1:11" x14ac:dyDescent="0.2">
      <c r="A41" s="17">
        <v>87</v>
      </c>
      <c r="B41" s="21" t="s">
        <v>2830</v>
      </c>
      <c r="C41" s="22" t="s">
        <v>2736</v>
      </c>
      <c r="D41" s="23">
        <v>0.91661099999999995</v>
      </c>
      <c r="E41" s="23">
        <v>2.1103E-2</v>
      </c>
      <c r="F41" s="18" t="s">
        <v>2723</v>
      </c>
      <c r="G41" s="24" t="str">
        <f t="shared" si="1"/>
        <v>FUNC</v>
      </c>
      <c r="H41" s="18"/>
      <c r="I41" s="20"/>
      <c r="J41" s="20"/>
      <c r="K41" s="18" t="s">
        <v>2846</v>
      </c>
    </row>
    <row r="42" spans="1:11" x14ac:dyDescent="0.2">
      <c r="A42" s="21">
        <v>89</v>
      </c>
      <c r="B42" s="21" t="s">
        <v>2822</v>
      </c>
      <c r="C42" s="22" t="s">
        <v>2735</v>
      </c>
      <c r="D42" s="23">
        <v>0.89770000000000005</v>
      </c>
      <c r="E42" s="23">
        <v>3.1859899999999997E-2</v>
      </c>
      <c r="F42" s="18" t="s">
        <v>2723</v>
      </c>
      <c r="G42" s="24" t="str">
        <f t="shared" si="1"/>
        <v>FUNC</v>
      </c>
      <c r="H42" s="18"/>
      <c r="I42" s="20"/>
      <c r="J42" s="20"/>
      <c r="K42" s="18" t="s">
        <v>2846</v>
      </c>
    </row>
    <row r="43" spans="1:11" x14ac:dyDescent="0.2">
      <c r="A43" s="17">
        <v>89</v>
      </c>
      <c r="B43" s="21" t="s">
        <v>2819</v>
      </c>
      <c r="C43" s="22" t="s">
        <v>2734</v>
      </c>
      <c r="D43" s="23">
        <v>0.14000000000000001</v>
      </c>
      <c r="E43" s="23">
        <v>1.1155E-2</v>
      </c>
      <c r="F43" s="18" t="s">
        <v>2723</v>
      </c>
      <c r="G43" s="25" t="str">
        <f t="shared" si="1"/>
        <v>LOF</v>
      </c>
      <c r="H43" s="18"/>
      <c r="I43" s="20"/>
      <c r="J43" s="20"/>
      <c r="K43" s="18" t="s">
        <v>2846</v>
      </c>
    </row>
    <row r="44" spans="1:11" x14ac:dyDescent="0.2">
      <c r="A44" s="17">
        <v>89</v>
      </c>
      <c r="B44" s="21" t="s">
        <v>2826</v>
      </c>
      <c r="C44" s="22" t="s">
        <v>2733</v>
      </c>
      <c r="D44" s="23">
        <v>1.0206999999999999</v>
      </c>
      <c r="E44" s="23">
        <v>0.112756</v>
      </c>
      <c r="F44" s="18" t="s">
        <v>2723</v>
      </c>
      <c r="G44" s="24" t="str">
        <f t="shared" si="1"/>
        <v>FUNC</v>
      </c>
      <c r="H44" s="18"/>
      <c r="I44" s="20"/>
      <c r="J44" s="20"/>
      <c r="K44" s="18" t="s">
        <v>2846</v>
      </c>
    </row>
    <row r="45" spans="1:11" x14ac:dyDescent="0.2">
      <c r="A45" s="21">
        <v>89</v>
      </c>
      <c r="B45" s="21" t="s">
        <v>2817</v>
      </c>
      <c r="C45" s="22" t="s">
        <v>2732</v>
      </c>
      <c r="D45" s="23">
        <v>0.98191099999999998</v>
      </c>
      <c r="E45" s="23">
        <v>8.3125000000000004E-2</v>
      </c>
      <c r="F45" s="18" t="s">
        <v>2723</v>
      </c>
      <c r="G45" s="24" t="str">
        <f t="shared" si="1"/>
        <v>FUNC</v>
      </c>
      <c r="H45" s="18"/>
      <c r="I45" s="28" t="s">
        <v>2782</v>
      </c>
      <c r="J45" s="20" t="s">
        <v>2828</v>
      </c>
      <c r="K45" s="18" t="s">
        <v>2846</v>
      </c>
    </row>
    <row r="46" spans="1:11" x14ac:dyDescent="0.2">
      <c r="A46" s="21">
        <v>90</v>
      </c>
      <c r="B46" s="21" t="s">
        <v>2822</v>
      </c>
      <c r="C46" s="22" t="s">
        <v>2731</v>
      </c>
      <c r="D46" s="23">
        <v>0.80021600000000004</v>
      </c>
      <c r="E46" s="23">
        <v>4.2514999999999997E-2</v>
      </c>
      <c r="F46" s="18" t="s">
        <v>2723</v>
      </c>
      <c r="G46" s="24" t="str">
        <f t="shared" si="1"/>
        <v>FUNC</v>
      </c>
      <c r="H46" s="18"/>
      <c r="I46" s="20"/>
      <c r="J46" s="20"/>
      <c r="K46" s="18" t="s">
        <v>2846</v>
      </c>
    </row>
    <row r="47" spans="1:11" x14ac:dyDescent="0.2">
      <c r="A47" s="17">
        <v>90</v>
      </c>
      <c r="B47" s="21" t="s">
        <v>2819</v>
      </c>
      <c r="C47" s="22" t="s">
        <v>2778</v>
      </c>
      <c r="D47" s="23">
        <v>0.81756499999999999</v>
      </c>
      <c r="E47" s="23">
        <v>4.1390000000000003E-2</v>
      </c>
      <c r="F47" s="18" t="s">
        <v>2723</v>
      </c>
      <c r="G47" s="24" t="str">
        <f t="shared" si="1"/>
        <v>FUNC</v>
      </c>
      <c r="H47" s="18"/>
      <c r="I47" s="20"/>
      <c r="J47" s="20"/>
      <c r="K47" s="18" t="s">
        <v>2846</v>
      </c>
    </row>
    <row r="48" spans="1:11" x14ac:dyDescent="0.2">
      <c r="A48" s="21">
        <v>90</v>
      </c>
      <c r="B48" s="21" t="s">
        <v>2826</v>
      </c>
      <c r="C48" s="22" t="s">
        <v>2730</v>
      </c>
      <c r="D48" s="23">
        <v>0.74260000000000004</v>
      </c>
      <c r="E48" s="23">
        <v>7.4450000000000002E-2</v>
      </c>
      <c r="F48" s="18" t="s">
        <v>2723</v>
      </c>
      <c r="G48" s="24" t="str">
        <f t="shared" si="1"/>
        <v>FUNC</v>
      </c>
      <c r="H48" s="18"/>
      <c r="I48" s="20"/>
      <c r="J48" s="20"/>
      <c r="K48" s="18" t="s">
        <v>2846</v>
      </c>
    </row>
    <row r="49" spans="1:11" x14ac:dyDescent="0.2">
      <c r="A49" s="21">
        <v>90</v>
      </c>
      <c r="B49" s="21" t="s">
        <v>2818</v>
      </c>
      <c r="C49" s="22" t="s">
        <v>2729</v>
      </c>
      <c r="D49" s="23">
        <v>0.91</v>
      </c>
      <c r="E49" s="23">
        <v>0.04</v>
      </c>
      <c r="F49" s="18" t="s">
        <v>2723</v>
      </c>
      <c r="G49" s="24" t="str">
        <f t="shared" si="1"/>
        <v>FUNC</v>
      </c>
      <c r="H49" s="18"/>
      <c r="I49" s="20"/>
      <c r="J49" s="20"/>
      <c r="K49" s="18" t="s">
        <v>2874</v>
      </c>
    </row>
    <row r="50" spans="1:11" x14ac:dyDescent="0.2">
      <c r="A50" s="21">
        <v>93</v>
      </c>
      <c r="B50" s="21" t="s">
        <v>2822</v>
      </c>
      <c r="C50" s="22" t="s">
        <v>2728</v>
      </c>
      <c r="D50" s="23">
        <v>0.37669999999999998</v>
      </c>
      <c r="E50" s="23">
        <v>6.2300000000000001E-2</v>
      </c>
      <c r="F50" s="18" t="s">
        <v>2723</v>
      </c>
      <c r="G50" s="25" t="str">
        <f t="shared" ref="G50:G81" si="2">IF(D50&lt;0.48,"LOF","FUNC")</f>
        <v>LOF</v>
      </c>
      <c r="H50" s="18"/>
      <c r="I50" s="20"/>
      <c r="J50" s="20"/>
      <c r="K50" s="18" t="s">
        <v>2846</v>
      </c>
    </row>
    <row r="51" spans="1:11" x14ac:dyDescent="0.2">
      <c r="A51" s="21">
        <v>93</v>
      </c>
      <c r="B51" s="21" t="s">
        <v>2823</v>
      </c>
      <c r="C51" s="22" t="s">
        <v>2727</v>
      </c>
      <c r="D51" s="23">
        <v>0.19014</v>
      </c>
      <c r="E51" s="23">
        <v>3.78859E-2</v>
      </c>
      <c r="F51" s="18" t="s">
        <v>2723</v>
      </c>
      <c r="G51" s="25" t="str">
        <f t="shared" si="2"/>
        <v>LOF</v>
      </c>
      <c r="H51" s="18"/>
      <c r="I51" s="20"/>
      <c r="J51" s="20"/>
      <c r="K51" s="18" t="s">
        <v>2846</v>
      </c>
    </row>
    <row r="52" spans="1:11" x14ac:dyDescent="0.2">
      <c r="A52" s="21">
        <v>93</v>
      </c>
      <c r="B52" s="21" t="s">
        <v>2832</v>
      </c>
      <c r="C52" s="22" t="s">
        <v>2726</v>
      </c>
      <c r="D52" s="23">
        <v>0.70422874999999996</v>
      </c>
      <c r="E52" s="23">
        <v>7.22E-2</v>
      </c>
      <c r="F52" s="18" t="s">
        <v>2723</v>
      </c>
      <c r="G52" s="24" t="str">
        <f t="shared" si="2"/>
        <v>FUNC</v>
      </c>
      <c r="H52" s="18"/>
      <c r="I52" s="20"/>
      <c r="J52" s="20"/>
      <c r="K52" s="18" t="s">
        <v>2846</v>
      </c>
    </row>
    <row r="53" spans="1:11" x14ac:dyDescent="0.2">
      <c r="A53" s="21">
        <v>96</v>
      </c>
      <c r="B53" s="21" t="s">
        <v>82</v>
      </c>
      <c r="C53" s="22" t="s">
        <v>2725</v>
      </c>
      <c r="D53" s="23">
        <v>0.21867200000000001</v>
      </c>
      <c r="E53" s="23">
        <v>2.5007999999999999E-2</v>
      </c>
      <c r="F53" s="18" t="s">
        <v>2723</v>
      </c>
      <c r="G53" s="25" t="str">
        <f t="shared" si="2"/>
        <v>LOF</v>
      </c>
      <c r="H53" s="18"/>
      <c r="I53" s="20"/>
      <c r="J53" s="20"/>
      <c r="K53" s="18" t="s">
        <v>2846</v>
      </c>
    </row>
    <row r="54" spans="1:11" x14ac:dyDescent="0.2">
      <c r="A54" s="21">
        <v>98</v>
      </c>
      <c r="B54" s="21" t="s">
        <v>96</v>
      </c>
      <c r="C54" s="22" t="s">
        <v>2724</v>
      </c>
      <c r="D54" s="23">
        <v>0.76476100000000002</v>
      </c>
      <c r="E54" s="23">
        <v>5.3435000000000003E-2</v>
      </c>
      <c r="F54" s="18" t="s">
        <v>2723</v>
      </c>
      <c r="G54" s="24" t="str">
        <f t="shared" si="2"/>
        <v>FUNC</v>
      </c>
      <c r="H54" s="18"/>
      <c r="I54" s="20"/>
      <c r="J54" s="20"/>
      <c r="K54" s="18" t="s">
        <v>2846</v>
      </c>
    </row>
    <row r="55" spans="1:11" x14ac:dyDescent="0.2">
      <c r="A55" s="17">
        <v>105</v>
      </c>
      <c r="B55" s="21" t="s">
        <v>96</v>
      </c>
      <c r="C55" s="22" t="s">
        <v>2722</v>
      </c>
      <c r="D55" s="23">
        <v>0.87</v>
      </c>
      <c r="E55" s="23">
        <v>0.02</v>
      </c>
      <c r="F55" s="18"/>
      <c r="G55" s="24" t="str">
        <f t="shared" si="2"/>
        <v>FUNC</v>
      </c>
      <c r="H55" s="18"/>
      <c r="I55" s="28" t="s">
        <v>2136</v>
      </c>
      <c r="J55" s="20" t="s">
        <v>2815</v>
      </c>
      <c r="K55" s="18" t="s">
        <v>2874</v>
      </c>
    </row>
    <row r="56" spans="1:11" x14ac:dyDescent="0.2">
      <c r="A56" s="21">
        <v>124</v>
      </c>
      <c r="B56" s="21" t="s">
        <v>2830</v>
      </c>
      <c r="C56" s="22" t="s">
        <v>2721</v>
      </c>
      <c r="D56" s="23">
        <v>0.96</v>
      </c>
      <c r="E56" s="23">
        <v>0.04</v>
      </c>
      <c r="F56" s="18"/>
      <c r="G56" s="24" t="str">
        <f t="shared" si="2"/>
        <v>FUNC</v>
      </c>
      <c r="H56" s="18"/>
      <c r="I56" s="28" t="s">
        <v>2136</v>
      </c>
      <c r="J56" s="20" t="s">
        <v>2815</v>
      </c>
      <c r="K56" s="18" t="s">
        <v>2874</v>
      </c>
    </row>
    <row r="57" spans="1:11" x14ac:dyDescent="0.2">
      <c r="A57" s="21">
        <v>132</v>
      </c>
      <c r="B57" s="21" t="s">
        <v>2820</v>
      </c>
      <c r="C57" s="22" t="s">
        <v>2720</v>
      </c>
      <c r="D57" s="23">
        <v>0.89200000000000002</v>
      </c>
      <c r="E57" s="23">
        <v>7.8E-2</v>
      </c>
      <c r="F57" s="18"/>
      <c r="G57" s="24" t="str">
        <f t="shared" si="2"/>
        <v>FUNC</v>
      </c>
      <c r="H57" s="18"/>
      <c r="I57" s="28" t="s">
        <v>2136</v>
      </c>
      <c r="J57" s="20" t="s">
        <v>2815</v>
      </c>
      <c r="K57" s="18" t="s">
        <v>2874</v>
      </c>
    </row>
    <row r="58" spans="1:11" x14ac:dyDescent="0.2">
      <c r="A58" s="21">
        <v>133</v>
      </c>
      <c r="B58" s="21" t="s">
        <v>2834</v>
      </c>
      <c r="C58" s="22" t="s">
        <v>2719</v>
      </c>
      <c r="D58" s="23">
        <v>0.91</v>
      </c>
      <c r="E58" s="23">
        <v>0.03</v>
      </c>
      <c r="F58" s="18"/>
      <c r="G58" s="24" t="str">
        <f t="shared" si="2"/>
        <v>FUNC</v>
      </c>
      <c r="H58" s="18"/>
      <c r="I58" s="20"/>
      <c r="J58" s="20"/>
      <c r="K58" s="18" t="s">
        <v>2874</v>
      </c>
    </row>
    <row r="59" spans="1:11" x14ac:dyDescent="0.2">
      <c r="A59" s="21">
        <v>142</v>
      </c>
      <c r="B59" s="21" t="s">
        <v>2834</v>
      </c>
      <c r="C59" s="22" t="s">
        <v>2718</v>
      </c>
      <c r="D59" s="23">
        <v>0.88</v>
      </c>
      <c r="E59" s="23">
        <v>0.04</v>
      </c>
      <c r="F59" s="18"/>
      <c r="G59" s="24" t="str">
        <f t="shared" si="2"/>
        <v>FUNC</v>
      </c>
      <c r="H59" s="18"/>
      <c r="I59" s="28" t="s">
        <v>2136</v>
      </c>
      <c r="J59" s="20" t="s">
        <v>2815</v>
      </c>
      <c r="K59" s="18" t="s">
        <v>2874</v>
      </c>
    </row>
    <row r="60" spans="1:11" x14ac:dyDescent="0.2">
      <c r="A60" s="21">
        <v>143</v>
      </c>
      <c r="B60" s="21" t="s">
        <v>2820</v>
      </c>
      <c r="C60" s="22" t="s">
        <v>2717</v>
      </c>
      <c r="D60" s="23">
        <v>0.95</v>
      </c>
      <c r="E60" s="23">
        <v>0.01</v>
      </c>
      <c r="F60" s="18"/>
      <c r="G60" s="24" t="str">
        <f t="shared" si="2"/>
        <v>FUNC</v>
      </c>
      <c r="H60" s="18"/>
      <c r="I60" s="28" t="s">
        <v>2136</v>
      </c>
      <c r="J60" s="20" t="s">
        <v>2815</v>
      </c>
      <c r="K60" s="18" t="s">
        <v>2874</v>
      </c>
    </row>
    <row r="61" spans="1:11" x14ac:dyDescent="0.2">
      <c r="A61" s="21">
        <v>149</v>
      </c>
      <c r="B61" s="21" t="s">
        <v>2822</v>
      </c>
      <c r="C61" s="22" t="s">
        <v>2716</v>
      </c>
      <c r="D61" s="23">
        <v>1.2041884816753925</v>
      </c>
      <c r="E61" s="23">
        <v>2.3054490949006991E-2</v>
      </c>
      <c r="F61" s="18"/>
      <c r="G61" s="24" t="str">
        <f t="shared" si="2"/>
        <v>FUNC</v>
      </c>
      <c r="H61" s="18"/>
      <c r="I61" s="20"/>
      <c r="J61" s="20"/>
      <c r="K61" s="18" t="s">
        <v>2845</v>
      </c>
    </row>
    <row r="62" spans="1:11" x14ac:dyDescent="0.2">
      <c r="A62" s="21">
        <v>153</v>
      </c>
      <c r="B62" s="21" t="s">
        <v>2825</v>
      </c>
      <c r="C62" s="22" t="s">
        <v>2715</v>
      </c>
      <c r="D62" s="23">
        <v>0.88</v>
      </c>
      <c r="E62" s="23">
        <v>0.04</v>
      </c>
      <c r="F62" s="18"/>
      <c r="G62" s="24" t="str">
        <f t="shared" si="2"/>
        <v>FUNC</v>
      </c>
      <c r="H62" s="18"/>
      <c r="I62" s="20"/>
      <c r="J62" s="20"/>
      <c r="K62" s="18" t="s">
        <v>2874</v>
      </c>
    </row>
    <row r="63" spans="1:11" x14ac:dyDescent="0.2">
      <c r="A63" s="21">
        <v>170</v>
      </c>
      <c r="B63" s="21" t="s">
        <v>2833</v>
      </c>
      <c r="C63" s="22" t="s">
        <v>2714</v>
      </c>
      <c r="D63" s="23">
        <v>0.87</v>
      </c>
      <c r="E63" s="23">
        <v>0.04</v>
      </c>
      <c r="F63" s="18"/>
      <c r="G63" s="24" t="str">
        <f t="shared" si="2"/>
        <v>FUNC</v>
      </c>
      <c r="H63" s="18"/>
      <c r="I63" s="20"/>
      <c r="J63" s="20"/>
      <c r="K63" s="18" t="s">
        <v>2874</v>
      </c>
    </row>
    <row r="64" spans="1:11" x14ac:dyDescent="0.2">
      <c r="A64" s="21">
        <v>179</v>
      </c>
      <c r="B64" s="21" t="s">
        <v>96</v>
      </c>
      <c r="C64" s="22" t="s">
        <v>2713</v>
      </c>
      <c r="D64" s="23">
        <v>0.96</v>
      </c>
      <c r="E64" s="23">
        <v>7.0000000000000007E-2</v>
      </c>
      <c r="F64" s="18"/>
      <c r="G64" s="24" t="str">
        <f t="shared" si="2"/>
        <v>FUNC</v>
      </c>
      <c r="H64" s="18"/>
      <c r="I64" s="28" t="s">
        <v>2136</v>
      </c>
      <c r="J64" s="20" t="s">
        <v>2815</v>
      </c>
      <c r="K64" s="18" t="s">
        <v>2874</v>
      </c>
    </row>
    <row r="65" spans="1:11" x14ac:dyDescent="0.2">
      <c r="A65" s="21">
        <v>186</v>
      </c>
      <c r="B65" s="21" t="s">
        <v>2832</v>
      </c>
      <c r="C65" s="22" t="s">
        <v>2712</v>
      </c>
      <c r="D65" s="23">
        <v>0.92</v>
      </c>
      <c r="E65" s="23">
        <v>0.08</v>
      </c>
      <c r="F65" s="18"/>
      <c r="G65" s="24" t="str">
        <f t="shared" si="2"/>
        <v>FUNC</v>
      </c>
      <c r="H65" s="18"/>
      <c r="I65" s="28" t="s">
        <v>2136</v>
      </c>
      <c r="J65" s="20" t="s">
        <v>2815</v>
      </c>
      <c r="K65" s="18" t="s">
        <v>2874</v>
      </c>
    </row>
    <row r="66" spans="1:11" x14ac:dyDescent="0.2">
      <c r="A66" s="21">
        <v>191</v>
      </c>
      <c r="B66" s="21" t="s">
        <v>2823</v>
      </c>
      <c r="C66" s="22" t="s">
        <v>2711</v>
      </c>
      <c r="D66" s="23">
        <v>0.89</v>
      </c>
      <c r="E66" s="23">
        <v>0.06</v>
      </c>
      <c r="F66" s="18"/>
      <c r="G66" s="24" t="str">
        <f t="shared" si="2"/>
        <v>FUNC</v>
      </c>
      <c r="H66" s="18"/>
      <c r="I66" s="20"/>
      <c r="J66" s="20"/>
      <c r="K66" s="18" t="s">
        <v>2874</v>
      </c>
    </row>
    <row r="67" spans="1:11" x14ac:dyDescent="0.2">
      <c r="A67" s="21">
        <v>191</v>
      </c>
      <c r="B67" s="21" t="s">
        <v>79</v>
      </c>
      <c r="C67" s="22" t="s">
        <v>2710</v>
      </c>
      <c r="D67" s="29">
        <v>1.157068062827225</v>
      </c>
      <c r="E67" s="29">
        <v>6.514906902744505E-2</v>
      </c>
      <c r="F67" s="18"/>
      <c r="G67" s="24" t="str">
        <f t="shared" si="2"/>
        <v>FUNC</v>
      </c>
      <c r="H67" s="18"/>
      <c r="I67" s="28" t="s">
        <v>2136</v>
      </c>
      <c r="J67" s="20" t="s">
        <v>2815</v>
      </c>
      <c r="K67" s="18" t="s">
        <v>2845</v>
      </c>
    </row>
    <row r="68" spans="1:11" x14ac:dyDescent="0.2">
      <c r="A68" s="21">
        <v>214</v>
      </c>
      <c r="B68" s="21" t="s">
        <v>2821</v>
      </c>
      <c r="C68" s="22" t="s">
        <v>2709</v>
      </c>
      <c r="D68" s="29">
        <v>1.3768996960486322</v>
      </c>
      <c r="E68" s="29">
        <v>4.4852141530011533E-2</v>
      </c>
      <c r="F68" s="18"/>
      <c r="G68" s="24" t="str">
        <f t="shared" si="2"/>
        <v>FUNC</v>
      </c>
      <c r="H68" s="18"/>
      <c r="I68" s="28" t="s">
        <v>2136</v>
      </c>
      <c r="J68" s="20" t="s">
        <v>2815</v>
      </c>
      <c r="K68" s="18" t="s">
        <v>2845</v>
      </c>
    </row>
    <row r="69" spans="1:11" x14ac:dyDescent="0.2">
      <c r="A69" s="21">
        <v>246</v>
      </c>
      <c r="B69" s="21" t="s">
        <v>2830</v>
      </c>
      <c r="C69" s="22" t="s">
        <v>2708</v>
      </c>
      <c r="D69" s="29">
        <v>1.0015203344735841</v>
      </c>
      <c r="E69" s="29">
        <v>2.1192857254963712E-2</v>
      </c>
      <c r="F69" s="18"/>
      <c r="G69" s="24" t="str">
        <f t="shared" si="2"/>
        <v>FUNC</v>
      </c>
      <c r="H69" s="18"/>
      <c r="I69" s="28" t="s">
        <v>2136</v>
      </c>
      <c r="J69" s="20" t="s">
        <v>2815</v>
      </c>
      <c r="K69" s="18"/>
    </row>
    <row r="70" spans="1:11" x14ac:dyDescent="0.2">
      <c r="A70" s="21">
        <v>293</v>
      </c>
      <c r="B70" s="21" t="s">
        <v>74</v>
      </c>
      <c r="C70" s="22" t="s">
        <v>2707</v>
      </c>
      <c r="D70" s="29">
        <v>1.5466034755134281</v>
      </c>
      <c r="E70" s="29">
        <v>0.10398977403369575</v>
      </c>
      <c r="F70" s="18"/>
      <c r="G70" s="24" t="str">
        <f t="shared" si="2"/>
        <v>FUNC</v>
      </c>
      <c r="H70" s="18"/>
      <c r="I70" s="20"/>
      <c r="J70" s="20"/>
      <c r="K70" s="18" t="s">
        <v>2845</v>
      </c>
    </row>
    <row r="71" spans="1:11" x14ac:dyDescent="0.2">
      <c r="A71" s="21">
        <v>296</v>
      </c>
      <c r="B71" s="21" t="s">
        <v>2821</v>
      </c>
      <c r="C71" s="22" t="s">
        <v>2706</v>
      </c>
      <c r="D71" s="29">
        <v>1.1596858638743452</v>
      </c>
      <c r="E71" s="29">
        <v>4.0568315450913967E-2</v>
      </c>
      <c r="F71" s="18"/>
      <c r="G71" s="24" t="str">
        <f t="shared" si="2"/>
        <v>FUNC</v>
      </c>
      <c r="H71" s="18"/>
      <c r="I71" s="20"/>
      <c r="J71" s="20"/>
      <c r="K71" s="18" t="s">
        <v>2845</v>
      </c>
    </row>
    <row r="72" spans="1:11" x14ac:dyDescent="0.2">
      <c r="A72" s="21">
        <v>316</v>
      </c>
      <c r="B72" s="21" t="s">
        <v>2821</v>
      </c>
      <c r="C72" s="22" t="s">
        <v>2705</v>
      </c>
      <c r="D72" s="29">
        <v>1.2340425531914894</v>
      </c>
      <c r="E72" s="29">
        <v>3.7627411559694866E-2</v>
      </c>
      <c r="F72" s="18"/>
      <c r="G72" s="24" t="str">
        <f t="shared" si="2"/>
        <v>FUNC</v>
      </c>
      <c r="H72" s="18"/>
      <c r="I72" s="28" t="s">
        <v>2136</v>
      </c>
      <c r="J72" s="20" t="s">
        <v>2815</v>
      </c>
      <c r="K72" s="18" t="s">
        <v>2845</v>
      </c>
    </row>
    <row r="73" spans="1:11" x14ac:dyDescent="0.2">
      <c r="A73" s="21">
        <v>322</v>
      </c>
      <c r="B73" s="21" t="s">
        <v>2814</v>
      </c>
      <c r="C73" s="22" t="s">
        <v>2704</v>
      </c>
      <c r="D73" s="29">
        <v>0.82575066514633233</v>
      </c>
      <c r="E73" s="29">
        <v>2.7197835568236173E-2</v>
      </c>
      <c r="F73" s="18"/>
      <c r="G73" s="24" t="str">
        <f t="shared" si="2"/>
        <v>FUNC</v>
      </c>
      <c r="H73" s="18"/>
      <c r="I73" s="20"/>
      <c r="J73" s="20"/>
      <c r="K73" s="18" t="s">
        <v>2845</v>
      </c>
    </row>
    <row r="74" spans="1:11" x14ac:dyDescent="0.2">
      <c r="A74" s="21">
        <v>328</v>
      </c>
      <c r="B74" s="21" t="s">
        <v>2825</v>
      </c>
      <c r="C74" s="22" t="s">
        <v>2703</v>
      </c>
      <c r="D74" s="29">
        <v>1.0958115183246073</v>
      </c>
      <c r="E74" s="29">
        <v>2.1637673633269065E-2</v>
      </c>
      <c r="F74" s="18"/>
      <c r="G74" s="24" t="str">
        <f t="shared" si="2"/>
        <v>FUNC</v>
      </c>
      <c r="H74" s="18"/>
      <c r="I74" s="20"/>
      <c r="J74" s="20"/>
      <c r="K74" s="18" t="s">
        <v>2845</v>
      </c>
    </row>
    <row r="75" spans="1:11" x14ac:dyDescent="0.2">
      <c r="A75" s="21">
        <v>379</v>
      </c>
      <c r="B75" s="21" t="s">
        <v>2817</v>
      </c>
      <c r="C75" s="22" t="s">
        <v>2702</v>
      </c>
      <c r="D75" s="29">
        <v>0.97453439756746496</v>
      </c>
      <c r="E75" s="29">
        <v>1.8128833170215582E-2</v>
      </c>
      <c r="F75" s="18"/>
      <c r="G75" s="24" t="str">
        <f t="shared" si="2"/>
        <v>FUNC</v>
      </c>
      <c r="H75" s="18"/>
      <c r="I75" s="28" t="s">
        <v>2783</v>
      </c>
      <c r="J75" s="20" t="s">
        <v>2828</v>
      </c>
      <c r="K75" s="18" t="s">
        <v>2845</v>
      </c>
    </row>
    <row r="76" spans="1:11" x14ac:dyDescent="0.2">
      <c r="A76" s="21">
        <v>445</v>
      </c>
      <c r="B76" s="21" t="s">
        <v>2833</v>
      </c>
      <c r="C76" s="22" t="s">
        <v>2701</v>
      </c>
      <c r="D76" s="29">
        <v>1.0026605853287724</v>
      </c>
      <c r="E76" s="29">
        <v>1.0498842506220596E-2</v>
      </c>
      <c r="F76" s="18" t="s">
        <v>2680</v>
      </c>
      <c r="G76" s="24" t="str">
        <f t="shared" si="2"/>
        <v>FUNC</v>
      </c>
      <c r="H76" s="18"/>
      <c r="I76" s="20"/>
      <c r="J76" s="20"/>
      <c r="K76" s="18" t="s">
        <v>2845</v>
      </c>
    </row>
    <row r="77" spans="1:11" x14ac:dyDescent="0.2">
      <c r="A77" s="21">
        <v>462</v>
      </c>
      <c r="B77" s="21" t="s">
        <v>2825</v>
      </c>
      <c r="C77" s="22" t="s">
        <v>2700</v>
      </c>
      <c r="D77" s="29">
        <v>0.85176738882554159</v>
      </c>
      <c r="E77" s="29">
        <v>4.0512349608121306E-2</v>
      </c>
      <c r="F77" s="18" t="s">
        <v>2680</v>
      </c>
      <c r="G77" s="24" t="str">
        <f t="shared" si="2"/>
        <v>FUNC</v>
      </c>
      <c r="H77" s="18"/>
      <c r="I77" s="20"/>
      <c r="J77" s="20"/>
      <c r="K77" s="18" t="s">
        <v>2845</v>
      </c>
    </row>
    <row r="78" spans="1:11" x14ac:dyDescent="0.2">
      <c r="A78" s="21">
        <v>486</v>
      </c>
      <c r="B78" s="21" t="s">
        <v>2824</v>
      </c>
      <c r="C78" s="22" t="s">
        <v>2699</v>
      </c>
      <c r="D78" s="29">
        <v>1.6</v>
      </c>
      <c r="E78" s="29">
        <v>1.5613679330911111E-2</v>
      </c>
      <c r="F78" s="18" t="s">
        <v>2680</v>
      </c>
      <c r="G78" s="24" t="str">
        <f t="shared" si="2"/>
        <v>FUNC</v>
      </c>
      <c r="H78" s="18"/>
      <c r="I78" s="28" t="s">
        <v>2136</v>
      </c>
      <c r="J78" s="20" t="s">
        <v>2815</v>
      </c>
      <c r="K78" s="18" t="s">
        <v>2845</v>
      </c>
    </row>
    <row r="79" spans="1:11" x14ac:dyDescent="0.2">
      <c r="A79" s="21">
        <v>512</v>
      </c>
      <c r="B79" s="21" t="s">
        <v>2830</v>
      </c>
      <c r="C79" s="22" t="s">
        <v>2698</v>
      </c>
      <c r="D79" s="29">
        <v>0.76478846884776208</v>
      </c>
      <c r="E79" s="29">
        <v>5.1423096535804326E-2</v>
      </c>
      <c r="F79" s="18" t="s">
        <v>2680</v>
      </c>
      <c r="G79" s="24" t="str">
        <f t="shared" si="2"/>
        <v>FUNC</v>
      </c>
      <c r="H79" s="18"/>
      <c r="I79" s="20"/>
      <c r="J79" s="20"/>
      <c r="K79" s="18" t="s">
        <v>2845</v>
      </c>
    </row>
    <row r="80" spans="1:11" x14ac:dyDescent="0.2">
      <c r="A80" s="21">
        <v>550</v>
      </c>
      <c r="B80" s="21" t="s">
        <v>2834</v>
      </c>
      <c r="C80" s="22" t="s">
        <v>2697</v>
      </c>
      <c r="D80" s="29">
        <v>0.90820512820512833</v>
      </c>
      <c r="E80" s="29">
        <v>1.0671103613684497E-2</v>
      </c>
      <c r="F80" s="18" t="s">
        <v>2680</v>
      </c>
      <c r="G80" s="24" t="str">
        <f t="shared" si="2"/>
        <v>FUNC</v>
      </c>
      <c r="H80" s="18"/>
      <c r="I80" s="28" t="s">
        <v>2136</v>
      </c>
      <c r="J80" s="20" t="s">
        <v>2815</v>
      </c>
      <c r="K80" s="18" t="s">
        <v>2845</v>
      </c>
    </row>
    <row r="81" spans="1:11" x14ac:dyDescent="0.2">
      <c r="A81" s="21">
        <v>574</v>
      </c>
      <c r="B81" s="21" t="s">
        <v>2814</v>
      </c>
      <c r="C81" s="22" t="s">
        <v>2696</v>
      </c>
      <c r="D81" s="29">
        <v>1.6611374407582939</v>
      </c>
      <c r="E81" s="29">
        <v>4.8001625921762735E-2</v>
      </c>
      <c r="F81" s="18" t="s">
        <v>2680</v>
      </c>
      <c r="G81" s="24" t="str">
        <f t="shared" si="2"/>
        <v>FUNC</v>
      </c>
      <c r="H81" s="18"/>
      <c r="I81" s="20"/>
      <c r="J81" s="20"/>
      <c r="K81" s="18"/>
    </row>
    <row r="82" spans="1:11" x14ac:dyDescent="0.2">
      <c r="A82" s="21">
        <v>591</v>
      </c>
      <c r="B82" s="21" t="s">
        <v>2818</v>
      </c>
      <c r="C82" s="22" t="s">
        <v>2695</v>
      </c>
      <c r="D82" s="29">
        <v>1.3333333333333333</v>
      </c>
      <c r="E82" s="29">
        <v>0.10627755878434274</v>
      </c>
      <c r="F82" s="18" t="s">
        <v>2680</v>
      </c>
      <c r="G82" s="24" t="str">
        <f t="shared" ref="G82:G113" si="3">IF(D82&lt;0.48,"LOF","FUNC")</f>
        <v>FUNC</v>
      </c>
      <c r="H82" s="18"/>
      <c r="I82" s="20"/>
      <c r="J82" s="20"/>
      <c r="K82" s="18" t="s">
        <v>2845</v>
      </c>
    </row>
    <row r="83" spans="1:11" x14ac:dyDescent="0.2">
      <c r="A83" s="21">
        <v>612</v>
      </c>
      <c r="B83" s="21" t="s">
        <v>2821</v>
      </c>
      <c r="C83" s="22" t="s">
        <v>2694</v>
      </c>
      <c r="D83" s="29">
        <v>1.0758082497212931</v>
      </c>
      <c r="E83" s="29">
        <v>9.4814944795043633E-3</v>
      </c>
      <c r="F83" s="18" t="s">
        <v>2680</v>
      </c>
      <c r="G83" s="24" t="str">
        <f t="shared" si="3"/>
        <v>FUNC</v>
      </c>
      <c r="H83" s="18"/>
      <c r="I83" s="28" t="s">
        <v>2136</v>
      </c>
      <c r="J83" s="20" t="s">
        <v>2815</v>
      </c>
      <c r="K83" s="18" t="s">
        <v>2845</v>
      </c>
    </row>
    <row r="84" spans="1:11" x14ac:dyDescent="0.2">
      <c r="A84" s="21">
        <v>668</v>
      </c>
      <c r="B84" s="21" t="s">
        <v>2826</v>
      </c>
      <c r="C84" s="22" t="s">
        <v>2693</v>
      </c>
      <c r="D84" s="29">
        <v>0.96749499999999999</v>
      </c>
      <c r="E84" s="29">
        <v>7.6517000000000002E-2</v>
      </c>
      <c r="F84" s="18" t="s">
        <v>2680</v>
      </c>
      <c r="G84" s="24" t="str">
        <f t="shared" si="3"/>
        <v>FUNC</v>
      </c>
      <c r="H84" s="18"/>
      <c r="I84" s="28" t="s">
        <v>2136</v>
      </c>
      <c r="J84" s="20" t="s">
        <v>2815</v>
      </c>
      <c r="K84" s="18" t="s">
        <v>2845</v>
      </c>
    </row>
    <row r="85" spans="1:11" x14ac:dyDescent="0.2">
      <c r="A85" s="21">
        <v>695</v>
      </c>
      <c r="B85" s="21" t="s">
        <v>82</v>
      </c>
      <c r="C85" s="22" t="s">
        <v>2692</v>
      </c>
      <c r="D85" s="29">
        <v>1.2370865849126718</v>
      </c>
      <c r="E85" s="29">
        <v>3.4218314995413154E-2</v>
      </c>
      <c r="F85" s="18" t="s">
        <v>2680</v>
      </c>
      <c r="G85" s="24" t="str">
        <f t="shared" si="3"/>
        <v>FUNC</v>
      </c>
      <c r="H85" s="18"/>
      <c r="I85" s="20"/>
      <c r="J85" s="20"/>
      <c r="K85" s="18" t="s">
        <v>2845</v>
      </c>
    </row>
    <row r="86" spans="1:11" x14ac:dyDescent="0.2">
      <c r="A86" s="21">
        <v>708</v>
      </c>
      <c r="B86" s="21" t="s">
        <v>2832</v>
      </c>
      <c r="C86" s="22" t="s">
        <v>2691</v>
      </c>
      <c r="D86" s="29">
        <v>1.2378298030471944</v>
      </c>
      <c r="E86" s="29">
        <v>1.0660712216856959E-2</v>
      </c>
      <c r="F86" s="18" t="s">
        <v>2680</v>
      </c>
      <c r="G86" s="24" t="str">
        <f t="shared" si="3"/>
        <v>FUNC</v>
      </c>
      <c r="H86" s="18"/>
      <c r="I86" s="20"/>
      <c r="J86" s="20"/>
      <c r="K86" s="18" t="s">
        <v>2845</v>
      </c>
    </row>
    <row r="87" spans="1:11" x14ac:dyDescent="0.2">
      <c r="A87" s="21">
        <v>720</v>
      </c>
      <c r="B87" s="21" t="s">
        <v>2820</v>
      </c>
      <c r="C87" s="22" t="s">
        <v>2690</v>
      </c>
      <c r="D87" s="29">
        <v>1.3010033444816054</v>
      </c>
      <c r="E87" s="29">
        <v>1.9223362551285865E-2</v>
      </c>
      <c r="F87" s="18" t="s">
        <v>2680</v>
      </c>
      <c r="G87" s="24" t="str">
        <f t="shared" si="3"/>
        <v>FUNC</v>
      </c>
      <c r="H87" s="18"/>
      <c r="I87" s="20"/>
      <c r="J87" s="20"/>
      <c r="K87" s="18" t="s">
        <v>2845</v>
      </c>
    </row>
    <row r="88" spans="1:11" x14ac:dyDescent="0.2">
      <c r="A88" s="21">
        <v>756</v>
      </c>
      <c r="B88" s="21" t="s">
        <v>74</v>
      </c>
      <c r="C88" s="22" t="s">
        <v>2689</v>
      </c>
      <c r="D88" s="29">
        <v>1.1211445559271647</v>
      </c>
      <c r="E88" s="29">
        <v>3.976737932863883E-2</v>
      </c>
      <c r="F88" s="18" t="s">
        <v>2680</v>
      </c>
      <c r="G88" s="24" t="str">
        <f t="shared" si="3"/>
        <v>FUNC</v>
      </c>
      <c r="H88" s="18"/>
      <c r="I88" s="20"/>
      <c r="J88" s="20"/>
      <c r="K88" s="18"/>
    </row>
    <row r="89" spans="1:11" x14ac:dyDescent="0.2">
      <c r="A89" s="21">
        <v>772</v>
      </c>
      <c r="B89" s="21" t="s">
        <v>2822</v>
      </c>
      <c r="C89" s="22" t="s">
        <v>2688</v>
      </c>
      <c r="D89" s="29">
        <v>1.1358999999999999</v>
      </c>
      <c r="E89" s="29">
        <v>2.9957000000000001E-2</v>
      </c>
      <c r="F89" s="18" t="s">
        <v>2680</v>
      </c>
      <c r="G89" s="24" t="str">
        <f t="shared" si="3"/>
        <v>FUNC</v>
      </c>
      <c r="H89" s="18"/>
      <c r="I89" s="28" t="s">
        <v>2136</v>
      </c>
      <c r="J89" s="20" t="s">
        <v>2815</v>
      </c>
      <c r="K89" s="18" t="s">
        <v>2845</v>
      </c>
    </row>
    <row r="90" spans="1:11" x14ac:dyDescent="0.2">
      <c r="A90" s="21">
        <v>806</v>
      </c>
      <c r="B90" s="21" t="s">
        <v>2818</v>
      </c>
      <c r="C90" s="22" t="s">
        <v>2687</v>
      </c>
      <c r="D90" s="29">
        <v>1.2073578595317727</v>
      </c>
      <c r="E90" s="29">
        <v>1.7779076497816033E-2</v>
      </c>
      <c r="F90" s="18" t="s">
        <v>2680</v>
      </c>
      <c r="G90" s="24" t="str">
        <f t="shared" si="3"/>
        <v>FUNC</v>
      </c>
      <c r="H90" s="18"/>
      <c r="I90" s="20"/>
      <c r="J90" s="20"/>
      <c r="K90" s="18" t="s">
        <v>2845</v>
      </c>
    </row>
    <row r="91" spans="1:11" x14ac:dyDescent="0.2">
      <c r="A91" s="21">
        <v>826</v>
      </c>
      <c r="B91" s="21" t="s">
        <v>2820</v>
      </c>
      <c r="C91" s="22" t="s">
        <v>2686</v>
      </c>
      <c r="D91" s="29">
        <v>0.84347300000000003</v>
      </c>
      <c r="E91" s="29">
        <v>6.3865000000000005E-2</v>
      </c>
      <c r="F91" s="18" t="s">
        <v>2680</v>
      </c>
      <c r="G91" s="24" t="str">
        <f t="shared" si="3"/>
        <v>FUNC</v>
      </c>
      <c r="H91" s="18"/>
      <c r="I91" s="28" t="s">
        <v>2136</v>
      </c>
      <c r="J91" s="20" t="s">
        <v>2815</v>
      </c>
      <c r="K91" s="18" t="s">
        <v>2845</v>
      </c>
    </row>
    <row r="92" spans="1:11" x14ac:dyDescent="0.2">
      <c r="A92" s="17">
        <v>856</v>
      </c>
      <c r="B92" s="21" t="s">
        <v>2834</v>
      </c>
      <c r="C92" s="22" t="s">
        <v>2685</v>
      </c>
      <c r="D92" s="29">
        <v>1.025085518814139</v>
      </c>
      <c r="E92" s="29">
        <v>2.3562118950711558E-2</v>
      </c>
      <c r="F92" s="18" t="s">
        <v>2680</v>
      </c>
      <c r="G92" s="24" t="str">
        <f t="shared" si="3"/>
        <v>FUNC</v>
      </c>
      <c r="H92" s="18"/>
      <c r="I92" s="28" t="s">
        <v>2136</v>
      </c>
      <c r="J92" s="20" t="s">
        <v>2815</v>
      </c>
      <c r="K92" s="18" t="s">
        <v>2845</v>
      </c>
    </row>
    <row r="93" spans="1:11" x14ac:dyDescent="0.2">
      <c r="A93" s="17">
        <v>866</v>
      </c>
      <c r="B93" s="21" t="s">
        <v>96</v>
      </c>
      <c r="C93" s="22" t="s">
        <v>2684</v>
      </c>
      <c r="D93" s="29">
        <v>1.7551342812006319</v>
      </c>
      <c r="E93" s="29">
        <v>6.3766143888386778E-2</v>
      </c>
      <c r="F93" s="18" t="s">
        <v>2680</v>
      </c>
      <c r="G93" s="24" t="str">
        <f t="shared" si="3"/>
        <v>FUNC</v>
      </c>
      <c r="H93" s="18"/>
      <c r="I93" s="28" t="s">
        <v>2136</v>
      </c>
      <c r="J93" s="20" t="s">
        <v>2815</v>
      </c>
      <c r="K93" s="18" t="s">
        <v>2845</v>
      </c>
    </row>
    <row r="94" spans="1:11" x14ac:dyDescent="0.2">
      <c r="A94" s="17">
        <v>962</v>
      </c>
      <c r="B94" s="21" t="s">
        <v>2820</v>
      </c>
      <c r="C94" s="22" t="s">
        <v>2683</v>
      </c>
      <c r="D94" s="29">
        <v>0.91106043329532505</v>
      </c>
      <c r="E94" s="29">
        <v>3.0361520993601353E-2</v>
      </c>
      <c r="F94" s="18" t="s">
        <v>2680</v>
      </c>
      <c r="G94" s="24" t="str">
        <f t="shared" si="3"/>
        <v>FUNC</v>
      </c>
      <c r="H94" s="18"/>
      <c r="I94" s="28" t="s">
        <v>2136</v>
      </c>
      <c r="J94" s="20" t="s">
        <v>2815</v>
      </c>
      <c r="K94" s="18" t="s">
        <v>2845</v>
      </c>
    </row>
    <row r="95" spans="1:11" x14ac:dyDescent="0.2">
      <c r="A95" s="17">
        <v>988</v>
      </c>
      <c r="B95" s="21" t="s">
        <v>2822</v>
      </c>
      <c r="C95" s="22" t="s">
        <v>2682</v>
      </c>
      <c r="D95" s="29">
        <v>1.024751</v>
      </c>
      <c r="E95" s="29">
        <v>7.1362999999999996E-2</v>
      </c>
      <c r="F95" s="18" t="s">
        <v>2680</v>
      </c>
      <c r="G95" s="24" t="str">
        <f t="shared" si="3"/>
        <v>FUNC</v>
      </c>
      <c r="H95" s="18"/>
      <c r="I95" s="20"/>
      <c r="J95" s="20"/>
      <c r="K95" s="18"/>
    </row>
    <row r="96" spans="1:11" x14ac:dyDescent="0.2">
      <c r="A96" s="17">
        <v>1019</v>
      </c>
      <c r="B96" s="21" t="s">
        <v>2830</v>
      </c>
      <c r="C96" s="22" t="s">
        <v>2681</v>
      </c>
      <c r="D96" s="29">
        <v>1.193846153846154</v>
      </c>
      <c r="E96" s="29">
        <v>0.14851533501200334</v>
      </c>
      <c r="F96" s="18" t="s">
        <v>2680</v>
      </c>
      <c r="G96" s="24" t="str">
        <f t="shared" si="3"/>
        <v>FUNC</v>
      </c>
      <c r="H96" s="18"/>
      <c r="I96" s="20"/>
      <c r="J96" s="20"/>
      <c r="K96" s="18" t="s">
        <v>2845</v>
      </c>
    </row>
    <row r="97" spans="1:11" x14ac:dyDescent="0.2">
      <c r="A97" s="17">
        <v>1044</v>
      </c>
      <c r="B97" s="21" t="s">
        <v>2830</v>
      </c>
      <c r="C97" s="22" t="s">
        <v>2679</v>
      </c>
      <c r="D97" s="29">
        <v>1.105128205128205</v>
      </c>
      <c r="E97" s="29">
        <v>2.5687138023322058E-2</v>
      </c>
      <c r="F97" s="18"/>
      <c r="G97" s="24" t="str">
        <f t="shared" si="3"/>
        <v>FUNC</v>
      </c>
      <c r="H97" s="18"/>
      <c r="I97" s="28" t="s">
        <v>2136</v>
      </c>
      <c r="J97" s="20" t="s">
        <v>2815</v>
      </c>
      <c r="K97" s="18" t="s">
        <v>2845</v>
      </c>
    </row>
    <row r="98" spans="1:11" x14ac:dyDescent="0.2">
      <c r="A98" s="17">
        <v>1150</v>
      </c>
      <c r="B98" s="21" t="s">
        <v>74</v>
      </c>
      <c r="C98" s="22" t="s">
        <v>2678</v>
      </c>
      <c r="D98" s="29">
        <v>0.88939566704675033</v>
      </c>
      <c r="E98" s="29">
        <v>3.9832690672798009E-2</v>
      </c>
      <c r="F98" s="18"/>
      <c r="G98" s="24" t="str">
        <f t="shared" si="3"/>
        <v>FUNC</v>
      </c>
      <c r="H98" s="18"/>
      <c r="I98" s="28" t="s">
        <v>2136</v>
      </c>
      <c r="J98" s="20" t="s">
        <v>2815</v>
      </c>
      <c r="K98" s="18" t="s">
        <v>2845</v>
      </c>
    </row>
    <row r="99" spans="1:11" x14ac:dyDescent="0.2">
      <c r="A99" s="17">
        <v>1152</v>
      </c>
      <c r="B99" s="21" t="s">
        <v>82</v>
      </c>
      <c r="C99" s="22" t="s">
        <v>2677</v>
      </c>
      <c r="D99" s="29">
        <v>1.7306477093206951</v>
      </c>
      <c r="E99" s="29">
        <v>6.241625992145082E-2</v>
      </c>
      <c r="F99" s="18"/>
      <c r="G99" s="24" t="str">
        <f t="shared" si="3"/>
        <v>FUNC</v>
      </c>
      <c r="H99" s="18"/>
      <c r="I99" s="20"/>
      <c r="J99" s="20"/>
      <c r="K99" s="18" t="s">
        <v>2845</v>
      </c>
    </row>
    <row r="100" spans="1:11" x14ac:dyDescent="0.2">
      <c r="A100" s="17">
        <v>1180</v>
      </c>
      <c r="B100" s="21" t="s">
        <v>2821</v>
      </c>
      <c r="C100" s="22" t="s">
        <v>2676</v>
      </c>
      <c r="D100" s="29">
        <v>1.3510638297872342</v>
      </c>
      <c r="E100" s="29">
        <v>3.7912780632356882E-2</v>
      </c>
      <c r="F100" s="18"/>
      <c r="G100" s="24" t="str">
        <f t="shared" si="3"/>
        <v>FUNC</v>
      </c>
      <c r="H100" s="18"/>
      <c r="I100" s="20"/>
      <c r="J100" s="20"/>
      <c r="K100" s="18"/>
    </row>
    <row r="101" spans="1:11" x14ac:dyDescent="0.2">
      <c r="A101" s="17">
        <v>1219</v>
      </c>
      <c r="B101" s="21" t="s">
        <v>2823</v>
      </c>
      <c r="C101" s="22" t="s">
        <v>2675</v>
      </c>
      <c r="D101" s="29">
        <v>1.0212846826301787</v>
      </c>
      <c r="E101" s="29">
        <v>5.3617392549091241E-3</v>
      </c>
      <c r="F101" s="18"/>
      <c r="G101" s="24" t="str">
        <f t="shared" si="3"/>
        <v>FUNC</v>
      </c>
      <c r="H101" s="18"/>
      <c r="I101" s="28" t="s">
        <v>2136</v>
      </c>
      <c r="J101" s="20" t="s">
        <v>2815</v>
      </c>
      <c r="K101" s="18" t="s">
        <v>2845</v>
      </c>
    </row>
    <row r="102" spans="1:11" x14ac:dyDescent="0.2">
      <c r="A102" s="17">
        <v>1238</v>
      </c>
      <c r="B102" s="21" t="s">
        <v>2824</v>
      </c>
      <c r="C102" s="22" t="s">
        <v>2674</v>
      </c>
      <c r="D102" s="29">
        <v>1.3838862559241705</v>
      </c>
      <c r="E102" s="29">
        <v>3.0005402706513952E-2</v>
      </c>
      <c r="F102" s="18"/>
      <c r="G102" s="24" t="str">
        <f t="shared" si="3"/>
        <v>FUNC</v>
      </c>
      <c r="H102" s="18"/>
      <c r="I102" s="28" t="s">
        <v>2136</v>
      </c>
      <c r="J102" s="20" t="s">
        <v>2815</v>
      </c>
      <c r="K102" s="18" t="s">
        <v>2845</v>
      </c>
    </row>
    <row r="103" spans="1:11" x14ac:dyDescent="0.2">
      <c r="A103" s="17">
        <v>1247</v>
      </c>
      <c r="B103" s="21" t="s">
        <v>79</v>
      </c>
      <c r="C103" s="22" t="s">
        <v>2673</v>
      </c>
      <c r="D103" s="29">
        <v>1.1105331599479842</v>
      </c>
      <c r="E103" s="29">
        <v>1.6905071521456438E-2</v>
      </c>
      <c r="F103" s="18"/>
      <c r="G103" s="24" t="str">
        <f t="shared" si="3"/>
        <v>FUNC</v>
      </c>
      <c r="H103" s="18"/>
      <c r="I103" s="28" t="s">
        <v>2136</v>
      </c>
      <c r="J103" s="20" t="s">
        <v>2815</v>
      </c>
      <c r="K103" s="18" t="s">
        <v>2845</v>
      </c>
    </row>
    <row r="104" spans="1:11" x14ac:dyDescent="0.2">
      <c r="A104" s="17">
        <v>1250</v>
      </c>
      <c r="B104" s="21" t="s">
        <v>2831</v>
      </c>
      <c r="C104" s="22" t="s">
        <v>2672</v>
      </c>
      <c r="D104" s="29">
        <v>8.1622E-2</v>
      </c>
      <c r="E104" s="29">
        <v>3.9579999999999997E-3</v>
      </c>
      <c r="F104" s="18" t="s">
        <v>2653</v>
      </c>
      <c r="G104" s="25" t="str">
        <f t="shared" si="3"/>
        <v>LOF</v>
      </c>
      <c r="H104" s="18"/>
      <c r="I104" s="26" t="s">
        <v>2779</v>
      </c>
      <c r="J104" s="20" t="s">
        <v>2815</v>
      </c>
      <c r="K104" s="18" t="s">
        <v>2845</v>
      </c>
    </row>
    <row r="105" spans="1:11" x14ac:dyDescent="0.2">
      <c r="A105" s="17">
        <v>1281</v>
      </c>
      <c r="B105" s="21" t="s">
        <v>2814</v>
      </c>
      <c r="C105" s="22" t="s">
        <v>2671</v>
      </c>
      <c r="D105" s="29">
        <v>1.0513112884834663</v>
      </c>
      <c r="E105" s="29">
        <v>2.9167548525961495E-2</v>
      </c>
      <c r="F105" s="18"/>
      <c r="G105" s="24" t="str">
        <f t="shared" si="3"/>
        <v>FUNC</v>
      </c>
      <c r="H105" s="18"/>
      <c r="I105" s="20"/>
      <c r="J105" s="20"/>
      <c r="K105" s="18" t="s">
        <v>2845</v>
      </c>
    </row>
    <row r="106" spans="1:11" x14ac:dyDescent="0.2">
      <c r="A106" s="17">
        <v>1297</v>
      </c>
      <c r="B106" s="21" t="s">
        <v>2814</v>
      </c>
      <c r="C106" s="22" t="s">
        <v>2670</v>
      </c>
      <c r="D106" s="29">
        <v>1.009752926</v>
      </c>
      <c r="E106" s="29">
        <v>2.3314275999999998E-2</v>
      </c>
      <c r="F106" s="18"/>
      <c r="G106" s="24" t="str">
        <f t="shared" si="3"/>
        <v>FUNC</v>
      </c>
      <c r="H106" s="18"/>
      <c r="I106" s="20"/>
      <c r="J106" s="20"/>
      <c r="K106" s="18"/>
    </row>
    <row r="107" spans="1:11" x14ac:dyDescent="0.2">
      <c r="A107" s="17">
        <v>1346</v>
      </c>
      <c r="B107" s="21" t="s">
        <v>2820</v>
      </c>
      <c r="C107" s="22" t="s">
        <v>2669</v>
      </c>
      <c r="D107" s="29">
        <v>0.98479665526415816</v>
      </c>
      <c r="E107" s="29">
        <v>1.3970335195354672E-2</v>
      </c>
      <c r="F107" s="18"/>
      <c r="G107" s="24" t="str">
        <f t="shared" si="3"/>
        <v>FUNC</v>
      </c>
      <c r="H107" s="18"/>
      <c r="I107" s="28" t="s">
        <v>2783</v>
      </c>
      <c r="J107" s="20" t="s">
        <v>2828</v>
      </c>
      <c r="K107" s="18" t="s">
        <v>2845</v>
      </c>
    </row>
    <row r="108" spans="1:11" x14ac:dyDescent="0.2">
      <c r="A108" s="17">
        <v>1354</v>
      </c>
      <c r="B108" s="21" t="s">
        <v>2818</v>
      </c>
      <c r="C108" s="22" t="s">
        <v>2668</v>
      </c>
      <c r="D108" s="29">
        <v>1.0577983</v>
      </c>
      <c r="E108" s="29">
        <v>4.8878999999999999E-2</v>
      </c>
      <c r="F108" s="18"/>
      <c r="G108" s="24" t="str">
        <f t="shared" si="3"/>
        <v>FUNC</v>
      </c>
      <c r="H108" s="18"/>
      <c r="I108" s="20"/>
      <c r="J108" s="20"/>
      <c r="K108" s="18" t="s">
        <v>2845</v>
      </c>
    </row>
    <row r="109" spans="1:11" x14ac:dyDescent="0.2">
      <c r="A109" s="17">
        <v>1376</v>
      </c>
      <c r="B109" s="21" t="s">
        <v>2825</v>
      </c>
      <c r="C109" s="22" t="s">
        <v>2667</v>
      </c>
      <c r="D109" s="29">
        <v>1.5373333333333334</v>
      </c>
      <c r="E109" s="29">
        <v>8.2440550971256757E-2</v>
      </c>
      <c r="F109" s="18" t="s">
        <v>2662</v>
      </c>
      <c r="G109" s="24" t="str">
        <f t="shared" si="3"/>
        <v>FUNC</v>
      </c>
      <c r="H109" s="18"/>
      <c r="I109" s="20"/>
      <c r="J109" s="20"/>
      <c r="K109" s="18" t="s">
        <v>2845</v>
      </c>
    </row>
    <row r="110" spans="1:11" x14ac:dyDescent="0.2">
      <c r="A110" s="17">
        <v>1378</v>
      </c>
      <c r="B110" s="21" t="s">
        <v>79</v>
      </c>
      <c r="C110" s="22" t="s">
        <v>2666</v>
      </c>
      <c r="D110" s="29">
        <v>1.1824600520252695</v>
      </c>
      <c r="E110" s="29">
        <v>5.9164084880746891E-2</v>
      </c>
      <c r="F110" s="18" t="s">
        <v>2662</v>
      </c>
      <c r="G110" s="24" t="str">
        <f t="shared" si="3"/>
        <v>FUNC</v>
      </c>
      <c r="H110" s="18"/>
      <c r="I110" s="28" t="s">
        <v>2136</v>
      </c>
      <c r="J110" s="20" t="s">
        <v>2815</v>
      </c>
      <c r="K110" s="18" t="s">
        <v>2845</v>
      </c>
    </row>
    <row r="111" spans="1:11" x14ac:dyDescent="0.2">
      <c r="A111" s="17">
        <v>1415</v>
      </c>
      <c r="B111" s="21" t="s">
        <v>2655</v>
      </c>
      <c r="C111" s="22" t="s">
        <v>2665</v>
      </c>
      <c r="D111" s="29">
        <v>6.1799E-2</v>
      </c>
      <c r="E111" s="29">
        <v>1.8309999999999999E-3</v>
      </c>
      <c r="F111" s="18" t="s">
        <v>2653</v>
      </c>
      <c r="G111" s="25" t="str">
        <f t="shared" si="3"/>
        <v>LOF</v>
      </c>
      <c r="H111" s="18"/>
      <c r="I111" s="26" t="s">
        <v>2779</v>
      </c>
      <c r="J111" s="20" t="s">
        <v>2815</v>
      </c>
      <c r="K111" s="18" t="s">
        <v>2845</v>
      </c>
    </row>
    <row r="112" spans="1:11" x14ac:dyDescent="0.2">
      <c r="A112" s="17">
        <v>1421</v>
      </c>
      <c r="B112" s="21" t="s">
        <v>2832</v>
      </c>
      <c r="C112" s="22" t="s">
        <v>2664</v>
      </c>
      <c r="D112" s="29">
        <v>1.84</v>
      </c>
      <c r="E112" s="29">
        <v>5.3153864707404047E-2</v>
      </c>
      <c r="F112" s="18" t="s">
        <v>2662</v>
      </c>
      <c r="G112" s="24" t="str">
        <f t="shared" si="3"/>
        <v>FUNC</v>
      </c>
      <c r="H112" s="18"/>
      <c r="I112" s="20"/>
      <c r="J112" s="20"/>
      <c r="K112" s="18" t="s">
        <v>2845</v>
      </c>
    </row>
    <row r="113" spans="1:11" x14ac:dyDescent="0.2">
      <c r="A113" s="17">
        <v>1422</v>
      </c>
      <c r="B113" s="21" t="s">
        <v>2819</v>
      </c>
      <c r="C113" s="22" t="s">
        <v>2663</v>
      </c>
      <c r="D113" s="29">
        <v>1.75</v>
      </c>
      <c r="E113" s="29">
        <v>8.2203000756258471E-2</v>
      </c>
      <c r="F113" s="18" t="s">
        <v>2662</v>
      </c>
      <c r="G113" s="24" t="str">
        <f t="shared" si="3"/>
        <v>FUNC</v>
      </c>
      <c r="H113" s="18"/>
      <c r="I113" s="20"/>
      <c r="J113" s="20"/>
      <c r="K113" s="18" t="s">
        <v>2845</v>
      </c>
    </row>
    <row r="114" spans="1:11" x14ac:dyDescent="0.2">
      <c r="A114" s="17">
        <v>1476</v>
      </c>
      <c r="B114" s="21" t="s">
        <v>2818</v>
      </c>
      <c r="C114" s="22" t="s">
        <v>2661</v>
      </c>
      <c r="D114" s="29">
        <v>1.040668947168377</v>
      </c>
      <c r="E114" s="29">
        <v>7.0392471217986244E-3</v>
      </c>
      <c r="F114" s="18"/>
      <c r="G114" s="24" t="str">
        <f t="shared" ref="G114:G133" si="4">IF(D114&lt;0.48,"LOF","FUNC")</f>
        <v>FUNC</v>
      </c>
      <c r="H114" s="18"/>
      <c r="I114" s="20"/>
      <c r="J114" s="20"/>
      <c r="K114" s="18" t="s">
        <v>2845</v>
      </c>
    </row>
    <row r="115" spans="1:11" x14ac:dyDescent="0.2">
      <c r="A115" s="17">
        <v>1534</v>
      </c>
      <c r="B115" s="21" t="s">
        <v>2817</v>
      </c>
      <c r="C115" s="22" t="s">
        <v>2660</v>
      </c>
      <c r="D115" s="29">
        <v>1.0738219895287957</v>
      </c>
      <c r="E115" s="29">
        <v>1.2706451413101135E-2</v>
      </c>
      <c r="F115" s="18"/>
      <c r="G115" s="24" t="str">
        <f t="shared" si="4"/>
        <v>FUNC</v>
      </c>
      <c r="H115" s="18"/>
      <c r="I115" s="28" t="s">
        <v>2136</v>
      </c>
      <c r="J115" s="20" t="s">
        <v>2815</v>
      </c>
      <c r="K115" s="18" t="s">
        <v>2845</v>
      </c>
    </row>
    <row r="116" spans="1:11" x14ac:dyDescent="0.2">
      <c r="A116" s="17">
        <v>1546</v>
      </c>
      <c r="B116" s="21" t="s">
        <v>2832</v>
      </c>
      <c r="C116" s="22" t="s">
        <v>2659</v>
      </c>
      <c r="D116" s="29">
        <v>0.8638746906876501</v>
      </c>
      <c r="E116" s="29">
        <v>2.9894764096572612E-2</v>
      </c>
      <c r="F116" s="18"/>
      <c r="G116" s="24" t="str">
        <f t="shared" si="4"/>
        <v>FUNC</v>
      </c>
      <c r="H116" s="18"/>
      <c r="I116" s="28" t="s">
        <v>2136</v>
      </c>
      <c r="J116" s="20" t="s">
        <v>2815</v>
      </c>
      <c r="K116" s="18" t="s">
        <v>2845</v>
      </c>
    </row>
    <row r="117" spans="1:11" x14ac:dyDescent="0.2">
      <c r="A117" s="17">
        <v>1561</v>
      </c>
      <c r="B117" s="21" t="s">
        <v>79</v>
      </c>
      <c r="C117" s="22" t="s">
        <v>2658</v>
      </c>
      <c r="D117" s="29">
        <v>1.3323201621073961</v>
      </c>
      <c r="E117" s="29">
        <v>4.644867987708335E-2</v>
      </c>
      <c r="F117" s="18"/>
      <c r="G117" s="24" t="str">
        <f t="shared" si="4"/>
        <v>FUNC</v>
      </c>
      <c r="H117" s="18"/>
      <c r="I117" s="28" t="s">
        <v>2783</v>
      </c>
      <c r="J117" s="20" t="s">
        <v>2828</v>
      </c>
      <c r="K117" s="18" t="s">
        <v>2845</v>
      </c>
    </row>
    <row r="118" spans="1:11" x14ac:dyDescent="0.2">
      <c r="A118" s="17">
        <v>1564</v>
      </c>
      <c r="B118" s="21" t="s">
        <v>2814</v>
      </c>
      <c r="C118" s="22" t="s">
        <v>2657</v>
      </c>
      <c r="D118" s="29">
        <v>1.1254876462938881</v>
      </c>
      <c r="E118" s="29">
        <v>2.3086502961745758E-2</v>
      </c>
      <c r="F118" s="18"/>
      <c r="G118" s="24" t="str">
        <f t="shared" si="4"/>
        <v>FUNC</v>
      </c>
      <c r="H118" s="18"/>
      <c r="I118" s="28" t="s">
        <v>2136</v>
      </c>
      <c r="J118" s="20" t="s">
        <v>2815</v>
      </c>
      <c r="K118" s="18" t="s">
        <v>2845</v>
      </c>
    </row>
    <row r="119" spans="1:11" x14ac:dyDescent="0.2">
      <c r="A119" s="17">
        <v>1579</v>
      </c>
      <c r="B119" s="18" t="s">
        <v>2822</v>
      </c>
      <c r="C119" s="19" t="s">
        <v>22</v>
      </c>
      <c r="D119" s="29">
        <v>1.1586475942782835</v>
      </c>
      <c r="E119" s="29">
        <v>4.661041539147838E-2</v>
      </c>
      <c r="F119" s="18"/>
      <c r="G119" s="24" t="str">
        <f t="shared" si="4"/>
        <v>FUNC</v>
      </c>
      <c r="H119" s="18"/>
      <c r="I119" s="20" t="s">
        <v>2841</v>
      </c>
      <c r="J119" s="20" t="s">
        <v>2842</v>
      </c>
      <c r="K119" s="18" t="s">
        <v>2845</v>
      </c>
    </row>
    <row r="120" spans="1:11" x14ac:dyDescent="0.2">
      <c r="A120" s="17">
        <v>1598</v>
      </c>
      <c r="B120" s="18" t="s">
        <v>2831</v>
      </c>
      <c r="C120" s="30" t="s">
        <v>70</v>
      </c>
      <c r="D120" s="31">
        <v>0.13920114805070558</v>
      </c>
      <c r="E120" s="32">
        <v>2.1920955249729022E-3</v>
      </c>
      <c r="F120" s="18" t="s">
        <v>2651</v>
      </c>
      <c r="G120" s="25" t="str">
        <f t="shared" si="4"/>
        <v>LOF</v>
      </c>
      <c r="H120" s="18"/>
      <c r="I120" s="20"/>
      <c r="J120" s="20"/>
      <c r="K120" s="18"/>
    </row>
    <row r="121" spans="1:11" x14ac:dyDescent="0.2">
      <c r="A121" s="17">
        <v>1628</v>
      </c>
      <c r="B121" s="18" t="s">
        <v>2818</v>
      </c>
      <c r="C121" s="19" t="s">
        <v>23</v>
      </c>
      <c r="D121" s="29">
        <v>1.0727748691099475</v>
      </c>
      <c r="E121" s="29">
        <v>5.1193908967203106E-2</v>
      </c>
      <c r="F121" s="18"/>
      <c r="G121" s="24" t="str">
        <f t="shared" si="4"/>
        <v>FUNC</v>
      </c>
      <c r="H121" s="18"/>
      <c r="I121" s="28" t="s">
        <v>2136</v>
      </c>
      <c r="J121" s="20" t="s">
        <v>2815</v>
      </c>
      <c r="K121" s="18" t="s">
        <v>2845</v>
      </c>
    </row>
    <row r="122" spans="1:11" x14ac:dyDescent="0.2">
      <c r="A122" s="17">
        <v>1637</v>
      </c>
      <c r="B122" s="18" t="s">
        <v>2824</v>
      </c>
      <c r="C122" s="19" t="s">
        <v>24</v>
      </c>
      <c r="D122" s="29">
        <v>1.0382602999999999</v>
      </c>
      <c r="E122" s="29">
        <v>5.1116000000000002E-2</v>
      </c>
      <c r="F122" s="18"/>
      <c r="G122" s="24" t="str">
        <f t="shared" si="4"/>
        <v>FUNC</v>
      </c>
      <c r="H122" s="18"/>
      <c r="I122" s="28" t="s">
        <v>2136</v>
      </c>
      <c r="J122" s="20" t="s">
        <v>2815</v>
      </c>
      <c r="K122" s="18" t="s">
        <v>2845</v>
      </c>
    </row>
    <row r="123" spans="1:11" x14ac:dyDescent="0.2">
      <c r="A123" s="17">
        <v>1669</v>
      </c>
      <c r="B123" s="18" t="s">
        <v>74</v>
      </c>
      <c r="C123" s="19" t="s">
        <v>25</v>
      </c>
      <c r="D123" s="29">
        <v>1.3650793650793649</v>
      </c>
      <c r="E123" s="29">
        <v>9.0701951347984658E-2</v>
      </c>
      <c r="F123" s="18" t="s">
        <v>2652</v>
      </c>
      <c r="G123" s="24" t="str">
        <f t="shared" si="4"/>
        <v>FUNC</v>
      </c>
      <c r="H123" s="18"/>
      <c r="I123" s="20" t="s">
        <v>2841</v>
      </c>
      <c r="J123" s="20" t="s">
        <v>2842</v>
      </c>
      <c r="K123" s="18" t="s">
        <v>2845</v>
      </c>
    </row>
    <row r="124" spans="1:11" x14ac:dyDescent="0.2">
      <c r="A124" s="17">
        <v>1676</v>
      </c>
      <c r="B124" s="18" t="s">
        <v>2833</v>
      </c>
      <c r="C124" s="33" t="s">
        <v>46</v>
      </c>
      <c r="D124" s="31">
        <v>1.1931818181818181</v>
      </c>
      <c r="E124" s="32">
        <v>2.837355732306563E-2</v>
      </c>
      <c r="F124" s="18" t="s">
        <v>2652</v>
      </c>
      <c r="G124" s="24" t="str">
        <f t="shared" si="4"/>
        <v>FUNC</v>
      </c>
      <c r="H124" s="18"/>
      <c r="I124" s="20"/>
      <c r="J124" s="20"/>
      <c r="K124" s="18"/>
    </row>
    <row r="125" spans="1:11" x14ac:dyDescent="0.2">
      <c r="A125" s="17">
        <v>1685</v>
      </c>
      <c r="B125" s="18" t="s">
        <v>79</v>
      </c>
      <c r="C125" s="19" t="s">
        <v>26</v>
      </c>
      <c r="D125" s="29">
        <v>0.20138888888888892</v>
      </c>
      <c r="E125" s="29">
        <v>1.9313415013821136E-2</v>
      </c>
      <c r="F125" s="18" t="s">
        <v>2652</v>
      </c>
      <c r="G125" s="25" t="str">
        <f t="shared" si="4"/>
        <v>LOF</v>
      </c>
      <c r="H125" s="18"/>
      <c r="I125" s="26" t="s">
        <v>2779</v>
      </c>
      <c r="J125" s="20" t="s">
        <v>2815</v>
      </c>
      <c r="K125" s="18" t="s">
        <v>2845</v>
      </c>
    </row>
    <row r="126" spans="1:11" x14ac:dyDescent="0.2">
      <c r="A126" s="17">
        <v>1687</v>
      </c>
      <c r="B126" s="18" t="s">
        <v>2821</v>
      </c>
      <c r="C126" s="19" t="s">
        <v>892</v>
      </c>
      <c r="D126" s="29">
        <v>5.2736058962592126E-2</v>
      </c>
      <c r="E126" s="29">
        <v>2.0453066056829246E-3</v>
      </c>
      <c r="F126" s="18" t="s">
        <v>2652</v>
      </c>
      <c r="G126" s="25" t="str">
        <f t="shared" si="4"/>
        <v>LOF</v>
      </c>
      <c r="H126" s="18"/>
      <c r="I126" s="26" t="s">
        <v>2781</v>
      </c>
      <c r="J126" s="20" t="s">
        <v>2829</v>
      </c>
      <c r="K126" s="18"/>
    </row>
    <row r="127" spans="1:11" x14ac:dyDescent="0.2">
      <c r="A127" s="17">
        <v>1690</v>
      </c>
      <c r="B127" s="18" t="s">
        <v>2833</v>
      </c>
      <c r="C127" s="19" t="s">
        <v>28</v>
      </c>
      <c r="D127" s="29">
        <v>1.044502617801047</v>
      </c>
      <c r="E127" s="29">
        <v>4.2038331238003185E-2</v>
      </c>
      <c r="F127" s="18" t="s">
        <v>2652</v>
      </c>
      <c r="G127" s="24" t="str">
        <f t="shared" si="4"/>
        <v>FUNC</v>
      </c>
      <c r="H127" s="18"/>
      <c r="I127" s="20" t="s">
        <v>2841</v>
      </c>
      <c r="J127" s="20" t="s">
        <v>2842</v>
      </c>
      <c r="K127" s="18" t="s">
        <v>2845</v>
      </c>
    </row>
    <row r="128" spans="1:11" x14ac:dyDescent="0.2">
      <c r="A128" s="17">
        <v>1697</v>
      </c>
      <c r="B128" s="18" t="s">
        <v>2825</v>
      </c>
      <c r="C128" s="19" t="s">
        <v>946</v>
      </c>
      <c r="D128" s="29">
        <v>5.7567991735701374E-2</v>
      </c>
      <c r="E128" s="29">
        <v>6.3857700640658043E-4</v>
      </c>
      <c r="F128" s="18" t="s">
        <v>2652</v>
      </c>
      <c r="G128" s="25" t="str">
        <f t="shared" si="4"/>
        <v>LOF</v>
      </c>
      <c r="H128" s="18"/>
      <c r="I128" s="26" t="s">
        <v>2779</v>
      </c>
      <c r="J128" s="20" t="s">
        <v>2815</v>
      </c>
      <c r="K128" s="18"/>
    </row>
    <row r="129" spans="1:22" x14ac:dyDescent="0.2">
      <c r="A129" s="17">
        <v>1699</v>
      </c>
      <c r="B129" s="18" t="s">
        <v>2835</v>
      </c>
      <c r="C129" s="19" t="s">
        <v>29</v>
      </c>
      <c r="D129" s="29">
        <v>0.15549738219895287</v>
      </c>
      <c r="E129" s="29">
        <v>3.62733153417566E-3</v>
      </c>
      <c r="F129" s="18" t="s">
        <v>2652</v>
      </c>
      <c r="G129" s="25" t="str">
        <f t="shared" si="4"/>
        <v>LOF</v>
      </c>
      <c r="H129" s="18"/>
      <c r="I129" s="26" t="s">
        <v>2779</v>
      </c>
      <c r="J129" s="20" t="s">
        <v>2815</v>
      </c>
      <c r="K129" s="18" t="s">
        <v>2845</v>
      </c>
    </row>
    <row r="130" spans="1:22" x14ac:dyDescent="0.2">
      <c r="A130" s="17">
        <v>1704</v>
      </c>
      <c r="B130" s="18" t="s">
        <v>2824</v>
      </c>
      <c r="C130" s="19" t="s">
        <v>970</v>
      </c>
      <c r="D130" s="29">
        <v>0.31199962254405311</v>
      </c>
      <c r="E130" s="29">
        <v>1.441650540216461E-2</v>
      </c>
      <c r="F130" s="18" t="s">
        <v>2652</v>
      </c>
      <c r="G130" s="25" t="str">
        <f t="shared" si="4"/>
        <v>LOF</v>
      </c>
      <c r="H130" s="18"/>
      <c r="I130" s="20" t="s">
        <v>2843</v>
      </c>
      <c r="J130" s="20" t="s">
        <v>2828</v>
      </c>
      <c r="K130" s="18"/>
    </row>
    <row r="131" spans="1:22" x14ac:dyDescent="0.2">
      <c r="A131" s="17">
        <v>1704</v>
      </c>
      <c r="B131" s="18" t="s">
        <v>2832</v>
      </c>
      <c r="C131" s="19" t="s">
        <v>975</v>
      </c>
      <c r="D131" s="29">
        <v>0.17512118322506309</v>
      </c>
      <c r="E131" s="29">
        <v>8.9906881539839698E-3</v>
      </c>
      <c r="F131" s="18" t="s">
        <v>2652</v>
      </c>
      <c r="G131" s="25" t="str">
        <f t="shared" si="4"/>
        <v>LOF</v>
      </c>
      <c r="H131" s="18"/>
      <c r="I131" s="20" t="s">
        <v>2843</v>
      </c>
      <c r="J131" s="20" t="s">
        <v>2828</v>
      </c>
      <c r="K131" s="18"/>
      <c r="M131" s="9"/>
      <c r="N131" s="10"/>
      <c r="O131" s="10"/>
      <c r="P131" s="10"/>
      <c r="Q131" s="10"/>
      <c r="R131" s="10"/>
      <c r="S131" s="10"/>
      <c r="T131" s="10"/>
      <c r="U131" s="10"/>
      <c r="V131" s="10"/>
    </row>
    <row r="132" spans="1:22" x14ac:dyDescent="0.2">
      <c r="A132" s="17">
        <v>1707</v>
      </c>
      <c r="B132" s="18" t="s">
        <v>74</v>
      </c>
      <c r="C132" s="19" t="s">
        <v>986</v>
      </c>
      <c r="D132" s="29">
        <v>0.19924707471641137</v>
      </c>
      <c r="E132" s="29">
        <v>1.2133770970423481E-2</v>
      </c>
      <c r="F132" s="18" t="s">
        <v>2652</v>
      </c>
      <c r="G132" s="25" t="str">
        <f t="shared" si="4"/>
        <v>LOF</v>
      </c>
      <c r="H132" s="18"/>
      <c r="I132" s="20" t="s">
        <v>2843</v>
      </c>
      <c r="J132" s="20" t="s">
        <v>2828</v>
      </c>
      <c r="K132" s="18"/>
      <c r="N132" s="10"/>
      <c r="O132" s="10"/>
      <c r="P132" s="10"/>
      <c r="Q132" s="10"/>
      <c r="R132" s="10"/>
      <c r="S132" s="10"/>
      <c r="U132" s="10"/>
    </row>
    <row r="133" spans="1:22" x14ac:dyDescent="0.2">
      <c r="A133" s="17">
        <v>1708</v>
      </c>
      <c r="B133" s="18" t="s">
        <v>2819</v>
      </c>
      <c r="C133" s="19" t="s">
        <v>2656</v>
      </c>
      <c r="D133" s="29">
        <v>5.774182013230824E-2</v>
      </c>
      <c r="E133" s="29">
        <v>8.9470781661521934E-3</v>
      </c>
      <c r="F133" s="18" t="s">
        <v>2652</v>
      </c>
      <c r="G133" s="25" t="str">
        <f t="shared" si="4"/>
        <v>LOF</v>
      </c>
      <c r="H133" s="18"/>
      <c r="I133" s="20"/>
      <c r="J133" s="20"/>
      <c r="K133" s="18"/>
      <c r="N133" s="10"/>
      <c r="O133" s="10"/>
      <c r="P133" s="10"/>
      <c r="Q133" s="10"/>
      <c r="R133" s="10"/>
      <c r="S133" s="10"/>
      <c r="U133" s="10"/>
    </row>
    <row r="134" spans="1:22" x14ac:dyDescent="0.2">
      <c r="A134" s="17">
        <v>1708</v>
      </c>
      <c r="B134" s="18" t="s">
        <v>2830</v>
      </c>
      <c r="C134" s="19" t="s">
        <v>31</v>
      </c>
      <c r="D134" s="29">
        <v>0.470744</v>
      </c>
      <c r="E134" s="29">
        <v>5.7840000000000003E-2</v>
      </c>
      <c r="F134" s="18" t="s">
        <v>2652</v>
      </c>
      <c r="G134" s="27" t="s">
        <v>2786</v>
      </c>
      <c r="H134" s="18"/>
      <c r="I134" s="20" t="s">
        <v>2843</v>
      </c>
      <c r="J134" s="20" t="s">
        <v>2828</v>
      </c>
      <c r="K134" s="18" t="s">
        <v>2845</v>
      </c>
    </row>
    <row r="135" spans="1:22" x14ac:dyDescent="0.2">
      <c r="A135" s="17">
        <v>1713</v>
      </c>
      <c r="B135" s="18" t="s">
        <v>2822</v>
      </c>
      <c r="C135" s="19" t="s">
        <v>1009</v>
      </c>
      <c r="D135" s="29">
        <v>0.18711285932812841</v>
      </c>
      <c r="E135" s="29">
        <v>4.9278888300746558E-3</v>
      </c>
      <c r="F135" s="18" t="s">
        <v>2652</v>
      </c>
      <c r="G135" s="25" t="str">
        <f t="shared" ref="G135:G140" si="5">IF(D135&lt;0.48,"LOF","FUNC")</f>
        <v>LOF</v>
      </c>
      <c r="H135" s="18"/>
      <c r="I135" s="20" t="s">
        <v>2841</v>
      </c>
      <c r="J135" s="20" t="s">
        <v>2842</v>
      </c>
      <c r="K135" s="18"/>
    </row>
    <row r="136" spans="1:22" x14ac:dyDescent="0.2">
      <c r="A136" s="17">
        <v>1715</v>
      </c>
      <c r="B136" s="18" t="s">
        <v>79</v>
      </c>
      <c r="C136" s="19" t="s">
        <v>1020</v>
      </c>
      <c r="D136" s="29">
        <v>5.0268192383336317E-2</v>
      </c>
      <c r="E136" s="29">
        <v>6.7905537054951132E-3</v>
      </c>
      <c r="F136" s="18" t="s">
        <v>2652</v>
      </c>
      <c r="G136" s="25" t="str">
        <f t="shared" si="5"/>
        <v>LOF</v>
      </c>
      <c r="H136" s="18"/>
      <c r="I136" s="20" t="s">
        <v>2843</v>
      </c>
      <c r="J136" s="20" t="s">
        <v>2829</v>
      </c>
      <c r="K136" s="18"/>
    </row>
    <row r="137" spans="1:22" x14ac:dyDescent="0.2">
      <c r="A137" s="17">
        <v>1725</v>
      </c>
      <c r="B137" s="18" t="s">
        <v>2825</v>
      </c>
      <c r="C137" s="20" t="s">
        <v>2356</v>
      </c>
      <c r="D137" s="37">
        <v>1.5868394787522668</v>
      </c>
      <c r="E137" s="37">
        <v>9.2413963539709751E-2</v>
      </c>
      <c r="F137" s="18" t="s">
        <v>2652</v>
      </c>
      <c r="G137" s="24" t="str">
        <f t="shared" si="5"/>
        <v>FUNC</v>
      </c>
      <c r="H137" s="18"/>
      <c r="I137" s="20"/>
      <c r="J137" s="20"/>
      <c r="K137" s="18"/>
    </row>
    <row r="138" spans="1:22" x14ac:dyDescent="0.2">
      <c r="A138" s="17">
        <v>1728</v>
      </c>
      <c r="B138" s="18" t="s">
        <v>2818</v>
      </c>
      <c r="C138" s="33" t="s">
        <v>47</v>
      </c>
      <c r="D138" s="31">
        <v>1.6235795454545456</v>
      </c>
      <c r="E138" s="32">
        <v>8.7366615424328289E-2</v>
      </c>
      <c r="F138" s="18" t="s">
        <v>2652</v>
      </c>
      <c r="G138" s="24" t="str">
        <f t="shared" si="5"/>
        <v>FUNC</v>
      </c>
      <c r="H138" s="18"/>
      <c r="I138" s="20"/>
      <c r="J138" s="20"/>
      <c r="K138" s="18"/>
    </row>
    <row r="139" spans="1:22" x14ac:dyDescent="0.2">
      <c r="A139" s="17">
        <v>1734</v>
      </c>
      <c r="B139" s="18" t="s">
        <v>79</v>
      </c>
      <c r="C139" s="19" t="s">
        <v>1083</v>
      </c>
      <c r="D139" s="29">
        <v>4.3089079603472601E-2</v>
      </c>
      <c r="E139" s="29">
        <v>3.7201412285976739E-3</v>
      </c>
      <c r="F139" s="18" t="s">
        <v>2652</v>
      </c>
      <c r="G139" s="25" t="str">
        <f t="shared" si="5"/>
        <v>LOF</v>
      </c>
      <c r="H139" s="18"/>
      <c r="I139" s="20" t="s">
        <v>2843</v>
      </c>
      <c r="J139" s="20" t="s">
        <v>2828</v>
      </c>
      <c r="K139" s="18"/>
    </row>
    <row r="140" spans="1:22" x14ac:dyDescent="0.2">
      <c r="A140" s="17">
        <v>1734</v>
      </c>
      <c r="B140" s="18" t="s">
        <v>74</v>
      </c>
      <c r="C140" s="33" t="s">
        <v>48</v>
      </c>
      <c r="D140" s="31">
        <v>0.25710227272727271</v>
      </c>
      <c r="E140" s="32">
        <v>3.7581694759440294E-3</v>
      </c>
      <c r="F140" s="18" t="s">
        <v>2652</v>
      </c>
      <c r="G140" s="25" t="str">
        <f t="shared" si="5"/>
        <v>LOF</v>
      </c>
      <c r="H140" s="18"/>
      <c r="I140" s="20"/>
      <c r="J140" s="20"/>
      <c r="K140" s="18"/>
    </row>
    <row r="141" spans="1:22" x14ac:dyDescent="0.2">
      <c r="A141" s="17">
        <v>1736</v>
      </c>
      <c r="B141" s="18" t="s">
        <v>2822</v>
      </c>
      <c r="C141" s="33" t="s">
        <v>49</v>
      </c>
      <c r="D141" s="31">
        <v>0.50852272727272718</v>
      </c>
      <c r="E141" s="32">
        <v>2.0633294099906191E-2</v>
      </c>
      <c r="F141" s="18" t="s">
        <v>2652</v>
      </c>
      <c r="G141" s="27" t="s">
        <v>2786</v>
      </c>
      <c r="H141" s="18"/>
      <c r="I141" s="26" t="s">
        <v>2779</v>
      </c>
      <c r="J141" s="20" t="s">
        <v>2815</v>
      </c>
      <c r="K141" s="18"/>
    </row>
    <row r="142" spans="1:22" x14ac:dyDescent="0.2">
      <c r="A142" s="17">
        <v>1738</v>
      </c>
      <c r="B142" s="18" t="s">
        <v>2830</v>
      </c>
      <c r="C142" s="19" t="s">
        <v>1105</v>
      </c>
      <c r="D142" s="29">
        <v>6.0018972127858249E-2</v>
      </c>
      <c r="E142" s="29">
        <v>3.0809712269824941E-3</v>
      </c>
      <c r="F142" s="18" t="s">
        <v>2652</v>
      </c>
      <c r="G142" s="25" t="str">
        <f t="shared" ref="G142:G147" si="6">IF(D142&lt;0.48,"LOF","FUNC")</f>
        <v>LOF</v>
      </c>
      <c r="H142" s="18"/>
      <c r="I142" s="26" t="s">
        <v>2779</v>
      </c>
      <c r="J142" s="20" t="s">
        <v>2829</v>
      </c>
      <c r="K142" s="18"/>
    </row>
    <row r="143" spans="1:22" x14ac:dyDescent="0.2">
      <c r="A143" s="17">
        <v>1739</v>
      </c>
      <c r="B143" s="18" t="s">
        <v>2821</v>
      </c>
      <c r="C143" s="33" t="s">
        <v>50</v>
      </c>
      <c r="D143" s="31">
        <v>0.24147727272727271</v>
      </c>
      <c r="E143" s="32">
        <v>1.5817512394403464E-2</v>
      </c>
      <c r="F143" s="18" t="s">
        <v>2652</v>
      </c>
      <c r="G143" s="25" t="str">
        <f t="shared" si="6"/>
        <v>LOF</v>
      </c>
      <c r="H143" s="18"/>
      <c r="I143" s="26" t="s">
        <v>2781</v>
      </c>
      <c r="J143" s="20" t="s">
        <v>2828</v>
      </c>
      <c r="K143" s="18"/>
    </row>
    <row r="144" spans="1:22" x14ac:dyDescent="0.2">
      <c r="A144" s="17">
        <v>1739</v>
      </c>
      <c r="B144" s="18" t="s">
        <v>2830</v>
      </c>
      <c r="C144" s="33" t="s">
        <v>51</v>
      </c>
      <c r="D144" s="31">
        <v>0.22443181818181815</v>
      </c>
      <c r="E144" s="32">
        <v>1.3550272747399799E-2</v>
      </c>
      <c r="F144" s="18" t="s">
        <v>2652</v>
      </c>
      <c r="G144" s="25" t="str">
        <f t="shared" si="6"/>
        <v>LOF</v>
      </c>
      <c r="H144" s="18"/>
      <c r="I144" s="26" t="s">
        <v>2780</v>
      </c>
      <c r="J144" s="20" t="s">
        <v>2828</v>
      </c>
      <c r="K144" s="18"/>
    </row>
    <row r="145" spans="1:11" x14ac:dyDescent="0.2">
      <c r="A145" s="17">
        <v>1741</v>
      </c>
      <c r="B145" s="18" t="s">
        <v>2823</v>
      </c>
      <c r="C145" s="34" t="s">
        <v>52</v>
      </c>
      <c r="D145" s="31">
        <v>0.67045454545454553</v>
      </c>
      <c r="E145" s="32">
        <v>2.1211909833903544E-2</v>
      </c>
      <c r="F145" s="18" t="s">
        <v>2652</v>
      </c>
      <c r="G145" s="24" t="str">
        <f t="shared" si="6"/>
        <v>FUNC</v>
      </c>
      <c r="H145" s="18"/>
      <c r="I145" s="20"/>
      <c r="J145" s="20"/>
      <c r="K145" s="18"/>
    </row>
    <row r="146" spans="1:11" x14ac:dyDescent="0.2">
      <c r="A146" s="17">
        <v>1741</v>
      </c>
      <c r="B146" s="18" t="s">
        <v>2826</v>
      </c>
      <c r="C146" s="34" t="s">
        <v>53</v>
      </c>
      <c r="D146" s="31">
        <v>0.87357954545454541</v>
      </c>
      <c r="E146" s="32">
        <v>3.3823525283496206E-2</v>
      </c>
      <c r="F146" s="18" t="s">
        <v>2652</v>
      </c>
      <c r="G146" s="24" t="str">
        <f t="shared" si="6"/>
        <v>FUNC</v>
      </c>
      <c r="H146" s="18"/>
      <c r="I146" s="20"/>
      <c r="J146" s="20"/>
      <c r="K146" s="18"/>
    </row>
    <row r="147" spans="1:11" x14ac:dyDescent="0.2">
      <c r="A147" s="17">
        <v>1746</v>
      </c>
      <c r="B147" s="18" t="s">
        <v>2823</v>
      </c>
      <c r="C147" s="34" t="s">
        <v>54</v>
      </c>
      <c r="D147" s="31">
        <v>0.29829545454545459</v>
      </c>
      <c r="E147" s="32">
        <v>4.920598885138852E-3</v>
      </c>
      <c r="F147" s="18" t="s">
        <v>2652</v>
      </c>
      <c r="G147" s="25" t="str">
        <f t="shared" si="6"/>
        <v>LOF</v>
      </c>
      <c r="H147" s="18"/>
      <c r="I147" s="20" t="s">
        <v>2843</v>
      </c>
      <c r="J147" s="20" t="s">
        <v>2829</v>
      </c>
      <c r="K147" s="18"/>
    </row>
    <row r="148" spans="1:11" x14ac:dyDescent="0.2">
      <c r="A148" s="17">
        <v>1746</v>
      </c>
      <c r="B148" s="18" t="s">
        <v>2824</v>
      </c>
      <c r="C148" s="34" t="s">
        <v>55</v>
      </c>
      <c r="D148" s="31">
        <v>0.56384505021520803</v>
      </c>
      <c r="E148" s="32">
        <v>8.5583597169647131E-3</v>
      </c>
      <c r="F148" s="18" t="s">
        <v>2652</v>
      </c>
      <c r="G148" s="27" t="s">
        <v>2786</v>
      </c>
      <c r="H148" s="18"/>
      <c r="I148" s="20"/>
      <c r="J148" s="20"/>
      <c r="K148" s="18"/>
    </row>
    <row r="149" spans="1:11" x14ac:dyDescent="0.2">
      <c r="A149" s="17">
        <v>1747</v>
      </c>
      <c r="B149" s="18" t="s">
        <v>2814</v>
      </c>
      <c r="C149" s="34" t="s">
        <v>56</v>
      </c>
      <c r="D149" s="31">
        <v>0.27833572453371597</v>
      </c>
      <c r="E149" s="32">
        <v>1.0768369439691727E-2</v>
      </c>
      <c r="F149" s="18" t="s">
        <v>2652</v>
      </c>
      <c r="G149" s="25" t="str">
        <f t="shared" ref="G149:G172" si="7">IF(D149&lt;0.48,"LOF","FUNC")</f>
        <v>LOF</v>
      </c>
      <c r="H149" s="18"/>
      <c r="I149" s="20"/>
      <c r="J149" s="20"/>
      <c r="K149" s="18"/>
    </row>
    <row r="150" spans="1:11" x14ac:dyDescent="0.2">
      <c r="A150" s="17">
        <v>1749</v>
      </c>
      <c r="B150" s="18" t="s">
        <v>2824</v>
      </c>
      <c r="C150" s="19" t="s">
        <v>1175</v>
      </c>
      <c r="D150" s="29">
        <v>0.12012485845401992</v>
      </c>
      <c r="E150" s="29">
        <v>1.005278866848301E-2</v>
      </c>
      <c r="F150" s="18" t="s">
        <v>2652</v>
      </c>
      <c r="G150" s="25" t="str">
        <f t="shared" si="7"/>
        <v>LOF</v>
      </c>
      <c r="H150" s="18"/>
      <c r="I150" s="20" t="s">
        <v>2843</v>
      </c>
      <c r="J150" s="20" t="s">
        <v>2829</v>
      </c>
      <c r="K150" s="18"/>
    </row>
    <row r="151" spans="1:11" x14ac:dyDescent="0.2">
      <c r="A151" s="17">
        <v>1749</v>
      </c>
      <c r="B151" s="18" t="s">
        <v>2825</v>
      </c>
      <c r="C151" s="19" t="s">
        <v>1176</v>
      </c>
      <c r="D151" s="29">
        <v>9.3547986570514732E-2</v>
      </c>
      <c r="E151" s="29">
        <v>1.0376876354106931E-3</v>
      </c>
      <c r="F151" s="18" t="s">
        <v>2652</v>
      </c>
      <c r="G151" s="25" t="str">
        <f t="shared" si="7"/>
        <v>LOF</v>
      </c>
      <c r="H151" s="18"/>
      <c r="I151" s="26" t="s">
        <v>2779</v>
      </c>
      <c r="J151" s="20" t="s">
        <v>2829</v>
      </c>
      <c r="K151" s="18"/>
    </row>
    <row r="152" spans="1:11" x14ac:dyDescent="0.2">
      <c r="A152" s="17">
        <v>1751</v>
      </c>
      <c r="B152" s="18" t="s">
        <v>2825</v>
      </c>
      <c r="C152" s="35" t="s">
        <v>2273</v>
      </c>
      <c r="D152" s="37">
        <v>0.26197483799841842</v>
      </c>
      <c r="E152" s="37">
        <v>1.9264767976107974E-2</v>
      </c>
      <c r="F152" s="18" t="s">
        <v>2652</v>
      </c>
      <c r="G152" s="25" t="str">
        <f t="shared" si="7"/>
        <v>LOF</v>
      </c>
      <c r="H152" s="18"/>
      <c r="I152" s="26"/>
      <c r="J152" s="20"/>
      <c r="K152" s="18"/>
    </row>
    <row r="153" spans="1:11" x14ac:dyDescent="0.2">
      <c r="A153" s="17">
        <v>1759</v>
      </c>
      <c r="B153" s="18" t="s">
        <v>2819</v>
      </c>
      <c r="C153" s="33" t="s">
        <v>57</v>
      </c>
      <c r="D153" s="31">
        <v>0.97943567670970832</v>
      </c>
      <c r="E153" s="32">
        <v>1.591900236929053E-2</v>
      </c>
      <c r="F153" s="18" t="s">
        <v>2652</v>
      </c>
      <c r="G153" s="24" t="str">
        <f t="shared" si="7"/>
        <v>FUNC</v>
      </c>
      <c r="H153" s="18" t="s">
        <v>2740</v>
      </c>
      <c r="I153" s="20"/>
      <c r="J153" s="20"/>
      <c r="K153" s="18"/>
    </row>
    <row r="154" spans="1:11" x14ac:dyDescent="0.2">
      <c r="A154" s="17">
        <v>1761</v>
      </c>
      <c r="B154" s="18" t="s">
        <v>74</v>
      </c>
      <c r="C154" s="19" t="s">
        <v>1240</v>
      </c>
      <c r="D154" s="29">
        <v>6.0105886326161671E-2</v>
      </c>
      <c r="E154" s="29">
        <v>7.0520984943755471E-3</v>
      </c>
      <c r="F154" s="18" t="s">
        <v>2652</v>
      </c>
      <c r="G154" s="25" t="str">
        <f t="shared" si="7"/>
        <v>LOF</v>
      </c>
      <c r="H154" s="18"/>
      <c r="I154" s="20" t="s">
        <v>2841</v>
      </c>
      <c r="J154" s="20" t="s">
        <v>2842</v>
      </c>
      <c r="K154" s="18"/>
    </row>
    <row r="155" spans="1:11" x14ac:dyDescent="0.2">
      <c r="A155" s="17">
        <v>1763</v>
      </c>
      <c r="B155" s="18" t="s">
        <v>2830</v>
      </c>
      <c r="C155" s="33" t="s">
        <v>58</v>
      </c>
      <c r="D155" s="31">
        <v>0.66666666666666663</v>
      </c>
      <c r="E155" s="32">
        <v>2.1402245300349756E-2</v>
      </c>
      <c r="F155" s="18" t="s">
        <v>2652</v>
      </c>
      <c r="G155" s="24" t="str">
        <f t="shared" si="7"/>
        <v>FUNC</v>
      </c>
      <c r="H155" s="18"/>
      <c r="I155" s="20" t="s">
        <v>2843</v>
      </c>
      <c r="J155" s="20" t="s">
        <v>2828</v>
      </c>
      <c r="K155" s="18"/>
    </row>
    <row r="156" spans="1:11" x14ac:dyDescent="0.2">
      <c r="A156" s="17">
        <v>1764</v>
      </c>
      <c r="B156" s="18" t="s">
        <v>2814</v>
      </c>
      <c r="C156" s="19" t="s">
        <v>1257</v>
      </c>
      <c r="D156" s="29">
        <v>6.9595923475773286E-2</v>
      </c>
      <c r="E156" s="29">
        <v>2.9461629225221529E-3</v>
      </c>
      <c r="F156" s="18" t="s">
        <v>2652</v>
      </c>
      <c r="G156" s="25" t="str">
        <f t="shared" si="7"/>
        <v>LOF</v>
      </c>
      <c r="H156" s="18"/>
      <c r="I156" s="26" t="s">
        <v>2779</v>
      </c>
      <c r="J156" s="20" t="s">
        <v>2815</v>
      </c>
      <c r="K156" s="18"/>
    </row>
    <row r="157" spans="1:11" x14ac:dyDescent="0.2">
      <c r="A157" s="17">
        <v>1770</v>
      </c>
      <c r="B157" s="18" t="s">
        <v>2830</v>
      </c>
      <c r="C157" s="30" t="s">
        <v>59</v>
      </c>
      <c r="D157" s="31">
        <v>0.20903954802259891</v>
      </c>
      <c r="E157" s="31">
        <v>9.793915334553354E-3</v>
      </c>
      <c r="F157" s="18" t="s">
        <v>2652</v>
      </c>
      <c r="G157" s="25" t="str">
        <f t="shared" si="7"/>
        <v>LOF</v>
      </c>
      <c r="H157" s="18"/>
      <c r="I157" s="26" t="s">
        <v>2779</v>
      </c>
      <c r="J157" s="20" t="s">
        <v>2815</v>
      </c>
      <c r="K157" s="18"/>
    </row>
    <row r="158" spans="1:11" x14ac:dyDescent="0.2">
      <c r="A158" s="17">
        <v>1774</v>
      </c>
      <c r="B158" s="18" t="s">
        <v>2832</v>
      </c>
      <c r="C158" s="30" t="s">
        <v>60</v>
      </c>
      <c r="D158" s="31">
        <v>1.1105730427764327</v>
      </c>
      <c r="E158" s="31">
        <v>6.4945427519899311E-3</v>
      </c>
      <c r="F158" s="18" t="s">
        <v>2652</v>
      </c>
      <c r="G158" s="24" t="str">
        <f t="shared" si="7"/>
        <v>FUNC</v>
      </c>
      <c r="H158" s="18"/>
      <c r="I158" s="20"/>
      <c r="J158" s="20"/>
      <c r="K158" s="18"/>
    </row>
    <row r="159" spans="1:11" x14ac:dyDescent="0.2">
      <c r="A159" s="17">
        <v>1775</v>
      </c>
      <c r="B159" s="18" t="s">
        <v>2825</v>
      </c>
      <c r="C159" s="19" t="s">
        <v>33</v>
      </c>
      <c r="D159" s="29">
        <v>0.06</v>
      </c>
      <c r="E159" s="29">
        <v>0.02</v>
      </c>
      <c r="F159" s="18" t="s">
        <v>2652</v>
      </c>
      <c r="G159" s="25" t="str">
        <f t="shared" si="7"/>
        <v>LOF</v>
      </c>
      <c r="H159" s="18"/>
      <c r="I159" s="26" t="s">
        <v>2779</v>
      </c>
      <c r="J159" s="20" t="s">
        <v>2815</v>
      </c>
      <c r="K159" s="18" t="s">
        <v>2874</v>
      </c>
    </row>
    <row r="160" spans="1:11" x14ac:dyDescent="0.2">
      <c r="A160" s="17">
        <v>1778</v>
      </c>
      <c r="B160" s="18" t="s">
        <v>2821</v>
      </c>
      <c r="C160" s="19" t="s">
        <v>34</v>
      </c>
      <c r="D160" s="29">
        <v>1.0361256544502617</v>
      </c>
      <c r="E160" s="29">
        <v>3.4043493627243529E-2</v>
      </c>
      <c r="F160" s="18" t="s">
        <v>2652</v>
      </c>
      <c r="G160" s="24" t="str">
        <f t="shared" si="7"/>
        <v>FUNC</v>
      </c>
      <c r="H160" s="18" t="s">
        <v>2740</v>
      </c>
      <c r="I160" s="28" t="s">
        <v>2783</v>
      </c>
      <c r="J160" s="20" t="s">
        <v>2828</v>
      </c>
      <c r="K160" s="18" t="s">
        <v>2845</v>
      </c>
    </row>
    <row r="161" spans="1:11" x14ac:dyDescent="0.2">
      <c r="A161" s="21">
        <v>1779</v>
      </c>
      <c r="B161" s="21" t="s">
        <v>2655</v>
      </c>
      <c r="C161" s="22" t="s">
        <v>2654</v>
      </c>
      <c r="D161" s="29">
        <v>0.17958115183246073</v>
      </c>
      <c r="E161" s="29">
        <v>8.376963350785336E-3</v>
      </c>
      <c r="F161" s="18" t="s">
        <v>2653</v>
      </c>
      <c r="G161" s="25" t="str">
        <f t="shared" si="7"/>
        <v>LOF</v>
      </c>
      <c r="H161" s="18"/>
      <c r="I161" s="26" t="s">
        <v>2779</v>
      </c>
      <c r="J161" s="20" t="s">
        <v>2815</v>
      </c>
      <c r="K161" s="18" t="s">
        <v>2845</v>
      </c>
    </row>
    <row r="162" spans="1:11" x14ac:dyDescent="0.2">
      <c r="A162" s="17">
        <v>1780</v>
      </c>
      <c r="B162" s="18" t="s">
        <v>2825</v>
      </c>
      <c r="C162" s="19" t="s">
        <v>1397</v>
      </c>
      <c r="D162" s="29">
        <v>0.18704283131692392</v>
      </c>
      <c r="E162" s="29">
        <v>6.7463344914442851E-3</v>
      </c>
      <c r="F162" s="18" t="s">
        <v>2652</v>
      </c>
      <c r="G162" s="25" t="str">
        <f t="shared" si="7"/>
        <v>LOF</v>
      </c>
      <c r="H162" s="18"/>
      <c r="I162" s="20" t="s">
        <v>2841</v>
      </c>
      <c r="J162" s="20" t="s">
        <v>2842</v>
      </c>
      <c r="K162" s="18"/>
    </row>
    <row r="163" spans="1:11" x14ac:dyDescent="0.2">
      <c r="A163" s="17">
        <v>1783</v>
      </c>
      <c r="B163" s="18" t="s">
        <v>2824</v>
      </c>
      <c r="C163" s="19" t="s">
        <v>35</v>
      </c>
      <c r="D163" s="29">
        <v>1.279128673</v>
      </c>
      <c r="E163" s="29">
        <v>4.7465207000000002E-2</v>
      </c>
      <c r="F163" s="18" t="s">
        <v>2652</v>
      </c>
      <c r="G163" s="24" t="str">
        <f t="shared" si="7"/>
        <v>FUNC</v>
      </c>
      <c r="H163" s="18"/>
      <c r="I163" s="20" t="s">
        <v>2841</v>
      </c>
      <c r="J163" s="20" t="s">
        <v>2842</v>
      </c>
      <c r="K163" s="18" t="s">
        <v>2845</v>
      </c>
    </row>
    <row r="164" spans="1:11" x14ac:dyDescent="0.2">
      <c r="A164" s="17">
        <v>1783</v>
      </c>
      <c r="B164" s="18" t="s">
        <v>2818</v>
      </c>
      <c r="C164" s="19" t="s">
        <v>36</v>
      </c>
      <c r="D164" s="29">
        <v>0.66160300000000005</v>
      </c>
      <c r="E164" s="29">
        <v>3.9751000000000002E-2</v>
      </c>
      <c r="F164" s="18" t="s">
        <v>2652</v>
      </c>
      <c r="G164" s="24" t="str">
        <f t="shared" si="7"/>
        <v>FUNC</v>
      </c>
      <c r="H164" s="18"/>
      <c r="I164" s="20" t="s">
        <v>2841</v>
      </c>
      <c r="J164" s="20" t="s">
        <v>2842</v>
      </c>
      <c r="K164" s="18" t="s">
        <v>2845</v>
      </c>
    </row>
    <row r="165" spans="1:11" x14ac:dyDescent="0.2">
      <c r="A165" s="17">
        <v>1786</v>
      </c>
      <c r="B165" s="18" t="s">
        <v>2814</v>
      </c>
      <c r="C165" s="19" t="s">
        <v>37</v>
      </c>
      <c r="D165" s="29">
        <v>9.4784300000000002E-2</v>
      </c>
      <c r="E165" s="29">
        <v>3.9550000000000002E-2</v>
      </c>
      <c r="F165" s="18" t="s">
        <v>2652</v>
      </c>
      <c r="G165" s="25" t="str">
        <f t="shared" si="7"/>
        <v>LOF</v>
      </c>
      <c r="H165" s="18"/>
      <c r="I165" s="20" t="s">
        <v>2841</v>
      </c>
      <c r="J165" s="20" t="s">
        <v>2842</v>
      </c>
      <c r="K165" s="18" t="s">
        <v>2845</v>
      </c>
    </row>
    <row r="166" spans="1:11" x14ac:dyDescent="0.2">
      <c r="A166" s="17">
        <v>1788</v>
      </c>
      <c r="B166" s="18" t="s">
        <v>2822</v>
      </c>
      <c r="C166" s="30" t="s">
        <v>61</v>
      </c>
      <c r="D166" s="31">
        <v>1.0548829701372076</v>
      </c>
      <c r="E166" s="31">
        <v>2.8566754290402896E-2</v>
      </c>
      <c r="F166" s="18" t="s">
        <v>2652</v>
      </c>
      <c r="G166" s="24" t="str">
        <f t="shared" si="7"/>
        <v>FUNC</v>
      </c>
      <c r="H166" s="18"/>
      <c r="I166" s="26" t="s">
        <v>2781</v>
      </c>
      <c r="J166" s="20" t="s">
        <v>2829</v>
      </c>
      <c r="K166" s="18"/>
    </row>
    <row r="167" spans="1:11" x14ac:dyDescent="0.2">
      <c r="A167" s="17">
        <v>1788</v>
      </c>
      <c r="B167" s="18" t="s">
        <v>2830</v>
      </c>
      <c r="C167" s="19" t="s">
        <v>38</v>
      </c>
      <c r="D167" s="29">
        <v>0.17015706806282718</v>
      </c>
      <c r="E167" s="29">
        <v>5.46612906225683E-3</v>
      </c>
      <c r="F167" s="18" t="s">
        <v>2652</v>
      </c>
      <c r="G167" s="25" t="str">
        <f t="shared" si="7"/>
        <v>LOF</v>
      </c>
      <c r="H167" s="18"/>
      <c r="I167" s="26" t="s">
        <v>2779</v>
      </c>
      <c r="J167" s="20" t="s">
        <v>2815</v>
      </c>
      <c r="K167" s="18" t="s">
        <v>2845</v>
      </c>
    </row>
    <row r="168" spans="1:11" x14ac:dyDescent="0.2">
      <c r="A168" s="17">
        <v>1789</v>
      </c>
      <c r="B168" s="18" t="s">
        <v>2814</v>
      </c>
      <c r="C168" s="19" t="s">
        <v>1474</v>
      </c>
      <c r="D168" s="29">
        <v>4.8007926574885264E-2</v>
      </c>
      <c r="E168" s="29">
        <v>2.7602088435103203E-3</v>
      </c>
      <c r="F168" s="18" t="s">
        <v>2652</v>
      </c>
      <c r="G168" s="25" t="str">
        <f t="shared" si="7"/>
        <v>LOF</v>
      </c>
      <c r="H168" s="18"/>
      <c r="I168" s="20" t="s">
        <v>2843</v>
      </c>
      <c r="J168" s="20" t="s">
        <v>2829</v>
      </c>
      <c r="K168" s="18"/>
    </row>
    <row r="169" spans="1:11" x14ac:dyDescent="0.2">
      <c r="A169" s="17">
        <v>1800</v>
      </c>
      <c r="B169" s="18" t="s">
        <v>2825</v>
      </c>
      <c r="C169" s="30" t="s">
        <v>62</v>
      </c>
      <c r="D169" s="31">
        <v>1.1004842615012107</v>
      </c>
      <c r="E169" s="31">
        <v>2.0687660400284531E-2</v>
      </c>
      <c r="F169" s="18" t="s">
        <v>2652</v>
      </c>
      <c r="G169" s="24" t="str">
        <f t="shared" si="7"/>
        <v>FUNC</v>
      </c>
      <c r="H169" s="18"/>
      <c r="I169" s="20" t="s">
        <v>2843</v>
      </c>
      <c r="J169" s="20" t="s">
        <v>2829</v>
      </c>
      <c r="K169" s="18"/>
    </row>
    <row r="170" spans="1:11" x14ac:dyDescent="0.2">
      <c r="A170" s="17">
        <v>1801</v>
      </c>
      <c r="B170" s="18" t="s">
        <v>2823</v>
      </c>
      <c r="C170" s="19" t="s">
        <v>39</v>
      </c>
      <c r="D170" s="29">
        <v>0.91436070000000003</v>
      </c>
      <c r="E170" s="29">
        <v>9.5901E-2</v>
      </c>
      <c r="F170" s="18" t="s">
        <v>2652</v>
      </c>
      <c r="G170" s="24" t="str">
        <f t="shared" si="7"/>
        <v>FUNC</v>
      </c>
      <c r="H170" s="18"/>
      <c r="I170" s="28" t="s">
        <v>2783</v>
      </c>
      <c r="J170" s="20" t="s">
        <v>2828</v>
      </c>
      <c r="K170" s="18" t="s">
        <v>2845</v>
      </c>
    </row>
    <row r="171" spans="1:11" x14ac:dyDescent="0.2">
      <c r="A171" s="17">
        <v>1807</v>
      </c>
      <c r="B171" s="18" t="s">
        <v>2817</v>
      </c>
      <c r="C171" s="19" t="s">
        <v>40</v>
      </c>
      <c r="D171" s="29">
        <v>1.2916666666666667</v>
      </c>
      <c r="E171" s="29">
        <v>1.4064927459085164E-2</v>
      </c>
      <c r="F171" s="18" t="s">
        <v>2652</v>
      </c>
      <c r="G171" s="24" t="str">
        <f t="shared" si="7"/>
        <v>FUNC</v>
      </c>
      <c r="H171" s="18"/>
      <c r="I171" s="20"/>
      <c r="J171" s="20"/>
      <c r="K171" s="18"/>
    </row>
    <row r="172" spans="1:11" x14ac:dyDescent="0.2">
      <c r="A172" s="17">
        <v>1809</v>
      </c>
      <c r="B172" s="18" t="s">
        <v>2822</v>
      </c>
      <c r="C172" s="33" t="s">
        <v>63</v>
      </c>
      <c r="D172" s="31">
        <v>0.73051171688187466</v>
      </c>
      <c r="E172" s="32">
        <v>1.9057732037466562E-2</v>
      </c>
      <c r="F172" s="18" t="s">
        <v>2652</v>
      </c>
      <c r="G172" s="24" t="str">
        <f t="shared" si="7"/>
        <v>FUNC</v>
      </c>
      <c r="H172" s="18"/>
      <c r="I172" s="20" t="s">
        <v>2843</v>
      </c>
      <c r="J172" s="20" t="s">
        <v>2829</v>
      </c>
      <c r="K172" s="18"/>
    </row>
    <row r="173" spans="1:11" x14ac:dyDescent="0.2">
      <c r="A173" s="17">
        <v>1810</v>
      </c>
      <c r="B173" s="18" t="s">
        <v>2821</v>
      </c>
      <c r="C173" s="30" t="s">
        <v>64</v>
      </c>
      <c r="D173" s="31">
        <v>0.51243424198947873</v>
      </c>
      <c r="E173" s="32">
        <v>2.0147193595054395E-2</v>
      </c>
      <c r="F173" s="18" t="s">
        <v>2652</v>
      </c>
      <c r="G173" s="27" t="s">
        <v>2786</v>
      </c>
      <c r="H173" s="18"/>
      <c r="I173" s="20" t="s">
        <v>2843</v>
      </c>
      <c r="J173" s="20" t="s">
        <v>2829</v>
      </c>
      <c r="K173" s="18"/>
    </row>
    <row r="174" spans="1:11" x14ac:dyDescent="0.2">
      <c r="A174" s="17">
        <v>1811</v>
      </c>
      <c r="B174" s="18" t="s">
        <v>2825</v>
      </c>
      <c r="C174" s="19" t="s">
        <v>1654</v>
      </c>
      <c r="D174" s="29">
        <v>0.10795687069153903</v>
      </c>
      <c r="E174" s="29">
        <v>4.4836389608243809E-3</v>
      </c>
      <c r="F174" s="18" t="s">
        <v>2652</v>
      </c>
      <c r="G174" s="25" t="str">
        <f>IF(D174&lt;0.48,"LOF","FUNC")</f>
        <v>LOF</v>
      </c>
      <c r="H174" s="18"/>
      <c r="I174" s="20" t="s">
        <v>2841</v>
      </c>
      <c r="J174" s="20" t="s">
        <v>2842</v>
      </c>
      <c r="K174" s="18"/>
    </row>
    <row r="175" spans="1:11" x14ac:dyDescent="0.2">
      <c r="A175" s="17">
        <v>1818</v>
      </c>
      <c r="B175" s="18" t="s">
        <v>2821</v>
      </c>
      <c r="C175" s="30" t="s">
        <v>65</v>
      </c>
      <c r="D175" s="31">
        <v>1.2251815980629541</v>
      </c>
      <c r="E175" s="31">
        <v>1.0577354658661157E-2</v>
      </c>
      <c r="F175" s="18" t="s">
        <v>2652</v>
      </c>
      <c r="G175" s="24" t="str">
        <f>IF(D175&lt;0.48,"LOF","FUNC")</f>
        <v>FUNC</v>
      </c>
      <c r="H175" s="18"/>
      <c r="I175" s="26" t="s">
        <v>2780</v>
      </c>
      <c r="J175" s="20" t="s">
        <v>2828</v>
      </c>
      <c r="K175" s="18"/>
    </row>
    <row r="176" spans="1:11" x14ac:dyDescent="0.2">
      <c r="A176" s="17">
        <v>1819</v>
      </c>
      <c r="B176" s="18" t="s">
        <v>74</v>
      </c>
      <c r="C176" s="19" t="s">
        <v>41</v>
      </c>
      <c r="D176" s="29">
        <v>1.1394668400520154</v>
      </c>
      <c r="E176" s="29">
        <v>7.4984152110993754E-3</v>
      </c>
      <c r="F176" s="18" t="s">
        <v>2652</v>
      </c>
      <c r="G176" s="24" t="str">
        <f>IF(D176&lt;0.48,"LOF","FUNC")</f>
        <v>FUNC</v>
      </c>
      <c r="H176" s="18"/>
      <c r="I176" s="28" t="s">
        <v>2783</v>
      </c>
      <c r="J176" s="20" t="s">
        <v>2828</v>
      </c>
      <c r="K176" s="18" t="s">
        <v>2845</v>
      </c>
    </row>
    <row r="177" spans="1:11" x14ac:dyDescent="0.2">
      <c r="A177" s="17">
        <v>1823</v>
      </c>
      <c r="B177" s="18" t="s">
        <v>2818</v>
      </c>
      <c r="C177" s="30" t="s">
        <v>66</v>
      </c>
      <c r="D177" s="31">
        <v>1.0718321226795802</v>
      </c>
      <c r="E177" s="31">
        <v>3.4479434000474291E-2</v>
      </c>
      <c r="F177" s="18" t="s">
        <v>2652</v>
      </c>
      <c r="G177" s="24" t="str">
        <f>IF(D177&lt;0.48,"LOF","FUNC")</f>
        <v>FUNC</v>
      </c>
      <c r="H177" s="18" t="s">
        <v>2740</v>
      </c>
      <c r="I177" s="20"/>
      <c r="J177" s="20"/>
      <c r="K177" s="18"/>
    </row>
    <row r="178" spans="1:11" x14ac:dyDescent="0.2">
      <c r="A178" s="17">
        <v>1831</v>
      </c>
      <c r="B178" s="18" t="s">
        <v>2818</v>
      </c>
      <c r="C178" s="30" t="s">
        <v>67</v>
      </c>
      <c r="D178" s="31">
        <v>1.0048426150121064</v>
      </c>
      <c r="E178" s="31">
        <v>1.5754012345393992E-2</v>
      </c>
      <c r="F178" s="18" t="s">
        <v>2652</v>
      </c>
      <c r="G178" s="24" t="str">
        <f>IF(D178&lt;0.48,"LOF","FUNC")</f>
        <v>FUNC</v>
      </c>
      <c r="H178" s="18"/>
      <c r="I178" s="20"/>
      <c r="J178" s="20"/>
      <c r="K178" s="18"/>
    </row>
    <row r="179" spans="1:11" x14ac:dyDescent="0.2">
      <c r="A179" s="17">
        <v>1835</v>
      </c>
      <c r="B179" s="18" t="s">
        <v>2833</v>
      </c>
      <c r="C179" s="19" t="s">
        <v>42</v>
      </c>
      <c r="D179" s="29">
        <v>0.45189800000000002</v>
      </c>
      <c r="E179" s="29">
        <v>4.4866999999999997E-2</v>
      </c>
      <c r="F179" s="18" t="s">
        <v>2652</v>
      </c>
      <c r="G179" s="27" t="s">
        <v>2786</v>
      </c>
      <c r="H179" s="18"/>
      <c r="I179" s="20" t="s">
        <v>2843</v>
      </c>
      <c r="J179" s="20" t="s">
        <v>2828</v>
      </c>
      <c r="K179" s="18" t="s">
        <v>2845</v>
      </c>
    </row>
    <row r="180" spans="1:11" x14ac:dyDescent="0.2">
      <c r="A180" s="17">
        <v>1837</v>
      </c>
      <c r="B180" s="18" t="s">
        <v>2821</v>
      </c>
      <c r="C180" s="30" t="s">
        <v>68</v>
      </c>
      <c r="D180" s="31">
        <v>0.16464891041162227</v>
      </c>
      <c r="E180" s="31">
        <v>1.0985195794040514E-2</v>
      </c>
      <c r="F180" s="18" t="s">
        <v>2652</v>
      </c>
      <c r="G180" s="25" t="str">
        <f>IF(D180&lt;0.48,"LOF","FUNC")</f>
        <v>LOF</v>
      </c>
      <c r="H180" s="18"/>
      <c r="I180" s="26" t="s">
        <v>2780</v>
      </c>
      <c r="J180" s="20" t="s">
        <v>2828</v>
      </c>
      <c r="K180" s="18"/>
    </row>
    <row r="181" spans="1:11" x14ac:dyDescent="0.2">
      <c r="A181" s="17">
        <v>1838</v>
      </c>
      <c r="B181" s="18" t="s">
        <v>2817</v>
      </c>
      <c r="C181" s="19" t="s">
        <v>1908</v>
      </c>
      <c r="D181" s="29">
        <v>0.69561157796451922</v>
      </c>
      <c r="E181" s="29">
        <v>1.4674354477592619E-2</v>
      </c>
      <c r="F181" s="18" t="s">
        <v>2652</v>
      </c>
      <c r="G181" s="24" t="str">
        <f>IF(D181&lt;0.48,"LOF","FUNC")</f>
        <v>FUNC</v>
      </c>
      <c r="H181" s="18"/>
      <c r="I181" s="20" t="s">
        <v>2843</v>
      </c>
      <c r="J181" s="20" t="s">
        <v>2828</v>
      </c>
      <c r="K181" s="18"/>
    </row>
    <row r="182" spans="1:11" x14ac:dyDescent="0.2">
      <c r="A182" s="17">
        <v>1840</v>
      </c>
      <c r="B182" s="18" t="s">
        <v>2822</v>
      </c>
      <c r="C182" s="19" t="s">
        <v>1924</v>
      </c>
      <c r="D182" s="29">
        <v>0.8541842978326083</v>
      </c>
      <c r="E182" s="29">
        <v>2.6905339375412327E-2</v>
      </c>
      <c r="F182" s="18" t="s">
        <v>2652</v>
      </c>
      <c r="G182" s="24" t="str">
        <f>IF(D182&lt;0.48,"LOF","FUNC")</f>
        <v>FUNC</v>
      </c>
      <c r="H182" s="18"/>
      <c r="I182" s="20" t="s">
        <v>2843</v>
      </c>
      <c r="J182" s="20" t="s">
        <v>2829</v>
      </c>
      <c r="K182" s="18"/>
    </row>
    <row r="183" spans="1:11" x14ac:dyDescent="0.2">
      <c r="A183" s="17">
        <v>1844</v>
      </c>
      <c r="B183" s="18" t="s">
        <v>79</v>
      </c>
      <c r="C183" s="19" t="s">
        <v>44</v>
      </c>
      <c r="D183" s="29">
        <v>0.94492399999999999</v>
      </c>
      <c r="E183" s="29">
        <v>2.4331999999999999E-2</v>
      </c>
      <c r="F183" s="18" t="s">
        <v>2652</v>
      </c>
      <c r="G183" s="24" t="str">
        <f>IF(D183&lt;0.48,"LOF","FUNC")</f>
        <v>FUNC</v>
      </c>
      <c r="H183" s="18"/>
      <c r="I183" s="20" t="s">
        <v>2843</v>
      </c>
      <c r="J183" s="20" t="s">
        <v>2829</v>
      </c>
      <c r="K183" s="18"/>
    </row>
    <row r="184" spans="1:11" x14ac:dyDescent="0.2">
      <c r="A184" s="17">
        <v>1852</v>
      </c>
      <c r="B184" s="18" t="s">
        <v>2831</v>
      </c>
      <c r="C184" s="33" t="s">
        <v>71</v>
      </c>
      <c r="D184" s="31">
        <v>0.15536723163841812</v>
      </c>
      <c r="E184" s="31">
        <v>8.1012348264264608E-3</v>
      </c>
      <c r="F184" s="18" t="s">
        <v>2651</v>
      </c>
      <c r="G184" s="25" t="str">
        <f>IF(D184&lt;0.48,"LOF","FUNC")</f>
        <v>LOF</v>
      </c>
      <c r="H184" s="18"/>
      <c r="I184" s="20"/>
      <c r="J184" s="20"/>
      <c r="K184" s="18"/>
    </row>
    <row r="185" spans="1:11" x14ac:dyDescent="0.2">
      <c r="A185" s="17">
        <v>1854</v>
      </c>
      <c r="B185" s="18" t="s">
        <v>2814</v>
      </c>
      <c r="C185" s="33" t="s">
        <v>69</v>
      </c>
      <c r="D185" s="31">
        <v>0.49878934624697341</v>
      </c>
      <c r="E185" s="31">
        <v>2.9514470545966988E-2</v>
      </c>
      <c r="F185" s="18" t="s">
        <v>2652</v>
      </c>
      <c r="G185" s="27" t="s">
        <v>2786</v>
      </c>
      <c r="H185" s="18"/>
      <c r="I185" s="20" t="s">
        <v>2843</v>
      </c>
      <c r="J185" s="20" t="s">
        <v>2828</v>
      </c>
      <c r="K185" s="18"/>
    </row>
    <row r="186" spans="1:11" x14ac:dyDescent="0.2">
      <c r="A186" s="17">
        <v>1856</v>
      </c>
      <c r="B186" s="18" t="s">
        <v>2824</v>
      </c>
      <c r="C186" s="19" t="s">
        <v>2070</v>
      </c>
      <c r="D186" s="29">
        <v>0.95906490255676735</v>
      </c>
      <c r="E186" s="29">
        <v>1.0825269694835691E-2</v>
      </c>
      <c r="F186" s="18" t="s">
        <v>2652</v>
      </c>
      <c r="G186" s="24" t="str">
        <f>IF(D186&lt;0.48,"LOF","FUNC")</f>
        <v>FUNC</v>
      </c>
      <c r="H186" s="18"/>
      <c r="I186" s="20" t="s">
        <v>2843</v>
      </c>
      <c r="J186" s="20" t="s">
        <v>2829</v>
      </c>
      <c r="K186" s="18"/>
    </row>
    <row r="187" spans="1:11" x14ac:dyDescent="0.2">
      <c r="A187" s="17">
        <v>1858</v>
      </c>
      <c r="B187" s="18" t="s">
        <v>2831</v>
      </c>
      <c r="C187" s="33" t="s">
        <v>72</v>
      </c>
      <c r="D187" s="31">
        <v>1.0423728813559323</v>
      </c>
      <c r="E187" s="31">
        <v>1.3607518402007544E-2</v>
      </c>
      <c r="F187" s="18" t="s">
        <v>2651</v>
      </c>
      <c r="G187" s="24" t="str">
        <f>IF(D187&lt;0.48,"LOF","FUNC")</f>
        <v>FUNC</v>
      </c>
      <c r="H187" s="18"/>
      <c r="I187" s="18"/>
      <c r="J187" s="18"/>
      <c r="K187" s="18"/>
    </row>
    <row r="188" spans="1:11" x14ac:dyDescent="0.2">
      <c r="A188" s="17">
        <v>1859</v>
      </c>
      <c r="B188" s="18" t="s">
        <v>2825</v>
      </c>
      <c r="C188" s="19" t="s">
        <v>45</v>
      </c>
      <c r="D188" s="29">
        <v>1.3373015873015872</v>
      </c>
      <c r="E188" s="29">
        <v>4.5667259073349037E-2</v>
      </c>
      <c r="F188" s="18" t="s">
        <v>2652</v>
      </c>
      <c r="G188" s="24" t="str">
        <f>IF(D188&lt;0.48,"LOF","FUNC")</f>
        <v>FUNC</v>
      </c>
      <c r="H188" s="18"/>
      <c r="I188" s="28" t="s">
        <v>2136</v>
      </c>
      <c r="J188" s="20" t="s">
        <v>2815</v>
      </c>
      <c r="K188" s="18" t="s">
        <v>2845</v>
      </c>
    </row>
    <row r="189" spans="1:11" ht="13" x14ac:dyDescent="0.15">
      <c r="A189" s="7"/>
      <c r="B189" s="7"/>
      <c r="I189" s="5"/>
      <c r="J189" s="5"/>
    </row>
    <row r="190" spans="1:11" ht="13" x14ac:dyDescent="0.15">
      <c r="A190" s="7"/>
      <c r="B190" s="7"/>
      <c r="I190" s="5"/>
      <c r="J190" s="5"/>
    </row>
    <row r="191" spans="1:11" ht="13" x14ac:dyDescent="0.15">
      <c r="I191" s="5"/>
      <c r="J191" s="5"/>
    </row>
    <row r="192" spans="1:11" ht="13" x14ac:dyDescent="0.15">
      <c r="I192" s="5"/>
      <c r="J192" s="5"/>
    </row>
  </sheetData>
  <autoFilter ref="A1:K192" xr:uid="{897D78A6-25BC-F549-81BF-5903535579D5}">
    <sortState xmlns:xlrd2="http://schemas.microsoft.com/office/spreadsheetml/2017/richdata2" ref="A2:K192">
      <sortCondition ref="A1:A192"/>
    </sortState>
  </autoFilter>
  <phoneticPr fontId="6" type="noConversion"/>
  <conditionalFormatting sqref="C1:C136 C138:C151 C153:C1048576">
    <cfRule type="duplicateValues" dxfId="0" priority="7"/>
  </conditionalFormatting>
  <pageMargins left="0.75" right="0.75" top="1" bottom="1" header="0.5" footer="0.5"/>
  <pageSetup orientation="portrait" horizontalDpi="200" verticalDpi="2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C39A9-F290-BD40-A539-5488BB327128}">
  <dimension ref="A1:O66"/>
  <sheetViews>
    <sheetView workbookViewId="0">
      <selection activeCell="A27" sqref="A27:XFD27"/>
    </sheetView>
  </sheetViews>
  <sheetFormatPr baseColWidth="10" defaultRowHeight="16" x14ac:dyDescent="0.2"/>
  <cols>
    <col min="1" max="1" width="10.83203125" style="9"/>
    <col min="3" max="3" width="15.1640625" bestFit="1" customWidth="1"/>
    <col min="8" max="8" width="10.83203125" style="9"/>
    <col min="10" max="10" width="10.83203125" style="9"/>
  </cols>
  <sheetData>
    <row r="1" spans="1:10" x14ac:dyDescent="0.2">
      <c r="B1" t="s">
        <v>2862</v>
      </c>
      <c r="C1" t="s">
        <v>2863</v>
      </c>
      <c r="D1" t="s">
        <v>2864</v>
      </c>
      <c r="E1" t="s">
        <v>2867</v>
      </c>
      <c r="F1" t="s">
        <v>2868</v>
      </c>
      <c r="G1" t="s">
        <v>2869</v>
      </c>
      <c r="H1" s="9" t="s">
        <v>2865</v>
      </c>
      <c r="I1" t="s">
        <v>2872</v>
      </c>
      <c r="J1" s="9" t="s">
        <v>2777</v>
      </c>
    </row>
    <row r="2" spans="1:10" x14ac:dyDescent="0.2">
      <c r="A2" s="9" t="s">
        <v>2870</v>
      </c>
      <c r="B2">
        <v>9.32</v>
      </c>
      <c r="E2">
        <v>1.1283292978208233</v>
      </c>
      <c r="H2" s="9">
        <v>1.1283292978208233</v>
      </c>
    </row>
    <row r="3" spans="1:10" x14ac:dyDescent="0.2">
      <c r="A3" s="9" t="s">
        <v>2871</v>
      </c>
      <c r="B3">
        <v>1.56</v>
      </c>
      <c r="E3">
        <v>0.18886198547215496</v>
      </c>
      <c r="H3" s="9">
        <v>0.18886198547215496</v>
      </c>
    </row>
    <row r="4" spans="1:10" x14ac:dyDescent="0.2">
      <c r="A4" s="9" t="s">
        <v>2866</v>
      </c>
      <c r="B4">
        <v>8.26</v>
      </c>
      <c r="E4">
        <v>1</v>
      </c>
      <c r="H4" s="9">
        <v>1</v>
      </c>
    </row>
    <row r="5" spans="1:10" x14ac:dyDescent="0.2">
      <c r="A5" s="9" t="s">
        <v>59</v>
      </c>
      <c r="B5">
        <v>1.72</v>
      </c>
      <c r="C5">
        <v>1.59</v>
      </c>
      <c r="D5">
        <v>1.87</v>
      </c>
      <c r="E5">
        <v>0.20823244552058112</v>
      </c>
      <c r="F5">
        <v>0.19249394673123488</v>
      </c>
      <c r="G5">
        <v>0.22639225181598066</v>
      </c>
      <c r="H5" s="9">
        <v>0.20903954802259891</v>
      </c>
      <c r="I5">
        <v>1.6963558964474348E-2</v>
      </c>
      <c r="J5" s="9">
        <v>9.793915334553354E-3</v>
      </c>
    </row>
    <row r="6" spans="1:10" x14ac:dyDescent="0.2">
      <c r="A6" s="9" t="s">
        <v>60</v>
      </c>
      <c r="B6">
        <v>9.1999999999999993</v>
      </c>
      <c r="C6">
        <v>9.25</v>
      </c>
      <c r="D6">
        <v>9.07</v>
      </c>
      <c r="E6">
        <v>1.1138014527845035</v>
      </c>
      <c r="F6">
        <v>1.1198547215496368</v>
      </c>
      <c r="G6">
        <v>1.0980629539951574</v>
      </c>
      <c r="H6" s="9">
        <v>1.1105730427764327</v>
      </c>
      <c r="I6">
        <v>1.1248878018374759E-2</v>
      </c>
      <c r="J6" s="9">
        <v>6.4945427519899311E-3</v>
      </c>
    </row>
    <row r="7" spans="1:10" x14ac:dyDescent="0.2">
      <c r="A7" s="9" t="s">
        <v>61</v>
      </c>
      <c r="B7">
        <v>8.65</v>
      </c>
      <c r="C7">
        <v>9.15</v>
      </c>
      <c r="D7">
        <v>8.34</v>
      </c>
      <c r="E7">
        <v>1.0472154963680389</v>
      </c>
      <c r="F7">
        <v>1.1077481840193706</v>
      </c>
      <c r="G7">
        <v>1.0096852300242132</v>
      </c>
      <c r="H7" s="9">
        <v>1.0548829701372076</v>
      </c>
      <c r="I7">
        <v>4.9479069838314023E-2</v>
      </c>
      <c r="J7" s="9">
        <v>2.8566754290402896E-2</v>
      </c>
    </row>
    <row r="8" spans="1:10" x14ac:dyDescent="0.2">
      <c r="A8" s="9" t="s">
        <v>62</v>
      </c>
      <c r="B8">
        <v>8.75</v>
      </c>
      <c r="C8">
        <v>9.2899999999999991</v>
      </c>
      <c r="D8">
        <v>9.23</v>
      </c>
      <c r="E8">
        <v>1.0593220338983051</v>
      </c>
      <c r="F8">
        <v>1.1246973365617432</v>
      </c>
      <c r="G8">
        <v>1.1174334140435835</v>
      </c>
      <c r="H8" s="9">
        <v>1.1004842615012107</v>
      </c>
      <c r="I8">
        <v>3.5832078903023507E-2</v>
      </c>
      <c r="J8" s="9">
        <v>2.0687660400284531E-2</v>
      </c>
    </row>
    <row r="9" spans="1:10" x14ac:dyDescent="0.2">
      <c r="A9" s="9" t="s">
        <v>65</v>
      </c>
      <c r="B9">
        <v>10.17</v>
      </c>
      <c r="C9">
        <v>10.24</v>
      </c>
      <c r="D9">
        <v>9.9499999999999993</v>
      </c>
      <c r="E9">
        <v>1.2312348668280872</v>
      </c>
      <c r="F9">
        <v>1.2397094430992737</v>
      </c>
      <c r="G9">
        <v>1.2046004842615012</v>
      </c>
      <c r="H9" s="9">
        <v>1.2251815980629541</v>
      </c>
      <c r="I9">
        <v>1.8320515678476482E-2</v>
      </c>
      <c r="J9" s="9">
        <v>1.0577354658661157E-2</v>
      </c>
    </row>
    <row r="10" spans="1:10" x14ac:dyDescent="0.2">
      <c r="A10" s="9" t="s">
        <v>66</v>
      </c>
      <c r="B10">
        <v>8.6199999999999992</v>
      </c>
      <c r="C10">
        <v>8.52</v>
      </c>
      <c r="D10">
        <v>9.42</v>
      </c>
      <c r="E10">
        <v>1.0435835351089588</v>
      </c>
      <c r="F10">
        <v>1.0314769975786924</v>
      </c>
      <c r="G10">
        <v>1.1404358353510895</v>
      </c>
      <c r="H10" s="9">
        <v>1.0718321226795802</v>
      </c>
      <c r="I10">
        <v>5.9720131505039298E-2</v>
      </c>
      <c r="J10" s="9">
        <v>3.4479434000474291E-2</v>
      </c>
    </row>
    <row r="11" spans="1:10" x14ac:dyDescent="0.2">
      <c r="A11" s="9" t="s">
        <v>67</v>
      </c>
      <c r="B11">
        <v>8.0399999999999991</v>
      </c>
      <c r="C11">
        <v>8.42</v>
      </c>
      <c r="D11">
        <v>8.44</v>
      </c>
      <c r="E11">
        <v>0.97336561743341399</v>
      </c>
      <c r="F11">
        <v>1.0193704600484261</v>
      </c>
      <c r="G11">
        <v>1.0217917675544794</v>
      </c>
      <c r="H11" s="9">
        <v>1.0048426150121064</v>
      </c>
      <c r="I11">
        <v>2.7286749805289726E-2</v>
      </c>
      <c r="J11" s="9">
        <v>1.5754012345393992E-2</v>
      </c>
    </row>
    <row r="12" spans="1:10" x14ac:dyDescent="0.2">
      <c r="A12" s="9" t="s">
        <v>68</v>
      </c>
      <c r="B12">
        <v>1.25</v>
      </c>
      <c r="C12">
        <v>1.54</v>
      </c>
      <c r="D12">
        <v>1.29</v>
      </c>
      <c r="E12">
        <v>0.1513317191283293</v>
      </c>
      <c r="F12">
        <v>0.1864406779661017</v>
      </c>
      <c r="G12">
        <v>0.15617433414043586</v>
      </c>
      <c r="H12" s="9">
        <v>0.16464891041162227</v>
      </c>
      <c r="I12">
        <v>1.9026917246370106E-2</v>
      </c>
      <c r="J12" s="9">
        <v>1.0985195794040514E-2</v>
      </c>
    </row>
    <row r="13" spans="1:10" x14ac:dyDescent="0.2">
      <c r="A13" s="9" t="s">
        <v>71</v>
      </c>
      <c r="B13">
        <v>1.1499999999999999</v>
      </c>
      <c r="C13">
        <v>1.34</v>
      </c>
      <c r="D13">
        <v>1.36</v>
      </c>
      <c r="E13">
        <v>0.13922518159806294</v>
      </c>
      <c r="F13">
        <v>0.16222760290556903</v>
      </c>
      <c r="G13">
        <v>0.1646489104116223</v>
      </c>
      <c r="H13" s="9">
        <v>0.15536723163841812</v>
      </c>
      <c r="I13">
        <v>1.4031750323417063E-2</v>
      </c>
      <c r="J13" s="9">
        <v>8.1012348264264608E-3</v>
      </c>
    </row>
    <row r="14" spans="1:10" x14ac:dyDescent="0.2">
      <c r="A14" s="9" t="s">
        <v>69</v>
      </c>
      <c r="B14">
        <v>3.66</v>
      </c>
      <c r="C14">
        <v>4.49</v>
      </c>
      <c r="D14">
        <v>4.21</v>
      </c>
      <c r="E14">
        <v>0.4430992736077482</v>
      </c>
      <c r="F14">
        <v>0.54358353510895885</v>
      </c>
      <c r="G14">
        <v>0.50968523002421307</v>
      </c>
      <c r="H14" s="9">
        <v>0.49878934624697341</v>
      </c>
      <c r="I14">
        <v>5.112056254410996E-2</v>
      </c>
      <c r="J14" s="9">
        <v>2.9514470545966988E-2</v>
      </c>
    </row>
    <row r="15" spans="1:10" x14ac:dyDescent="0.2">
      <c r="A15" s="9" t="s">
        <v>72</v>
      </c>
      <c r="B15">
        <v>8.83</v>
      </c>
      <c r="C15">
        <v>8.4600000000000009</v>
      </c>
      <c r="D15">
        <v>8.5399999999999991</v>
      </c>
      <c r="E15">
        <v>1.0690072639225181</v>
      </c>
      <c r="F15">
        <v>1.0242130750605327</v>
      </c>
      <c r="G15">
        <v>1.0338983050847457</v>
      </c>
      <c r="H15" s="9">
        <v>1.0423728813559323</v>
      </c>
      <c r="I15">
        <v>2.3568913237205523E-2</v>
      </c>
      <c r="J15" s="9">
        <v>1.3607518402007544E-2</v>
      </c>
    </row>
    <row r="16" spans="1:10" x14ac:dyDescent="0.2">
      <c r="A16" s="13" t="s">
        <v>2870</v>
      </c>
      <c r="B16">
        <v>2.84</v>
      </c>
      <c r="C16">
        <v>2.4700000000000002</v>
      </c>
      <c r="D16">
        <v>2.82</v>
      </c>
      <c r="E16">
        <v>1.0881226053639848</v>
      </c>
      <c r="F16">
        <v>1.1076233183856503</v>
      </c>
      <c r="G16">
        <v>1.2818181818181817</v>
      </c>
      <c r="H16" s="9">
        <v>1.1591880351892723</v>
      </c>
      <c r="I16">
        <v>0.10664747581991436</v>
      </c>
      <c r="J16" s="9">
        <v>6.1572948873021664E-2</v>
      </c>
    </row>
    <row r="17" spans="1:15" x14ac:dyDescent="0.2">
      <c r="A17" s="13" t="s">
        <v>2871</v>
      </c>
      <c r="B17">
        <v>0.2</v>
      </c>
      <c r="C17">
        <v>0.21</v>
      </c>
      <c r="D17">
        <v>0.31</v>
      </c>
      <c r="E17">
        <v>7.6628352490421464E-2</v>
      </c>
      <c r="F17">
        <v>9.417040358744394E-2</v>
      </c>
      <c r="G17">
        <v>0.1409090909090909</v>
      </c>
      <c r="H17" s="9">
        <v>0.10390261566231877</v>
      </c>
      <c r="I17">
        <v>3.3227101841946799E-2</v>
      </c>
      <c r="J17" s="9">
        <v>1.9183676192839096E-2</v>
      </c>
    </row>
    <row r="18" spans="1:15" x14ac:dyDescent="0.2">
      <c r="A18" s="13" t="s">
        <v>2866</v>
      </c>
      <c r="B18">
        <v>2.61</v>
      </c>
      <c r="C18">
        <v>2.23</v>
      </c>
      <c r="D18">
        <v>2.2000000000000002</v>
      </c>
      <c r="E18">
        <v>1</v>
      </c>
      <c r="F18">
        <v>1</v>
      </c>
      <c r="G18">
        <v>1</v>
      </c>
      <c r="H18" s="9">
        <v>1</v>
      </c>
      <c r="I18">
        <v>0</v>
      </c>
      <c r="J18" s="9">
        <v>0</v>
      </c>
    </row>
    <row r="19" spans="1:15" x14ac:dyDescent="0.2">
      <c r="A19" s="13" t="s">
        <v>46</v>
      </c>
      <c r="B19">
        <v>2.69</v>
      </c>
      <c r="C19">
        <v>2.79</v>
      </c>
      <c r="D19">
        <v>2.92</v>
      </c>
      <c r="E19">
        <v>1.0306513409961686</v>
      </c>
      <c r="F19">
        <v>1.2511210762331839</v>
      </c>
      <c r="G19">
        <v>1.3272727272727272</v>
      </c>
      <c r="H19" s="9">
        <v>1.2030150481673598</v>
      </c>
      <c r="I19">
        <v>0.15405097906653878</v>
      </c>
      <c r="J19" s="9">
        <v>8.8941374232991574E-2</v>
      </c>
      <c r="L19" t="s">
        <v>2875</v>
      </c>
    </row>
    <row r="20" spans="1:15" x14ac:dyDescent="0.2">
      <c r="A20" s="13" t="s">
        <v>2356</v>
      </c>
      <c r="B20" s="10">
        <v>4.2300000000000004</v>
      </c>
      <c r="C20" s="10">
        <v>3.15</v>
      </c>
      <c r="D20" s="10">
        <v>3.8</v>
      </c>
      <c r="E20" s="10">
        <v>1.6206896551724139</v>
      </c>
      <c r="F20" s="10">
        <v>1.4125560538116593</v>
      </c>
      <c r="G20" s="10">
        <v>1.7272727272727271</v>
      </c>
      <c r="H20" s="9">
        <v>1.5868394787522668</v>
      </c>
      <c r="I20" s="10">
        <v>0.16006568017959505</v>
      </c>
      <c r="J20" s="9">
        <v>9.2413963539709751E-2</v>
      </c>
    </row>
    <row r="21" spans="1:15" x14ac:dyDescent="0.2">
      <c r="A21" s="13" t="s">
        <v>47</v>
      </c>
      <c r="B21">
        <v>4.16</v>
      </c>
      <c r="C21">
        <v>3.45</v>
      </c>
      <c r="D21">
        <v>3.82</v>
      </c>
      <c r="E21">
        <v>1.5938697318007664</v>
      </c>
      <c r="F21">
        <v>1.547085201793722</v>
      </c>
      <c r="G21">
        <v>1.7363636363636361</v>
      </c>
      <c r="H21" s="9">
        <v>1.6257728566527083</v>
      </c>
      <c r="I21">
        <v>9.8589748350415479E-2</v>
      </c>
      <c r="J21" s="9">
        <v>5.6920817749449841E-2</v>
      </c>
    </row>
    <row r="22" spans="1:15" x14ac:dyDescent="0.2">
      <c r="A22" s="13" t="s">
        <v>48</v>
      </c>
      <c r="B22">
        <v>0.62</v>
      </c>
      <c r="C22">
        <v>0.59</v>
      </c>
      <c r="D22">
        <v>0.6</v>
      </c>
      <c r="E22">
        <v>0.23754789272030652</v>
      </c>
      <c r="F22">
        <v>0.26457399103139012</v>
      </c>
      <c r="G22">
        <v>0.27272727272727271</v>
      </c>
      <c r="H22" s="9">
        <v>0.25828305215965647</v>
      </c>
      <c r="I22">
        <v>1.8414101344745294E-2</v>
      </c>
      <c r="J22" s="9">
        <v>1.0631386368273746E-2</v>
      </c>
    </row>
    <row r="23" spans="1:15" x14ac:dyDescent="0.2">
      <c r="A23" s="13" t="s">
        <v>49</v>
      </c>
      <c r="B23">
        <v>1.1499999999999999</v>
      </c>
      <c r="C23">
        <v>1.29</v>
      </c>
      <c r="D23">
        <v>1.1399999999999999</v>
      </c>
      <c r="E23">
        <v>0.44061302681992337</v>
      </c>
      <c r="F23">
        <v>0.57847533632286996</v>
      </c>
      <c r="G23">
        <v>0.51818181818181808</v>
      </c>
      <c r="H23" s="9">
        <v>0.51242339377487045</v>
      </c>
      <c r="I23">
        <v>6.911131372003744E-2</v>
      </c>
      <c r="J23" s="9">
        <v>3.9901435580312297E-2</v>
      </c>
    </row>
    <row r="24" spans="1:15" x14ac:dyDescent="0.2">
      <c r="A24" s="13" t="s">
        <v>50</v>
      </c>
      <c r="B24">
        <v>0.52</v>
      </c>
      <c r="C24">
        <v>0.64</v>
      </c>
      <c r="D24">
        <v>0.54</v>
      </c>
      <c r="E24">
        <v>0.1992337164750958</v>
      </c>
      <c r="F24">
        <v>0.28699551569506726</v>
      </c>
      <c r="G24">
        <v>0.24545454545454545</v>
      </c>
      <c r="H24" s="9">
        <v>0.2438945925415695</v>
      </c>
      <c r="I24">
        <v>4.3901690632590279E-2</v>
      </c>
      <c r="J24" s="9">
        <v>2.5346652904605672E-2</v>
      </c>
      <c r="O24" t="s">
        <v>2875</v>
      </c>
    </row>
    <row r="25" spans="1:15" x14ac:dyDescent="0.2">
      <c r="A25" s="13" t="s">
        <v>51</v>
      </c>
      <c r="B25">
        <v>0.47</v>
      </c>
      <c r="C25">
        <v>0.57999999999999996</v>
      </c>
      <c r="D25">
        <v>0.53</v>
      </c>
      <c r="E25">
        <v>0.18007662835249041</v>
      </c>
      <c r="F25">
        <v>0.26008968609865468</v>
      </c>
      <c r="G25">
        <v>0.24090909090909091</v>
      </c>
      <c r="H25" s="9">
        <v>0.22702513512007863</v>
      </c>
      <c r="I25">
        <v>4.1774340494329883E-2</v>
      </c>
      <c r="J25" s="9">
        <v>2.4118426729620442E-2</v>
      </c>
    </row>
    <row r="26" spans="1:15" x14ac:dyDescent="0.2">
      <c r="A26" s="13" t="s">
        <v>52</v>
      </c>
      <c r="B26">
        <v>1.59</v>
      </c>
      <c r="C26">
        <v>1.65</v>
      </c>
      <c r="D26">
        <v>1.48</v>
      </c>
      <c r="E26">
        <v>0.60919540229885061</v>
      </c>
      <c r="F26">
        <v>0.73991031390134521</v>
      </c>
      <c r="G26">
        <v>0.67272727272727262</v>
      </c>
      <c r="H26" s="9">
        <v>0.67394432964248951</v>
      </c>
      <c r="I26">
        <v>6.5365954054562331E-2</v>
      </c>
      <c r="J26" s="9">
        <v>3.7739051169238272E-2</v>
      </c>
    </row>
    <row r="27" spans="1:15" x14ac:dyDescent="0.2">
      <c r="A27" s="13" t="s">
        <v>53</v>
      </c>
      <c r="B27">
        <v>2.17</v>
      </c>
      <c r="C27">
        <v>2.08</v>
      </c>
      <c r="D27">
        <v>1.9</v>
      </c>
      <c r="E27">
        <v>0.83141762452107282</v>
      </c>
      <c r="F27">
        <v>0.93273542600896864</v>
      </c>
      <c r="G27">
        <v>0.86363636363636354</v>
      </c>
      <c r="H27" s="9">
        <v>0.875929804722135</v>
      </c>
      <c r="I27">
        <v>5.1765536265764377E-2</v>
      </c>
      <c r="J27" s="9">
        <v>2.9886846297784399E-2</v>
      </c>
    </row>
    <row r="28" spans="1:15" x14ac:dyDescent="0.2">
      <c r="A28" s="13" t="s">
        <v>54</v>
      </c>
      <c r="B28">
        <v>0.7</v>
      </c>
      <c r="C28">
        <v>0.68</v>
      </c>
      <c r="D28">
        <v>0.72</v>
      </c>
      <c r="E28">
        <v>0.26819923371647508</v>
      </c>
      <c r="F28">
        <v>0.30493273542600902</v>
      </c>
      <c r="G28">
        <v>0.32727272727272722</v>
      </c>
      <c r="H28" s="9">
        <v>0.30013489880507044</v>
      </c>
      <c r="I28">
        <v>2.982756841272944E-2</v>
      </c>
      <c r="J28" s="9">
        <v>1.7220954652361321E-2</v>
      </c>
    </row>
    <row r="29" spans="1:15" x14ac:dyDescent="0.2">
      <c r="A29" s="9" t="s">
        <v>2870</v>
      </c>
      <c r="B29">
        <v>14.19</v>
      </c>
      <c r="C29">
        <v>13.44</v>
      </c>
      <c r="D29">
        <v>13.41</v>
      </c>
      <c r="E29">
        <v>1.0565897244973939</v>
      </c>
      <c r="F29">
        <v>0.94581280788177335</v>
      </c>
      <c r="G29">
        <v>0.94569816643159388</v>
      </c>
      <c r="H29" s="9">
        <v>0.98270023293692044</v>
      </c>
      <c r="I29">
        <v>6.399020243728322E-2</v>
      </c>
      <c r="J29" s="9">
        <v>3.6944760602664113E-2</v>
      </c>
    </row>
    <row r="30" spans="1:15" x14ac:dyDescent="0.2">
      <c r="A30" s="9" t="s">
        <v>2871</v>
      </c>
      <c r="B30">
        <v>0.76</v>
      </c>
      <c r="C30">
        <v>0.92</v>
      </c>
      <c r="D30">
        <v>0.64</v>
      </c>
      <c r="E30">
        <v>5.6589724497393898E-2</v>
      </c>
      <c r="F30">
        <v>6.4743138634764247E-2</v>
      </c>
      <c r="G30">
        <v>4.5133991537376586E-2</v>
      </c>
      <c r="H30" s="9">
        <v>5.5488951556511575E-2</v>
      </c>
      <c r="I30">
        <v>9.850809016130618E-3</v>
      </c>
      <c r="J30" s="9">
        <v>5.687367237198605E-3</v>
      </c>
    </row>
    <row r="31" spans="1:15" x14ac:dyDescent="0.2">
      <c r="A31" s="9" t="s">
        <v>2866</v>
      </c>
      <c r="B31">
        <v>13.43</v>
      </c>
      <c r="C31">
        <v>14.21</v>
      </c>
      <c r="D31">
        <v>14.18</v>
      </c>
      <c r="E31">
        <v>1</v>
      </c>
      <c r="F31">
        <v>1</v>
      </c>
      <c r="G31">
        <v>1</v>
      </c>
      <c r="H31" s="9">
        <v>1</v>
      </c>
      <c r="I31">
        <v>0</v>
      </c>
      <c r="J31" s="9">
        <v>0</v>
      </c>
      <c r="K31" s="10"/>
      <c r="L31" s="10"/>
    </row>
    <row r="32" spans="1:15" x14ac:dyDescent="0.2">
      <c r="A32" s="9" t="s">
        <v>55</v>
      </c>
      <c r="B32">
        <v>7.69</v>
      </c>
      <c r="C32">
        <v>7.8</v>
      </c>
      <c r="D32">
        <v>8.09</v>
      </c>
      <c r="E32">
        <v>0.57259865971705137</v>
      </c>
      <c r="F32">
        <v>0.54890921885995769</v>
      </c>
      <c r="G32">
        <v>0.57052186177715092</v>
      </c>
      <c r="H32" s="9">
        <v>0.56400991345138662</v>
      </c>
      <c r="I32">
        <v>1.3118746330290207E-2</v>
      </c>
      <c r="J32" s="9">
        <v>7.5741117252234669E-3</v>
      </c>
    </row>
    <row r="33" spans="1:13" x14ac:dyDescent="0.2">
      <c r="A33" s="9" t="s">
        <v>56</v>
      </c>
      <c r="B33">
        <v>3.88</v>
      </c>
      <c r="C33">
        <v>3.62</v>
      </c>
      <c r="D33">
        <v>4.1399999999999997</v>
      </c>
      <c r="E33">
        <v>0.2889054355919583</v>
      </c>
      <c r="F33">
        <v>0.25475017593244192</v>
      </c>
      <c r="G33">
        <v>0.29196050775740479</v>
      </c>
      <c r="H33" s="9">
        <v>0.27853870642726836</v>
      </c>
      <c r="I33">
        <v>2.0658025167268196E-2</v>
      </c>
      <c r="J33" s="9">
        <v>1.1926916391248358E-2</v>
      </c>
      <c r="M33" s="10"/>
    </row>
    <row r="34" spans="1:13" x14ac:dyDescent="0.2">
      <c r="A34" s="9" t="s">
        <v>2273</v>
      </c>
      <c r="B34">
        <v>3.81</v>
      </c>
      <c r="C34">
        <v>3.96</v>
      </c>
      <c r="D34">
        <v>3.17</v>
      </c>
      <c r="E34">
        <v>0.28369322412509307</v>
      </c>
      <c r="F34">
        <v>0.27867698803659391</v>
      </c>
      <c r="G34">
        <v>0.22355430183356839</v>
      </c>
      <c r="H34" s="9">
        <v>0.26197483799841842</v>
      </c>
      <c r="I34">
        <v>3.3367556930644859E-2</v>
      </c>
      <c r="J34" s="9">
        <v>1.9264767976107974E-2</v>
      </c>
    </row>
    <row r="35" spans="1:13" x14ac:dyDescent="0.2">
      <c r="A35" s="9" t="s">
        <v>57</v>
      </c>
      <c r="B35">
        <v>13.24</v>
      </c>
      <c r="C35">
        <v>14</v>
      </c>
      <c r="D35">
        <v>13.72</v>
      </c>
      <c r="E35">
        <v>0.98585256887565154</v>
      </c>
      <c r="F35">
        <v>0.9852216748768472</v>
      </c>
      <c r="G35">
        <v>0.96755994358251063</v>
      </c>
      <c r="H35" s="9">
        <v>0.97954472911166979</v>
      </c>
      <c r="I35">
        <v>1.0383921221984926E-2</v>
      </c>
      <c r="J35" s="9">
        <v>5.9951597127568647E-3</v>
      </c>
    </row>
    <row r="36" spans="1:13" x14ac:dyDescent="0.2">
      <c r="A36" s="9" t="s">
        <v>58</v>
      </c>
      <c r="B36">
        <v>9.89</v>
      </c>
      <c r="C36">
        <v>9</v>
      </c>
      <c r="D36">
        <v>8.99</v>
      </c>
      <c r="E36">
        <v>0.73641102010424431</v>
      </c>
      <c r="F36">
        <v>0.63335679099225894</v>
      </c>
      <c r="G36">
        <v>0.63399153737658676</v>
      </c>
      <c r="H36" s="9">
        <v>0.66791978282436337</v>
      </c>
      <c r="I36">
        <v>5.9316000487556662E-2</v>
      </c>
      <c r="J36" s="9">
        <v>3.4246108848742816E-2</v>
      </c>
    </row>
    <row r="37" spans="1:13" x14ac:dyDescent="0.2">
      <c r="A37" s="9" t="s">
        <v>63</v>
      </c>
      <c r="B37">
        <v>10.65</v>
      </c>
      <c r="C37">
        <v>9.73</v>
      </c>
      <c r="D37">
        <v>10.17</v>
      </c>
      <c r="E37">
        <v>0.79300074460163816</v>
      </c>
      <c r="F37">
        <v>0.68472906403940881</v>
      </c>
      <c r="G37">
        <v>0.71720733427362482</v>
      </c>
      <c r="H37" s="9">
        <v>0.73164571430489067</v>
      </c>
      <c r="I37">
        <v>5.5561131345463075E-2</v>
      </c>
      <c r="J37" s="9">
        <v>3.207823413878326E-2</v>
      </c>
    </row>
    <row r="38" spans="1:13" x14ac:dyDescent="0.2">
      <c r="A38" s="9" t="s">
        <v>64</v>
      </c>
      <c r="B38">
        <v>7.7</v>
      </c>
      <c r="C38">
        <v>6.93</v>
      </c>
      <c r="D38">
        <v>6.8</v>
      </c>
      <c r="E38">
        <v>0.57334326135517499</v>
      </c>
      <c r="F38">
        <v>0.48768472906403937</v>
      </c>
      <c r="G38">
        <v>0.47954866008462621</v>
      </c>
      <c r="H38" s="9">
        <v>0.51352555016794688</v>
      </c>
      <c r="I38">
        <v>5.1963139179310759E-2</v>
      </c>
      <c r="J38" s="9">
        <v>3.0000932393113057E-2</v>
      </c>
    </row>
    <row r="39" spans="1:13" x14ac:dyDescent="0.2">
      <c r="A39" s="9" t="s">
        <v>69</v>
      </c>
      <c r="B39">
        <v>6.3</v>
      </c>
      <c r="C39">
        <v>5.63</v>
      </c>
      <c r="D39">
        <v>6.08</v>
      </c>
      <c r="E39">
        <v>0.46909903201787045</v>
      </c>
      <c r="F39">
        <v>0.39619985925404644</v>
      </c>
      <c r="G39">
        <v>0.42877291960507757</v>
      </c>
      <c r="H39" s="9">
        <v>0.43135727029233145</v>
      </c>
      <c r="I39">
        <v>3.6518235154077441E-2</v>
      </c>
      <c r="J39" s="9">
        <v>2.1083812896536668E-2</v>
      </c>
    </row>
    <row r="40" spans="1:13" x14ac:dyDescent="0.2">
      <c r="A40" s="13" t="s">
        <v>2870</v>
      </c>
      <c r="B40">
        <v>11.56</v>
      </c>
      <c r="C40">
        <v>12.95</v>
      </c>
      <c r="D40">
        <v>11.7</v>
      </c>
      <c r="E40">
        <v>0.82946663477636928</v>
      </c>
      <c r="F40">
        <v>0.92920353982300874</v>
      </c>
      <c r="G40">
        <v>0.83951207845013143</v>
      </c>
      <c r="H40" s="9">
        <v>0.86606075101650315</v>
      </c>
      <c r="I40">
        <v>5.4913446152539971E-2</v>
      </c>
      <c r="J40" s="9">
        <v>3.1704292918298974E-2</v>
      </c>
    </row>
    <row r="41" spans="1:13" x14ac:dyDescent="0.2">
      <c r="A41" s="13" t="s">
        <v>2871</v>
      </c>
      <c r="B41">
        <v>1.1299999999999999</v>
      </c>
      <c r="C41">
        <v>0.92</v>
      </c>
      <c r="D41">
        <v>1.03</v>
      </c>
      <c r="E41">
        <v>8.1081081081081072E-2</v>
      </c>
      <c r="F41">
        <v>6.6012915570437689E-2</v>
      </c>
      <c r="G41">
        <v>7.3905764171250901E-2</v>
      </c>
      <c r="H41" s="9">
        <v>7.366658694092322E-2</v>
      </c>
      <c r="I41">
        <v>7.5369295654574156E-3</v>
      </c>
      <c r="J41" s="9">
        <v>4.3514483134800882E-3</v>
      </c>
    </row>
    <row r="42" spans="1:13" x14ac:dyDescent="0.2">
      <c r="A42" s="13" t="s">
        <v>2866</v>
      </c>
      <c r="B42">
        <v>13.33</v>
      </c>
      <c r="C42">
        <v>14.35</v>
      </c>
      <c r="D42">
        <v>14.13</v>
      </c>
      <c r="E42">
        <v>1</v>
      </c>
      <c r="F42" s="10">
        <v>1</v>
      </c>
      <c r="G42" s="10">
        <v>1</v>
      </c>
      <c r="H42" s="9">
        <v>0.99999999999999989</v>
      </c>
      <c r="I42">
        <v>0</v>
      </c>
      <c r="J42" s="9">
        <v>0</v>
      </c>
    </row>
    <row r="43" spans="1:13" x14ac:dyDescent="0.2">
      <c r="A43" s="13" t="s">
        <v>70</v>
      </c>
      <c r="B43">
        <v>2</v>
      </c>
      <c r="C43">
        <v>1.92</v>
      </c>
      <c r="D43">
        <v>1.9</v>
      </c>
      <c r="E43">
        <v>0.14350633819660369</v>
      </c>
      <c r="F43">
        <v>0.13776608466873952</v>
      </c>
      <c r="G43">
        <v>0.13633102128677349</v>
      </c>
      <c r="H43" s="9">
        <v>0.13920114805070558</v>
      </c>
      <c r="I43">
        <v>3.796820824297437E-3</v>
      </c>
      <c r="J43" s="9">
        <v>2.1920955249729022E-3</v>
      </c>
    </row>
    <row r="44" spans="1:13" x14ac:dyDescent="0.2">
      <c r="A44" s="9" t="s">
        <v>2870</v>
      </c>
      <c r="B44">
        <v>14.3</v>
      </c>
      <c r="C44">
        <v>12.5</v>
      </c>
      <c r="D44">
        <v>13.2</v>
      </c>
      <c r="E44">
        <v>1.0141843971631206</v>
      </c>
      <c r="F44">
        <v>0.91911764705882359</v>
      </c>
      <c r="G44">
        <v>0.94285714285714284</v>
      </c>
      <c r="H44" s="9">
        <v>0.95871972902636227</v>
      </c>
      <c r="I44">
        <v>4.9478661803146501E-2</v>
      </c>
      <c r="J44" s="9">
        <v>2.8566518711189089E-2</v>
      </c>
    </row>
    <row r="45" spans="1:13" x14ac:dyDescent="0.2">
      <c r="A45" s="9" t="s">
        <v>2871</v>
      </c>
      <c r="B45">
        <v>0.9</v>
      </c>
      <c r="C45">
        <v>0.8</v>
      </c>
      <c r="D45">
        <v>0.9</v>
      </c>
      <c r="E45">
        <v>6.3829787234042562E-2</v>
      </c>
      <c r="F45">
        <v>5.8823529411764712E-2</v>
      </c>
      <c r="G45">
        <v>6.4285714285714293E-2</v>
      </c>
      <c r="H45" s="9">
        <v>6.2313010310507198E-2</v>
      </c>
      <c r="I45">
        <v>3.0305651413767652E-3</v>
      </c>
      <c r="J45" s="9">
        <v>1.7496976001705718E-3</v>
      </c>
    </row>
    <row r="46" spans="1:13" x14ac:dyDescent="0.2">
      <c r="A46" s="9" t="s">
        <v>2866</v>
      </c>
      <c r="B46">
        <v>14.1</v>
      </c>
      <c r="C46">
        <v>13.6</v>
      </c>
      <c r="D46">
        <v>14</v>
      </c>
      <c r="E46">
        <v>1</v>
      </c>
      <c r="F46">
        <v>1</v>
      </c>
      <c r="G46">
        <v>1</v>
      </c>
      <c r="H46" s="9">
        <v>1</v>
      </c>
      <c r="I46">
        <v>0</v>
      </c>
      <c r="J46" s="9">
        <v>0</v>
      </c>
    </row>
    <row r="47" spans="1:13" x14ac:dyDescent="0.2">
      <c r="A47" s="9" t="s">
        <v>892</v>
      </c>
      <c r="B47">
        <v>0.8</v>
      </c>
      <c r="C47">
        <v>0.7</v>
      </c>
      <c r="D47">
        <v>0.7</v>
      </c>
      <c r="E47">
        <v>5.6737588652482275E-2</v>
      </c>
      <c r="F47">
        <v>5.1470588235294115E-2</v>
      </c>
      <c r="G47">
        <v>4.9999999999999996E-2</v>
      </c>
      <c r="H47" s="9">
        <v>5.2736058962592126E-2</v>
      </c>
      <c r="I47">
        <v>3.5425749580990686E-3</v>
      </c>
      <c r="J47" s="9">
        <v>2.0453066056829246E-3</v>
      </c>
    </row>
    <row r="48" spans="1:13" x14ac:dyDescent="0.2">
      <c r="A48" s="9" t="s">
        <v>970</v>
      </c>
      <c r="B48">
        <v>4</v>
      </c>
      <c r="C48">
        <v>4.5</v>
      </c>
      <c r="D48">
        <v>4.5</v>
      </c>
      <c r="E48">
        <v>0.28368794326241137</v>
      </c>
      <c r="F48">
        <v>0.33088235294117646</v>
      </c>
      <c r="G48">
        <v>0.32142857142857145</v>
      </c>
      <c r="H48" s="9">
        <v>0.31199962254405311</v>
      </c>
      <c r="I48">
        <v>2.4970119824140293E-2</v>
      </c>
      <c r="J48" s="9">
        <v>1.441650540216461E-2</v>
      </c>
    </row>
    <row r="49" spans="1:10" x14ac:dyDescent="0.2">
      <c r="A49" s="9" t="s">
        <v>975</v>
      </c>
      <c r="B49">
        <v>2.6</v>
      </c>
      <c r="C49">
        <v>2.5</v>
      </c>
      <c r="D49">
        <v>2.2000000000000002</v>
      </c>
      <c r="E49">
        <v>0.18439716312056739</v>
      </c>
      <c r="F49">
        <v>0.18382352941176472</v>
      </c>
      <c r="G49">
        <v>0.15714285714285717</v>
      </c>
      <c r="H49" s="9">
        <v>0.17512118322506309</v>
      </c>
      <c r="I49">
        <v>1.5572328677707874E-2</v>
      </c>
      <c r="J49" s="9">
        <v>8.9906881539839698E-3</v>
      </c>
    </row>
    <row r="50" spans="1:10" x14ac:dyDescent="0.2">
      <c r="A50" s="9" t="s">
        <v>986</v>
      </c>
      <c r="B50">
        <v>2.8</v>
      </c>
      <c r="C50">
        <v>3</v>
      </c>
      <c r="D50">
        <v>2.5</v>
      </c>
      <c r="E50">
        <v>0.19858156028368792</v>
      </c>
      <c r="F50">
        <v>0.22058823529411764</v>
      </c>
      <c r="G50">
        <v>0.17857142857142858</v>
      </c>
      <c r="H50" s="9">
        <v>0.19924707471641137</v>
      </c>
      <c r="I50">
        <v>2.101630780817779E-2</v>
      </c>
      <c r="J50" s="9">
        <v>1.2133770970423481E-2</v>
      </c>
    </row>
    <row r="51" spans="1:10" x14ac:dyDescent="0.2">
      <c r="A51" s="9" t="s">
        <v>1009</v>
      </c>
      <c r="B51">
        <v>2.5</v>
      </c>
      <c r="C51">
        <v>2.6</v>
      </c>
      <c r="D51">
        <v>2.7</v>
      </c>
      <c r="E51">
        <v>0.1773049645390071</v>
      </c>
      <c r="F51">
        <v>0.19117647058823531</v>
      </c>
      <c r="G51">
        <v>0.19285714285714287</v>
      </c>
      <c r="H51" s="9">
        <v>0.18711285932812841</v>
      </c>
      <c r="I51">
        <v>8.5353538277404568E-3</v>
      </c>
      <c r="J51" s="9">
        <v>4.9278888300746558E-3</v>
      </c>
    </row>
    <row r="52" spans="1:10" x14ac:dyDescent="0.2">
      <c r="A52" s="9" t="s">
        <v>1020</v>
      </c>
      <c r="B52">
        <v>0.9</v>
      </c>
      <c r="C52">
        <v>0.6</v>
      </c>
      <c r="D52">
        <v>0.6</v>
      </c>
      <c r="E52">
        <v>6.3829787234042562E-2</v>
      </c>
      <c r="F52">
        <v>4.4117647058823532E-2</v>
      </c>
      <c r="G52">
        <v>4.2857142857142858E-2</v>
      </c>
      <c r="H52" s="9">
        <v>5.0268192383336317E-2</v>
      </c>
      <c r="I52">
        <v>1.1761584029442643E-2</v>
      </c>
      <c r="J52" s="9">
        <v>6.7905537054951132E-3</v>
      </c>
    </row>
    <row r="53" spans="1:10" x14ac:dyDescent="0.2">
      <c r="A53" s="9" t="s">
        <v>1083</v>
      </c>
      <c r="B53">
        <v>0.7</v>
      </c>
      <c r="C53">
        <v>0.5</v>
      </c>
      <c r="D53">
        <v>0.6</v>
      </c>
      <c r="E53">
        <v>4.9645390070921981E-2</v>
      </c>
      <c r="F53">
        <v>3.6764705882352942E-2</v>
      </c>
      <c r="G53">
        <v>4.2857142857142858E-2</v>
      </c>
      <c r="H53" s="9">
        <v>4.3089079603472601E-2</v>
      </c>
      <c r="I53">
        <v>6.4434736192628761E-3</v>
      </c>
      <c r="J53" s="9">
        <v>3.7201412285976739E-3</v>
      </c>
    </row>
    <row r="54" spans="1:10" x14ac:dyDescent="0.2">
      <c r="A54" s="9" t="s">
        <v>1175</v>
      </c>
      <c r="B54">
        <v>1.5</v>
      </c>
      <c r="C54">
        <v>1.9</v>
      </c>
      <c r="D54">
        <v>1.6</v>
      </c>
      <c r="E54">
        <v>0.10638297872340426</v>
      </c>
      <c r="F54">
        <v>0.13970588235294118</v>
      </c>
      <c r="G54">
        <v>0.1142857142857143</v>
      </c>
      <c r="H54" s="9">
        <v>0.12012485845401992</v>
      </c>
      <c r="I54">
        <v>1.7411940731565257E-2</v>
      </c>
      <c r="J54" s="9">
        <v>1.005278866848301E-2</v>
      </c>
    </row>
    <row r="55" spans="1:10" x14ac:dyDescent="0.2">
      <c r="A55" s="9" t="s">
        <v>1240</v>
      </c>
      <c r="B55">
        <v>0.7</v>
      </c>
      <c r="C55">
        <v>1</v>
      </c>
      <c r="D55">
        <v>0.8</v>
      </c>
      <c r="E55">
        <v>4.9645390070921981E-2</v>
      </c>
      <c r="F55">
        <v>7.3529411764705885E-2</v>
      </c>
      <c r="G55">
        <v>5.7142857142857148E-2</v>
      </c>
      <c r="H55" s="9">
        <v>6.0105886326161671E-2</v>
      </c>
      <c r="I55">
        <v>1.2214592892238429E-2</v>
      </c>
      <c r="J55" s="9">
        <v>7.0520984943755471E-3</v>
      </c>
    </row>
    <row r="56" spans="1:10" x14ac:dyDescent="0.2">
      <c r="A56" s="9" t="s">
        <v>1397</v>
      </c>
      <c r="B56">
        <v>2.5</v>
      </c>
      <c r="C56">
        <v>2.5</v>
      </c>
      <c r="D56">
        <v>2.8</v>
      </c>
      <c r="E56">
        <v>0.1773049645390071</v>
      </c>
      <c r="F56">
        <v>0.18382352941176472</v>
      </c>
      <c r="G56">
        <v>0.19999999999999998</v>
      </c>
      <c r="H56" s="9">
        <v>0.18704283131692392</v>
      </c>
      <c r="I56">
        <v>1.1684994104035845E-2</v>
      </c>
      <c r="J56" s="9">
        <v>6.7463344914442851E-3</v>
      </c>
    </row>
    <row r="57" spans="1:10" x14ac:dyDescent="0.2">
      <c r="A57" s="9" t="s">
        <v>1474</v>
      </c>
      <c r="B57">
        <v>0.6</v>
      </c>
      <c r="C57">
        <v>0.7</v>
      </c>
      <c r="D57">
        <v>0.7</v>
      </c>
      <c r="E57">
        <v>4.2553191489361701E-2</v>
      </c>
      <c r="F57">
        <v>5.1470588235294115E-2</v>
      </c>
      <c r="G57">
        <v>4.9999999999999996E-2</v>
      </c>
      <c r="H57" s="9">
        <v>4.8007926574885264E-2</v>
      </c>
      <c r="I57">
        <v>4.7808219564608066E-3</v>
      </c>
      <c r="J57" s="9">
        <v>2.7602088435103203E-3</v>
      </c>
    </row>
    <row r="58" spans="1:10" x14ac:dyDescent="0.2">
      <c r="A58" s="9" t="s">
        <v>1654</v>
      </c>
      <c r="B58">
        <v>1.4</v>
      </c>
      <c r="C58">
        <v>1.5</v>
      </c>
      <c r="D58">
        <v>1.6</v>
      </c>
      <c r="E58">
        <v>9.9290780141843962E-2</v>
      </c>
      <c r="F58">
        <v>0.11029411764705882</v>
      </c>
      <c r="G58">
        <v>0.1142857142857143</v>
      </c>
      <c r="H58" s="9">
        <v>0.10795687069153903</v>
      </c>
      <c r="I58">
        <v>7.76589048294315E-3</v>
      </c>
      <c r="J58" s="9">
        <v>4.4836389608243809E-3</v>
      </c>
    </row>
    <row r="59" spans="1:10" x14ac:dyDescent="0.2">
      <c r="A59" s="9" t="s">
        <v>1908</v>
      </c>
      <c r="B59">
        <v>9.4</v>
      </c>
      <c r="C59">
        <v>9.6</v>
      </c>
      <c r="D59">
        <v>10</v>
      </c>
      <c r="E59">
        <v>0.66666666666666674</v>
      </c>
      <c r="F59">
        <v>0.70588235294117652</v>
      </c>
      <c r="G59">
        <v>0.7142857142857143</v>
      </c>
      <c r="H59" s="9">
        <v>0.69561157796451922</v>
      </c>
      <c r="I59">
        <v>2.5416727523466263E-2</v>
      </c>
      <c r="J59" s="9">
        <v>1.4674354477592619E-2</v>
      </c>
    </row>
    <row r="60" spans="1:10" x14ac:dyDescent="0.2">
      <c r="A60" s="9" t="s">
        <v>1924</v>
      </c>
      <c r="B60">
        <v>11.3</v>
      </c>
      <c r="C60">
        <v>12.1</v>
      </c>
      <c r="D60">
        <v>12.2</v>
      </c>
      <c r="E60">
        <v>0.8014184397163121</v>
      </c>
      <c r="F60">
        <v>0.88970588235294112</v>
      </c>
      <c r="G60">
        <v>0.87142857142857133</v>
      </c>
      <c r="H60" s="9">
        <v>0.8541842978326083</v>
      </c>
      <c r="I60">
        <v>4.660141479309763E-2</v>
      </c>
      <c r="J60" s="9">
        <v>2.6905339375412327E-2</v>
      </c>
    </row>
    <row r="61" spans="1:10" x14ac:dyDescent="0.2">
      <c r="A61" s="9" t="s">
        <v>2070</v>
      </c>
      <c r="B61">
        <v>13.5</v>
      </c>
      <c r="C61">
        <v>12.8</v>
      </c>
      <c r="D61">
        <v>13.7</v>
      </c>
      <c r="E61">
        <v>0.95744680851063835</v>
      </c>
      <c r="F61">
        <v>0.94117647058823539</v>
      </c>
      <c r="G61">
        <v>0.97857142857142854</v>
      </c>
      <c r="H61" s="9">
        <v>0.95906490255676735</v>
      </c>
      <c r="I61">
        <v>1.874991711709105E-2</v>
      </c>
      <c r="J61" s="9">
        <v>1.0825269694835691E-2</v>
      </c>
    </row>
    <row r="62" spans="1:10" x14ac:dyDescent="0.2">
      <c r="A62" s="9" t="s">
        <v>946</v>
      </c>
      <c r="B62">
        <v>0.8</v>
      </c>
      <c r="C62">
        <v>0.8</v>
      </c>
      <c r="D62">
        <v>0.8</v>
      </c>
      <c r="E62">
        <v>5.6737588652482275E-2</v>
      </c>
      <c r="F62">
        <v>5.8823529411764712E-2</v>
      </c>
      <c r="G62">
        <v>5.7142857142857148E-2</v>
      </c>
      <c r="H62" s="9">
        <v>5.7567991735701374E-2</v>
      </c>
      <c r="I62">
        <v>1.1060478196414337E-3</v>
      </c>
      <c r="J62" s="9">
        <v>6.3857700640658043E-4</v>
      </c>
    </row>
    <row r="63" spans="1:10" x14ac:dyDescent="0.2">
      <c r="A63" s="9" t="s">
        <v>2656</v>
      </c>
      <c r="B63">
        <v>0.6</v>
      </c>
      <c r="C63">
        <v>1</v>
      </c>
      <c r="D63">
        <v>0.8</v>
      </c>
      <c r="E63">
        <v>4.2553191489361701E-2</v>
      </c>
      <c r="F63">
        <v>7.3529411764705885E-2</v>
      </c>
      <c r="G63">
        <v>5.7142857142857148E-2</v>
      </c>
      <c r="H63" s="9">
        <v>5.774182013230824E-2</v>
      </c>
      <c r="I63">
        <v>1.5496793963065776E-2</v>
      </c>
      <c r="J63" s="9">
        <v>8.9470781661521934E-3</v>
      </c>
    </row>
    <row r="64" spans="1:10" x14ac:dyDescent="0.2">
      <c r="A64" s="9" t="s">
        <v>1105</v>
      </c>
      <c r="B64">
        <v>0.8</v>
      </c>
      <c r="C64">
        <v>0.9</v>
      </c>
      <c r="D64">
        <v>0.8</v>
      </c>
      <c r="E64">
        <v>5.6737588652482275E-2</v>
      </c>
      <c r="F64">
        <v>6.6176470588235295E-2</v>
      </c>
      <c r="G64">
        <v>5.7142857142857148E-2</v>
      </c>
      <c r="H64" s="9">
        <v>6.0018972127858249E-2</v>
      </c>
      <c r="I64">
        <v>5.3363987017915034E-3</v>
      </c>
      <c r="J64" s="9">
        <v>3.0809712269824941E-3</v>
      </c>
    </row>
    <row r="65" spans="1:10" x14ac:dyDescent="0.2">
      <c r="A65" s="9" t="s">
        <v>1176</v>
      </c>
      <c r="B65">
        <v>1.3</v>
      </c>
      <c r="C65">
        <v>1.3</v>
      </c>
      <c r="D65">
        <v>1.3</v>
      </c>
      <c r="E65">
        <v>9.2198581560283696E-2</v>
      </c>
      <c r="F65">
        <v>9.5588235294117654E-2</v>
      </c>
      <c r="G65">
        <v>9.285714285714286E-2</v>
      </c>
      <c r="H65" s="9">
        <v>9.3547986570514732E-2</v>
      </c>
      <c r="I65">
        <v>1.7973277069173296E-3</v>
      </c>
      <c r="J65" s="9">
        <v>1.0376876354106931E-3</v>
      </c>
    </row>
    <row r="66" spans="1:10" x14ac:dyDescent="0.2">
      <c r="A66" s="9" t="s">
        <v>1257</v>
      </c>
      <c r="B66">
        <v>0.9</v>
      </c>
      <c r="C66">
        <v>1</v>
      </c>
      <c r="D66">
        <v>1</v>
      </c>
      <c r="E66">
        <v>6.3829787234042562E-2</v>
      </c>
      <c r="F66">
        <v>7.3529411764705885E-2</v>
      </c>
      <c r="G66">
        <v>7.1428571428571425E-2</v>
      </c>
      <c r="H66" s="9">
        <v>6.9595923475773286E-2</v>
      </c>
      <c r="I66">
        <v>5.102903869183978E-3</v>
      </c>
      <c r="J66" s="9">
        <v>2.9461629225221529E-3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EB1E3-7ECA-7545-9A23-CA668A8DE44B}">
  <dimension ref="A1:I330"/>
  <sheetViews>
    <sheetView workbookViewId="0">
      <selection activeCell="B301" sqref="B301"/>
    </sheetView>
  </sheetViews>
  <sheetFormatPr baseColWidth="10" defaultRowHeight="16" x14ac:dyDescent="0.2"/>
  <cols>
    <col min="1" max="3" width="10.83203125" style="10"/>
    <col min="4" max="4" width="10.83203125" style="9"/>
    <col min="5" max="5" width="19.83203125" style="9" customWidth="1"/>
    <col min="6" max="6" width="20.33203125" style="9" customWidth="1"/>
    <col min="7" max="7" width="24" style="10" customWidth="1"/>
    <col min="8" max="8" width="19" style="10" customWidth="1"/>
    <col min="9" max="16384" width="10.83203125" style="10"/>
  </cols>
  <sheetData>
    <row r="1" spans="1:9" x14ac:dyDescent="0.2">
      <c r="A1" s="13" t="s">
        <v>4190</v>
      </c>
      <c r="B1" s="13" t="s">
        <v>2582</v>
      </c>
      <c r="C1" s="13" t="s">
        <v>4189</v>
      </c>
      <c r="D1" s="13" t="s">
        <v>73</v>
      </c>
      <c r="E1" s="13" t="s">
        <v>4185</v>
      </c>
      <c r="F1" s="13" t="s">
        <v>4186</v>
      </c>
      <c r="G1" s="13" t="s">
        <v>4187</v>
      </c>
      <c r="H1" s="13" t="s">
        <v>4188</v>
      </c>
      <c r="I1" s="13"/>
    </row>
    <row r="2" spans="1:9" x14ac:dyDescent="0.2">
      <c r="A2" s="10" t="str">
        <f>LEFT(D2,1)</f>
        <v>A</v>
      </c>
      <c r="B2" s="10" t="str">
        <f>RIGHT(LEFT(D2,5),4)</f>
        <v>1641</v>
      </c>
      <c r="C2" s="10" t="str">
        <f>RIGHT(D2,1)</f>
        <v>G</v>
      </c>
      <c r="D2" s="9" t="s">
        <v>595</v>
      </c>
      <c r="E2" s="10">
        <v>9.8583770500000001E-2</v>
      </c>
      <c r="F2" s="10" t="s">
        <v>76</v>
      </c>
      <c r="G2" s="10">
        <v>-0.28838485600000002</v>
      </c>
      <c r="H2" s="10" t="s">
        <v>2816</v>
      </c>
    </row>
    <row r="3" spans="1:9" x14ac:dyDescent="0.2">
      <c r="A3" s="10" t="str">
        <f t="shared" ref="A3:A66" si="0">LEFT(D3,1)</f>
        <v>A</v>
      </c>
      <c r="B3" s="10" t="str">
        <f t="shared" ref="B3:B66" si="1">RIGHT(LEFT(D3,5),4)</f>
        <v>1693</v>
      </c>
      <c r="C3" s="10" t="str">
        <f t="shared" ref="C3:C66" si="2">RIGHT(D3,1)</f>
        <v>D</v>
      </c>
      <c r="D3" s="9" t="s">
        <v>917</v>
      </c>
      <c r="E3" s="10">
        <v>-6.3982881500000005E-2</v>
      </c>
      <c r="F3" s="10">
        <v>-0.41615542900000002</v>
      </c>
      <c r="G3" s="10">
        <v>-1.539991098</v>
      </c>
      <c r="H3" s="10" t="s">
        <v>2827</v>
      </c>
    </row>
    <row r="4" spans="1:9" x14ac:dyDescent="0.2">
      <c r="A4" s="10" t="str">
        <f t="shared" si="0"/>
        <v>A</v>
      </c>
      <c r="B4" s="10" t="str">
        <f t="shared" si="1"/>
        <v>1693</v>
      </c>
      <c r="C4" s="10" t="str">
        <f t="shared" si="2"/>
        <v>S</v>
      </c>
      <c r="D4" s="9" t="s">
        <v>922</v>
      </c>
      <c r="E4" s="10">
        <v>-1.053524525E-2</v>
      </c>
      <c r="F4" s="10">
        <v>0.29700676300000001</v>
      </c>
      <c r="G4" s="10">
        <v>-1.474986098</v>
      </c>
      <c r="H4" s="10" t="s">
        <v>2827</v>
      </c>
    </row>
    <row r="5" spans="1:9" x14ac:dyDescent="0.2">
      <c r="A5" s="10" t="str">
        <f t="shared" si="0"/>
        <v>A</v>
      </c>
      <c r="B5" s="10" t="str">
        <f t="shared" si="1"/>
        <v>1693</v>
      </c>
      <c r="C5" s="10" t="str">
        <f t="shared" si="2"/>
        <v>T</v>
      </c>
      <c r="D5" s="9" t="s">
        <v>923</v>
      </c>
      <c r="E5" s="10">
        <v>-0.19082162450000001</v>
      </c>
      <c r="F5" s="10">
        <v>-0.23942788649999999</v>
      </c>
      <c r="G5" s="10">
        <v>-0.44456790699999998</v>
      </c>
      <c r="H5" s="10" t="s">
        <v>2816</v>
      </c>
    </row>
    <row r="6" spans="1:9" x14ac:dyDescent="0.2">
      <c r="A6" s="10" t="str">
        <f t="shared" si="0"/>
        <v>A</v>
      </c>
      <c r="B6" s="10" t="str">
        <f t="shared" si="1"/>
        <v>1693</v>
      </c>
      <c r="C6" s="10" t="str">
        <f t="shared" si="2"/>
        <v>V</v>
      </c>
      <c r="D6" s="9" t="s">
        <v>924</v>
      </c>
      <c r="E6" s="10">
        <v>-0.14720908999999999</v>
      </c>
      <c r="F6" s="10">
        <v>-0.62512811499999998</v>
      </c>
      <c r="G6" s="10">
        <v>-1.67152473</v>
      </c>
      <c r="H6" s="10" t="s">
        <v>2827</v>
      </c>
    </row>
    <row r="7" spans="1:9" x14ac:dyDescent="0.2">
      <c r="A7" s="10" t="str">
        <f t="shared" si="0"/>
        <v>A</v>
      </c>
      <c r="B7" s="10" t="str">
        <f t="shared" si="1"/>
        <v>1708</v>
      </c>
      <c r="C7" s="10" t="str">
        <f t="shared" si="2"/>
        <v>P</v>
      </c>
      <c r="D7" s="9" t="s">
        <v>989</v>
      </c>
      <c r="E7" s="10">
        <v>-1.63703300575</v>
      </c>
      <c r="F7" s="10">
        <v>-1.1646972342499999</v>
      </c>
      <c r="G7" s="10">
        <v>-2.263130748</v>
      </c>
      <c r="H7" s="10" t="s">
        <v>2827</v>
      </c>
    </row>
    <row r="8" spans="1:9" x14ac:dyDescent="0.2">
      <c r="A8" s="10" t="str">
        <f t="shared" si="0"/>
        <v>A</v>
      </c>
      <c r="B8" s="10" t="str">
        <f t="shared" si="1"/>
        <v>1752</v>
      </c>
      <c r="C8" s="10" t="str">
        <f t="shared" si="2"/>
        <v>P</v>
      </c>
      <c r="D8" s="9" t="s">
        <v>1188</v>
      </c>
      <c r="E8" s="10">
        <v>-2.0333656245</v>
      </c>
      <c r="F8" s="10">
        <v>-1.3234683464999999</v>
      </c>
      <c r="G8" s="10">
        <v>-3.1267811270000001</v>
      </c>
      <c r="H8" s="10" t="s">
        <v>2827</v>
      </c>
    </row>
    <row r="9" spans="1:9" x14ac:dyDescent="0.2">
      <c r="A9" s="10" t="str">
        <f t="shared" si="0"/>
        <v>A</v>
      </c>
      <c r="B9" s="10" t="str">
        <f t="shared" si="1"/>
        <v>1823</v>
      </c>
      <c r="C9" s="10" t="str">
        <f t="shared" si="2"/>
        <v>S</v>
      </c>
      <c r="D9" s="9" t="s">
        <v>1752</v>
      </c>
      <c r="E9" s="10">
        <v>0.259645395</v>
      </c>
      <c r="F9" s="10">
        <v>4.791916525E-2</v>
      </c>
      <c r="G9" s="10">
        <v>-3.6428308330000001</v>
      </c>
      <c r="H9" s="10" t="s">
        <v>2827</v>
      </c>
    </row>
    <row r="10" spans="1:9" x14ac:dyDescent="0.2">
      <c r="A10" s="10" t="str">
        <f t="shared" si="0"/>
        <v>A</v>
      </c>
      <c r="B10" s="10" t="str">
        <f t="shared" si="1"/>
        <v>1823</v>
      </c>
      <c r="C10" s="10" t="str">
        <f t="shared" si="2"/>
        <v>T</v>
      </c>
      <c r="D10" s="9" t="s">
        <v>66</v>
      </c>
      <c r="E10" s="10">
        <v>-2.7210941249999999E-2</v>
      </c>
      <c r="F10" s="10">
        <v>-1.8967241249999999E-2</v>
      </c>
      <c r="G10" s="10">
        <v>-3.1865190760000002</v>
      </c>
      <c r="H10" s="10" t="s">
        <v>2827</v>
      </c>
    </row>
    <row r="11" spans="1:9" x14ac:dyDescent="0.2">
      <c r="A11" s="10" t="str">
        <f t="shared" si="0"/>
        <v>A</v>
      </c>
      <c r="B11" s="10" t="str">
        <f t="shared" si="1"/>
        <v>1830</v>
      </c>
      <c r="C11" s="10" t="str">
        <f t="shared" si="2"/>
        <v>P</v>
      </c>
      <c r="D11" s="9" t="s">
        <v>1818</v>
      </c>
      <c r="E11" s="10">
        <v>-0.31357676649999999</v>
      </c>
      <c r="F11" s="10">
        <v>-0.53833196274999995</v>
      </c>
      <c r="G11" s="10">
        <v>-0.65363881599999996</v>
      </c>
      <c r="H11" s="10" t="s">
        <v>2816</v>
      </c>
    </row>
    <row r="12" spans="1:9" x14ac:dyDescent="0.2">
      <c r="A12" s="10" t="str">
        <f t="shared" si="0"/>
        <v>A</v>
      </c>
      <c r="B12" s="10" t="str">
        <f t="shared" si="1"/>
        <v>1830</v>
      </c>
      <c r="C12" s="10" t="str">
        <f t="shared" si="2"/>
        <v>T</v>
      </c>
      <c r="D12" s="9" t="s">
        <v>1822</v>
      </c>
      <c r="E12" s="10">
        <v>0.60086648325000003</v>
      </c>
      <c r="F12" s="10">
        <v>-0.55927969025000002</v>
      </c>
      <c r="G12" s="10">
        <v>0.168084557</v>
      </c>
      <c r="H12" s="10" t="s">
        <v>2816</v>
      </c>
    </row>
    <row r="13" spans="1:9" x14ac:dyDescent="0.2">
      <c r="A13" s="10" t="str">
        <f t="shared" si="0"/>
        <v>A</v>
      </c>
      <c r="B13" s="10" t="str">
        <f t="shared" si="1"/>
        <v>1830</v>
      </c>
      <c r="C13" s="10" t="str">
        <f t="shared" si="2"/>
        <v>V</v>
      </c>
      <c r="D13" s="9" t="s">
        <v>1823</v>
      </c>
      <c r="E13" s="10">
        <v>-0.84976883874999998</v>
      </c>
      <c r="F13" s="10">
        <v>-0.65340355900000002</v>
      </c>
      <c r="G13" s="10">
        <v>-0.21197628900000001</v>
      </c>
      <c r="H13" s="10" t="s">
        <v>2816</v>
      </c>
    </row>
    <row r="14" spans="1:9" x14ac:dyDescent="0.2">
      <c r="A14" s="10" t="str">
        <f t="shared" si="0"/>
        <v>A</v>
      </c>
      <c r="B14" s="10" t="str">
        <f t="shared" si="1"/>
        <v>1843</v>
      </c>
      <c r="C14" s="10" t="str">
        <f t="shared" si="2"/>
        <v>E</v>
      </c>
      <c r="D14" s="9" t="s">
        <v>1943</v>
      </c>
      <c r="E14" s="10">
        <v>-0.67203872450000002</v>
      </c>
      <c r="F14" s="10">
        <v>-0.53199487525</v>
      </c>
      <c r="G14" s="10">
        <v>-2.8199207579999999</v>
      </c>
      <c r="H14" s="10" t="s">
        <v>2827</v>
      </c>
    </row>
    <row r="15" spans="1:9" x14ac:dyDescent="0.2">
      <c r="A15" s="10" t="str">
        <f t="shared" si="0"/>
        <v>A</v>
      </c>
      <c r="B15" s="10" t="str">
        <f t="shared" si="1"/>
        <v>1843</v>
      </c>
      <c r="C15" s="10" t="str">
        <f t="shared" si="2"/>
        <v>G</v>
      </c>
      <c r="D15" s="9" t="s">
        <v>1944</v>
      </c>
      <c r="E15" s="10">
        <v>-1.3796933250000001E-2</v>
      </c>
      <c r="F15" s="10">
        <v>-0.62130786199999999</v>
      </c>
      <c r="G15" s="10">
        <v>-0.35610492199999999</v>
      </c>
      <c r="H15" s="10" t="s">
        <v>2816</v>
      </c>
    </row>
    <row r="16" spans="1:9" x14ac:dyDescent="0.2">
      <c r="A16" s="10" t="str">
        <f t="shared" si="0"/>
        <v>A</v>
      </c>
      <c r="B16" s="10" t="str">
        <f t="shared" si="1"/>
        <v>1843</v>
      </c>
      <c r="C16" s="10" t="str">
        <f t="shared" si="2"/>
        <v>T</v>
      </c>
      <c r="D16" s="9" t="s">
        <v>1949</v>
      </c>
      <c r="E16" s="10">
        <v>-0.12900654724999999</v>
      </c>
      <c r="F16" s="10">
        <v>-0.30186621975</v>
      </c>
      <c r="G16" s="10">
        <v>-6.2383637999999998E-2</v>
      </c>
      <c r="H16" s="10" t="s">
        <v>2816</v>
      </c>
    </row>
    <row r="17" spans="1:8" x14ac:dyDescent="0.2">
      <c r="A17" s="10" t="str">
        <f t="shared" si="0"/>
        <v>C</v>
      </c>
      <c r="B17" s="10" t="str">
        <f t="shared" si="1"/>
        <v>1697</v>
      </c>
      <c r="C17" s="10" t="str">
        <f t="shared" si="2"/>
        <v>R</v>
      </c>
      <c r="D17" s="9" t="s">
        <v>946</v>
      </c>
      <c r="E17" s="10">
        <v>-1.33182870075</v>
      </c>
      <c r="F17" s="10">
        <v>-1.3122278007499999</v>
      </c>
      <c r="G17" s="10">
        <v>-2.1493921980000001</v>
      </c>
      <c r="H17" s="10" t="s">
        <v>2827</v>
      </c>
    </row>
    <row r="18" spans="1:8" x14ac:dyDescent="0.2">
      <c r="A18" s="10" t="str">
        <f t="shared" si="0"/>
        <v>C</v>
      </c>
      <c r="B18" s="10" t="str">
        <f t="shared" si="1"/>
        <v>1697</v>
      </c>
      <c r="C18" s="10" t="str">
        <f t="shared" si="2"/>
        <v>S</v>
      </c>
      <c r="D18" s="9" t="s">
        <v>947</v>
      </c>
      <c r="E18" s="10">
        <v>-0.1128360175</v>
      </c>
      <c r="F18" s="10">
        <v>0.11624179549999999</v>
      </c>
      <c r="G18" s="10">
        <v>-4.0973988000000003E-2</v>
      </c>
      <c r="H18" s="10" t="s">
        <v>2816</v>
      </c>
    </row>
    <row r="19" spans="1:8" x14ac:dyDescent="0.2">
      <c r="A19" s="10" t="str">
        <f t="shared" si="0"/>
        <v>C</v>
      </c>
      <c r="B19" s="10" t="str">
        <f t="shared" si="1"/>
        <v>1767</v>
      </c>
      <c r="C19" s="10" t="str">
        <f t="shared" si="2"/>
        <v>F</v>
      </c>
      <c r="D19" s="9" t="s">
        <v>1274</v>
      </c>
      <c r="E19" s="10">
        <v>9.6542109000000001E-2</v>
      </c>
      <c r="F19" s="10">
        <v>-9.2614266249999994E-2</v>
      </c>
      <c r="G19" s="10">
        <v>-3.7427329000000002E-2</v>
      </c>
      <c r="H19" s="10" t="s">
        <v>2816</v>
      </c>
    </row>
    <row r="20" spans="1:8" x14ac:dyDescent="0.2">
      <c r="A20" s="10" t="str">
        <f t="shared" si="0"/>
        <v>C</v>
      </c>
      <c r="B20" s="10" t="str">
        <f t="shared" si="1"/>
        <v>1767</v>
      </c>
      <c r="C20" s="10" t="str">
        <f t="shared" si="2"/>
        <v>G</v>
      </c>
      <c r="D20" s="9" t="s">
        <v>1275</v>
      </c>
      <c r="E20" s="10">
        <v>-7.33766525E-2</v>
      </c>
      <c r="F20" s="10">
        <v>-0.7517642685</v>
      </c>
      <c r="G20" s="10">
        <v>-0.96146588899999996</v>
      </c>
      <c r="H20" s="10" t="s">
        <v>2786</v>
      </c>
    </row>
    <row r="21" spans="1:8" x14ac:dyDescent="0.2">
      <c r="A21" s="10" t="str">
        <f t="shared" si="0"/>
        <v>C</v>
      </c>
      <c r="B21" s="10" t="str">
        <f t="shared" si="1"/>
        <v>1767</v>
      </c>
      <c r="C21" s="10" t="str">
        <f t="shared" si="2"/>
        <v>R</v>
      </c>
      <c r="D21" s="9" t="s">
        <v>1278</v>
      </c>
      <c r="E21" s="10">
        <v>-0.67819613374999999</v>
      </c>
      <c r="F21" s="10">
        <v>-0.58959828624999999</v>
      </c>
      <c r="G21" s="10">
        <v>-1.0235207310000001</v>
      </c>
      <c r="H21" s="10" t="s">
        <v>2786</v>
      </c>
    </row>
    <row r="22" spans="1:8" x14ac:dyDescent="0.2">
      <c r="A22" s="10" t="str">
        <f t="shared" si="0"/>
        <v>C</v>
      </c>
      <c r="B22" s="10" t="str">
        <f t="shared" si="1"/>
        <v>1767</v>
      </c>
      <c r="C22" s="10" t="str">
        <f t="shared" si="2"/>
        <v>S</v>
      </c>
      <c r="D22" s="9" t="s">
        <v>1279</v>
      </c>
      <c r="E22" s="10">
        <v>-0.41513183874999998</v>
      </c>
      <c r="F22" s="10">
        <v>-0.60261286599999997</v>
      </c>
      <c r="G22" s="10">
        <v>-0.60212160100000001</v>
      </c>
      <c r="H22" s="10" t="s">
        <v>2816</v>
      </c>
    </row>
    <row r="23" spans="1:8" x14ac:dyDescent="0.2">
      <c r="A23" s="10" t="str">
        <f t="shared" si="0"/>
        <v>C</v>
      </c>
      <c r="B23" s="10" t="str">
        <f t="shared" si="1"/>
        <v>1767</v>
      </c>
      <c r="C23" s="10" t="str">
        <f t="shared" si="2"/>
        <v>Y</v>
      </c>
      <c r="D23" s="9" t="s">
        <v>1281</v>
      </c>
      <c r="E23" s="10">
        <v>3.9540288999999999E-2</v>
      </c>
      <c r="F23" s="10">
        <v>2.2023793999999999E-2</v>
      </c>
      <c r="G23" s="10">
        <v>-1.8461294E-2</v>
      </c>
      <c r="H23" s="10" t="s">
        <v>2816</v>
      </c>
    </row>
    <row r="24" spans="1:8" x14ac:dyDescent="0.2">
      <c r="A24" s="10" t="str">
        <f t="shared" si="0"/>
        <v>C</v>
      </c>
      <c r="B24" s="10" t="str">
        <f t="shared" si="1"/>
        <v>1768</v>
      </c>
      <c r="C24" s="10" t="str">
        <f t="shared" si="2"/>
        <v>G</v>
      </c>
      <c r="D24" s="9" t="s">
        <v>1284</v>
      </c>
      <c r="E24" s="10">
        <v>-0.48432200674999998</v>
      </c>
      <c r="F24" s="10">
        <v>-0.48975076499999998</v>
      </c>
      <c r="G24" s="10">
        <v>-0.96795104099999996</v>
      </c>
      <c r="H24" s="10" t="s">
        <v>2786</v>
      </c>
    </row>
    <row r="25" spans="1:8" x14ac:dyDescent="0.2">
      <c r="A25" s="10" t="str">
        <f t="shared" si="0"/>
        <v>C</v>
      </c>
      <c r="B25" s="10" t="str">
        <f t="shared" si="1"/>
        <v>1768</v>
      </c>
      <c r="C25" s="10" t="str">
        <f t="shared" si="2"/>
        <v>R</v>
      </c>
      <c r="D25" s="9" t="s">
        <v>1286</v>
      </c>
      <c r="E25" s="10">
        <v>-1.2168539629999999</v>
      </c>
      <c r="F25" s="10">
        <v>-0.92251206900000005</v>
      </c>
      <c r="G25" s="10">
        <v>-1.2275327899999999</v>
      </c>
      <c r="H25" s="10" t="s">
        <v>2786</v>
      </c>
    </row>
    <row r="26" spans="1:8" x14ac:dyDescent="0.2">
      <c r="A26" s="10" t="str">
        <f t="shared" si="0"/>
        <v>C</v>
      </c>
      <c r="B26" s="10" t="str">
        <f t="shared" si="1"/>
        <v>1768</v>
      </c>
      <c r="C26" s="10" t="str">
        <f t="shared" si="2"/>
        <v>S</v>
      </c>
      <c r="D26" s="9" t="s">
        <v>1287</v>
      </c>
      <c r="E26" s="10">
        <v>-0.25270178399999998</v>
      </c>
      <c r="F26" s="10">
        <v>-0.30143636824999998</v>
      </c>
      <c r="G26" s="10">
        <v>-0.73675027800000004</v>
      </c>
      <c r="H26" s="10" t="s">
        <v>2816</v>
      </c>
    </row>
    <row r="27" spans="1:8" x14ac:dyDescent="0.2">
      <c r="A27" s="10" t="str">
        <f t="shared" si="0"/>
        <v>C</v>
      </c>
      <c r="B27" s="10" t="str">
        <f t="shared" si="1"/>
        <v>1768</v>
      </c>
      <c r="C27" s="10" t="str">
        <f t="shared" si="2"/>
        <v>Y</v>
      </c>
      <c r="D27" s="9" t="s">
        <v>1289</v>
      </c>
      <c r="E27" s="10">
        <v>-0.82534858799999999</v>
      </c>
      <c r="F27" s="10">
        <v>-0.53371545575000001</v>
      </c>
      <c r="G27" s="10">
        <v>-0.73589540799999997</v>
      </c>
      <c r="H27" s="10" t="s">
        <v>2816</v>
      </c>
    </row>
    <row r="28" spans="1:8" x14ac:dyDescent="0.2">
      <c r="A28" s="10" t="str">
        <f t="shared" si="0"/>
        <v>C</v>
      </c>
      <c r="B28" s="10" t="str">
        <f t="shared" si="1"/>
        <v>1828</v>
      </c>
      <c r="C28" s="10" t="str">
        <f t="shared" si="2"/>
        <v>R</v>
      </c>
      <c r="D28" s="9" t="s">
        <v>1794</v>
      </c>
      <c r="E28" s="10">
        <v>0.20038544675</v>
      </c>
      <c r="F28" s="10">
        <v>0.34173466899999999</v>
      </c>
      <c r="G28" s="10">
        <v>-0.875619335</v>
      </c>
      <c r="H28" s="10" t="s">
        <v>2786</v>
      </c>
    </row>
    <row r="29" spans="1:8" x14ac:dyDescent="0.2">
      <c r="A29" s="10" t="str">
        <f t="shared" si="0"/>
        <v>C</v>
      </c>
      <c r="B29" s="10" t="str">
        <f t="shared" si="1"/>
        <v>1847</v>
      </c>
      <c r="C29" s="10" t="str">
        <f t="shared" si="2"/>
        <v>G</v>
      </c>
      <c r="D29" s="9" t="s">
        <v>1984</v>
      </c>
      <c r="E29" s="10">
        <v>-0.24034924825000001</v>
      </c>
      <c r="F29" s="10">
        <v>6.5979414E-2</v>
      </c>
      <c r="G29" s="10">
        <v>-5.1867215000000001E-2</v>
      </c>
      <c r="H29" s="10" t="s">
        <v>2816</v>
      </c>
    </row>
    <row r="30" spans="1:8" x14ac:dyDescent="0.2">
      <c r="A30" s="10" t="str">
        <f t="shared" si="0"/>
        <v>D</v>
      </c>
      <c r="B30" s="10" t="str">
        <f t="shared" si="1"/>
        <v>1692</v>
      </c>
      <c r="C30" s="10" t="str">
        <f t="shared" si="2"/>
        <v>E</v>
      </c>
      <c r="D30" s="9" t="s">
        <v>912</v>
      </c>
      <c r="E30" s="10">
        <v>-0.64783644424999998</v>
      </c>
      <c r="F30" s="10">
        <v>-0.76316080725000002</v>
      </c>
      <c r="G30" s="10">
        <v>-1.8128021169999999</v>
      </c>
      <c r="H30" s="10" t="s">
        <v>2827</v>
      </c>
    </row>
    <row r="31" spans="1:8" x14ac:dyDescent="0.2">
      <c r="A31" s="10" t="str">
        <f t="shared" si="0"/>
        <v>D</v>
      </c>
      <c r="B31" s="10" t="str">
        <f t="shared" si="1"/>
        <v>1692</v>
      </c>
      <c r="C31" s="10" t="str">
        <f t="shared" si="2"/>
        <v>Y</v>
      </c>
      <c r="D31" s="9" t="s">
        <v>916</v>
      </c>
      <c r="E31" s="10">
        <v>-1.0072000912500001</v>
      </c>
      <c r="F31" s="10">
        <v>-1.09651443225</v>
      </c>
      <c r="G31" s="10">
        <v>-1.268931136</v>
      </c>
      <c r="H31" s="10" t="s">
        <v>2786</v>
      </c>
    </row>
    <row r="32" spans="1:8" x14ac:dyDescent="0.2">
      <c r="A32" s="10" t="str">
        <f t="shared" si="0"/>
        <v>D</v>
      </c>
      <c r="B32" s="10" t="str">
        <f t="shared" si="1"/>
        <v>1733</v>
      </c>
      <c r="C32" s="10" t="str">
        <f t="shared" si="2"/>
        <v>A</v>
      </c>
      <c r="D32" s="9" t="s">
        <v>1078</v>
      </c>
      <c r="E32" s="10">
        <v>-0.19322357900000001</v>
      </c>
      <c r="F32" s="10">
        <v>0.36032368749999999</v>
      </c>
      <c r="G32" s="10">
        <v>0.15892725599999999</v>
      </c>
      <c r="H32" s="10" t="s">
        <v>2816</v>
      </c>
    </row>
    <row r="33" spans="1:8" x14ac:dyDescent="0.2">
      <c r="A33" s="10" t="str">
        <f t="shared" si="0"/>
        <v>D</v>
      </c>
      <c r="B33" s="10" t="str">
        <f t="shared" si="1"/>
        <v>1733</v>
      </c>
      <c r="C33" s="10" t="str">
        <f t="shared" si="2"/>
        <v>G</v>
      </c>
      <c r="D33" s="9" t="s">
        <v>1079</v>
      </c>
      <c r="E33" s="10">
        <v>0.15228114274999999</v>
      </c>
      <c r="F33" s="10">
        <v>-0.18718441075</v>
      </c>
      <c r="G33" s="10">
        <v>0.16760077400000001</v>
      </c>
      <c r="H33" s="10" t="s">
        <v>2816</v>
      </c>
    </row>
    <row r="34" spans="1:8" x14ac:dyDescent="0.2">
      <c r="A34" s="10" t="str">
        <f t="shared" si="0"/>
        <v>D</v>
      </c>
      <c r="B34" s="10" t="str">
        <f t="shared" si="1"/>
        <v>1733</v>
      </c>
      <c r="C34" s="10" t="str">
        <f t="shared" si="2"/>
        <v>V</v>
      </c>
      <c r="D34" s="9" t="s">
        <v>1082</v>
      </c>
      <c r="E34" s="10">
        <v>2.1070802999999999E-2</v>
      </c>
      <c r="F34" s="10">
        <v>-0.33292539799999998</v>
      </c>
      <c r="G34" s="10">
        <v>-0.44524404899999998</v>
      </c>
      <c r="H34" s="10" t="s">
        <v>2816</v>
      </c>
    </row>
    <row r="35" spans="1:8" x14ac:dyDescent="0.2">
      <c r="A35" s="10" t="str">
        <f t="shared" si="0"/>
        <v>D</v>
      </c>
      <c r="B35" s="10" t="str">
        <f t="shared" si="1"/>
        <v>1739</v>
      </c>
      <c r="C35" s="10" t="str">
        <f t="shared" si="2"/>
        <v>A</v>
      </c>
      <c r="D35" s="9" t="s">
        <v>1106</v>
      </c>
      <c r="E35" s="10">
        <v>-1.5450748437499999</v>
      </c>
      <c r="F35" s="10">
        <v>-1.60786434175</v>
      </c>
      <c r="G35" s="10">
        <v>-2.4756464020000002</v>
      </c>
      <c r="H35" s="10" t="s">
        <v>2827</v>
      </c>
    </row>
    <row r="36" spans="1:8" x14ac:dyDescent="0.2">
      <c r="A36" s="10" t="str">
        <f t="shared" si="0"/>
        <v>D</v>
      </c>
      <c r="B36" s="10" t="str">
        <f t="shared" si="1"/>
        <v>1739</v>
      </c>
      <c r="C36" s="10" t="str">
        <f t="shared" si="2"/>
        <v>G</v>
      </c>
      <c r="D36" s="9" t="s">
        <v>50</v>
      </c>
      <c r="E36" s="10">
        <v>-1.2379526947499999</v>
      </c>
      <c r="F36" s="10">
        <v>-2.0514480425000001</v>
      </c>
      <c r="G36" s="10">
        <v>-2.4310307299999998</v>
      </c>
      <c r="H36" s="10" t="s">
        <v>2827</v>
      </c>
    </row>
    <row r="37" spans="1:8" x14ac:dyDescent="0.2">
      <c r="A37" s="10" t="str">
        <f t="shared" si="0"/>
        <v>D</v>
      </c>
      <c r="B37" s="10" t="str">
        <f t="shared" si="1"/>
        <v>1739</v>
      </c>
      <c r="C37" s="10" t="str">
        <f t="shared" si="2"/>
        <v>V</v>
      </c>
      <c r="D37" s="9" t="s">
        <v>51</v>
      </c>
      <c r="E37" s="10">
        <v>-1.4136750025</v>
      </c>
      <c r="F37" s="10">
        <v>-2.0108440304999999</v>
      </c>
      <c r="G37" s="10">
        <v>-1.9937674219999999</v>
      </c>
      <c r="H37" s="10" t="s">
        <v>2827</v>
      </c>
    </row>
    <row r="38" spans="1:8" x14ac:dyDescent="0.2">
      <c r="A38" s="10" t="str">
        <f t="shared" si="0"/>
        <v>D</v>
      </c>
      <c r="B38" s="10" t="str">
        <f t="shared" si="1"/>
        <v>1757</v>
      </c>
      <c r="C38" s="10" t="str">
        <f t="shared" si="2"/>
        <v>A</v>
      </c>
      <c r="D38" s="9" t="s">
        <v>1209</v>
      </c>
      <c r="E38" s="10">
        <v>-0.1019207765</v>
      </c>
      <c r="F38" s="10">
        <v>-4.8112173000000001E-2</v>
      </c>
      <c r="G38" s="10">
        <v>0.33799057900000001</v>
      </c>
      <c r="H38" s="10" t="s">
        <v>2816</v>
      </c>
    </row>
    <row r="39" spans="1:8" x14ac:dyDescent="0.2">
      <c r="A39" s="10" t="str">
        <f t="shared" si="0"/>
        <v>D</v>
      </c>
      <c r="B39" s="10" t="str">
        <f t="shared" si="1"/>
        <v>1757</v>
      </c>
      <c r="C39" s="10" t="str">
        <f t="shared" si="2"/>
        <v>G</v>
      </c>
      <c r="D39" s="9" t="s">
        <v>1212</v>
      </c>
      <c r="E39" s="10">
        <v>-3.172544075E-2</v>
      </c>
      <c r="F39" s="10">
        <v>0.22909566575000001</v>
      </c>
      <c r="G39" s="10">
        <v>-0.22913632</v>
      </c>
      <c r="H39" s="10" t="s">
        <v>2816</v>
      </c>
    </row>
    <row r="40" spans="1:8" x14ac:dyDescent="0.2">
      <c r="A40" s="10" t="str">
        <f t="shared" si="0"/>
        <v>D</v>
      </c>
      <c r="B40" s="10" t="str">
        <f t="shared" si="1"/>
        <v>1813</v>
      </c>
      <c r="C40" s="10" t="str">
        <f t="shared" si="2"/>
        <v>V</v>
      </c>
      <c r="D40" s="9" t="s">
        <v>1673</v>
      </c>
      <c r="E40" s="10">
        <v>0.31774518600000001</v>
      </c>
      <c r="F40" s="10">
        <v>-0.49052013049999998</v>
      </c>
      <c r="G40" s="10">
        <v>-0.18056071600000001</v>
      </c>
      <c r="H40" s="10" t="s">
        <v>2816</v>
      </c>
    </row>
    <row r="41" spans="1:8" x14ac:dyDescent="0.2">
      <c r="A41" s="10" t="str">
        <f t="shared" si="0"/>
        <v>D</v>
      </c>
      <c r="B41" s="10" t="str">
        <f t="shared" si="1"/>
        <v>1851</v>
      </c>
      <c r="C41" s="10" t="str">
        <f t="shared" si="2"/>
        <v>G</v>
      </c>
      <c r="D41" s="9" t="s">
        <v>2024</v>
      </c>
      <c r="E41" s="10">
        <v>0.27041806400000001</v>
      </c>
      <c r="F41" s="10">
        <v>-1.8452421E-2</v>
      </c>
      <c r="G41" s="10">
        <v>-0.32807781400000002</v>
      </c>
      <c r="H41" s="10" t="s">
        <v>2816</v>
      </c>
    </row>
    <row r="42" spans="1:8" x14ac:dyDescent="0.2">
      <c r="A42" s="10" t="str">
        <f t="shared" si="0"/>
        <v>E</v>
      </c>
      <c r="B42" s="10" t="str">
        <f t="shared" si="1"/>
        <v>1635</v>
      </c>
      <c r="C42" s="10" t="str">
        <f t="shared" si="2"/>
        <v>V</v>
      </c>
      <c r="D42" s="9" t="s">
        <v>564</v>
      </c>
      <c r="E42" s="10">
        <v>-0.26087917199999999</v>
      </c>
      <c r="F42" s="10" t="s">
        <v>76</v>
      </c>
      <c r="G42" s="10">
        <v>-0.11312094</v>
      </c>
      <c r="H42" s="10" t="s">
        <v>2816</v>
      </c>
    </row>
    <row r="43" spans="1:8" x14ac:dyDescent="0.2">
      <c r="A43" s="10" t="str">
        <f t="shared" si="0"/>
        <v>E</v>
      </c>
      <c r="B43" s="10" t="str">
        <f t="shared" si="1"/>
        <v>1644</v>
      </c>
      <c r="C43" s="10" t="str">
        <f t="shared" si="2"/>
        <v>A</v>
      </c>
      <c r="D43" s="9" t="s">
        <v>611</v>
      </c>
      <c r="E43" s="10">
        <v>0.21514798925</v>
      </c>
      <c r="F43" s="10" t="s">
        <v>76</v>
      </c>
      <c r="G43" s="10">
        <v>-0.128459395</v>
      </c>
      <c r="H43" s="10" t="s">
        <v>2816</v>
      </c>
    </row>
    <row r="44" spans="1:8" x14ac:dyDescent="0.2">
      <c r="A44" s="10" t="str">
        <f t="shared" si="0"/>
        <v>E</v>
      </c>
      <c r="B44" s="10" t="str">
        <f t="shared" si="1"/>
        <v>1682</v>
      </c>
      <c r="C44" s="10" t="str">
        <f t="shared" si="2"/>
        <v>A</v>
      </c>
      <c r="D44" s="9" t="s">
        <v>862</v>
      </c>
      <c r="E44" s="10">
        <v>-0.1890326235</v>
      </c>
      <c r="F44" s="10">
        <v>-0.13473473475</v>
      </c>
      <c r="G44" s="10">
        <v>-0.44902225000000001</v>
      </c>
      <c r="H44" s="10" t="s">
        <v>2816</v>
      </c>
    </row>
    <row r="45" spans="1:8" x14ac:dyDescent="0.2">
      <c r="A45" s="10" t="str">
        <f t="shared" si="0"/>
        <v>E</v>
      </c>
      <c r="B45" s="10" t="str">
        <f t="shared" si="1"/>
        <v>1682</v>
      </c>
      <c r="C45" s="10" t="str">
        <f t="shared" si="2"/>
        <v>D</v>
      </c>
      <c r="D45" s="9" t="s">
        <v>863</v>
      </c>
      <c r="E45" s="10">
        <v>-2.8022396500000001E-2</v>
      </c>
      <c r="F45" s="10">
        <v>-0.74938192974999995</v>
      </c>
      <c r="G45" s="10">
        <v>-0.658315859</v>
      </c>
      <c r="H45" s="10" t="s">
        <v>2816</v>
      </c>
    </row>
    <row r="46" spans="1:8" x14ac:dyDescent="0.2">
      <c r="A46" s="10" t="str">
        <f t="shared" si="0"/>
        <v>E</v>
      </c>
      <c r="B46" s="10" t="str">
        <f t="shared" si="1"/>
        <v>1682</v>
      </c>
      <c r="C46" s="10" t="str">
        <f t="shared" si="2"/>
        <v>K</v>
      </c>
      <c r="D46" s="9" t="s">
        <v>865</v>
      </c>
      <c r="E46" s="10">
        <v>-0.16146020224999999</v>
      </c>
      <c r="F46" s="10">
        <v>-3.064817525E-2</v>
      </c>
      <c r="G46" s="10">
        <v>-1.797376573</v>
      </c>
      <c r="H46" s="10" t="s">
        <v>2827</v>
      </c>
    </row>
    <row r="47" spans="1:8" x14ac:dyDescent="0.2">
      <c r="A47" s="10" t="str">
        <f t="shared" si="0"/>
        <v>E</v>
      </c>
      <c r="B47" s="10" t="str">
        <f t="shared" si="1"/>
        <v>1683</v>
      </c>
      <c r="C47" s="10" t="str">
        <f t="shared" si="2"/>
        <v>A</v>
      </c>
      <c r="D47" s="9" t="s">
        <v>869</v>
      </c>
      <c r="E47" s="10">
        <v>1.8504417249999999E-2</v>
      </c>
      <c r="F47" s="10">
        <v>-0.257634311</v>
      </c>
      <c r="G47" s="10">
        <v>3.721526E-2</v>
      </c>
      <c r="H47" s="10" t="s">
        <v>2816</v>
      </c>
    </row>
    <row r="48" spans="1:8" x14ac:dyDescent="0.2">
      <c r="A48" s="10" t="str">
        <f t="shared" si="0"/>
        <v>E</v>
      </c>
      <c r="B48" s="10" t="str">
        <f t="shared" si="1"/>
        <v>1683</v>
      </c>
      <c r="C48" s="10" t="str">
        <f t="shared" si="2"/>
        <v>G</v>
      </c>
      <c r="D48" s="9" t="s">
        <v>870</v>
      </c>
      <c r="E48" s="10">
        <v>-0.25270969924999998</v>
      </c>
      <c r="F48" s="10">
        <v>-0.25605837325000003</v>
      </c>
      <c r="G48" s="10">
        <v>-1.0971505269999999</v>
      </c>
      <c r="H48" s="10" t="s">
        <v>2786</v>
      </c>
    </row>
    <row r="49" spans="1:8" x14ac:dyDescent="0.2">
      <c r="A49" s="10" t="str">
        <f t="shared" si="0"/>
        <v>E</v>
      </c>
      <c r="B49" s="10" t="str">
        <f t="shared" si="1"/>
        <v>1683</v>
      </c>
      <c r="C49" s="10" t="str">
        <f t="shared" si="2"/>
        <v>V</v>
      </c>
      <c r="D49" s="9" t="s">
        <v>877</v>
      </c>
      <c r="E49" s="10">
        <v>-1.0965690207500001</v>
      </c>
      <c r="F49" s="10">
        <v>-0.98394611325000003</v>
      </c>
      <c r="G49" s="10">
        <v>-1.331793395</v>
      </c>
      <c r="H49" s="10" t="s">
        <v>2827</v>
      </c>
    </row>
    <row r="50" spans="1:8" x14ac:dyDescent="0.2">
      <c r="A50" s="10" t="str">
        <f t="shared" si="0"/>
        <v>E</v>
      </c>
      <c r="B50" s="10" t="str">
        <f t="shared" si="1"/>
        <v>1694</v>
      </c>
      <c r="C50" s="10" t="str">
        <f t="shared" si="2"/>
        <v>K</v>
      </c>
      <c r="D50" s="9" t="s">
        <v>928</v>
      </c>
      <c r="E50" s="10">
        <v>-0.31351552724999998</v>
      </c>
      <c r="F50" s="10">
        <v>2.0984507249999999E-2</v>
      </c>
      <c r="G50" s="10">
        <v>-1.7554558259999999</v>
      </c>
      <c r="H50" s="10" t="s">
        <v>2827</v>
      </c>
    </row>
    <row r="51" spans="1:8" x14ac:dyDescent="0.2">
      <c r="A51" s="10" t="str">
        <f t="shared" si="0"/>
        <v>E</v>
      </c>
      <c r="B51" s="10" t="str">
        <f t="shared" si="1"/>
        <v>1694</v>
      </c>
      <c r="C51" s="10" t="str">
        <f t="shared" si="2"/>
        <v>V</v>
      </c>
      <c r="D51" s="9" t="s">
        <v>929</v>
      </c>
      <c r="E51" s="10">
        <v>-0.29069516574999998</v>
      </c>
      <c r="F51" s="10">
        <v>-0.2237901655</v>
      </c>
      <c r="G51" s="10">
        <v>-2.6402047000000001E-2</v>
      </c>
      <c r="H51" s="10" t="s">
        <v>2816</v>
      </c>
    </row>
    <row r="52" spans="1:8" x14ac:dyDescent="0.2">
      <c r="A52" s="10" t="str">
        <f t="shared" si="0"/>
        <v>E</v>
      </c>
      <c r="B52" s="10" t="str">
        <f t="shared" si="1"/>
        <v>1698</v>
      </c>
      <c r="C52" s="10" t="str">
        <f t="shared" si="2"/>
        <v>G</v>
      </c>
      <c r="D52" s="9" t="s">
        <v>950</v>
      </c>
      <c r="E52" s="10">
        <v>-0.68105832124999999</v>
      </c>
      <c r="F52" s="10">
        <v>-0.30854168175000002</v>
      </c>
      <c r="G52" s="10">
        <v>-0.13848412900000001</v>
      </c>
      <c r="H52" s="10" t="s">
        <v>2816</v>
      </c>
    </row>
    <row r="53" spans="1:8" x14ac:dyDescent="0.2">
      <c r="A53" s="10" t="str">
        <f t="shared" si="0"/>
        <v>E</v>
      </c>
      <c r="B53" s="10" t="str">
        <f t="shared" si="1"/>
        <v>1725</v>
      </c>
      <c r="C53" s="10" t="str">
        <f t="shared" si="2"/>
        <v>V</v>
      </c>
      <c r="D53" s="9" t="s">
        <v>1055</v>
      </c>
      <c r="E53" s="10">
        <v>-0.44391693450000003</v>
      </c>
      <c r="F53" s="10">
        <v>-0.17875292875000001</v>
      </c>
      <c r="G53" s="10">
        <v>-0.27671298900000002</v>
      </c>
      <c r="H53" s="10" t="s">
        <v>2816</v>
      </c>
    </row>
    <row r="54" spans="1:8" x14ac:dyDescent="0.2">
      <c r="A54" s="10" t="str">
        <f t="shared" si="0"/>
        <v>E</v>
      </c>
      <c r="B54" s="10" t="str">
        <f t="shared" si="1"/>
        <v>1731</v>
      </c>
      <c r="C54" s="10" t="str">
        <f t="shared" si="2"/>
        <v>G</v>
      </c>
      <c r="D54" s="9" t="s">
        <v>1071</v>
      </c>
      <c r="E54" s="10">
        <v>-0.59185780524999998</v>
      </c>
      <c r="F54" s="10">
        <v>-0.30923117500000002</v>
      </c>
      <c r="G54" s="10">
        <v>6.5227302000000001E-2</v>
      </c>
      <c r="H54" s="10" t="s">
        <v>2816</v>
      </c>
    </row>
    <row r="55" spans="1:8" x14ac:dyDescent="0.2">
      <c r="A55" s="10" t="str">
        <f t="shared" si="0"/>
        <v>E</v>
      </c>
      <c r="B55" s="10" t="str">
        <f t="shared" si="1"/>
        <v>1731</v>
      </c>
      <c r="C55" s="10" t="str">
        <f t="shared" si="2"/>
        <v>Q</v>
      </c>
      <c r="D55" s="9" t="s">
        <v>1075</v>
      </c>
      <c r="E55" s="10">
        <v>2.5064885249999998E-2</v>
      </c>
      <c r="F55" s="10">
        <v>-0.2566396615</v>
      </c>
      <c r="G55" s="10">
        <v>-0.85868058000000003</v>
      </c>
      <c r="H55" s="10" t="s">
        <v>2786</v>
      </c>
    </row>
    <row r="56" spans="1:8" x14ac:dyDescent="0.2">
      <c r="A56" s="10" t="str">
        <f t="shared" si="0"/>
        <v>E</v>
      </c>
      <c r="B56" s="10" t="str">
        <f t="shared" si="1"/>
        <v>1735</v>
      </c>
      <c r="C56" s="10" t="str">
        <f t="shared" si="2"/>
        <v>A</v>
      </c>
      <c r="D56" s="9" t="s">
        <v>1090</v>
      </c>
      <c r="E56" s="10">
        <v>-0.40344538375</v>
      </c>
      <c r="F56" s="10">
        <v>-1.6514374999999999E-3</v>
      </c>
      <c r="G56" s="10">
        <v>-0.503115482</v>
      </c>
      <c r="H56" s="10" t="s">
        <v>2816</v>
      </c>
    </row>
    <row r="57" spans="1:8" x14ac:dyDescent="0.2">
      <c r="A57" s="10" t="str">
        <f t="shared" si="0"/>
        <v>E</v>
      </c>
      <c r="B57" s="10" t="str">
        <f t="shared" si="1"/>
        <v>1765</v>
      </c>
      <c r="C57" s="10" t="str">
        <f t="shared" si="2"/>
        <v>Q</v>
      </c>
      <c r="D57" s="9" t="s">
        <v>1264</v>
      </c>
      <c r="E57" s="10">
        <v>-5.5154493249999999E-2</v>
      </c>
      <c r="F57" s="10">
        <v>-0.37713963825000002</v>
      </c>
      <c r="G57" s="10">
        <v>-0.45012155799999998</v>
      </c>
      <c r="H57" s="10" t="s">
        <v>2816</v>
      </c>
    </row>
    <row r="58" spans="1:8" x14ac:dyDescent="0.2">
      <c r="A58" s="10" t="str">
        <f t="shared" si="0"/>
        <v>E</v>
      </c>
      <c r="B58" s="10" t="str">
        <f t="shared" si="1"/>
        <v>1765</v>
      </c>
      <c r="C58" s="10" t="str">
        <f t="shared" si="2"/>
        <v>V</v>
      </c>
      <c r="D58" s="9" t="s">
        <v>1265</v>
      </c>
      <c r="E58" s="10">
        <v>-8.368558475E-2</v>
      </c>
      <c r="F58" s="10">
        <v>-0.31238606250000001</v>
      </c>
      <c r="G58" s="10">
        <v>-0.19763160499999999</v>
      </c>
      <c r="H58" s="10" t="s">
        <v>2816</v>
      </c>
    </row>
    <row r="59" spans="1:8" x14ac:dyDescent="0.2">
      <c r="A59" s="10" t="str">
        <f t="shared" si="0"/>
        <v>E</v>
      </c>
      <c r="B59" s="10" t="str">
        <f t="shared" si="1"/>
        <v>1794</v>
      </c>
      <c r="C59" s="10" t="str">
        <f t="shared" si="2"/>
        <v>A</v>
      </c>
      <c r="D59" s="9" t="s">
        <v>1513</v>
      </c>
      <c r="E59" s="10">
        <v>-1.3694531735</v>
      </c>
      <c r="F59" s="10">
        <v>-0.48968423975000003</v>
      </c>
      <c r="G59" s="10">
        <v>0.13326106700000001</v>
      </c>
      <c r="H59" s="10" t="s">
        <v>2816</v>
      </c>
    </row>
    <row r="60" spans="1:8" x14ac:dyDescent="0.2">
      <c r="A60" s="10" t="str">
        <f t="shared" si="0"/>
        <v>E</v>
      </c>
      <c r="B60" s="10" t="str">
        <f t="shared" si="1"/>
        <v>1794</v>
      </c>
      <c r="C60" s="10" t="str">
        <f t="shared" si="2"/>
        <v>G</v>
      </c>
      <c r="D60" s="9" t="s">
        <v>1515</v>
      </c>
      <c r="E60" s="10">
        <v>0.19043813125</v>
      </c>
      <c r="F60" s="10">
        <v>6.3678446250000006E-2</v>
      </c>
      <c r="G60" s="10">
        <v>0.494525047</v>
      </c>
      <c r="H60" s="10" t="s">
        <v>2816</v>
      </c>
    </row>
    <row r="61" spans="1:8" x14ac:dyDescent="0.2">
      <c r="A61" s="10" t="str">
        <f t="shared" si="0"/>
        <v>E</v>
      </c>
      <c r="B61" s="10" t="str">
        <f t="shared" si="1"/>
        <v>1794</v>
      </c>
      <c r="C61" s="10" t="str">
        <f t="shared" si="2"/>
        <v>Q</v>
      </c>
      <c r="D61" s="9" t="s">
        <v>1519</v>
      </c>
      <c r="E61" s="10">
        <v>0.28456155574999997</v>
      </c>
      <c r="F61" s="10">
        <v>2.4282970000000001E-2</v>
      </c>
      <c r="G61" s="10">
        <v>8.8471170000000002E-2</v>
      </c>
      <c r="H61" s="10" t="s">
        <v>2816</v>
      </c>
    </row>
    <row r="62" spans="1:8" x14ac:dyDescent="0.2">
      <c r="A62" s="10" t="str">
        <f t="shared" si="0"/>
        <v>E</v>
      </c>
      <c r="B62" s="10" t="str">
        <f t="shared" si="1"/>
        <v>1817</v>
      </c>
      <c r="C62" s="10" t="str">
        <f t="shared" si="2"/>
        <v>V</v>
      </c>
      <c r="D62" s="9" t="s">
        <v>1703</v>
      </c>
      <c r="E62" s="10">
        <v>-0.28354557074999998</v>
      </c>
      <c r="F62" s="10">
        <v>0.22186821249999999</v>
      </c>
      <c r="G62" s="10">
        <v>-0.58739733500000002</v>
      </c>
      <c r="H62" s="10" t="s">
        <v>2816</v>
      </c>
    </row>
    <row r="63" spans="1:8" x14ac:dyDescent="0.2">
      <c r="A63" s="10" t="str">
        <f t="shared" si="0"/>
        <v>E</v>
      </c>
      <c r="B63" s="10" t="str">
        <f t="shared" si="1"/>
        <v>1836</v>
      </c>
      <c r="C63" s="10" t="str">
        <f t="shared" si="2"/>
        <v>A</v>
      </c>
      <c r="D63" s="9" t="s">
        <v>1883</v>
      </c>
      <c r="E63" s="10">
        <v>0.15652101474999999</v>
      </c>
      <c r="F63" s="10" t="s">
        <v>76</v>
      </c>
      <c r="G63" s="10">
        <v>0.45990456699999999</v>
      </c>
      <c r="H63" s="10" t="s">
        <v>2816</v>
      </c>
    </row>
    <row r="64" spans="1:8" x14ac:dyDescent="0.2">
      <c r="A64" s="10" t="str">
        <f t="shared" si="0"/>
        <v>E</v>
      </c>
      <c r="B64" s="10" t="str">
        <f t="shared" si="1"/>
        <v>1849</v>
      </c>
      <c r="C64" s="10" t="str">
        <f t="shared" si="2"/>
        <v>V</v>
      </c>
      <c r="D64" s="9" t="s">
        <v>2012</v>
      </c>
      <c r="E64" s="10">
        <v>-0.29209627724999998</v>
      </c>
      <c r="F64" s="10">
        <v>-0.26962487024999998</v>
      </c>
      <c r="G64" s="10">
        <v>-1.009539446</v>
      </c>
      <c r="H64" s="10" t="s">
        <v>2786</v>
      </c>
    </row>
    <row r="65" spans="1:8" x14ac:dyDescent="0.2">
      <c r="A65" s="10" t="str">
        <f t="shared" si="0"/>
        <v>F</v>
      </c>
      <c r="B65" s="10" t="str">
        <f t="shared" si="1"/>
        <v>1662</v>
      </c>
      <c r="C65" s="10" t="str">
        <f t="shared" si="2"/>
        <v>I</v>
      </c>
      <c r="D65" s="9" t="s">
        <v>735</v>
      </c>
      <c r="E65" s="10">
        <v>-0.27585041275</v>
      </c>
      <c r="F65" s="10" t="s">
        <v>76</v>
      </c>
      <c r="G65" s="10">
        <v>0.26032265100000002</v>
      </c>
      <c r="H65" s="10" t="s">
        <v>2816</v>
      </c>
    </row>
    <row r="66" spans="1:8" x14ac:dyDescent="0.2">
      <c r="A66" s="10" t="str">
        <f t="shared" si="0"/>
        <v>F</v>
      </c>
      <c r="B66" s="10" t="str">
        <f t="shared" si="1"/>
        <v>1668</v>
      </c>
      <c r="C66" s="10" t="str">
        <f t="shared" si="2"/>
        <v>V</v>
      </c>
      <c r="D66" s="9" t="s">
        <v>781</v>
      </c>
      <c r="E66" s="10">
        <v>-0.29615397049999997</v>
      </c>
      <c r="F66" s="10" t="s">
        <v>76</v>
      </c>
      <c r="G66" s="10">
        <v>-0.66348674900000004</v>
      </c>
      <c r="H66" s="10" t="s">
        <v>2816</v>
      </c>
    </row>
    <row r="67" spans="1:8" x14ac:dyDescent="0.2">
      <c r="A67" s="10" t="str">
        <f t="shared" ref="A67:A130" si="3">LEFT(D67,1)</f>
        <v>F</v>
      </c>
      <c r="B67" s="10" t="str">
        <f t="shared" ref="B67:B130" si="4">RIGHT(LEFT(D67,5),4)</f>
        <v>1695</v>
      </c>
      <c r="C67" s="10" t="str">
        <f t="shared" ref="C67:C130" si="5">RIGHT(D67,1)</f>
        <v>I</v>
      </c>
      <c r="D67" s="9" t="s">
        <v>932</v>
      </c>
      <c r="E67" s="10">
        <v>-0.77592481224999998</v>
      </c>
      <c r="F67" s="10">
        <v>-0.25867165925000002</v>
      </c>
      <c r="G67" s="10">
        <v>-1.02976164</v>
      </c>
      <c r="H67" s="10" t="s">
        <v>2786</v>
      </c>
    </row>
    <row r="68" spans="1:8" x14ac:dyDescent="0.2">
      <c r="A68" s="10" t="str">
        <f t="shared" si="3"/>
        <v>F</v>
      </c>
      <c r="B68" s="10" t="str">
        <f t="shared" si="4"/>
        <v>1695</v>
      </c>
      <c r="C68" s="10" t="str">
        <f t="shared" si="5"/>
        <v>S</v>
      </c>
      <c r="D68" s="9" t="s">
        <v>936</v>
      </c>
      <c r="E68" s="10">
        <v>-0.10552253225</v>
      </c>
      <c r="F68" s="10">
        <v>0.41907731999999998</v>
      </c>
      <c r="G68" s="10">
        <v>0.13319250299999999</v>
      </c>
      <c r="H68" s="10" t="s">
        <v>2816</v>
      </c>
    </row>
    <row r="69" spans="1:8" x14ac:dyDescent="0.2">
      <c r="A69" s="10" t="str">
        <f t="shared" si="3"/>
        <v>F</v>
      </c>
      <c r="B69" s="10" t="str">
        <f t="shared" si="4"/>
        <v>1695</v>
      </c>
      <c r="C69" s="10" t="str">
        <f t="shared" si="5"/>
        <v>V</v>
      </c>
      <c r="D69" s="9" t="s">
        <v>938</v>
      </c>
      <c r="E69" s="10">
        <v>-0.74624959400000002</v>
      </c>
      <c r="F69" s="10">
        <v>-0.57401743375000003</v>
      </c>
      <c r="G69" s="10">
        <v>-1.801945905</v>
      </c>
      <c r="H69" s="10" t="s">
        <v>2827</v>
      </c>
    </row>
    <row r="70" spans="1:8" x14ac:dyDescent="0.2">
      <c r="A70" s="10" t="str">
        <f t="shared" si="3"/>
        <v>F</v>
      </c>
      <c r="B70" s="10" t="str">
        <f t="shared" si="4"/>
        <v>1695</v>
      </c>
      <c r="C70" s="10" t="str">
        <f t="shared" si="5"/>
        <v>Y</v>
      </c>
      <c r="D70" s="9" t="s">
        <v>939</v>
      </c>
      <c r="E70" s="10">
        <v>-0.21354166325000001</v>
      </c>
      <c r="F70" s="10">
        <v>-0.34506679150000003</v>
      </c>
      <c r="G70" s="10">
        <v>1.9043707999999999E-2</v>
      </c>
      <c r="H70" s="10" t="s">
        <v>2816</v>
      </c>
    </row>
    <row r="71" spans="1:8" x14ac:dyDescent="0.2">
      <c r="A71" s="10" t="str">
        <f t="shared" si="3"/>
        <v>F</v>
      </c>
      <c r="B71" s="10" t="str">
        <f t="shared" si="4"/>
        <v>1704</v>
      </c>
      <c r="C71" s="10" t="str">
        <f t="shared" si="5"/>
        <v>L</v>
      </c>
      <c r="D71" s="9" t="s">
        <v>970</v>
      </c>
      <c r="E71" s="10">
        <v>-1.2569775654999999</v>
      </c>
      <c r="F71" s="10">
        <v>-1.7761762765</v>
      </c>
      <c r="G71" s="10">
        <v>-1.7658916069999999</v>
      </c>
      <c r="H71" s="10" t="s">
        <v>2827</v>
      </c>
    </row>
    <row r="72" spans="1:8" x14ac:dyDescent="0.2">
      <c r="A72" s="10" t="str">
        <f t="shared" si="3"/>
        <v>F</v>
      </c>
      <c r="B72" s="10" t="str">
        <f t="shared" si="4"/>
        <v>1704</v>
      </c>
      <c r="C72" s="10" t="str">
        <f t="shared" si="5"/>
        <v>S</v>
      </c>
      <c r="D72" s="9" t="s">
        <v>973</v>
      </c>
      <c r="E72" s="10">
        <v>-1.466207515</v>
      </c>
      <c r="F72" s="10">
        <v>-1.2238775927500001</v>
      </c>
      <c r="G72" s="10">
        <v>-2.110953716</v>
      </c>
      <c r="H72" s="10" t="s">
        <v>2827</v>
      </c>
    </row>
    <row r="73" spans="1:8" x14ac:dyDescent="0.2">
      <c r="A73" s="10" t="str">
        <f t="shared" si="3"/>
        <v>F</v>
      </c>
      <c r="B73" s="10" t="str">
        <f t="shared" si="4"/>
        <v>1704</v>
      </c>
      <c r="C73" s="10" t="str">
        <f t="shared" si="5"/>
        <v>Y</v>
      </c>
      <c r="D73" s="9" t="s">
        <v>975</v>
      </c>
      <c r="E73" s="10">
        <v>-1.36437690425</v>
      </c>
      <c r="F73" s="10">
        <v>-1.0682512642499999</v>
      </c>
      <c r="G73" s="10">
        <v>-2.1234160740000001</v>
      </c>
      <c r="H73" s="10" t="s">
        <v>2827</v>
      </c>
    </row>
    <row r="74" spans="1:8" x14ac:dyDescent="0.2">
      <c r="A74" s="10" t="str">
        <f t="shared" si="3"/>
        <v>F</v>
      </c>
      <c r="B74" s="10" t="str">
        <f t="shared" si="4"/>
        <v>1717</v>
      </c>
      <c r="C74" s="10" t="str">
        <f t="shared" si="5"/>
        <v>L</v>
      </c>
      <c r="D74" s="9" t="s">
        <v>1030</v>
      </c>
      <c r="E74" s="10">
        <v>-0.26367830450000002</v>
      </c>
      <c r="F74" s="10">
        <v>0.53111779974999995</v>
      </c>
      <c r="G74" s="10">
        <v>6.6419354E-2</v>
      </c>
      <c r="H74" s="10" t="s">
        <v>2816</v>
      </c>
    </row>
    <row r="75" spans="1:8" x14ac:dyDescent="0.2">
      <c r="A75" s="10" t="str">
        <f t="shared" si="3"/>
        <v>F</v>
      </c>
      <c r="B75" s="10" t="str">
        <f t="shared" si="4"/>
        <v>1734</v>
      </c>
      <c r="C75" s="10" t="str">
        <f t="shared" si="5"/>
        <v>I</v>
      </c>
      <c r="D75" s="9" t="s">
        <v>1083</v>
      </c>
      <c r="E75" s="10">
        <v>-1.793209958</v>
      </c>
      <c r="F75" s="10">
        <v>-1.5367278719999999</v>
      </c>
      <c r="G75" s="10">
        <v>-2.2550023559999999</v>
      </c>
      <c r="H75" s="10" t="s">
        <v>2827</v>
      </c>
    </row>
    <row r="76" spans="1:8" x14ac:dyDescent="0.2">
      <c r="A76" s="10" t="str">
        <f t="shared" si="3"/>
        <v>F</v>
      </c>
      <c r="B76" s="10" t="str">
        <f t="shared" si="4"/>
        <v>1734</v>
      </c>
      <c r="C76" s="10" t="str">
        <f t="shared" si="5"/>
        <v>L</v>
      </c>
      <c r="D76" s="9" t="s">
        <v>1084</v>
      </c>
      <c r="E76" s="10">
        <v>-1.4702701250000001</v>
      </c>
      <c r="F76" s="10">
        <v>-1.0923196742500001</v>
      </c>
      <c r="G76" s="10">
        <v>-2.106433461</v>
      </c>
      <c r="H76" s="10" t="s">
        <v>2827</v>
      </c>
    </row>
    <row r="77" spans="1:8" x14ac:dyDescent="0.2">
      <c r="A77" s="10" t="str">
        <f t="shared" si="3"/>
        <v>F</v>
      </c>
      <c r="B77" s="10" t="str">
        <f t="shared" si="4"/>
        <v>1734</v>
      </c>
      <c r="C77" s="10" t="str">
        <f t="shared" si="5"/>
        <v>S</v>
      </c>
      <c r="D77" s="9" t="s">
        <v>48</v>
      </c>
      <c r="E77" s="10">
        <v>-2.030799225</v>
      </c>
      <c r="F77" s="10">
        <v>-1.1760818580000001</v>
      </c>
      <c r="G77" s="10">
        <v>-2.0338097290000001</v>
      </c>
      <c r="H77" s="10" t="s">
        <v>2827</v>
      </c>
    </row>
    <row r="78" spans="1:8" x14ac:dyDescent="0.2">
      <c r="A78" s="10" t="str">
        <f t="shared" si="3"/>
        <v>F</v>
      </c>
      <c r="B78" s="10" t="str">
        <f t="shared" si="4"/>
        <v>1734</v>
      </c>
      <c r="C78" s="10" t="str">
        <f t="shared" si="5"/>
        <v>V</v>
      </c>
      <c r="D78" s="9" t="s">
        <v>1088</v>
      </c>
      <c r="E78" s="10">
        <v>-1.4634867657499999</v>
      </c>
      <c r="F78" s="10">
        <v>-0.74009346499999995</v>
      </c>
      <c r="G78" s="10">
        <v>-2.4810211959999999</v>
      </c>
      <c r="H78" s="10" t="s">
        <v>2827</v>
      </c>
    </row>
    <row r="79" spans="1:8" x14ac:dyDescent="0.2">
      <c r="A79" s="10" t="str">
        <f t="shared" si="3"/>
        <v>F</v>
      </c>
      <c r="B79" s="10" t="str">
        <f t="shared" si="4"/>
        <v>1761</v>
      </c>
      <c r="C79" s="10" t="str">
        <f t="shared" si="5"/>
        <v>I</v>
      </c>
      <c r="D79" s="9" t="s">
        <v>1237</v>
      </c>
      <c r="E79" s="10">
        <v>-1.5749193077500001</v>
      </c>
      <c r="F79" s="10">
        <v>-1.0559843959999999</v>
      </c>
      <c r="G79" s="10">
        <v>-3.434960657</v>
      </c>
      <c r="H79" s="10" t="s">
        <v>2827</v>
      </c>
    </row>
    <row r="80" spans="1:8" x14ac:dyDescent="0.2">
      <c r="A80" s="10" t="str">
        <f t="shared" si="3"/>
        <v>F</v>
      </c>
      <c r="B80" s="10" t="str">
        <f t="shared" si="4"/>
        <v>1761</v>
      </c>
      <c r="C80" s="10" t="str">
        <f t="shared" si="5"/>
        <v>L</v>
      </c>
      <c r="D80" s="9" t="s">
        <v>1238</v>
      </c>
      <c r="E80" s="10">
        <v>4.9739206750000001E-2</v>
      </c>
      <c r="F80" s="10">
        <v>-0.18918065549999999</v>
      </c>
      <c r="G80" s="10">
        <v>-7.0865039000000005E-2</v>
      </c>
      <c r="H80" s="10" t="s">
        <v>2816</v>
      </c>
    </row>
    <row r="81" spans="1:8" x14ac:dyDescent="0.2">
      <c r="A81" s="10" t="str">
        <f t="shared" si="3"/>
        <v>F</v>
      </c>
      <c r="B81" s="10" t="str">
        <f t="shared" si="4"/>
        <v>1761</v>
      </c>
      <c r="C81" s="10" t="str">
        <f t="shared" si="5"/>
        <v>S</v>
      </c>
      <c r="D81" s="9" t="s">
        <v>1240</v>
      </c>
      <c r="E81" s="10">
        <v>-1.381798694</v>
      </c>
      <c r="F81" s="10">
        <v>-0.84061136849999996</v>
      </c>
      <c r="G81" s="10">
        <v>-3.0815284840000001</v>
      </c>
      <c r="H81" s="10" t="s">
        <v>2827</v>
      </c>
    </row>
    <row r="82" spans="1:8" x14ac:dyDescent="0.2">
      <c r="A82" s="10" t="str">
        <f t="shared" si="3"/>
        <v>F</v>
      </c>
      <c r="B82" s="10" t="str">
        <f t="shared" si="4"/>
        <v>1772</v>
      </c>
      <c r="C82" s="10" t="str">
        <f t="shared" si="5"/>
        <v>L</v>
      </c>
      <c r="D82" s="9" t="s">
        <v>1332</v>
      </c>
      <c r="E82" s="10">
        <v>0.12849480325000001</v>
      </c>
      <c r="F82" s="10">
        <v>-8.5478889749999995E-2</v>
      </c>
      <c r="G82" s="10">
        <v>-0.33175648800000002</v>
      </c>
      <c r="H82" s="10" t="s">
        <v>2816</v>
      </c>
    </row>
    <row r="83" spans="1:8" x14ac:dyDescent="0.2">
      <c r="A83" s="10" t="str">
        <f t="shared" si="3"/>
        <v>F</v>
      </c>
      <c r="B83" s="10" t="str">
        <f t="shared" si="4"/>
        <v>1772</v>
      </c>
      <c r="C83" s="10" t="str">
        <f t="shared" si="5"/>
        <v>S</v>
      </c>
      <c r="D83" s="9" t="s">
        <v>1337</v>
      </c>
      <c r="E83" s="10">
        <v>-0.19982815025</v>
      </c>
      <c r="F83" s="10">
        <v>-0.22966339575</v>
      </c>
      <c r="G83" s="10">
        <v>-0.10482076</v>
      </c>
      <c r="H83" s="10" t="s">
        <v>2816</v>
      </c>
    </row>
    <row r="84" spans="1:8" x14ac:dyDescent="0.2">
      <c r="A84" s="10" t="str">
        <f t="shared" si="3"/>
        <v>F</v>
      </c>
      <c r="B84" s="10" t="str">
        <f t="shared" si="4"/>
        <v>1772</v>
      </c>
      <c r="C84" s="10" t="str">
        <f t="shared" si="5"/>
        <v>V</v>
      </c>
      <c r="D84" s="9" t="s">
        <v>1339</v>
      </c>
      <c r="E84" s="10">
        <v>-0.21228005550000001</v>
      </c>
      <c r="F84" s="10">
        <v>9.1643400250000007E-2</v>
      </c>
      <c r="G84" s="10">
        <v>-1.0197522880000001</v>
      </c>
      <c r="H84" s="10" t="s">
        <v>2786</v>
      </c>
    </row>
    <row r="85" spans="1:8" x14ac:dyDescent="0.2">
      <c r="A85" s="10" t="str">
        <f t="shared" si="3"/>
        <v>F</v>
      </c>
      <c r="B85" s="10" t="str">
        <f t="shared" si="4"/>
        <v>1798</v>
      </c>
      <c r="C85" s="10" t="str">
        <f t="shared" si="5"/>
        <v>S</v>
      </c>
      <c r="D85" s="9" t="s">
        <v>1558</v>
      </c>
      <c r="E85" s="10">
        <v>4.9919007250000001E-2</v>
      </c>
      <c r="F85" s="10">
        <v>0.15239017025000001</v>
      </c>
      <c r="G85" s="10">
        <v>0.10908285299999999</v>
      </c>
      <c r="H85" s="10" t="s">
        <v>2816</v>
      </c>
    </row>
    <row r="86" spans="1:8" x14ac:dyDescent="0.2">
      <c r="A86" s="10" t="str">
        <f t="shared" si="3"/>
        <v>F</v>
      </c>
      <c r="B86" s="10" t="str">
        <f t="shared" si="4"/>
        <v>1798</v>
      </c>
      <c r="C86" s="10" t="str">
        <f t="shared" si="5"/>
        <v>V</v>
      </c>
      <c r="D86" s="9" t="s">
        <v>1560</v>
      </c>
      <c r="E86" s="10">
        <v>0.13969636499999999</v>
      </c>
      <c r="F86" s="10">
        <v>-0.26630939999999997</v>
      </c>
      <c r="G86" s="10">
        <v>-0.209132543</v>
      </c>
      <c r="H86" s="10" t="s">
        <v>2816</v>
      </c>
    </row>
    <row r="87" spans="1:8" x14ac:dyDescent="0.2">
      <c r="A87" s="10" t="str">
        <f t="shared" si="3"/>
        <v>F</v>
      </c>
      <c r="B87" s="10" t="str">
        <f t="shared" si="4"/>
        <v>1821</v>
      </c>
      <c r="C87" s="10" t="str">
        <f t="shared" si="5"/>
        <v>L</v>
      </c>
      <c r="D87" s="9" t="s">
        <v>1729</v>
      </c>
      <c r="E87" s="10">
        <v>0.15550999974999999</v>
      </c>
      <c r="F87" s="10">
        <v>0.21425452924999999</v>
      </c>
      <c r="G87" s="10">
        <v>-0.207475202</v>
      </c>
      <c r="H87" s="10" t="s">
        <v>2816</v>
      </c>
    </row>
    <row r="88" spans="1:8" x14ac:dyDescent="0.2">
      <c r="A88" s="10" t="str">
        <f t="shared" si="3"/>
        <v>G</v>
      </c>
      <c r="B88" s="10" t="str">
        <f t="shared" si="4"/>
        <v>1706</v>
      </c>
      <c r="C88" s="10" t="str">
        <f t="shared" si="5"/>
        <v>A</v>
      </c>
      <c r="D88" s="9" t="s">
        <v>30</v>
      </c>
      <c r="E88" s="10">
        <v>7.1182518750000007E-2</v>
      </c>
      <c r="F88" s="10">
        <v>-0.232512202</v>
      </c>
      <c r="G88" s="10">
        <v>-5.1429910000000002E-2</v>
      </c>
      <c r="H88" s="10" t="s">
        <v>2816</v>
      </c>
    </row>
    <row r="89" spans="1:8" x14ac:dyDescent="0.2">
      <c r="A89" s="10" t="str">
        <f t="shared" si="3"/>
        <v>G</v>
      </c>
      <c r="B89" s="10" t="str">
        <f t="shared" si="4"/>
        <v>1706</v>
      </c>
      <c r="C89" s="10" t="str">
        <f t="shared" si="5"/>
        <v>R</v>
      </c>
      <c r="D89" s="9" t="s">
        <v>982</v>
      </c>
      <c r="E89" s="10">
        <v>-1.8378959992499999</v>
      </c>
      <c r="F89" s="10">
        <v>-1.5925379532499999</v>
      </c>
      <c r="G89" s="10">
        <v>-2.3092090939999999</v>
      </c>
      <c r="H89" s="10" t="s">
        <v>2827</v>
      </c>
    </row>
    <row r="90" spans="1:8" x14ac:dyDescent="0.2">
      <c r="A90" s="10" t="str">
        <f t="shared" si="3"/>
        <v>G</v>
      </c>
      <c r="B90" s="10" t="str">
        <f t="shared" si="4"/>
        <v>1706</v>
      </c>
      <c r="C90" s="10" t="str">
        <f t="shared" si="5"/>
        <v>V</v>
      </c>
      <c r="D90" s="9" t="s">
        <v>984</v>
      </c>
      <c r="E90" s="10">
        <v>-1.1478739785000001</v>
      </c>
      <c r="F90" s="10">
        <v>-1.0474831392499999</v>
      </c>
      <c r="G90" s="10">
        <v>-2.3229792069999999</v>
      </c>
      <c r="H90" s="10" t="s">
        <v>2827</v>
      </c>
    </row>
    <row r="91" spans="1:8" x14ac:dyDescent="0.2">
      <c r="A91" s="10" t="str">
        <f t="shared" si="3"/>
        <v>G</v>
      </c>
      <c r="B91" s="10" t="str">
        <f t="shared" si="4"/>
        <v>1738</v>
      </c>
      <c r="C91" s="10" t="str">
        <f t="shared" si="5"/>
        <v>V</v>
      </c>
      <c r="D91" s="9" t="s">
        <v>1105</v>
      </c>
      <c r="E91" s="10">
        <v>-1.7337745959999999</v>
      </c>
      <c r="F91" s="10">
        <v>-1.748689714</v>
      </c>
      <c r="G91" s="10">
        <v>-2.739325547</v>
      </c>
      <c r="H91" s="10" t="s">
        <v>2827</v>
      </c>
    </row>
    <row r="92" spans="1:8" x14ac:dyDescent="0.2">
      <c r="A92" s="10" t="str">
        <f t="shared" si="3"/>
        <v>G</v>
      </c>
      <c r="B92" s="10" t="str">
        <f t="shared" si="4"/>
        <v>1743</v>
      </c>
      <c r="C92" s="10" t="str">
        <f t="shared" si="5"/>
        <v>A</v>
      </c>
      <c r="D92" s="9" t="s">
        <v>1137</v>
      </c>
      <c r="E92" s="10">
        <v>-0.64432957349999997</v>
      </c>
      <c r="F92" s="10">
        <v>-0.42828160199999998</v>
      </c>
      <c r="G92" s="10">
        <v>-1.213395644</v>
      </c>
      <c r="H92" s="10" t="s">
        <v>2786</v>
      </c>
    </row>
    <row r="93" spans="1:8" x14ac:dyDescent="0.2">
      <c r="A93" s="10" t="str">
        <f t="shared" si="3"/>
        <v>G</v>
      </c>
      <c r="B93" s="10" t="str">
        <f t="shared" si="4"/>
        <v>1743</v>
      </c>
      <c r="C93" s="10" t="str">
        <f t="shared" si="5"/>
        <v>R</v>
      </c>
      <c r="D93" s="9" t="s">
        <v>1143</v>
      </c>
      <c r="E93" s="10">
        <v>-1.30299510575</v>
      </c>
      <c r="F93" s="10">
        <v>-0.59544581600000002</v>
      </c>
      <c r="G93" s="10">
        <v>-2.3027514509999998</v>
      </c>
      <c r="H93" s="10" t="s">
        <v>2827</v>
      </c>
    </row>
    <row r="94" spans="1:8" x14ac:dyDescent="0.2">
      <c r="A94" s="10" t="str">
        <f t="shared" si="3"/>
        <v>G</v>
      </c>
      <c r="B94" s="10" t="str">
        <f t="shared" si="4"/>
        <v>1743</v>
      </c>
      <c r="C94" s="10" t="str">
        <f t="shared" si="5"/>
        <v>V</v>
      </c>
      <c r="D94" s="9" t="s">
        <v>1146</v>
      </c>
      <c r="E94" s="10">
        <v>-1.35743497625</v>
      </c>
      <c r="F94" s="10">
        <v>-0.84843627700000002</v>
      </c>
      <c r="G94" s="10">
        <v>-1.689462298</v>
      </c>
      <c r="H94" s="10" t="s">
        <v>2827</v>
      </c>
    </row>
    <row r="95" spans="1:8" x14ac:dyDescent="0.2">
      <c r="A95" s="10" t="str">
        <f t="shared" si="3"/>
        <v>G</v>
      </c>
      <c r="B95" s="10" t="str">
        <f t="shared" si="4"/>
        <v>1748</v>
      </c>
      <c r="C95" s="10" t="str">
        <f t="shared" si="5"/>
        <v>A</v>
      </c>
      <c r="D95" s="9" t="s">
        <v>1168</v>
      </c>
      <c r="E95" s="10">
        <v>-0.37479560275000001</v>
      </c>
      <c r="F95" s="10">
        <v>-0.59607139149999999</v>
      </c>
      <c r="G95" s="10">
        <v>-0.72175632499999998</v>
      </c>
      <c r="H95" s="10" t="s">
        <v>2816</v>
      </c>
    </row>
    <row r="96" spans="1:8" x14ac:dyDescent="0.2">
      <c r="A96" s="10" t="str">
        <f t="shared" si="3"/>
        <v>G</v>
      </c>
      <c r="B96" s="10" t="str">
        <f t="shared" si="4"/>
        <v>1748</v>
      </c>
      <c r="C96" s="10" t="str">
        <f t="shared" si="5"/>
        <v>S</v>
      </c>
      <c r="D96" s="9" t="s">
        <v>1171</v>
      </c>
      <c r="E96" s="10">
        <v>-2.968279025E-2</v>
      </c>
      <c r="F96" s="10">
        <v>0.56454078725000001</v>
      </c>
      <c r="G96" s="10">
        <v>-0.37546191899999998</v>
      </c>
      <c r="H96" s="10" t="s">
        <v>2816</v>
      </c>
    </row>
    <row r="97" spans="1:8" x14ac:dyDescent="0.2">
      <c r="A97" s="10" t="str">
        <f t="shared" si="3"/>
        <v>G</v>
      </c>
      <c r="B97" s="10" t="str">
        <f t="shared" si="4"/>
        <v>1763</v>
      </c>
      <c r="C97" s="10" t="str">
        <f t="shared" si="5"/>
        <v>A</v>
      </c>
      <c r="D97" s="9" t="s">
        <v>1248</v>
      </c>
      <c r="E97" s="10">
        <v>0.2135119845</v>
      </c>
      <c r="F97" s="10">
        <v>8.2092725749999998E-2</v>
      </c>
      <c r="G97" s="10">
        <v>0.63629174300000002</v>
      </c>
      <c r="H97" s="10" t="s">
        <v>2816</v>
      </c>
    </row>
    <row r="98" spans="1:8" x14ac:dyDescent="0.2">
      <c r="A98" s="10" t="str">
        <f t="shared" si="3"/>
        <v>G</v>
      </c>
      <c r="B98" s="10" t="str">
        <f t="shared" si="4"/>
        <v>1763</v>
      </c>
      <c r="C98" s="10" t="str">
        <f t="shared" si="5"/>
        <v>R</v>
      </c>
      <c r="D98" s="9" t="s">
        <v>1252</v>
      </c>
      <c r="E98" s="10">
        <v>3.4224585000000002E-2</v>
      </c>
      <c r="F98" s="10">
        <v>-0.22741324325000001</v>
      </c>
      <c r="G98" s="10">
        <v>-0.66433651500000002</v>
      </c>
      <c r="H98" s="10" t="s">
        <v>2816</v>
      </c>
    </row>
    <row r="99" spans="1:8" x14ac:dyDescent="0.2">
      <c r="A99" s="10" t="str">
        <f t="shared" si="3"/>
        <v>G</v>
      </c>
      <c r="B99" s="10" t="str">
        <f t="shared" si="4"/>
        <v>1763</v>
      </c>
      <c r="C99" s="10" t="str">
        <f t="shared" si="5"/>
        <v>V</v>
      </c>
      <c r="D99" s="9" t="s">
        <v>58</v>
      </c>
      <c r="E99" s="10">
        <v>-0.48027849</v>
      </c>
      <c r="F99" s="10">
        <v>-0.35972226475000002</v>
      </c>
      <c r="G99" s="10">
        <v>-1.8306367610000001</v>
      </c>
      <c r="H99" s="10" t="s">
        <v>2827</v>
      </c>
    </row>
    <row r="100" spans="1:8" x14ac:dyDescent="0.2">
      <c r="A100" s="10" t="str">
        <f t="shared" si="3"/>
        <v>G</v>
      </c>
      <c r="B100" s="10" t="str">
        <f t="shared" si="4"/>
        <v>1770</v>
      </c>
      <c r="C100" s="10" t="str">
        <f t="shared" si="5"/>
        <v>R</v>
      </c>
      <c r="D100" s="9" t="s">
        <v>1313</v>
      </c>
      <c r="E100" s="10">
        <v>-0.14932775975000001</v>
      </c>
      <c r="F100" s="10">
        <v>-0.63220958149999995</v>
      </c>
      <c r="G100" s="10">
        <v>-1.374750854</v>
      </c>
      <c r="H100" s="10" t="s">
        <v>2786</v>
      </c>
    </row>
    <row r="101" spans="1:8" x14ac:dyDescent="0.2">
      <c r="A101" s="10" t="str">
        <f t="shared" si="3"/>
        <v>G</v>
      </c>
      <c r="B101" s="10" t="str">
        <f t="shared" si="4"/>
        <v>1770</v>
      </c>
      <c r="C101" s="10" t="str">
        <f t="shared" si="5"/>
        <v>V</v>
      </c>
      <c r="D101" s="9" t="s">
        <v>59</v>
      </c>
      <c r="E101" s="10">
        <v>-0.5585491575</v>
      </c>
      <c r="F101" s="10">
        <v>-0.92307675450000004</v>
      </c>
      <c r="G101" s="10">
        <v>-2.5980266140000001</v>
      </c>
      <c r="H101" s="10" t="s">
        <v>2827</v>
      </c>
    </row>
    <row r="102" spans="1:8" x14ac:dyDescent="0.2">
      <c r="A102" s="10" t="str">
        <f t="shared" si="3"/>
        <v>G</v>
      </c>
      <c r="B102" s="10" t="str">
        <f t="shared" si="4"/>
        <v>1788</v>
      </c>
      <c r="C102" s="10" t="str">
        <f t="shared" si="5"/>
        <v>R</v>
      </c>
      <c r="D102" s="9" t="s">
        <v>1463</v>
      </c>
      <c r="E102" s="10">
        <v>-0.404235026</v>
      </c>
      <c r="F102" s="10">
        <v>-1.4546447732500001</v>
      </c>
      <c r="G102" s="10">
        <v>-2.1857871549999999</v>
      </c>
      <c r="H102" s="10" t="s">
        <v>2827</v>
      </c>
    </row>
    <row r="103" spans="1:8" x14ac:dyDescent="0.2">
      <c r="A103" s="10" t="str">
        <f t="shared" si="3"/>
        <v>G</v>
      </c>
      <c r="B103" s="10" t="str">
        <f t="shared" si="4"/>
        <v>1788</v>
      </c>
      <c r="C103" s="10" t="str">
        <f t="shared" si="5"/>
        <v>S</v>
      </c>
      <c r="D103" s="9" t="s">
        <v>1464</v>
      </c>
      <c r="E103" s="10">
        <v>-1.53229246675</v>
      </c>
      <c r="F103" s="10">
        <v>-3.8685242000000002E-2</v>
      </c>
      <c r="G103" s="10">
        <v>-1.3525233210000001</v>
      </c>
      <c r="H103" s="10" t="s">
        <v>2827</v>
      </c>
    </row>
    <row r="104" spans="1:8" x14ac:dyDescent="0.2">
      <c r="A104" s="10" t="str">
        <f t="shared" si="3"/>
        <v>G</v>
      </c>
      <c r="B104" s="10" t="str">
        <f t="shared" si="4"/>
        <v>1820</v>
      </c>
      <c r="C104" s="10" t="str">
        <f t="shared" si="5"/>
        <v>V</v>
      </c>
      <c r="D104" s="9" t="s">
        <v>1726</v>
      </c>
      <c r="E104" s="10">
        <v>-0.19573651224999999</v>
      </c>
      <c r="F104" s="10">
        <v>-0.44644735575</v>
      </c>
      <c r="G104" s="10">
        <v>0.26263679200000001</v>
      </c>
      <c r="H104" s="10" t="s">
        <v>2816</v>
      </c>
    </row>
    <row r="105" spans="1:8" x14ac:dyDescent="0.2">
      <c r="A105" s="10" t="str">
        <f t="shared" si="3"/>
        <v>H</v>
      </c>
      <c r="B105" s="10" t="str">
        <f t="shared" si="4"/>
        <v>1673</v>
      </c>
      <c r="C105" s="10" t="str">
        <f t="shared" si="5"/>
        <v>L</v>
      </c>
      <c r="D105" s="9" t="s">
        <v>806</v>
      </c>
      <c r="E105" s="10">
        <v>-3.0427728250000001E-2</v>
      </c>
      <c r="F105" s="10">
        <v>1.7777933499999999E-2</v>
      </c>
      <c r="G105" s="10">
        <v>0.660457446</v>
      </c>
      <c r="H105" s="10" t="s">
        <v>2816</v>
      </c>
    </row>
    <row r="106" spans="1:8" x14ac:dyDescent="0.2">
      <c r="A106" s="10" t="str">
        <f t="shared" si="3"/>
        <v>H</v>
      </c>
      <c r="B106" s="10" t="str">
        <f t="shared" si="4"/>
        <v>1673</v>
      </c>
      <c r="C106" s="10" t="str">
        <f t="shared" si="5"/>
        <v>R</v>
      </c>
      <c r="D106" s="9" t="s">
        <v>808</v>
      </c>
      <c r="E106" s="10">
        <v>5.5939040500000002E-2</v>
      </c>
      <c r="F106" s="10">
        <v>-0.17937677125000001</v>
      </c>
      <c r="G106" s="10">
        <v>6.6415102000000004E-2</v>
      </c>
      <c r="H106" s="10" t="s">
        <v>2816</v>
      </c>
    </row>
    <row r="107" spans="1:8" x14ac:dyDescent="0.2">
      <c r="A107" s="10" t="str">
        <f t="shared" si="3"/>
        <v>H</v>
      </c>
      <c r="B107" s="10" t="str">
        <f t="shared" si="4"/>
        <v>1673</v>
      </c>
      <c r="C107" s="10" t="str">
        <f t="shared" si="5"/>
        <v>Y</v>
      </c>
      <c r="D107" s="9" t="s">
        <v>811</v>
      </c>
      <c r="E107" s="10">
        <v>-7.3843161500000004E-2</v>
      </c>
      <c r="F107" s="10">
        <v>-0.25681730274999998</v>
      </c>
      <c r="G107" s="10">
        <v>0.205780716</v>
      </c>
      <c r="H107" s="10" t="s">
        <v>2816</v>
      </c>
    </row>
    <row r="108" spans="1:8" x14ac:dyDescent="0.2">
      <c r="A108" s="10" t="str">
        <f t="shared" si="3"/>
        <v>H</v>
      </c>
      <c r="B108" s="10" t="str">
        <f t="shared" si="4"/>
        <v>1686</v>
      </c>
      <c r="C108" s="10" t="str">
        <f t="shared" si="5"/>
        <v>L</v>
      </c>
      <c r="D108" s="9" t="s">
        <v>888</v>
      </c>
      <c r="E108" s="10">
        <v>-0.80406366149999997</v>
      </c>
      <c r="F108" s="10">
        <v>-0.47344666725000001</v>
      </c>
      <c r="G108" s="10">
        <v>-1.5566072609999999</v>
      </c>
      <c r="H108" s="10" t="s">
        <v>2827</v>
      </c>
    </row>
    <row r="109" spans="1:8" x14ac:dyDescent="0.2">
      <c r="A109" s="10" t="str">
        <f t="shared" si="3"/>
        <v>H</v>
      </c>
      <c r="B109" s="10" t="str">
        <f t="shared" si="4"/>
        <v>1686</v>
      </c>
      <c r="C109" s="10" t="str">
        <f t="shared" si="5"/>
        <v>P</v>
      </c>
      <c r="D109" s="9" t="s">
        <v>889</v>
      </c>
      <c r="E109" s="10">
        <v>-0.98716454674999998</v>
      </c>
      <c r="F109" s="10">
        <v>-1.3540529855000001</v>
      </c>
      <c r="G109" s="10">
        <v>-1.9655566980000001</v>
      </c>
      <c r="H109" s="10" t="s">
        <v>2827</v>
      </c>
    </row>
    <row r="110" spans="1:8" x14ac:dyDescent="0.2">
      <c r="A110" s="10" t="str">
        <f t="shared" si="3"/>
        <v>H</v>
      </c>
      <c r="B110" s="10" t="str">
        <f t="shared" si="4"/>
        <v>1686</v>
      </c>
      <c r="C110" s="10" t="str">
        <f t="shared" si="5"/>
        <v>Q</v>
      </c>
      <c r="D110" s="9" t="s">
        <v>890</v>
      </c>
      <c r="E110" s="10">
        <v>-1.7196366194999999</v>
      </c>
      <c r="F110" s="10">
        <v>-1.3462523742500001</v>
      </c>
      <c r="G110" s="10">
        <v>-1.7571952630000001</v>
      </c>
      <c r="H110" s="10" t="s">
        <v>2827</v>
      </c>
    </row>
    <row r="111" spans="1:8" x14ac:dyDescent="0.2">
      <c r="A111" s="10" t="str">
        <f t="shared" si="3"/>
        <v>H</v>
      </c>
      <c r="B111" s="10" t="str">
        <f t="shared" si="4"/>
        <v>1732</v>
      </c>
      <c r="C111" s="10" t="str">
        <f t="shared" si="5"/>
        <v>P</v>
      </c>
      <c r="D111" s="9" t="s">
        <v>1077</v>
      </c>
      <c r="E111" s="10">
        <v>-0.28740868549999998</v>
      </c>
      <c r="F111" s="10">
        <v>5.8720519249999999E-2</v>
      </c>
      <c r="G111" s="10">
        <v>0.145482326</v>
      </c>
      <c r="H111" s="10" t="s">
        <v>2816</v>
      </c>
    </row>
    <row r="112" spans="1:8" x14ac:dyDescent="0.2">
      <c r="A112" s="10" t="str">
        <f t="shared" si="3"/>
        <v>H</v>
      </c>
      <c r="B112" s="10" t="str">
        <f t="shared" si="4"/>
        <v>1746</v>
      </c>
      <c r="C112" s="10" t="str">
        <f t="shared" si="5"/>
        <v>L</v>
      </c>
      <c r="D112" s="9" t="s">
        <v>55</v>
      </c>
      <c r="E112" s="10">
        <v>-0.52040849425000002</v>
      </c>
      <c r="F112" s="10">
        <v>-0.28103145325000001</v>
      </c>
      <c r="G112" s="10">
        <v>-0.47006350899999999</v>
      </c>
      <c r="H112" s="10" t="s">
        <v>2816</v>
      </c>
    </row>
    <row r="113" spans="1:8" x14ac:dyDescent="0.2">
      <c r="A113" s="10" t="str">
        <f t="shared" si="3"/>
        <v>H</v>
      </c>
      <c r="B113" s="10" t="str">
        <f t="shared" si="4"/>
        <v>1805</v>
      </c>
      <c r="C113" s="10" t="str">
        <f t="shared" si="5"/>
        <v>L</v>
      </c>
      <c r="D113" s="9" t="s">
        <v>1603</v>
      </c>
      <c r="E113" s="10">
        <v>0.153000369</v>
      </c>
      <c r="F113" s="10">
        <v>0.36828478775000001</v>
      </c>
      <c r="G113" s="10">
        <v>0.27640604099999999</v>
      </c>
      <c r="H113" s="10" t="s">
        <v>2816</v>
      </c>
    </row>
    <row r="114" spans="1:8" x14ac:dyDescent="0.2">
      <c r="A114" s="10" t="str">
        <f t="shared" si="3"/>
        <v>H</v>
      </c>
      <c r="B114" s="10" t="str">
        <f t="shared" si="4"/>
        <v>1805</v>
      </c>
      <c r="C114" s="10" t="str">
        <f t="shared" si="5"/>
        <v>P</v>
      </c>
      <c r="D114" s="9" t="s">
        <v>1605</v>
      </c>
      <c r="E114" s="10">
        <v>0.16703419650000001</v>
      </c>
      <c r="F114" s="10">
        <v>-0.26551275824999998</v>
      </c>
      <c r="G114" s="10">
        <v>-8.3873047000000006E-2</v>
      </c>
      <c r="H114" s="10" t="s">
        <v>2816</v>
      </c>
    </row>
    <row r="115" spans="1:8" x14ac:dyDescent="0.2">
      <c r="A115" s="10" t="str">
        <f t="shared" si="3"/>
        <v>H</v>
      </c>
      <c r="B115" s="10" t="str">
        <f t="shared" si="4"/>
        <v>1822</v>
      </c>
      <c r="C115" s="10" t="str">
        <f t="shared" si="5"/>
        <v>L</v>
      </c>
      <c r="D115" s="9" t="s">
        <v>1738</v>
      </c>
      <c r="E115" s="10">
        <v>8.3227573250000006E-2</v>
      </c>
      <c r="F115" s="10">
        <v>-5.2477076749999997E-2</v>
      </c>
      <c r="G115" s="10">
        <v>-0.33081944099999999</v>
      </c>
      <c r="H115" s="10" t="s">
        <v>2816</v>
      </c>
    </row>
    <row r="116" spans="1:8" x14ac:dyDescent="0.2">
      <c r="A116" s="10" t="str">
        <f t="shared" si="3"/>
        <v>H</v>
      </c>
      <c r="B116" s="10" t="str">
        <f t="shared" si="4"/>
        <v>1822</v>
      </c>
      <c r="C116" s="10" t="str">
        <f t="shared" si="5"/>
        <v>N</v>
      </c>
      <c r="D116" s="9" t="s">
        <v>1740</v>
      </c>
      <c r="E116" s="10">
        <v>-0.27951233674999998</v>
      </c>
      <c r="F116" s="10">
        <v>-0.49103566850000002</v>
      </c>
      <c r="G116" s="10">
        <v>0.219049203</v>
      </c>
      <c r="H116" s="10" t="s">
        <v>2816</v>
      </c>
    </row>
    <row r="117" spans="1:8" x14ac:dyDescent="0.2">
      <c r="A117" s="10" t="str">
        <f t="shared" si="3"/>
        <v>H</v>
      </c>
      <c r="B117" s="10" t="str">
        <f t="shared" si="4"/>
        <v>1822</v>
      </c>
      <c r="C117" s="10" t="str">
        <f t="shared" si="5"/>
        <v>P</v>
      </c>
      <c r="D117" s="9" t="s">
        <v>1741</v>
      </c>
      <c r="E117" s="10">
        <v>8.3222466750000001E-2</v>
      </c>
      <c r="F117" s="10">
        <v>-2.4855872500000001E-2</v>
      </c>
      <c r="G117" s="10">
        <v>1.6008319999999999E-3</v>
      </c>
      <c r="H117" s="10" t="s">
        <v>2816</v>
      </c>
    </row>
    <row r="118" spans="1:8" x14ac:dyDescent="0.2">
      <c r="A118" s="10" t="str">
        <f t="shared" si="3"/>
        <v>I</v>
      </c>
      <c r="B118" s="10" t="str">
        <f t="shared" si="4"/>
        <v>1674</v>
      </c>
      <c r="C118" s="10" t="str">
        <f t="shared" si="5"/>
        <v>L</v>
      </c>
      <c r="D118" s="9" t="s">
        <v>819</v>
      </c>
      <c r="E118" s="10">
        <v>0.13716834850000001</v>
      </c>
      <c r="F118" s="10">
        <v>-4.5623542500000001E-3</v>
      </c>
      <c r="G118" s="10">
        <v>0.38405177699999998</v>
      </c>
      <c r="H118" s="10" t="s">
        <v>2816</v>
      </c>
    </row>
    <row r="119" spans="1:8" x14ac:dyDescent="0.2">
      <c r="A119" s="10" t="str">
        <f t="shared" si="3"/>
        <v>I</v>
      </c>
      <c r="B119" s="10" t="str">
        <f t="shared" si="4"/>
        <v>1674</v>
      </c>
      <c r="C119" s="10" t="str">
        <f t="shared" si="5"/>
        <v>T</v>
      </c>
      <c r="D119" s="9" t="s">
        <v>824</v>
      </c>
      <c r="E119" s="10">
        <v>-0.24926411725</v>
      </c>
      <c r="F119" s="10">
        <v>-0.18276281925000001</v>
      </c>
      <c r="G119" s="10">
        <v>2.8325171E-2</v>
      </c>
      <c r="H119" s="10" t="s">
        <v>2816</v>
      </c>
    </row>
    <row r="120" spans="1:8" x14ac:dyDescent="0.2">
      <c r="A120" s="10" t="str">
        <f t="shared" si="3"/>
        <v>I</v>
      </c>
      <c r="B120" s="10" t="str">
        <f t="shared" si="4"/>
        <v>1674</v>
      </c>
      <c r="C120" s="10" t="str">
        <f t="shared" si="5"/>
        <v>V</v>
      </c>
      <c r="D120" s="9" t="s">
        <v>825</v>
      </c>
      <c r="E120" s="10">
        <v>-9.9904306250000005E-2</v>
      </c>
      <c r="F120" s="10">
        <v>-0.336288584</v>
      </c>
      <c r="G120" s="10">
        <v>0.26213630799999998</v>
      </c>
      <c r="H120" s="10" t="s">
        <v>2816</v>
      </c>
    </row>
    <row r="121" spans="1:8" x14ac:dyDescent="0.2">
      <c r="A121" s="10" t="str">
        <f t="shared" si="3"/>
        <v>I</v>
      </c>
      <c r="B121" s="10" t="str">
        <f t="shared" si="4"/>
        <v>1680</v>
      </c>
      <c r="C121" s="10" t="str">
        <f t="shared" si="5"/>
        <v>F</v>
      </c>
      <c r="D121" s="9" t="s">
        <v>855</v>
      </c>
      <c r="E121" s="10">
        <v>0.32467282224999999</v>
      </c>
      <c r="F121" s="10">
        <v>-0.22128441900000001</v>
      </c>
      <c r="G121" s="10">
        <v>-0.100445938</v>
      </c>
      <c r="H121" s="10" t="s">
        <v>2816</v>
      </c>
    </row>
    <row r="122" spans="1:8" x14ac:dyDescent="0.2">
      <c r="A122" s="10" t="str">
        <f t="shared" si="3"/>
        <v>I</v>
      </c>
      <c r="B122" s="10" t="str">
        <f t="shared" si="4"/>
        <v>1680</v>
      </c>
      <c r="C122" s="10" t="str">
        <f t="shared" si="5"/>
        <v>S</v>
      </c>
      <c r="D122" s="9" t="s">
        <v>859</v>
      </c>
      <c r="E122" s="10">
        <v>-0.20941566624999999</v>
      </c>
      <c r="F122" s="10">
        <v>-0.54443891749999995</v>
      </c>
      <c r="G122" s="10">
        <v>-0.27211858799999999</v>
      </c>
      <c r="H122" s="10" t="s">
        <v>2816</v>
      </c>
    </row>
    <row r="123" spans="1:8" x14ac:dyDescent="0.2">
      <c r="A123" s="10" t="str">
        <f t="shared" si="3"/>
        <v>I</v>
      </c>
      <c r="B123" s="10" t="str">
        <f t="shared" si="4"/>
        <v>1707</v>
      </c>
      <c r="C123" s="10" t="str">
        <f t="shared" si="5"/>
        <v>L</v>
      </c>
      <c r="D123" s="9" t="s">
        <v>985</v>
      </c>
      <c r="E123" s="10">
        <v>-0.34595605200000001</v>
      </c>
      <c r="F123" s="10">
        <v>-2.5645663999999999E-2</v>
      </c>
      <c r="G123" s="10">
        <v>7.8022189000000006E-2</v>
      </c>
      <c r="H123" s="10" t="s">
        <v>2816</v>
      </c>
    </row>
    <row r="124" spans="1:8" x14ac:dyDescent="0.2">
      <c r="A124" s="10" t="str">
        <f t="shared" si="3"/>
        <v>I</v>
      </c>
      <c r="B124" s="10" t="str">
        <f t="shared" si="4"/>
        <v>1707</v>
      </c>
      <c r="C124" s="10" t="str">
        <f t="shared" si="5"/>
        <v>S</v>
      </c>
      <c r="D124" s="9" t="s">
        <v>986</v>
      </c>
      <c r="E124" s="10">
        <v>-1.21809184775</v>
      </c>
      <c r="F124" s="10">
        <v>-0.73227560525000002</v>
      </c>
      <c r="G124" s="10">
        <v>-2.2950944510000002</v>
      </c>
      <c r="H124" s="10" t="s">
        <v>2827</v>
      </c>
    </row>
    <row r="125" spans="1:8" x14ac:dyDescent="0.2">
      <c r="A125" s="10" t="str">
        <f t="shared" si="3"/>
        <v>I</v>
      </c>
      <c r="B125" s="10" t="str">
        <f t="shared" si="4"/>
        <v>1723</v>
      </c>
      <c r="C125" s="10" t="str">
        <f t="shared" si="5"/>
        <v>F</v>
      </c>
      <c r="D125" s="9" t="s">
        <v>1044</v>
      </c>
      <c r="E125" s="10">
        <v>0.10203662600000001</v>
      </c>
      <c r="F125" s="10">
        <v>-0.10264443500000001</v>
      </c>
      <c r="G125" s="10">
        <v>0.21580829900000001</v>
      </c>
      <c r="H125" s="10" t="s">
        <v>2816</v>
      </c>
    </row>
    <row r="126" spans="1:8" x14ac:dyDescent="0.2">
      <c r="A126" s="10" t="str">
        <f t="shared" si="3"/>
        <v>I</v>
      </c>
      <c r="B126" s="10" t="str">
        <f t="shared" si="4"/>
        <v>1723</v>
      </c>
      <c r="C126" s="10" t="str">
        <f t="shared" si="5"/>
        <v>L</v>
      </c>
      <c r="D126" s="9" t="s">
        <v>1046</v>
      </c>
      <c r="E126" s="10">
        <v>-0.21794146149999999</v>
      </c>
      <c r="F126" s="10">
        <v>3.6463541250000002E-2</v>
      </c>
      <c r="G126" s="10">
        <v>5.4043045999999997E-2</v>
      </c>
      <c r="H126" s="10" t="s">
        <v>2816</v>
      </c>
    </row>
    <row r="127" spans="1:8" x14ac:dyDescent="0.2">
      <c r="A127" s="10" t="str">
        <f t="shared" si="3"/>
        <v>I</v>
      </c>
      <c r="B127" s="10" t="str">
        <f t="shared" si="4"/>
        <v>1723</v>
      </c>
      <c r="C127" s="10" t="str">
        <f t="shared" si="5"/>
        <v>T</v>
      </c>
      <c r="D127" s="9" t="s">
        <v>1048</v>
      </c>
      <c r="E127" s="10">
        <v>0.3350024955</v>
      </c>
      <c r="F127" s="10">
        <v>-3.7056858249999998E-2</v>
      </c>
      <c r="G127" s="10">
        <v>0.35514563799999999</v>
      </c>
      <c r="H127" s="10" t="s">
        <v>2816</v>
      </c>
    </row>
    <row r="128" spans="1:8" x14ac:dyDescent="0.2">
      <c r="A128" s="10" t="str">
        <f t="shared" si="3"/>
        <v>I</v>
      </c>
      <c r="B128" s="10" t="str">
        <f t="shared" si="4"/>
        <v>1760</v>
      </c>
      <c r="C128" s="10" t="str">
        <f t="shared" si="5"/>
        <v>F</v>
      </c>
      <c r="D128" s="9" t="s">
        <v>1230</v>
      </c>
      <c r="E128" s="10">
        <v>-0.25584066025000002</v>
      </c>
      <c r="F128" s="10">
        <v>-0.15122230475000001</v>
      </c>
      <c r="G128" s="10">
        <v>-0.896258271</v>
      </c>
      <c r="H128" s="10" t="s">
        <v>2786</v>
      </c>
    </row>
    <row r="129" spans="1:8" x14ac:dyDescent="0.2">
      <c r="A129" s="10" t="str">
        <f t="shared" si="3"/>
        <v>I</v>
      </c>
      <c r="B129" s="10" t="str">
        <f t="shared" si="4"/>
        <v>1760</v>
      </c>
      <c r="C129" s="10" t="str">
        <f t="shared" si="5"/>
        <v>L</v>
      </c>
      <c r="D129" s="9" t="s">
        <v>1232</v>
      </c>
      <c r="E129" s="10">
        <v>0.20799061475</v>
      </c>
      <c r="F129" s="10">
        <v>-0.13543738399999999</v>
      </c>
      <c r="G129" s="10">
        <v>-0.19278806900000001</v>
      </c>
      <c r="H129" s="10" t="s">
        <v>2816</v>
      </c>
    </row>
    <row r="130" spans="1:8" x14ac:dyDescent="0.2">
      <c r="A130" s="10" t="str">
        <f t="shared" si="3"/>
        <v>I</v>
      </c>
      <c r="B130" s="10" t="str">
        <f t="shared" si="4"/>
        <v>1760</v>
      </c>
      <c r="C130" s="10" t="str">
        <f t="shared" si="5"/>
        <v>S</v>
      </c>
      <c r="D130" s="9" t="s">
        <v>1233</v>
      </c>
      <c r="E130" s="10">
        <v>-1.4594277382500001</v>
      </c>
      <c r="F130" s="10">
        <v>-1.5592709462500001</v>
      </c>
      <c r="G130" s="10">
        <v>-2.2711269860000001</v>
      </c>
      <c r="H130" s="10" t="s">
        <v>2827</v>
      </c>
    </row>
    <row r="131" spans="1:8" x14ac:dyDescent="0.2">
      <c r="A131" s="10" t="str">
        <f t="shared" ref="A131:A194" si="6">LEFT(D131,1)</f>
        <v>I</v>
      </c>
      <c r="B131" s="10" t="str">
        <f t="shared" ref="B131:B194" si="7">RIGHT(LEFT(D131,5),4)</f>
        <v>1760</v>
      </c>
      <c r="C131" s="10" t="str">
        <f t="shared" ref="C131:C194" si="8">RIGHT(D131,1)</f>
        <v>T</v>
      </c>
      <c r="D131" s="9" t="s">
        <v>1234</v>
      </c>
      <c r="E131" s="10">
        <v>-0.44511935000000002</v>
      </c>
      <c r="F131" s="10">
        <v>-0.73398417275000005</v>
      </c>
      <c r="G131" s="10">
        <v>-2.605287949</v>
      </c>
      <c r="H131" s="10" t="s">
        <v>2827</v>
      </c>
    </row>
    <row r="132" spans="1:8" x14ac:dyDescent="0.2">
      <c r="A132" s="10" t="str">
        <f t="shared" si="6"/>
        <v>I</v>
      </c>
      <c r="B132" s="10" t="str">
        <f t="shared" si="7"/>
        <v>1760</v>
      </c>
      <c r="C132" s="10" t="str">
        <f t="shared" si="8"/>
        <v>V</v>
      </c>
      <c r="D132" s="9" t="s">
        <v>1235</v>
      </c>
      <c r="E132" s="10">
        <v>5.4790544500000003E-2</v>
      </c>
      <c r="F132" s="10">
        <v>0.43792446699999998</v>
      </c>
      <c r="G132" s="10">
        <v>-0.19869276799999999</v>
      </c>
      <c r="H132" s="10" t="s">
        <v>2816</v>
      </c>
    </row>
    <row r="133" spans="1:8" x14ac:dyDescent="0.2">
      <c r="A133" s="10" t="str">
        <f t="shared" si="6"/>
        <v>I</v>
      </c>
      <c r="B133" s="10" t="str">
        <f t="shared" si="7"/>
        <v>1766</v>
      </c>
      <c r="C133" s="10" t="str">
        <f t="shared" si="8"/>
        <v>L</v>
      </c>
      <c r="D133" s="9" t="s">
        <v>1267</v>
      </c>
      <c r="E133" s="10">
        <v>8.5515578250000002E-2</v>
      </c>
      <c r="F133" s="10">
        <v>-0.32962501975000003</v>
      </c>
      <c r="G133" s="10">
        <v>0.27541115500000002</v>
      </c>
      <c r="H133" s="10" t="s">
        <v>2816</v>
      </c>
    </row>
    <row r="134" spans="1:8" x14ac:dyDescent="0.2">
      <c r="A134" s="10" t="str">
        <f t="shared" si="6"/>
        <v>I</v>
      </c>
      <c r="B134" s="10" t="str">
        <f t="shared" si="7"/>
        <v>1766</v>
      </c>
      <c r="C134" s="10" t="str">
        <f t="shared" si="8"/>
        <v>M</v>
      </c>
      <c r="D134" s="9" t="s">
        <v>1268</v>
      </c>
      <c r="E134" s="10">
        <v>6.4802080250000005E-2</v>
      </c>
      <c r="F134" s="10">
        <v>0.3460365755</v>
      </c>
      <c r="G134" s="10">
        <v>-0.314915848</v>
      </c>
      <c r="H134" s="10" t="s">
        <v>2816</v>
      </c>
    </row>
    <row r="135" spans="1:8" x14ac:dyDescent="0.2">
      <c r="A135" s="10" t="str">
        <f t="shared" si="6"/>
        <v>I</v>
      </c>
      <c r="B135" s="10" t="str">
        <f t="shared" si="7"/>
        <v>1766</v>
      </c>
      <c r="C135" s="10" t="str">
        <f t="shared" si="8"/>
        <v>S</v>
      </c>
      <c r="D135" s="9" t="s">
        <v>1270</v>
      </c>
      <c r="E135" s="10">
        <v>-2.1100677714999998</v>
      </c>
      <c r="F135" s="10">
        <v>-1.8181649989999999</v>
      </c>
      <c r="G135" s="10">
        <v>-1.8322684010000001</v>
      </c>
      <c r="H135" s="10" t="s">
        <v>2827</v>
      </c>
    </row>
    <row r="136" spans="1:8" x14ac:dyDescent="0.2">
      <c r="A136" s="10" t="str">
        <f t="shared" si="6"/>
        <v>I</v>
      </c>
      <c r="B136" s="10" t="str">
        <f t="shared" si="7"/>
        <v>1766</v>
      </c>
      <c r="C136" s="10" t="str">
        <f t="shared" si="8"/>
        <v>T</v>
      </c>
      <c r="D136" s="9" t="s">
        <v>1271</v>
      </c>
      <c r="E136" s="10">
        <v>-0.77416121000000004</v>
      </c>
      <c r="F136" s="10">
        <v>-0.54618267625000005</v>
      </c>
      <c r="G136" s="10">
        <v>-2.2726768810000002</v>
      </c>
      <c r="H136" s="10" t="s">
        <v>2827</v>
      </c>
    </row>
    <row r="137" spans="1:8" x14ac:dyDescent="0.2">
      <c r="A137" s="10" t="str">
        <f t="shared" si="6"/>
        <v>I</v>
      </c>
      <c r="B137" s="10" t="str">
        <f t="shared" si="7"/>
        <v>1766</v>
      </c>
      <c r="C137" s="10" t="str">
        <f t="shared" si="8"/>
        <v>V</v>
      </c>
      <c r="D137" s="9" t="s">
        <v>1272</v>
      </c>
      <c r="E137" s="10">
        <v>0.31284878875</v>
      </c>
      <c r="F137" s="10">
        <v>-0.53242223150000001</v>
      </c>
      <c r="G137" s="10">
        <v>-2.7999827000000001E-2</v>
      </c>
      <c r="H137" s="10" t="s">
        <v>2816</v>
      </c>
    </row>
    <row r="138" spans="1:8" x14ac:dyDescent="0.2">
      <c r="A138" s="10" t="str">
        <f t="shared" si="6"/>
        <v>I</v>
      </c>
      <c r="B138" s="10" t="str">
        <f t="shared" si="7"/>
        <v>1824</v>
      </c>
      <c r="C138" s="10" t="str">
        <f t="shared" si="8"/>
        <v>M</v>
      </c>
      <c r="D138" s="9" t="s">
        <v>1755</v>
      </c>
      <c r="E138" s="10">
        <v>-4.0441820750000003E-2</v>
      </c>
      <c r="F138" s="10">
        <v>-0.31453256299999999</v>
      </c>
      <c r="G138" s="10">
        <v>-2.078019786</v>
      </c>
      <c r="H138" s="10" t="s">
        <v>2827</v>
      </c>
    </row>
    <row r="139" spans="1:8" x14ac:dyDescent="0.2">
      <c r="A139" s="10" t="str">
        <f t="shared" si="6"/>
        <v>I</v>
      </c>
      <c r="B139" s="10" t="str">
        <f t="shared" si="7"/>
        <v>1824</v>
      </c>
      <c r="C139" s="10" t="str">
        <f t="shared" si="8"/>
        <v>T</v>
      </c>
      <c r="D139" s="9" t="s">
        <v>1759</v>
      </c>
      <c r="E139" s="10">
        <v>-4.7597842500000001E-2</v>
      </c>
      <c r="F139" s="10">
        <v>0.23888129075</v>
      </c>
      <c r="G139" s="10">
        <v>-0.52808496000000005</v>
      </c>
      <c r="H139" s="10" t="s">
        <v>2816</v>
      </c>
    </row>
    <row r="140" spans="1:8" x14ac:dyDescent="0.2">
      <c r="A140" s="10" t="str">
        <f t="shared" si="6"/>
        <v>I</v>
      </c>
      <c r="B140" s="10" t="str">
        <f t="shared" si="7"/>
        <v>1855</v>
      </c>
      <c r="C140" s="10" t="str">
        <f t="shared" si="8"/>
        <v>K</v>
      </c>
      <c r="D140" s="9" t="s">
        <v>2060</v>
      </c>
      <c r="E140" s="10">
        <v>-2.42598975E-3</v>
      </c>
      <c r="F140" s="10">
        <v>-0.18192183475000001</v>
      </c>
      <c r="G140" s="10">
        <v>-0.86384389500000003</v>
      </c>
      <c r="H140" s="10" t="s">
        <v>2786</v>
      </c>
    </row>
    <row r="141" spans="1:8" x14ac:dyDescent="0.2">
      <c r="A141" s="10" t="str">
        <f t="shared" si="6"/>
        <v>I</v>
      </c>
      <c r="B141" s="10" t="str">
        <f t="shared" si="7"/>
        <v>1855</v>
      </c>
      <c r="C141" s="10" t="str">
        <f t="shared" si="8"/>
        <v>L</v>
      </c>
      <c r="D141" s="9" t="s">
        <v>2061</v>
      </c>
      <c r="E141" s="10">
        <v>-0.18987797349999999</v>
      </c>
      <c r="F141" s="10">
        <v>0.12582031175</v>
      </c>
      <c r="G141" s="10">
        <v>7.6317659999999999E-3</v>
      </c>
      <c r="H141" s="10" t="s">
        <v>2816</v>
      </c>
    </row>
    <row r="142" spans="1:8" x14ac:dyDescent="0.2">
      <c r="A142" s="10" t="str">
        <f t="shared" si="6"/>
        <v>I</v>
      </c>
      <c r="B142" s="10" t="str">
        <f t="shared" si="7"/>
        <v>1855</v>
      </c>
      <c r="C142" s="10" t="str">
        <f t="shared" si="8"/>
        <v>M</v>
      </c>
      <c r="D142" s="9" t="s">
        <v>2062</v>
      </c>
      <c r="E142" s="10">
        <v>-9.9133344499999998E-2</v>
      </c>
      <c r="F142" s="10">
        <v>-6.4195601500000005E-2</v>
      </c>
      <c r="G142" s="10">
        <v>2.1940861999999998E-2</v>
      </c>
      <c r="H142" s="10" t="s">
        <v>2816</v>
      </c>
    </row>
    <row r="143" spans="1:8" x14ac:dyDescent="0.2">
      <c r="A143" s="10" t="str">
        <f t="shared" si="6"/>
        <v>I</v>
      </c>
      <c r="B143" s="10" t="str">
        <f t="shared" si="7"/>
        <v>1855</v>
      </c>
      <c r="C143" s="10" t="str">
        <f t="shared" si="8"/>
        <v>T</v>
      </c>
      <c r="D143" s="9" t="s">
        <v>2065</v>
      </c>
      <c r="E143" s="10">
        <v>-0.24986475124999999</v>
      </c>
      <c r="F143" s="10">
        <v>-0.24552472575000001</v>
      </c>
      <c r="G143" s="10">
        <v>-0.29151897399999999</v>
      </c>
      <c r="H143" s="10" t="s">
        <v>2816</v>
      </c>
    </row>
    <row r="144" spans="1:8" x14ac:dyDescent="0.2">
      <c r="A144" s="10" t="str">
        <f t="shared" si="6"/>
        <v>I</v>
      </c>
      <c r="B144" s="10" t="str">
        <f t="shared" si="7"/>
        <v>1855</v>
      </c>
      <c r="C144" s="10" t="str">
        <f t="shared" si="8"/>
        <v>V</v>
      </c>
      <c r="D144" s="9" t="s">
        <v>2066</v>
      </c>
      <c r="E144" s="10">
        <v>0.1061178495</v>
      </c>
      <c r="F144" s="10">
        <v>0.62440038175000001</v>
      </c>
      <c r="G144" s="10">
        <v>4.627763E-2</v>
      </c>
      <c r="H144" s="10" t="s">
        <v>2816</v>
      </c>
    </row>
    <row r="145" spans="1:8" x14ac:dyDescent="0.2">
      <c r="A145" s="10" t="str">
        <f t="shared" si="6"/>
        <v>K</v>
      </c>
      <c r="B145" s="10" t="str">
        <f t="shared" si="7"/>
        <v>1636</v>
      </c>
      <c r="C145" s="10" t="str">
        <f t="shared" si="8"/>
        <v>T</v>
      </c>
      <c r="D145" s="9" t="s">
        <v>571</v>
      </c>
      <c r="E145" s="10">
        <v>-0.15081858375000001</v>
      </c>
      <c r="F145" s="10" t="s">
        <v>76</v>
      </c>
      <c r="G145" s="10">
        <v>1.1965819000000001E-2</v>
      </c>
      <c r="H145" s="10" t="s">
        <v>2816</v>
      </c>
    </row>
    <row r="146" spans="1:8" x14ac:dyDescent="0.2">
      <c r="A146" s="10" t="str">
        <f t="shared" si="6"/>
        <v>K</v>
      </c>
      <c r="B146" s="10" t="str">
        <f t="shared" si="7"/>
        <v>1648</v>
      </c>
      <c r="C146" s="10" t="str">
        <f t="shared" si="8"/>
        <v>Q</v>
      </c>
      <c r="D146" s="9" t="s">
        <v>634</v>
      </c>
      <c r="E146" s="10">
        <v>-4.4096391749999998E-2</v>
      </c>
      <c r="F146" s="10" t="s">
        <v>76</v>
      </c>
      <c r="G146" s="10">
        <v>-0.24992858000000001</v>
      </c>
      <c r="H146" s="10" t="s">
        <v>2816</v>
      </c>
    </row>
    <row r="147" spans="1:8" x14ac:dyDescent="0.2">
      <c r="A147" s="10" t="str">
        <f t="shared" si="6"/>
        <v>K</v>
      </c>
      <c r="B147" s="10" t="str">
        <f t="shared" si="7"/>
        <v>1690</v>
      </c>
      <c r="C147" s="10" t="str">
        <f t="shared" si="8"/>
        <v>I</v>
      </c>
      <c r="D147" s="9" t="s">
        <v>905</v>
      </c>
      <c r="E147" s="10">
        <v>-0.27424252449999997</v>
      </c>
      <c r="F147" s="10">
        <v>-0.58558589024999996</v>
      </c>
      <c r="G147" s="10">
        <v>-1.1558022130000001</v>
      </c>
      <c r="H147" s="10" t="s">
        <v>2786</v>
      </c>
    </row>
    <row r="148" spans="1:8" x14ac:dyDescent="0.2">
      <c r="A148" s="10" t="str">
        <f t="shared" si="6"/>
        <v>K</v>
      </c>
      <c r="B148" s="10" t="str">
        <f t="shared" si="7"/>
        <v>1711</v>
      </c>
      <c r="C148" s="10" t="str">
        <f t="shared" si="8"/>
        <v>N</v>
      </c>
      <c r="D148" s="9" t="s">
        <v>1002</v>
      </c>
      <c r="E148" s="10">
        <v>-4.94934135E-2</v>
      </c>
      <c r="F148" s="10">
        <v>-0.62942912875000001</v>
      </c>
      <c r="G148" s="10">
        <v>3.4980990000000003E-2</v>
      </c>
      <c r="H148" s="10" t="s">
        <v>2816</v>
      </c>
    </row>
    <row r="149" spans="1:8" x14ac:dyDescent="0.2">
      <c r="A149" s="10" t="str">
        <f t="shared" si="6"/>
        <v>K</v>
      </c>
      <c r="B149" s="10" t="str">
        <f t="shared" si="7"/>
        <v>1711</v>
      </c>
      <c r="C149" s="10" t="str">
        <f t="shared" si="8"/>
        <v>T</v>
      </c>
      <c r="D149" s="9" t="s">
        <v>1004</v>
      </c>
      <c r="E149" s="10">
        <v>-0.104556265</v>
      </c>
      <c r="F149" s="10">
        <v>-0.30049112374999998</v>
      </c>
      <c r="G149" s="10">
        <v>-8.693213E-3</v>
      </c>
      <c r="H149" s="10" t="s">
        <v>2816</v>
      </c>
    </row>
    <row r="150" spans="1:8" x14ac:dyDescent="0.2">
      <c r="A150" s="10" t="str">
        <f t="shared" si="6"/>
        <v>K</v>
      </c>
      <c r="B150" s="10" t="str">
        <f t="shared" si="7"/>
        <v>1724</v>
      </c>
      <c r="C150" s="10" t="str">
        <f t="shared" si="8"/>
        <v>N</v>
      </c>
      <c r="D150" s="9" t="s">
        <v>1050</v>
      </c>
      <c r="E150" s="10">
        <v>-0.10357013850000001</v>
      </c>
      <c r="F150" s="10">
        <v>-5.1768125749999998E-2</v>
      </c>
      <c r="G150" s="10">
        <v>-0.183082511</v>
      </c>
      <c r="H150" s="10" t="s">
        <v>2816</v>
      </c>
    </row>
    <row r="151" spans="1:8" x14ac:dyDescent="0.2">
      <c r="A151" s="10" t="str">
        <f t="shared" si="6"/>
        <v>K</v>
      </c>
      <c r="B151" s="10" t="str">
        <f t="shared" si="7"/>
        <v>1727</v>
      </c>
      <c r="C151" s="10" t="str">
        <f t="shared" si="8"/>
        <v>N</v>
      </c>
      <c r="D151" s="9" t="s">
        <v>1060</v>
      </c>
      <c r="E151" s="10">
        <v>-8.0402937999999993E-2</v>
      </c>
      <c r="F151" s="10">
        <v>-0.16575465950000001</v>
      </c>
      <c r="G151" s="10">
        <v>9.7397032999999994E-2</v>
      </c>
      <c r="H151" s="10" t="s">
        <v>2816</v>
      </c>
    </row>
    <row r="152" spans="1:8" x14ac:dyDescent="0.2">
      <c r="A152" s="10" t="str">
        <f t="shared" si="6"/>
        <v>K</v>
      </c>
      <c r="B152" s="10" t="str">
        <f t="shared" si="7"/>
        <v>1750</v>
      </c>
      <c r="C152" s="10" t="str">
        <f t="shared" si="8"/>
        <v>N</v>
      </c>
      <c r="D152" s="9" t="s">
        <v>1180</v>
      </c>
      <c r="E152" s="10">
        <v>-0.42087653575</v>
      </c>
      <c r="F152" s="10">
        <v>-0.69059590874999999</v>
      </c>
      <c r="G152" s="10">
        <v>-0.53893971100000004</v>
      </c>
      <c r="H152" s="10" t="s">
        <v>2786</v>
      </c>
    </row>
    <row r="153" spans="1:8" x14ac:dyDescent="0.2">
      <c r="A153" s="10" t="str">
        <f t="shared" si="6"/>
        <v>K</v>
      </c>
      <c r="B153" s="10" t="str">
        <f t="shared" si="7"/>
        <v>1750</v>
      </c>
      <c r="C153" s="10" t="str">
        <f t="shared" si="8"/>
        <v>R</v>
      </c>
      <c r="D153" s="9" t="s">
        <v>1182</v>
      </c>
      <c r="E153" s="10">
        <v>9.4270101999999995E-2</v>
      </c>
      <c r="F153" s="10">
        <v>-0.28760250724999997</v>
      </c>
      <c r="G153" s="10">
        <v>0.36494441900000002</v>
      </c>
      <c r="H153" s="10" t="s">
        <v>2816</v>
      </c>
    </row>
    <row r="154" spans="1:8" x14ac:dyDescent="0.2">
      <c r="A154" s="10" t="str">
        <f t="shared" si="6"/>
        <v>K</v>
      </c>
      <c r="B154" s="10" t="str">
        <f t="shared" si="7"/>
        <v>1759</v>
      </c>
      <c r="C154" s="10" t="str">
        <f t="shared" si="8"/>
        <v>M</v>
      </c>
      <c r="D154" s="9" t="s">
        <v>1224</v>
      </c>
      <c r="E154" s="10">
        <v>-0.31108084375</v>
      </c>
      <c r="F154" s="10">
        <v>-0.23995345725</v>
      </c>
      <c r="G154" s="10">
        <v>0.37986440999999999</v>
      </c>
      <c r="H154" s="10" t="s">
        <v>2816</v>
      </c>
    </row>
    <row r="155" spans="1:8" x14ac:dyDescent="0.2">
      <c r="A155" s="10" t="str">
        <f t="shared" si="6"/>
        <v>K</v>
      </c>
      <c r="B155" s="10" t="str">
        <f t="shared" si="7"/>
        <v>1793</v>
      </c>
      <c r="C155" s="10" t="str">
        <f t="shared" si="8"/>
        <v>Q</v>
      </c>
      <c r="D155" s="9" t="s">
        <v>1508</v>
      </c>
      <c r="E155" s="10">
        <v>0.27498434849999998</v>
      </c>
      <c r="F155" s="10">
        <v>0.49865564725</v>
      </c>
      <c r="G155" s="10">
        <v>0.190832525</v>
      </c>
      <c r="H155" s="10" t="s">
        <v>2816</v>
      </c>
    </row>
    <row r="156" spans="1:8" x14ac:dyDescent="0.2">
      <c r="A156" s="10" t="str">
        <f t="shared" si="6"/>
        <v>L</v>
      </c>
      <c r="B156" s="10" t="str">
        <f t="shared" si="7"/>
        <v>1639</v>
      </c>
      <c r="C156" s="10" t="str">
        <f t="shared" si="8"/>
        <v>V</v>
      </c>
      <c r="D156" s="9" t="s">
        <v>588</v>
      </c>
      <c r="E156" s="10">
        <v>0.18567578125</v>
      </c>
      <c r="F156" s="10" t="s">
        <v>76</v>
      </c>
      <c r="G156" s="10">
        <v>0.98567887200000004</v>
      </c>
      <c r="H156" s="10" t="s">
        <v>2816</v>
      </c>
    </row>
    <row r="157" spans="1:8" x14ac:dyDescent="0.2">
      <c r="A157" s="10" t="str">
        <f t="shared" si="6"/>
        <v>L</v>
      </c>
      <c r="B157" s="10" t="str">
        <f t="shared" si="7"/>
        <v>1657</v>
      </c>
      <c r="C157" s="10" t="str">
        <f t="shared" si="8"/>
        <v>R</v>
      </c>
      <c r="D157" s="9" t="s">
        <v>702</v>
      </c>
      <c r="E157" s="10">
        <v>-1.1869304837500001</v>
      </c>
      <c r="F157" s="10" t="s">
        <v>76</v>
      </c>
      <c r="G157" s="10">
        <v>-1.646806019</v>
      </c>
      <c r="H157" s="10" t="s">
        <v>2827</v>
      </c>
    </row>
    <row r="158" spans="1:8" x14ac:dyDescent="0.2">
      <c r="A158" s="10" t="str">
        <f t="shared" si="6"/>
        <v>L</v>
      </c>
      <c r="B158" s="10" t="str">
        <f t="shared" si="7"/>
        <v>1705</v>
      </c>
      <c r="C158" s="10" t="str">
        <f t="shared" si="8"/>
        <v>I</v>
      </c>
      <c r="D158" s="9" t="s">
        <v>978</v>
      </c>
      <c r="E158" s="10">
        <v>9.3196669250000003E-2</v>
      </c>
      <c r="F158" s="10">
        <v>0.30261488025</v>
      </c>
      <c r="G158" s="10">
        <v>-0.13488130300000001</v>
      </c>
      <c r="H158" s="10" t="s">
        <v>2816</v>
      </c>
    </row>
    <row r="159" spans="1:8" x14ac:dyDescent="0.2">
      <c r="A159" s="10" t="str">
        <f t="shared" si="6"/>
        <v>L</v>
      </c>
      <c r="B159" s="10" t="str">
        <f t="shared" si="7"/>
        <v>1705</v>
      </c>
      <c r="C159" s="10" t="str">
        <f t="shared" si="8"/>
        <v>R</v>
      </c>
      <c r="D159" s="9" t="s">
        <v>980</v>
      </c>
      <c r="E159" s="10">
        <v>-0.57849658400000004</v>
      </c>
      <c r="F159" s="10">
        <v>-0.46554854699999998</v>
      </c>
      <c r="G159" s="10">
        <v>-1.174174853</v>
      </c>
      <c r="H159" s="10" t="s">
        <v>2786</v>
      </c>
    </row>
    <row r="160" spans="1:8" x14ac:dyDescent="0.2">
      <c r="A160" s="10" t="str">
        <f t="shared" si="6"/>
        <v>L</v>
      </c>
      <c r="B160" s="10" t="str">
        <f t="shared" si="7"/>
        <v>1764</v>
      </c>
      <c r="C160" s="10" t="str">
        <f t="shared" si="8"/>
        <v>P</v>
      </c>
      <c r="D160" s="9" t="s">
        <v>1257</v>
      </c>
      <c r="E160" s="10">
        <v>-2.0202318507500001</v>
      </c>
      <c r="F160" s="10">
        <v>-1.1098435</v>
      </c>
      <c r="G160" s="10">
        <v>-1.986744563</v>
      </c>
      <c r="H160" s="10" t="s">
        <v>2827</v>
      </c>
    </row>
    <row r="161" spans="1:8" x14ac:dyDescent="0.2">
      <c r="A161" s="10" t="str">
        <f t="shared" si="6"/>
        <v>L</v>
      </c>
      <c r="B161" s="10" t="str">
        <f t="shared" si="7"/>
        <v>1795</v>
      </c>
      <c r="C161" s="10" t="str">
        <f t="shared" si="8"/>
        <v>R</v>
      </c>
      <c r="D161" s="9" t="s">
        <v>1533</v>
      </c>
      <c r="E161" s="10">
        <v>-0.48447828100000001</v>
      </c>
      <c r="F161" s="10">
        <v>0.21758994474999999</v>
      </c>
      <c r="G161" s="10">
        <v>3.2762637999999997E-2</v>
      </c>
      <c r="H161" s="10" t="s">
        <v>2816</v>
      </c>
    </row>
    <row r="162" spans="1:8" x14ac:dyDescent="0.2">
      <c r="A162" s="10" t="str">
        <f t="shared" si="6"/>
        <v>L</v>
      </c>
      <c r="B162" s="10" t="str">
        <f t="shared" si="7"/>
        <v>1839</v>
      </c>
      <c r="C162" s="10" t="str">
        <f t="shared" si="8"/>
        <v>S</v>
      </c>
      <c r="D162" s="9" t="s">
        <v>1920</v>
      </c>
      <c r="E162" s="10">
        <v>-1.0902949737500001</v>
      </c>
      <c r="F162" s="10">
        <v>-0.82959757975000004</v>
      </c>
      <c r="G162" s="10">
        <v>-2.4914438290000001</v>
      </c>
      <c r="H162" s="10" t="s">
        <v>2827</v>
      </c>
    </row>
    <row r="163" spans="1:8" x14ac:dyDescent="0.2">
      <c r="A163" s="10" t="str">
        <f t="shared" si="6"/>
        <v>L</v>
      </c>
      <c r="B163" s="10" t="str">
        <f t="shared" si="7"/>
        <v>1844</v>
      </c>
      <c r="C163" s="10" t="str">
        <f t="shared" si="8"/>
        <v>V</v>
      </c>
      <c r="D163" s="9" t="s">
        <v>1956</v>
      </c>
      <c r="E163" s="10">
        <v>0.16299282000000001</v>
      </c>
      <c r="F163" s="10">
        <v>-0.18364752449999999</v>
      </c>
      <c r="G163" s="10">
        <v>0.196108695</v>
      </c>
      <c r="H163" s="10" t="s">
        <v>2816</v>
      </c>
    </row>
    <row r="164" spans="1:8" x14ac:dyDescent="0.2">
      <c r="A164" s="10" t="str">
        <f t="shared" si="6"/>
        <v>L</v>
      </c>
      <c r="B164" s="10" t="str">
        <f t="shared" si="7"/>
        <v>1850</v>
      </c>
      <c r="C164" s="10" t="str">
        <f t="shared" si="8"/>
        <v>V</v>
      </c>
      <c r="D164" s="9" t="s">
        <v>2020</v>
      </c>
      <c r="E164" s="10">
        <v>5.9161991749999997E-2</v>
      </c>
      <c r="F164" s="10">
        <v>-0.2353806755</v>
      </c>
      <c r="G164" s="10">
        <v>-0.40677149800000001</v>
      </c>
      <c r="H164" s="10" t="s">
        <v>2816</v>
      </c>
    </row>
    <row r="165" spans="1:8" x14ac:dyDescent="0.2">
      <c r="A165" s="10" t="str">
        <f t="shared" si="6"/>
        <v>L</v>
      </c>
      <c r="B165" s="10" t="str">
        <f t="shared" si="7"/>
        <v>1854</v>
      </c>
      <c r="C165" s="10" t="str">
        <f t="shared" si="8"/>
        <v>V</v>
      </c>
      <c r="D165" s="9" t="s">
        <v>2056</v>
      </c>
      <c r="E165" s="10">
        <v>0.40516654475000002</v>
      </c>
      <c r="F165" s="10">
        <v>-8.8417467999999999E-2</v>
      </c>
      <c r="G165" s="10">
        <v>0.15847644</v>
      </c>
      <c r="H165" s="10" t="s">
        <v>2816</v>
      </c>
    </row>
    <row r="166" spans="1:8" x14ac:dyDescent="0.2">
      <c r="A166" s="10" t="str">
        <f t="shared" si="6"/>
        <v>M</v>
      </c>
      <c r="B166" s="10" t="str">
        <f t="shared" si="7"/>
        <v>1650</v>
      </c>
      <c r="C166" s="10" t="str">
        <f t="shared" si="8"/>
        <v>R</v>
      </c>
      <c r="D166" s="9" t="s">
        <v>648</v>
      </c>
      <c r="E166" s="10">
        <v>-0.32108899000000002</v>
      </c>
      <c r="F166" s="10" t="s">
        <v>76</v>
      </c>
      <c r="G166" s="10">
        <v>0.29272442700000001</v>
      </c>
      <c r="H166" s="10" t="s">
        <v>2816</v>
      </c>
    </row>
    <row r="167" spans="1:8" x14ac:dyDescent="0.2">
      <c r="A167" s="10" t="str">
        <f t="shared" si="6"/>
        <v>M</v>
      </c>
      <c r="B167" s="10" t="str">
        <f t="shared" si="7"/>
        <v>1652</v>
      </c>
      <c r="C167" s="10" t="str">
        <f t="shared" si="8"/>
        <v>K</v>
      </c>
      <c r="D167" s="9" t="s">
        <v>655</v>
      </c>
      <c r="E167" s="10">
        <v>-1.1199666344999999</v>
      </c>
      <c r="F167" s="10" t="s">
        <v>76</v>
      </c>
      <c r="G167" s="10">
        <v>-1.532355463</v>
      </c>
      <c r="H167" s="10" t="s">
        <v>2827</v>
      </c>
    </row>
    <row r="168" spans="1:8" x14ac:dyDescent="0.2">
      <c r="A168" s="10" t="str">
        <f t="shared" si="6"/>
        <v>M</v>
      </c>
      <c r="B168" s="10" t="str">
        <f t="shared" si="7"/>
        <v>1652</v>
      </c>
      <c r="C168" s="10" t="str">
        <f t="shared" si="8"/>
        <v>R</v>
      </c>
      <c r="D168" s="9" t="s">
        <v>657</v>
      </c>
      <c r="E168" s="10">
        <v>-1.3696729885000001</v>
      </c>
      <c r="F168" s="10" t="s">
        <v>76</v>
      </c>
      <c r="G168" s="10">
        <v>-1.890501274</v>
      </c>
      <c r="H168" s="10" t="s">
        <v>2827</v>
      </c>
    </row>
    <row r="169" spans="1:8" x14ac:dyDescent="0.2">
      <c r="A169" s="10" t="str">
        <f t="shared" si="6"/>
        <v>M</v>
      </c>
      <c r="B169" s="10" t="str">
        <f t="shared" si="7"/>
        <v>1689</v>
      </c>
      <c r="C169" s="10" t="str">
        <f t="shared" si="8"/>
        <v>L</v>
      </c>
      <c r="D169" s="9" t="s">
        <v>900</v>
      </c>
      <c r="E169" s="10">
        <v>-0.24561340949999999</v>
      </c>
      <c r="F169" s="10">
        <v>-0.87276419949999995</v>
      </c>
      <c r="G169" s="10">
        <v>-0.25810798200000001</v>
      </c>
      <c r="H169" s="10" t="s">
        <v>2816</v>
      </c>
    </row>
    <row r="170" spans="1:8" x14ac:dyDescent="0.2">
      <c r="A170" s="10" t="str">
        <f t="shared" si="6"/>
        <v>M</v>
      </c>
      <c r="B170" s="10" t="str">
        <f t="shared" si="7"/>
        <v>1689</v>
      </c>
      <c r="C170" s="10" t="str">
        <f t="shared" si="8"/>
        <v>T</v>
      </c>
      <c r="D170" s="9" t="s">
        <v>27</v>
      </c>
      <c r="E170" s="10">
        <v>5.8655408999999999E-2</v>
      </c>
      <c r="F170" s="10">
        <v>5.0251010499999998E-2</v>
      </c>
      <c r="G170" s="10">
        <v>4.2316509000000002E-2</v>
      </c>
      <c r="H170" s="10" t="s">
        <v>2816</v>
      </c>
    </row>
    <row r="171" spans="1:8" x14ac:dyDescent="0.2">
      <c r="A171" s="10" t="str">
        <f t="shared" si="6"/>
        <v>M</v>
      </c>
      <c r="B171" s="10" t="str">
        <f t="shared" si="7"/>
        <v>1689</v>
      </c>
      <c r="C171" s="10" t="str">
        <f t="shared" si="8"/>
        <v>V</v>
      </c>
      <c r="D171" s="9" t="s">
        <v>903</v>
      </c>
      <c r="E171" s="10">
        <v>-0.35126702450000002</v>
      </c>
      <c r="F171" s="10">
        <v>-1.2108922249999999E-2</v>
      </c>
      <c r="G171" s="10">
        <v>0.56154040400000005</v>
      </c>
      <c r="H171" s="10" t="s">
        <v>2816</v>
      </c>
    </row>
    <row r="172" spans="1:8" x14ac:dyDescent="0.2">
      <c r="A172" s="10" t="str">
        <f t="shared" si="6"/>
        <v>M</v>
      </c>
      <c r="B172" s="10" t="str">
        <f t="shared" si="7"/>
        <v>1728</v>
      </c>
      <c r="C172" s="10" t="str">
        <f t="shared" si="8"/>
        <v>K</v>
      </c>
      <c r="D172" s="9" t="s">
        <v>1063</v>
      </c>
      <c r="E172" s="10">
        <v>-0.55933123100000004</v>
      </c>
      <c r="F172" s="10">
        <v>-0.52646899650000001</v>
      </c>
      <c r="G172" s="10">
        <v>0.243499453</v>
      </c>
      <c r="H172" s="10" t="s">
        <v>2816</v>
      </c>
    </row>
    <row r="173" spans="1:8" x14ac:dyDescent="0.2">
      <c r="A173" s="10" t="str">
        <f t="shared" si="6"/>
        <v>M</v>
      </c>
      <c r="B173" s="10" t="str">
        <f t="shared" si="7"/>
        <v>1728</v>
      </c>
      <c r="C173" s="10" t="str">
        <f t="shared" si="8"/>
        <v>T</v>
      </c>
      <c r="D173" s="9" t="s">
        <v>47</v>
      </c>
      <c r="E173" s="10">
        <v>-2.2938140439999999</v>
      </c>
      <c r="F173" s="10">
        <v>-0.49326802674999998</v>
      </c>
      <c r="G173" s="10">
        <v>0.164069415</v>
      </c>
      <c r="H173" s="10" t="s">
        <v>2816</v>
      </c>
    </row>
    <row r="174" spans="1:8" x14ac:dyDescent="0.2">
      <c r="A174" s="10" t="str">
        <f t="shared" si="6"/>
        <v>M</v>
      </c>
      <c r="B174" s="10" t="str">
        <f t="shared" si="7"/>
        <v>1728</v>
      </c>
      <c r="C174" s="10" t="str">
        <f t="shared" si="8"/>
        <v>V</v>
      </c>
      <c r="D174" s="9" t="s">
        <v>1066</v>
      </c>
      <c r="E174" s="10">
        <v>-0.10698724125</v>
      </c>
      <c r="F174" s="10">
        <v>-0.40714879674999999</v>
      </c>
      <c r="G174" s="10">
        <v>0.113929224</v>
      </c>
      <c r="H174" s="10" t="s">
        <v>2816</v>
      </c>
    </row>
    <row r="175" spans="1:8" x14ac:dyDescent="0.2">
      <c r="A175" s="10" t="str">
        <f t="shared" si="6"/>
        <v>M</v>
      </c>
      <c r="B175" s="10" t="str">
        <f t="shared" si="7"/>
        <v>1775</v>
      </c>
      <c r="C175" s="10" t="str">
        <f t="shared" si="8"/>
        <v>L</v>
      </c>
      <c r="D175" s="9" t="s">
        <v>1363</v>
      </c>
      <c r="E175" s="10">
        <v>-8.8647035750000006E-2</v>
      </c>
      <c r="F175" s="10">
        <v>-0.24367090499999999</v>
      </c>
      <c r="G175" s="10">
        <v>-0.12612828400000001</v>
      </c>
      <c r="H175" s="10" t="s">
        <v>2816</v>
      </c>
    </row>
    <row r="176" spans="1:8" x14ac:dyDescent="0.2">
      <c r="A176" s="10" t="str">
        <f t="shared" si="6"/>
        <v>M</v>
      </c>
      <c r="B176" s="10" t="str">
        <f t="shared" si="7"/>
        <v>1775</v>
      </c>
      <c r="C176" s="10" t="str">
        <f t="shared" si="8"/>
        <v>T</v>
      </c>
      <c r="D176" s="9" t="s">
        <v>1367</v>
      </c>
      <c r="E176" s="10">
        <v>-0.2379272885</v>
      </c>
      <c r="F176" s="10">
        <v>-0.14607369775000001</v>
      </c>
      <c r="G176" s="10">
        <v>-0.70342620099999997</v>
      </c>
      <c r="H176" s="10" t="s">
        <v>2816</v>
      </c>
    </row>
    <row r="177" spans="1:8" x14ac:dyDescent="0.2">
      <c r="A177" s="10" t="str">
        <f t="shared" si="6"/>
        <v>M</v>
      </c>
      <c r="B177" s="10" t="str">
        <f t="shared" si="7"/>
        <v>1783</v>
      </c>
      <c r="C177" s="10" t="str">
        <f t="shared" si="8"/>
        <v>K</v>
      </c>
      <c r="D177" s="9" t="s">
        <v>1424</v>
      </c>
      <c r="E177" s="10">
        <v>-0.82676442100000003</v>
      </c>
      <c r="F177" s="10">
        <v>-0.91699340375000005</v>
      </c>
      <c r="G177" s="10">
        <v>-1.5123368189999999</v>
      </c>
      <c r="H177" s="10" t="s">
        <v>2827</v>
      </c>
    </row>
    <row r="178" spans="1:8" x14ac:dyDescent="0.2">
      <c r="A178" s="10" t="str">
        <f t="shared" si="6"/>
        <v>M</v>
      </c>
      <c r="B178" s="10" t="str">
        <f t="shared" si="7"/>
        <v>1783</v>
      </c>
      <c r="C178" s="10" t="str">
        <f t="shared" si="8"/>
        <v>L</v>
      </c>
      <c r="D178" s="9" t="s">
        <v>35</v>
      </c>
      <c r="E178" s="10">
        <v>0.22963164975</v>
      </c>
      <c r="F178" s="10">
        <v>5.9777392499999998E-2</v>
      </c>
      <c r="G178" s="10">
        <v>8.7926312000000006E-2</v>
      </c>
      <c r="H178" s="10" t="s">
        <v>2816</v>
      </c>
    </row>
    <row r="179" spans="1:8" x14ac:dyDescent="0.2">
      <c r="A179" s="10" t="str">
        <f t="shared" si="6"/>
        <v>M</v>
      </c>
      <c r="B179" s="10" t="str">
        <f t="shared" si="7"/>
        <v>1783</v>
      </c>
      <c r="C179" s="10" t="str">
        <f t="shared" si="8"/>
        <v>R</v>
      </c>
      <c r="D179" s="9" t="s">
        <v>1427</v>
      </c>
      <c r="E179" s="10">
        <v>-1.1832910665</v>
      </c>
      <c r="F179" s="10">
        <v>-0.83016446675</v>
      </c>
      <c r="G179" s="10">
        <v>-2.1136529550000001</v>
      </c>
      <c r="H179" s="10" t="s">
        <v>2827</v>
      </c>
    </row>
    <row r="180" spans="1:8" x14ac:dyDescent="0.2">
      <c r="A180" s="10" t="str">
        <f t="shared" si="6"/>
        <v>M</v>
      </c>
      <c r="B180" s="10" t="str">
        <f t="shared" si="7"/>
        <v>1783</v>
      </c>
      <c r="C180" s="10" t="str">
        <f t="shared" si="8"/>
        <v>V</v>
      </c>
      <c r="D180" s="9" t="s">
        <v>1429</v>
      </c>
      <c r="E180" s="10">
        <v>0.11296279925</v>
      </c>
      <c r="F180" s="10">
        <v>0.11393953275</v>
      </c>
      <c r="G180" s="10">
        <v>-0.11405249000000001</v>
      </c>
      <c r="H180" s="10" t="s">
        <v>2816</v>
      </c>
    </row>
    <row r="181" spans="1:8" x14ac:dyDescent="0.2">
      <c r="A181" s="10" t="str">
        <f t="shared" si="6"/>
        <v>M</v>
      </c>
      <c r="B181" s="10" t="str">
        <f t="shared" si="7"/>
        <v>1827</v>
      </c>
      <c r="C181" s="10" t="str">
        <f t="shared" si="8"/>
        <v>R</v>
      </c>
      <c r="D181" s="9" t="s">
        <v>1787</v>
      </c>
      <c r="E181" s="10">
        <v>3.6126321500000003E-2</v>
      </c>
      <c r="F181" s="10">
        <v>0.69518474274999997</v>
      </c>
      <c r="G181" s="10">
        <v>-0.24218156900000001</v>
      </c>
      <c r="H181" s="10" t="s">
        <v>2816</v>
      </c>
    </row>
    <row r="182" spans="1:8" x14ac:dyDescent="0.2">
      <c r="A182" s="10" t="str">
        <f t="shared" si="6"/>
        <v>M</v>
      </c>
      <c r="B182" s="10" t="str">
        <f t="shared" si="7"/>
        <v>1827</v>
      </c>
      <c r="C182" s="10" t="str">
        <f t="shared" si="8"/>
        <v>T</v>
      </c>
      <c r="D182" s="9" t="s">
        <v>1788</v>
      </c>
      <c r="E182" s="10">
        <v>0.12616692525000001</v>
      </c>
      <c r="F182" s="10">
        <v>-0.53369645099999996</v>
      </c>
      <c r="G182" s="10">
        <v>6.3026048000000001E-2</v>
      </c>
      <c r="H182" s="10" t="s">
        <v>2816</v>
      </c>
    </row>
    <row r="183" spans="1:8" x14ac:dyDescent="0.2">
      <c r="A183" s="10" t="str">
        <f t="shared" si="6"/>
        <v>M</v>
      </c>
      <c r="B183" s="10" t="str">
        <f t="shared" si="7"/>
        <v>1827</v>
      </c>
      <c r="C183" s="10" t="str">
        <f t="shared" si="8"/>
        <v>V</v>
      </c>
      <c r="D183" s="9" t="s">
        <v>1789</v>
      </c>
      <c r="E183" s="10">
        <v>0.22984563324999999</v>
      </c>
      <c r="F183" s="10">
        <v>-0.115096697</v>
      </c>
      <c r="G183" s="10">
        <v>-0.27679100499999998</v>
      </c>
      <c r="H183" s="10" t="s">
        <v>2816</v>
      </c>
    </row>
    <row r="184" spans="1:8" x14ac:dyDescent="0.2">
      <c r="A184" s="10" t="str">
        <f t="shared" si="6"/>
        <v>N</v>
      </c>
      <c r="B184" s="10" t="str">
        <f t="shared" si="7"/>
        <v>1678</v>
      </c>
      <c r="C184" s="10" t="str">
        <f t="shared" si="8"/>
        <v>S</v>
      </c>
      <c r="D184" s="9" t="s">
        <v>850</v>
      </c>
      <c r="E184" s="10">
        <v>-1.317371675E-2</v>
      </c>
      <c r="F184" s="10">
        <v>0.46104327950000001</v>
      </c>
      <c r="G184" s="10">
        <v>0.20296889700000001</v>
      </c>
      <c r="H184" s="10" t="s">
        <v>2816</v>
      </c>
    </row>
    <row r="185" spans="1:8" x14ac:dyDescent="0.2">
      <c r="A185" s="10" t="str">
        <f t="shared" si="6"/>
        <v>N</v>
      </c>
      <c r="B185" s="10" t="str">
        <f t="shared" si="7"/>
        <v>1742</v>
      </c>
      <c r="C185" s="10" t="str">
        <f t="shared" si="8"/>
        <v>I</v>
      </c>
      <c r="D185" s="9" t="s">
        <v>1128</v>
      </c>
      <c r="E185" s="10">
        <v>9.5332327999999994E-2</v>
      </c>
      <c r="F185" s="10">
        <v>-0.82768326074999998</v>
      </c>
      <c r="G185" s="10">
        <v>-0.34111635099999998</v>
      </c>
      <c r="H185" s="10" t="s">
        <v>2816</v>
      </c>
    </row>
    <row r="186" spans="1:8" x14ac:dyDescent="0.2">
      <c r="A186" s="10" t="str">
        <f t="shared" si="6"/>
        <v>N</v>
      </c>
      <c r="B186" s="10" t="str">
        <f t="shared" si="7"/>
        <v>1742</v>
      </c>
      <c r="C186" s="10" t="str">
        <f t="shared" si="8"/>
        <v>K</v>
      </c>
      <c r="D186" s="9" t="s">
        <v>1129</v>
      </c>
      <c r="E186" s="10">
        <v>-3.5588128250000003E-2</v>
      </c>
      <c r="F186" s="10">
        <v>0.15562647700000001</v>
      </c>
      <c r="G186" s="10">
        <v>0.208955011</v>
      </c>
      <c r="H186" s="10" t="s">
        <v>2816</v>
      </c>
    </row>
    <row r="187" spans="1:8" x14ac:dyDescent="0.2">
      <c r="A187" s="10" t="str">
        <f t="shared" si="6"/>
        <v>N</v>
      </c>
      <c r="B187" s="10" t="str">
        <f t="shared" si="7"/>
        <v>1742</v>
      </c>
      <c r="C187" s="10" t="str">
        <f t="shared" si="8"/>
        <v>S</v>
      </c>
      <c r="D187" s="9" t="s">
        <v>1134</v>
      </c>
      <c r="E187" s="10">
        <v>-0.37920339125000002</v>
      </c>
      <c r="F187" s="10">
        <v>0.241007791</v>
      </c>
      <c r="G187" s="10">
        <v>6.7229340999999998E-2</v>
      </c>
      <c r="H187" s="10" t="s">
        <v>2816</v>
      </c>
    </row>
    <row r="188" spans="1:8" x14ac:dyDescent="0.2">
      <c r="A188" s="10" t="str">
        <f t="shared" si="6"/>
        <v>N</v>
      </c>
      <c r="B188" s="10" t="str">
        <f t="shared" si="7"/>
        <v>1742</v>
      </c>
      <c r="C188" s="10" t="str">
        <f t="shared" si="8"/>
        <v>T</v>
      </c>
      <c r="D188" s="9" t="s">
        <v>1135</v>
      </c>
      <c r="E188" s="10">
        <v>-7.7860031750000003E-2</v>
      </c>
      <c r="F188" s="10">
        <v>-0.30125842549999998</v>
      </c>
      <c r="G188" s="10">
        <v>0.20615038999999999</v>
      </c>
      <c r="H188" s="10" t="s">
        <v>2816</v>
      </c>
    </row>
    <row r="189" spans="1:8" x14ac:dyDescent="0.2">
      <c r="A189" s="10" t="str">
        <f t="shared" si="6"/>
        <v>N</v>
      </c>
      <c r="B189" s="10" t="str">
        <f t="shared" si="7"/>
        <v>1745</v>
      </c>
      <c r="C189" s="10" t="str">
        <f t="shared" si="8"/>
        <v>I</v>
      </c>
      <c r="D189" s="9" t="s">
        <v>1158</v>
      </c>
      <c r="E189" s="10">
        <v>-0.16712757850000001</v>
      </c>
      <c r="F189" s="10">
        <v>-7.6902450000000005E-4</v>
      </c>
      <c r="G189" s="10">
        <v>0.51927199099999999</v>
      </c>
      <c r="H189" s="10" t="s">
        <v>2816</v>
      </c>
    </row>
    <row r="190" spans="1:8" x14ac:dyDescent="0.2">
      <c r="A190" s="10" t="str">
        <f t="shared" si="6"/>
        <v>N</v>
      </c>
      <c r="B190" s="10" t="str">
        <f t="shared" si="7"/>
        <v>1774</v>
      </c>
      <c r="C190" s="10" t="str">
        <f t="shared" si="8"/>
        <v>S</v>
      </c>
      <c r="D190" s="9" t="s">
        <v>1358</v>
      </c>
      <c r="E190" s="10">
        <v>-2.2559167500000001E-2</v>
      </c>
      <c r="F190" s="10">
        <v>-0.302846055</v>
      </c>
      <c r="G190" s="10">
        <v>-0.108641712</v>
      </c>
      <c r="H190" s="10" t="s">
        <v>2816</v>
      </c>
    </row>
    <row r="191" spans="1:8" x14ac:dyDescent="0.2">
      <c r="A191" s="10" t="str">
        <f t="shared" si="6"/>
        <v>N</v>
      </c>
      <c r="B191" s="10" t="str">
        <f t="shared" si="7"/>
        <v>1819</v>
      </c>
      <c r="C191" s="10" t="str">
        <f t="shared" si="8"/>
        <v>K</v>
      </c>
      <c r="D191" s="9" t="s">
        <v>1714</v>
      </c>
      <c r="E191" s="10">
        <v>0.32964368150000001</v>
      </c>
      <c r="F191" s="10">
        <v>-0.15594431775000001</v>
      </c>
      <c r="G191" s="10">
        <v>-0.15910170200000001</v>
      </c>
      <c r="H191" s="10" t="s">
        <v>2816</v>
      </c>
    </row>
    <row r="192" spans="1:8" x14ac:dyDescent="0.2">
      <c r="A192" s="10" t="str">
        <f t="shared" si="6"/>
        <v>N</v>
      </c>
      <c r="B192" s="10" t="str">
        <f t="shared" si="7"/>
        <v>1819</v>
      </c>
      <c r="C192" s="10" t="str">
        <f t="shared" si="8"/>
        <v>T</v>
      </c>
      <c r="D192" s="9" t="s">
        <v>1720</v>
      </c>
      <c r="E192" s="10">
        <v>0.47719646874999999</v>
      </c>
      <c r="F192" s="10">
        <v>2.7352123749999999E-2</v>
      </c>
      <c r="G192" s="10">
        <v>-0.27950293399999998</v>
      </c>
      <c r="H192" s="10" t="s">
        <v>2816</v>
      </c>
    </row>
    <row r="193" spans="1:8" x14ac:dyDescent="0.2">
      <c r="A193" s="10" t="str">
        <f t="shared" si="6"/>
        <v>P</v>
      </c>
      <c r="B193" s="10" t="str">
        <f t="shared" si="7"/>
        <v>1659</v>
      </c>
      <c r="C193" s="10" t="str">
        <f t="shared" si="8"/>
        <v>A</v>
      </c>
      <c r="D193" s="9" t="s">
        <v>715</v>
      </c>
      <c r="E193" s="10">
        <v>-0.15268341725000001</v>
      </c>
      <c r="F193" s="10" t="s">
        <v>76</v>
      </c>
      <c r="G193" s="10">
        <v>0.28409581</v>
      </c>
      <c r="H193" s="10" t="s">
        <v>2816</v>
      </c>
    </row>
    <row r="194" spans="1:8" x14ac:dyDescent="0.2">
      <c r="A194" s="10" t="str">
        <f t="shared" si="6"/>
        <v>P</v>
      </c>
      <c r="B194" s="10" t="str">
        <f t="shared" si="7"/>
        <v>1659</v>
      </c>
      <c r="C194" s="10" t="str">
        <f t="shared" si="8"/>
        <v>L</v>
      </c>
      <c r="D194" s="9" t="s">
        <v>717</v>
      </c>
      <c r="E194" s="10">
        <v>-0.30768068300000001</v>
      </c>
      <c r="F194" s="10" t="s">
        <v>76</v>
      </c>
      <c r="G194" s="10">
        <v>0.23193907799999999</v>
      </c>
      <c r="H194" s="10" t="s">
        <v>2816</v>
      </c>
    </row>
    <row r="195" spans="1:8" x14ac:dyDescent="0.2">
      <c r="A195" s="10" t="str">
        <f t="shared" ref="A195:A258" si="9">LEFT(D195,1)</f>
        <v>P</v>
      </c>
      <c r="B195" s="10" t="str">
        <f t="shared" ref="B195:B258" si="10">RIGHT(LEFT(D195,5),4)</f>
        <v>1659</v>
      </c>
      <c r="C195" s="10" t="str">
        <f t="shared" ref="C195:C258" si="11">RIGHT(D195,1)</f>
        <v>R</v>
      </c>
      <c r="D195" s="9" t="s">
        <v>718</v>
      </c>
      <c r="E195" s="10">
        <v>-0.28904352974999997</v>
      </c>
      <c r="F195" s="10" t="s">
        <v>76</v>
      </c>
      <c r="G195" s="10">
        <v>0.13328146699999999</v>
      </c>
      <c r="H195" s="10" t="s">
        <v>2816</v>
      </c>
    </row>
    <row r="196" spans="1:8" x14ac:dyDescent="0.2">
      <c r="A196" s="10" t="str">
        <f t="shared" si="9"/>
        <v>P</v>
      </c>
      <c r="B196" s="10" t="str">
        <f t="shared" si="10"/>
        <v>1659</v>
      </c>
      <c r="C196" s="10" t="str">
        <f t="shared" si="11"/>
        <v>S</v>
      </c>
      <c r="D196" s="9" t="s">
        <v>719</v>
      </c>
      <c r="E196" s="10">
        <v>0.146336103</v>
      </c>
      <c r="F196" s="10" t="s">
        <v>76</v>
      </c>
      <c r="G196" s="10">
        <v>0.35256332200000001</v>
      </c>
      <c r="H196" s="10" t="s">
        <v>2816</v>
      </c>
    </row>
    <row r="197" spans="1:8" x14ac:dyDescent="0.2">
      <c r="A197" s="10" t="str">
        <f t="shared" si="9"/>
        <v>P</v>
      </c>
      <c r="B197" s="10" t="str">
        <f t="shared" si="10"/>
        <v>1659</v>
      </c>
      <c r="C197" s="10" t="str">
        <f t="shared" si="11"/>
        <v>T</v>
      </c>
      <c r="D197" s="9" t="s">
        <v>720</v>
      </c>
      <c r="E197" s="10">
        <v>-1.6815172749999999E-2</v>
      </c>
      <c r="F197" s="10" t="s">
        <v>76</v>
      </c>
      <c r="G197" s="10">
        <v>0.62900994300000002</v>
      </c>
      <c r="H197" s="10" t="s">
        <v>2816</v>
      </c>
    </row>
    <row r="198" spans="1:8" x14ac:dyDescent="0.2">
      <c r="A198" s="10" t="str">
        <f t="shared" si="9"/>
        <v>P</v>
      </c>
      <c r="B198" s="10" t="str">
        <f t="shared" si="10"/>
        <v>1749</v>
      </c>
      <c r="C198" s="10" t="str">
        <f t="shared" si="11"/>
        <v>L</v>
      </c>
      <c r="D198" s="9" t="s">
        <v>1175</v>
      </c>
      <c r="E198" s="10">
        <v>-1.2184214735000001</v>
      </c>
      <c r="F198" s="10">
        <v>-0.89719898725000002</v>
      </c>
      <c r="G198" s="10">
        <v>-2.0915189390000002</v>
      </c>
      <c r="H198" s="10" t="s">
        <v>2827</v>
      </c>
    </row>
    <row r="199" spans="1:8" x14ac:dyDescent="0.2">
      <c r="A199" s="10" t="str">
        <f t="shared" si="9"/>
        <v>P</v>
      </c>
      <c r="B199" s="10" t="str">
        <f t="shared" si="10"/>
        <v>1749</v>
      </c>
      <c r="C199" s="10" t="str">
        <f t="shared" si="11"/>
        <v>S</v>
      </c>
      <c r="D199" s="9" t="s">
        <v>1177</v>
      </c>
      <c r="E199" s="10">
        <v>-0.83785594674999997</v>
      </c>
      <c r="F199" s="10">
        <v>-0.415429889</v>
      </c>
      <c r="G199" s="10">
        <v>-1.44884667</v>
      </c>
      <c r="H199" s="10" t="s">
        <v>2827</v>
      </c>
    </row>
    <row r="200" spans="1:8" x14ac:dyDescent="0.2">
      <c r="A200" s="10" t="str">
        <f t="shared" si="9"/>
        <v>P</v>
      </c>
      <c r="B200" s="10" t="str">
        <f t="shared" si="10"/>
        <v>1771</v>
      </c>
      <c r="C200" s="10" t="str">
        <f t="shared" si="11"/>
        <v>A</v>
      </c>
      <c r="D200" s="9" t="s">
        <v>1317</v>
      </c>
      <c r="E200" s="10">
        <v>-0.2991574515</v>
      </c>
      <c r="F200" s="10">
        <v>-0.22776811750000001</v>
      </c>
      <c r="G200" s="10">
        <v>-0.66059706500000004</v>
      </c>
      <c r="H200" s="10" t="s">
        <v>2816</v>
      </c>
    </row>
    <row r="201" spans="1:8" x14ac:dyDescent="0.2">
      <c r="A201" s="10" t="str">
        <f t="shared" si="9"/>
        <v>P</v>
      </c>
      <c r="B201" s="10" t="str">
        <f t="shared" si="10"/>
        <v>1771</v>
      </c>
      <c r="C201" s="10" t="str">
        <f t="shared" si="11"/>
        <v>L</v>
      </c>
      <c r="D201" s="9" t="s">
        <v>1322</v>
      </c>
      <c r="E201" s="10">
        <v>0.28379169100000001</v>
      </c>
      <c r="F201" s="10">
        <v>-3.8217248250000002E-2</v>
      </c>
      <c r="G201" s="10">
        <v>-0.70844845199999995</v>
      </c>
      <c r="H201" s="10" t="s">
        <v>2816</v>
      </c>
    </row>
    <row r="202" spans="1:8" x14ac:dyDescent="0.2">
      <c r="A202" s="10" t="str">
        <f t="shared" si="9"/>
        <v>P</v>
      </c>
      <c r="B202" s="10" t="str">
        <f t="shared" si="10"/>
        <v>1771</v>
      </c>
      <c r="C202" s="10" t="str">
        <f t="shared" si="11"/>
        <v>T</v>
      </c>
      <c r="D202" s="9" t="s">
        <v>1326</v>
      </c>
      <c r="E202" s="10">
        <v>3.5154866999999999E-2</v>
      </c>
      <c r="F202" s="10">
        <v>-0.15281900374999999</v>
      </c>
      <c r="G202" s="10">
        <v>-0.58252640700000002</v>
      </c>
      <c r="H202" s="10" t="s">
        <v>2816</v>
      </c>
    </row>
    <row r="203" spans="1:8" x14ac:dyDescent="0.2">
      <c r="A203" s="10" t="str">
        <f t="shared" si="9"/>
        <v>P</v>
      </c>
      <c r="B203" s="10" t="str">
        <f t="shared" si="10"/>
        <v>1776</v>
      </c>
      <c r="C203" s="10" t="str">
        <f t="shared" si="11"/>
        <v>H</v>
      </c>
      <c r="D203" s="9" t="s">
        <v>1370</v>
      </c>
      <c r="E203" s="10">
        <v>4.4316947000000002E-2</v>
      </c>
      <c r="F203" s="10">
        <v>0.53593085250000005</v>
      </c>
      <c r="G203" s="10">
        <v>0.33209738500000002</v>
      </c>
      <c r="H203" s="10" t="s">
        <v>2816</v>
      </c>
    </row>
    <row r="204" spans="1:8" x14ac:dyDescent="0.2">
      <c r="A204" s="10" t="str">
        <f t="shared" si="9"/>
        <v>P</v>
      </c>
      <c r="B204" s="10" t="str">
        <f t="shared" si="10"/>
        <v>1776</v>
      </c>
      <c r="C204" s="10" t="str">
        <f t="shared" si="11"/>
        <v>T</v>
      </c>
      <c r="D204" s="9" t="s">
        <v>1375</v>
      </c>
      <c r="E204" s="10">
        <v>0.27173512350000001</v>
      </c>
      <c r="F204" s="10">
        <v>8.5230648749999999E-2</v>
      </c>
      <c r="G204" s="10">
        <v>-0.151370595</v>
      </c>
      <c r="H204" s="10" t="s">
        <v>2816</v>
      </c>
    </row>
    <row r="205" spans="1:8" x14ac:dyDescent="0.2">
      <c r="A205" s="10" t="str">
        <f t="shared" si="9"/>
        <v>P</v>
      </c>
      <c r="B205" s="10" t="str">
        <f t="shared" si="10"/>
        <v>1806</v>
      </c>
      <c r="C205" s="10" t="str">
        <f t="shared" si="11"/>
        <v>A</v>
      </c>
      <c r="D205" s="9" t="s">
        <v>1612</v>
      </c>
      <c r="E205" s="10">
        <v>1.69157365E-2</v>
      </c>
      <c r="F205" s="10">
        <v>-0.62111754649999995</v>
      </c>
      <c r="G205" s="10">
        <v>9.8106711999999999E-2</v>
      </c>
      <c r="H205" s="10" t="s">
        <v>2816</v>
      </c>
    </row>
    <row r="206" spans="1:8" x14ac:dyDescent="0.2">
      <c r="A206" s="10" t="str">
        <f t="shared" si="9"/>
        <v>P</v>
      </c>
      <c r="B206" s="10" t="str">
        <f t="shared" si="10"/>
        <v>1806</v>
      </c>
      <c r="C206" s="10" t="str">
        <f t="shared" si="11"/>
        <v>L</v>
      </c>
      <c r="D206" s="9" t="s">
        <v>1615</v>
      </c>
      <c r="E206" s="10">
        <v>0.21971128375000001</v>
      </c>
      <c r="F206" s="10">
        <v>5.3634729749999999E-2</v>
      </c>
      <c r="G206" s="10">
        <v>-0.20381749399999999</v>
      </c>
      <c r="H206" s="10" t="s">
        <v>2816</v>
      </c>
    </row>
    <row r="207" spans="1:8" x14ac:dyDescent="0.2">
      <c r="A207" s="10" t="str">
        <f t="shared" si="9"/>
        <v>P</v>
      </c>
      <c r="B207" s="10" t="str">
        <f t="shared" si="10"/>
        <v>1812</v>
      </c>
      <c r="C207" s="10" t="str">
        <f t="shared" si="11"/>
        <v>L</v>
      </c>
      <c r="D207" s="9" t="s">
        <v>1660</v>
      </c>
      <c r="E207" s="10">
        <v>6.83634125E-3</v>
      </c>
      <c r="F207" s="10">
        <v>0.27560217050000002</v>
      </c>
      <c r="G207" s="10">
        <v>-0.76533460099999995</v>
      </c>
      <c r="H207" s="10" t="s">
        <v>2786</v>
      </c>
    </row>
    <row r="208" spans="1:8" x14ac:dyDescent="0.2">
      <c r="A208" s="10" t="str">
        <f t="shared" si="9"/>
        <v>P</v>
      </c>
      <c r="B208" s="10" t="str">
        <f t="shared" si="10"/>
        <v>1831</v>
      </c>
      <c r="C208" s="10" t="str">
        <f t="shared" si="11"/>
        <v>R</v>
      </c>
      <c r="D208" s="9" t="s">
        <v>1831</v>
      </c>
      <c r="E208" s="10">
        <v>-9.1507163249999995E-2</v>
      </c>
      <c r="F208" s="10" t="s">
        <v>76</v>
      </c>
      <c r="G208" s="10">
        <v>-0.33352913499999998</v>
      </c>
      <c r="H208" s="10" t="s">
        <v>2816</v>
      </c>
    </row>
    <row r="209" spans="1:8" x14ac:dyDescent="0.2">
      <c r="A209" s="10" t="str">
        <f t="shared" si="9"/>
        <v>P</v>
      </c>
      <c r="B209" s="10" t="str">
        <f t="shared" si="10"/>
        <v>1831</v>
      </c>
      <c r="C209" s="10" t="str">
        <f t="shared" si="11"/>
        <v>S</v>
      </c>
      <c r="D209" s="9" t="s">
        <v>1832</v>
      </c>
      <c r="E209" s="10">
        <v>0.22454071075000001</v>
      </c>
      <c r="F209" s="10">
        <v>4.6027422999999998E-2</v>
      </c>
      <c r="G209" s="10">
        <v>-0.20851694800000001</v>
      </c>
      <c r="H209" s="10" t="s">
        <v>2816</v>
      </c>
    </row>
    <row r="210" spans="1:8" x14ac:dyDescent="0.2">
      <c r="A210" s="10" t="str">
        <f t="shared" si="9"/>
        <v>P</v>
      </c>
      <c r="B210" s="10" t="str">
        <f t="shared" si="10"/>
        <v>1831</v>
      </c>
      <c r="C210" s="10" t="str">
        <f t="shared" si="11"/>
        <v>T</v>
      </c>
      <c r="D210" s="9" t="s">
        <v>67</v>
      </c>
      <c r="E210" s="10">
        <v>-0.85289469725</v>
      </c>
      <c r="F210" s="10">
        <v>-0.73536290950000005</v>
      </c>
      <c r="G210" s="10">
        <v>-1.4992897999999999E-2</v>
      </c>
      <c r="H210" s="10" t="s">
        <v>2816</v>
      </c>
    </row>
    <row r="211" spans="1:8" x14ac:dyDescent="0.2">
      <c r="A211" s="10" t="str">
        <f t="shared" si="9"/>
        <v>Q</v>
      </c>
      <c r="B211" s="10" t="str">
        <f t="shared" si="10"/>
        <v>1721</v>
      </c>
      <c r="C211" s="10" t="str">
        <f t="shared" si="11"/>
        <v>K</v>
      </c>
      <c r="D211" s="9" t="s">
        <v>1040</v>
      </c>
      <c r="E211" s="10">
        <v>0.13463951525000001</v>
      </c>
      <c r="F211" s="10">
        <v>0.32710818149999998</v>
      </c>
      <c r="G211" s="10">
        <v>-8.4770790000000002E-3</v>
      </c>
      <c r="H211" s="10" t="s">
        <v>2816</v>
      </c>
    </row>
    <row r="212" spans="1:8" x14ac:dyDescent="0.2">
      <c r="A212" s="10" t="str">
        <f t="shared" si="9"/>
        <v>Q</v>
      </c>
      <c r="B212" s="10" t="str">
        <f t="shared" si="10"/>
        <v>1747</v>
      </c>
      <c r="C212" s="10" t="str">
        <f t="shared" si="11"/>
        <v>H</v>
      </c>
      <c r="D212" s="9" t="s">
        <v>1165</v>
      </c>
      <c r="E212" s="10">
        <v>-0.17811284475</v>
      </c>
      <c r="F212" s="10">
        <v>-0.47783263650000002</v>
      </c>
      <c r="G212" s="10">
        <v>0.13080508599999999</v>
      </c>
      <c r="H212" s="10" t="s">
        <v>2816</v>
      </c>
    </row>
    <row r="213" spans="1:8" x14ac:dyDescent="0.2">
      <c r="A213" s="10" t="str">
        <f t="shared" si="9"/>
        <v>Q</v>
      </c>
      <c r="B213" s="10" t="str">
        <f t="shared" si="10"/>
        <v>1747</v>
      </c>
      <c r="C213" s="10" t="str">
        <f t="shared" si="11"/>
        <v>L</v>
      </c>
      <c r="D213" s="9" t="s">
        <v>1167</v>
      </c>
      <c r="E213" s="10">
        <v>-0.16096613000000001</v>
      </c>
      <c r="F213" s="10">
        <v>0.12528220849999999</v>
      </c>
      <c r="G213" s="10">
        <v>0.16118459500000001</v>
      </c>
      <c r="H213" s="10" t="s">
        <v>2816</v>
      </c>
    </row>
    <row r="214" spans="1:8" x14ac:dyDescent="0.2">
      <c r="A214" s="10" t="str">
        <f t="shared" si="9"/>
        <v>Q</v>
      </c>
      <c r="B214" s="10" t="str">
        <f t="shared" si="10"/>
        <v>1747</v>
      </c>
      <c r="C214" s="10" t="str">
        <f t="shared" si="11"/>
        <v>P</v>
      </c>
      <c r="D214" s="9" t="s">
        <v>56</v>
      </c>
      <c r="E214" s="10">
        <v>-0.82680942999999996</v>
      </c>
      <c r="F214" s="10">
        <v>-0.95447677949999998</v>
      </c>
      <c r="G214" s="10">
        <v>-2.1052084290000002</v>
      </c>
      <c r="H214" s="10" t="s">
        <v>2827</v>
      </c>
    </row>
    <row r="215" spans="1:8" x14ac:dyDescent="0.2">
      <c r="A215" s="10" t="str">
        <f t="shared" si="9"/>
        <v>Q</v>
      </c>
      <c r="B215" s="10" t="str">
        <f t="shared" si="10"/>
        <v>1756</v>
      </c>
      <c r="C215" s="10" t="str">
        <f t="shared" si="11"/>
        <v>L</v>
      </c>
      <c r="D215" s="9" t="s">
        <v>1204</v>
      </c>
      <c r="E215" s="10">
        <v>0.16314545</v>
      </c>
      <c r="F215" s="10">
        <v>7.0894608499999998E-2</v>
      </c>
      <c r="G215" s="10">
        <v>0.41898060599999998</v>
      </c>
      <c r="H215" s="10" t="s">
        <v>2816</v>
      </c>
    </row>
    <row r="216" spans="1:8" x14ac:dyDescent="0.2">
      <c r="A216" s="10" t="str">
        <f t="shared" si="9"/>
        <v>Q</v>
      </c>
      <c r="B216" s="10" t="str">
        <f t="shared" si="10"/>
        <v>1756</v>
      </c>
      <c r="C216" s="10" t="str">
        <f t="shared" si="11"/>
        <v>R</v>
      </c>
      <c r="D216" s="9" t="s">
        <v>1207</v>
      </c>
      <c r="E216" s="10">
        <v>-3.6604744500000001E-2</v>
      </c>
      <c r="F216" s="10">
        <v>-0.1392748925</v>
      </c>
      <c r="G216" s="10">
        <v>0.26061444</v>
      </c>
      <c r="H216" s="10" t="s">
        <v>2816</v>
      </c>
    </row>
    <row r="217" spans="1:8" x14ac:dyDescent="0.2">
      <c r="A217" s="10" t="str">
        <f t="shared" si="9"/>
        <v>Q</v>
      </c>
      <c r="B217" s="10" t="str">
        <f t="shared" si="10"/>
        <v>1785</v>
      </c>
      <c r="C217" s="10" t="str">
        <f t="shared" si="11"/>
        <v>L</v>
      </c>
      <c r="D217" s="9" t="s">
        <v>1440</v>
      </c>
      <c r="E217" s="10">
        <v>2.1948364500000001E-2</v>
      </c>
      <c r="F217" s="10">
        <v>-0.27323361925</v>
      </c>
      <c r="G217" s="10">
        <v>6.4799706999999998E-2</v>
      </c>
      <c r="H217" s="10" t="s">
        <v>2816</v>
      </c>
    </row>
    <row r="218" spans="1:8" x14ac:dyDescent="0.2">
      <c r="A218" s="10" t="str">
        <f t="shared" si="9"/>
        <v>Q</v>
      </c>
      <c r="B218" s="10" t="str">
        <f t="shared" si="10"/>
        <v>1811</v>
      </c>
      <c r="C218" s="10" t="str">
        <f t="shared" si="11"/>
        <v>E</v>
      </c>
      <c r="D218" s="9" t="s">
        <v>1649</v>
      </c>
      <c r="E218" s="10">
        <v>0.22974138875</v>
      </c>
      <c r="F218" s="10">
        <v>0.42456820774999998</v>
      </c>
      <c r="G218" s="10">
        <v>-7.6575852E-2</v>
      </c>
      <c r="H218" s="10" t="s">
        <v>2816</v>
      </c>
    </row>
    <row r="219" spans="1:8" x14ac:dyDescent="0.2">
      <c r="A219" s="10" t="str">
        <f t="shared" si="9"/>
        <v>Q</v>
      </c>
      <c r="B219" s="10" t="str">
        <f t="shared" si="10"/>
        <v>1811</v>
      </c>
      <c r="C219" s="10" t="str">
        <f t="shared" si="11"/>
        <v>L</v>
      </c>
      <c r="D219" s="9" t="s">
        <v>1651</v>
      </c>
      <c r="E219" s="10">
        <v>-0.35246741799999998</v>
      </c>
      <c r="F219" s="10">
        <v>-0.56482280274999996</v>
      </c>
      <c r="G219" s="10">
        <v>-3.420158147</v>
      </c>
      <c r="H219" s="10" t="s">
        <v>2827</v>
      </c>
    </row>
    <row r="220" spans="1:8" x14ac:dyDescent="0.2">
      <c r="A220" s="10" t="str">
        <f t="shared" si="9"/>
        <v>Q</v>
      </c>
      <c r="B220" s="10" t="str">
        <f t="shared" si="10"/>
        <v>1811</v>
      </c>
      <c r="C220" s="10" t="str">
        <f t="shared" si="11"/>
        <v>R</v>
      </c>
      <c r="D220" s="9" t="s">
        <v>1654</v>
      </c>
      <c r="E220" s="10">
        <v>-0.83979072774999997</v>
      </c>
      <c r="F220" s="10">
        <v>-1.3041932755000001</v>
      </c>
      <c r="G220" s="10">
        <v>-1.7115021859999999</v>
      </c>
      <c r="H220" s="10" t="s">
        <v>2827</v>
      </c>
    </row>
    <row r="221" spans="1:8" x14ac:dyDescent="0.2">
      <c r="A221" s="10" t="str">
        <f t="shared" si="9"/>
        <v>Q</v>
      </c>
      <c r="B221" s="10" t="str">
        <f t="shared" si="10"/>
        <v>1826</v>
      </c>
      <c r="C221" s="10" t="str">
        <f t="shared" si="11"/>
        <v>P</v>
      </c>
      <c r="D221" s="9" t="s">
        <v>1774</v>
      </c>
      <c r="E221" s="10">
        <v>0.33063656600000002</v>
      </c>
      <c r="F221" s="10">
        <v>-0.21481962925</v>
      </c>
      <c r="G221" s="10">
        <v>-3.2405705999999999E-2</v>
      </c>
      <c r="H221" s="10" t="s">
        <v>2816</v>
      </c>
    </row>
    <row r="222" spans="1:8" x14ac:dyDescent="0.2">
      <c r="A222" s="10" t="str">
        <f t="shared" si="9"/>
        <v>Q</v>
      </c>
      <c r="B222" s="10" t="str">
        <f t="shared" si="10"/>
        <v>1826</v>
      </c>
      <c r="C222" s="10" t="str">
        <f t="shared" si="11"/>
        <v>R</v>
      </c>
      <c r="D222" s="9" t="s">
        <v>1775</v>
      </c>
      <c r="E222" s="10">
        <v>1.5912797249999999E-2</v>
      </c>
      <c r="F222" s="10">
        <v>-0.16588650899999999</v>
      </c>
      <c r="G222" s="10">
        <v>3.8512569000000003E-2</v>
      </c>
      <c r="H222" s="10" t="s">
        <v>2816</v>
      </c>
    </row>
    <row r="223" spans="1:8" x14ac:dyDescent="0.2">
      <c r="A223" s="10" t="str">
        <f t="shared" si="9"/>
        <v>Q</v>
      </c>
      <c r="B223" s="10" t="str">
        <f t="shared" si="10"/>
        <v>1846</v>
      </c>
      <c r="C223" s="10" t="str">
        <f t="shared" si="11"/>
        <v>L</v>
      </c>
      <c r="D223" s="9" t="s">
        <v>1976</v>
      </c>
      <c r="E223" s="10">
        <v>-7.4755391249999997E-2</v>
      </c>
      <c r="F223" s="10">
        <v>-0.71628838849999998</v>
      </c>
      <c r="G223" s="10">
        <v>9.8458144999999997E-2</v>
      </c>
      <c r="H223" s="10" t="s">
        <v>2816</v>
      </c>
    </row>
    <row r="224" spans="1:8" x14ac:dyDescent="0.2">
      <c r="A224" s="10" t="str">
        <f t="shared" si="9"/>
        <v>Q</v>
      </c>
      <c r="B224" s="10" t="str">
        <f t="shared" si="10"/>
        <v>1846</v>
      </c>
      <c r="C224" s="10" t="str">
        <f t="shared" si="11"/>
        <v>P</v>
      </c>
      <c r="D224" s="9" t="s">
        <v>1978</v>
      </c>
      <c r="E224" s="10">
        <v>-0.98444382875000003</v>
      </c>
      <c r="F224" s="10">
        <v>-0.83148680750000004</v>
      </c>
      <c r="G224" s="10">
        <v>-1.9660891069999999</v>
      </c>
      <c r="H224" s="10" t="s">
        <v>2827</v>
      </c>
    </row>
    <row r="225" spans="1:8" x14ac:dyDescent="0.2">
      <c r="A225" s="10" t="str">
        <f t="shared" si="9"/>
        <v>Q</v>
      </c>
      <c r="B225" s="10" t="str">
        <f t="shared" si="10"/>
        <v>1846</v>
      </c>
      <c r="C225" s="10" t="str">
        <f t="shared" si="11"/>
        <v>R</v>
      </c>
      <c r="D225" s="9" t="s">
        <v>1979</v>
      </c>
      <c r="E225" s="10">
        <v>3.1272769249999999E-2</v>
      </c>
      <c r="F225" s="10">
        <v>-6.1610442750000001E-2</v>
      </c>
      <c r="G225" s="10">
        <v>0.28015391899999997</v>
      </c>
      <c r="H225" s="10" t="s">
        <v>2816</v>
      </c>
    </row>
    <row r="226" spans="1:8" x14ac:dyDescent="0.2">
      <c r="A226" s="10" t="str">
        <f t="shared" si="9"/>
        <v>Q</v>
      </c>
      <c r="B226" s="10" t="str">
        <f t="shared" si="10"/>
        <v>1848</v>
      </c>
      <c r="C226" s="10" t="str">
        <f t="shared" si="11"/>
        <v>E</v>
      </c>
      <c r="D226" s="9" t="s">
        <v>1995</v>
      </c>
      <c r="E226" s="10">
        <v>0.36548882849999997</v>
      </c>
      <c r="F226" s="10">
        <v>7.9576790499999994E-2</v>
      </c>
      <c r="G226" s="10">
        <v>-0.35307361199999998</v>
      </c>
      <c r="H226" s="10" t="s">
        <v>2816</v>
      </c>
    </row>
    <row r="227" spans="1:8" x14ac:dyDescent="0.2">
      <c r="A227" s="10" t="str">
        <f t="shared" si="9"/>
        <v>R</v>
      </c>
      <c r="B227" s="10" t="str">
        <f t="shared" si="10"/>
        <v>1634</v>
      </c>
      <c r="C227" s="10" t="str">
        <f t="shared" si="11"/>
        <v>G</v>
      </c>
      <c r="D227" s="9" t="s">
        <v>553</v>
      </c>
      <c r="E227" s="10">
        <v>-0.36111092500000003</v>
      </c>
      <c r="F227" s="10" t="s">
        <v>76</v>
      </c>
      <c r="G227" s="10">
        <v>0.51929294699999995</v>
      </c>
      <c r="H227" s="10" t="s">
        <v>2816</v>
      </c>
    </row>
    <row r="228" spans="1:8" x14ac:dyDescent="0.2">
      <c r="A228" s="10" t="str">
        <f t="shared" si="9"/>
        <v>R</v>
      </c>
      <c r="B228" s="10" t="str">
        <f t="shared" si="10"/>
        <v>1634</v>
      </c>
      <c r="C228" s="10" t="str">
        <f t="shared" si="11"/>
        <v>K</v>
      </c>
      <c r="D228" s="9" t="s">
        <v>555</v>
      </c>
      <c r="E228" s="10">
        <v>-6.7257453250000002E-2</v>
      </c>
      <c r="F228" s="10" t="s">
        <v>76</v>
      </c>
      <c r="G228" s="10">
        <v>0.26876759900000002</v>
      </c>
      <c r="H228" s="10" t="s">
        <v>2816</v>
      </c>
    </row>
    <row r="229" spans="1:8" x14ac:dyDescent="0.2">
      <c r="A229" s="10" t="str">
        <f t="shared" si="9"/>
        <v>R</v>
      </c>
      <c r="B229" s="10" t="str">
        <f t="shared" si="10"/>
        <v>1645</v>
      </c>
      <c r="C229" s="10" t="str">
        <f t="shared" si="11"/>
        <v>S</v>
      </c>
      <c r="D229" s="9" t="s">
        <v>620</v>
      </c>
      <c r="E229" s="10">
        <v>-8.9796303250000001E-2</v>
      </c>
      <c r="F229" s="10" t="s">
        <v>76</v>
      </c>
      <c r="G229" s="10">
        <v>-8.7002131999999996E-2</v>
      </c>
      <c r="H229" s="10" t="s">
        <v>2816</v>
      </c>
    </row>
    <row r="230" spans="1:8" x14ac:dyDescent="0.2">
      <c r="A230" s="10" t="str">
        <f t="shared" si="9"/>
        <v>R</v>
      </c>
      <c r="B230" s="10" t="str">
        <f t="shared" si="10"/>
        <v>1649</v>
      </c>
      <c r="C230" s="10" t="str">
        <f t="shared" si="11"/>
        <v>G</v>
      </c>
      <c r="D230" s="9" t="s">
        <v>641</v>
      </c>
      <c r="E230" s="10">
        <v>9.0983191000000005E-2</v>
      </c>
      <c r="F230" s="10" t="s">
        <v>76</v>
      </c>
      <c r="G230" s="10">
        <v>0.52223165100000002</v>
      </c>
      <c r="H230" s="10" t="s">
        <v>2816</v>
      </c>
    </row>
    <row r="231" spans="1:8" x14ac:dyDescent="0.2">
      <c r="A231" s="10" t="str">
        <f t="shared" si="9"/>
        <v>R</v>
      </c>
      <c r="B231" s="10" t="str">
        <f t="shared" si="10"/>
        <v>1670</v>
      </c>
      <c r="C231" s="10" t="str">
        <f t="shared" si="11"/>
        <v>I</v>
      </c>
      <c r="D231" s="9" t="s">
        <v>794</v>
      </c>
      <c r="E231" s="10">
        <v>8.4382622500000004E-2</v>
      </c>
      <c r="F231" s="10" t="s">
        <v>76</v>
      </c>
      <c r="G231" s="10">
        <v>-0.45816345400000003</v>
      </c>
      <c r="H231" s="10" t="s">
        <v>2816</v>
      </c>
    </row>
    <row r="232" spans="1:8" x14ac:dyDescent="0.2">
      <c r="A232" s="10" t="str">
        <f t="shared" si="9"/>
        <v>R</v>
      </c>
      <c r="B232" s="10" t="str">
        <f t="shared" si="10"/>
        <v>1699</v>
      </c>
      <c r="C232" s="10" t="str">
        <f t="shared" si="11"/>
        <v>L</v>
      </c>
      <c r="D232" s="9" t="s">
        <v>956</v>
      </c>
      <c r="E232" s="10">
        <v>-1.0322389654999999</v>
      </c>
      <c r="F232" s="10">
        <v>-0.98073055774999995</v>
      </c>
      <c r="G232" s="10">
        <v>-1.555941912</v>
      </c>
      <c r="H232" s="10" t="s">
        <v>2827</v>
      </c>
    </row>
    <row r="233" spans="1:8" x14ac:dyDescent="0.2">
      <c r="A233" s="10" t="str">
        <f t="shared" si="9"/>
        <v>R</v>
      </c>
      <c r="B233" s="10" t="str">
        <f t="shared" si="10"/>
        <v>1699</v>
      </c>
      <c r="C233" s="10" t="str">
        <f t="shared" si="11"/>
        <v>P</v>
      </c>
      <c r="D233" s="9" t="s">
        <v>957</v>
      </c>
      <c r="E233" s="10">
        <v>-0.98539547800000005</v>
      </c>
      <c r="F233" s="10">
        <v>-1.0683647835000001</v>
      </c>
      <c r="G233" s="10">
        <v>-1.5485225389999999</v>
      </c>
      <c r="H233" s="10" t="s">
        <v>2827</v>
      </c>
    </row>
    <row r="234" spans="1:8" x14ac:dyDescent="0.2">
      <c r="A234" s="10" t="str">
        <f t="shared" si="9"/>
        <v>R</v>
      </c>
      <c r="B234" s="10" t="str">
        <f t="shared" si="10"/>
        <v>1726</v>
      </c>
      <c r="C234" s="10" t="str">
        <f t="shared" si="11"/>
        <v>I</v>
      </c>
      <c r="D234" s="9" t="s">
        <v>1056</v>
      </c>
      <c r="E234" s="10">
        <v>-0.31238907049999998</v>
      </c>
      <c r="F234" s="10" t="s">
        <v>76</v>
      </c>
      <c r="G234" s="10">
        <v>-0.31370872300000002</v>
      </c>
      <c r="H234" s="10" t="s">
        <v>2816</v>
      </c>
    </row>
    <row r="235" spans="1:8" x14ac:dyDescent="0.2">
      <c r="A235" s="10" t="str">
        <f t="shared" si="9"/>
        <v>R</v>
      </c>
      <c r="B235" s="10" t="str">
        <f t="shared" si="10"/>
        <v>1726</v>
      </c>
      <c r="C235" s="10" t="str">
        <f t="shared" si="11"/>
        <v>T</v>
      </c>
      <c r="D235" s="9" t="s">
        <v>1058</v>
      </c>
      <c r="E235" s="10">
        <v>-5.939444025E-2</v>
      </c>
      <c r="F235" s="10">
        <v>0.1331810215</v>
      </c>
      <c r="G235" s="10">
        <v>-0.108020882</v>
      </c>
      <c r="H235" s="10" t="s">
        <v>2816</v>
      </c>
    </row>
    <row r="236" spans="1:8" x14ac:dyDescent="0.2">
      <c r="A236" s="10" t="str">
        <f t="shared" si="9"/>
        <v>R</v>
      </c>
      <c r="B236" s="10" t="str">
        <f t="shared" si="10"/>
        <v>1737</v>
      </c>
      <c r="C236" s="10" t="str">
        <f t="shared" si="11"/>
        <v>T</v>
      </c>
      <c r="D236" s="9" t="s">
        <v>1101</v>
      </c>
      <c r="E236" s="10">
        <v>-1.04535905E-2</v>
      </c>
      <c r="F236" s="10">
        <v>-0.34269862950000002</v>
      </c>
      <c r="G236" s="10">
        <v>-2.9514156E-2</v>
      </c>
      <c r="H236" s="10" t="s">
        <v>2816</v>
      </c>
    </row>
    <row r="237" spans="1:8" x14ac:dyDescent="0.2">
      <c r="A237" s="10" t="str">
        <f t="shared" si="9"/>
        <v>R</v>
      </c>
      <c r="B237" s="10" t="str">
        <f t="shared" si="10"/>
        <v>1744</v>
      </c>
      <c r="C237" s="10" t="str">
        <f t="shared" si="11"/>
        <v>G</v>
      </c>
      <c r="D237" s="9" t="s">
        <v>1150</v>
      </c>
      <c r="E237" s="10">
        <v>-0.13858064875000001</v>
      </c>
      <c r="F237" s="10">
        <v>0.13395383050000001</v>
      </c>
      <c r="G237" s="10">
        <v>-2.6914798E-2</v>
      </c>
      <c r="H237" s="10" t="s">
        <v>2816</v>
      </c>
    </row>
    <row r="238" spans="1:8" x14ac:dyDescent="0.2">
      <c r="A238" s="10" t="str">
        <f t="shared" si="9"/>
        <v>R</v>
      </c>
      <c r="B238" s="10" t="str">
        <f t="shared" si="10"/>
        <v>1744</v>
      </c>
      <c r="C238" s="10" t="str">
        <f t="shared" si="11"/>
        <v>K</v>
      </c>
      <c r="D238" s="9" t="s">
        <v>1151</v>
      </c>
      <c r="E238" s="10">
        <v>-1.0204921892500001</v>
      </c>
      <c r="F238" s="10">
        <v>-0.41972498575</v>
      </c>
      <c r="G238" s="10">
        <v>0.21732441899999999</v>
      </c>
      <c r="H238" s="10" t="s">
        <v>2816</v>
      </c>
    </row>
    <row r="239" spans="1:8" x14ac:dyDescent="0.2">
      <c r="A239" s="10" t="str">
        <f t="shared" si="9"/>
        <v>R</v>
      </c>
      <c r="B239" s="10" t="str">
        <f t="shared" si="10"/>
        <v>1744</v>
      </c>
      <c r="C239" s="10" t="str">
        <f t="shared" si="11"/>
        <v>S</v>
      </c>
      <c r="D239" s="9" t="s">
        <v>1154</v>
      </c>
      <c r="E239" s="10">
        <v>-0.11342966</v>
      </c>
      <c r="F239" s="10">
        <v>1.4091151499999999E-2</v>
      </c>
      <c r="G239" s="10">
        <v>7.2088264999999999E-2</v>
      </c>
      <c r="H239" s="10" t="s">
        <v>2816</v>
      </c>
    </row>
    <row r="240" spans="1:8" x14ac:dyDescent="0.2">
      <c r="A240" s="10" t="str">
        <f t="shared" si="9"/>
        <v>R</v>
      </c>
      <c r="B240" s="10" t="str">
        <f t="shared" si="10"/>
        <v>1751</v>
      </c>
      <c r="C240" s="10" t="str">
        <f t="shared" si="11"/>
        <v>L</v>
      </c>
      <c r="D240" s="9" t="s">
        <v>1184</v>
      </c>
      <c r="E240" s="10">
        <v>-4.36203665E-2</v>
      </c>
      <c r="F240" s="10">
        <v>-1.110824275E-2</v>
      </c>
      <c r="G240" s="10">
        <v>-0.37191869999999999</v>
      </c>
      <c r="H240" s="10" t="s">
        <v>2816</v>
      </c>
    </row>
    <row r="241" spans="1:8" x14ac:dyDescent="0.2">
      <c r="A241" s="10" t="str">
        <f t="shared" si="9"/>
        <v>R</v>
      </c>
      <c r="B241" s="10" t="str">
        <f t="shared" si="10"/>
        <v>1751</v>
      </c>
      <c r="C241" s="10" t="str">
        <f t="shared" si="11"/>
        <v>P</v>
      </c>
      <c r="D241" s="9" t="s">
        <v>1185</v>
      </c>
      <c r="E241" s="10">
        <v>-1.64855681925</v>
      </c>
      <c r="F241" s="10">
        <v>-1.31565635525</v>
      </c>
      <c r="G241" s="10">
        <v>-2.860787068</v>
      </c>
      <c r="H241" s="10" t="s">
        <v>2827</v>
      </c>
    </row>
    <row r="242" spans="1:8" x14ac:dyDescent="0.2">
      <c r="A242" s="10" t="str">
        <f t="shared" si="9"/>
        <v>R</v>
      </c>
      <c r="B242" s="10" t="str">
        <f t="shared" si="10"/>
        <v>1758</v>
      </c>
      <c r="C242" s="10" t="str">
        <f t="shared" si="11"/>
        <v>I</v>
      </c>
      <c r="D242" s="9" t="s">
        <v>1219</v>
      </c>
      <c r="E242" s="10">
        <v>2.5848125749999999E-2</v>
      </c>
      <c r="F242" s="10">
        <v>-0.29495601399999999</v>
      </c>
      <c r="G242" s="10">
        <v>-0.17008340499999999</v>
      </c>
      <c r="H242" s="10" t="s">
        <v>2816</v>
      </c>
    </row>
    <row r="243" spans="1:8" x14ac:dyDescent="0.2">
      <c r="A243" s="10" t="str">
        <f t="shared" si="9"/>
        <v>R</v>
      </c>
      <c r="B243" s="10" t="str">
        <f t="shared" si="10"/>
        <v>1758</v>
      </c>
      <c r="C243" s="10" t="str">
        <f t="shared" si="11"/>
        <v>T</v>
      </c>
      <c r="D243" s="9" t="s">
        <v>1221</v>
      </c>
      <c r="E243" s="10">
        <v>2.1395987250000002E-2</v>
      </c>
      <c r="F243" s="10">
        <v>-0.113562142</v>
      </c>
      <c r="G243" s="10">
        <v>-0.107145801</v>
      </c>
      <c r="H243" s="10" t="s">
        <v>2816</v>
      </c>
    </row>
    <row r="244" spans="1:8" x14ac:dyDescent="0.2">
      <c r="A244" s="10" t="str">
        <f t="shared" si="9"/>
        <v>R</v>
      </c>
      <c r="B244" s="10" t="str">
        <f t="shared" si="10"/>
        <v>1762</v>
      </c>
      <c r="C244" s="10" t="str">
        <f t="shared" si="11"/>
        <v>G</v>
      </c>
      <c r="D244" s="9" t="s">
        <v>1242</v>
      </c>
      <c r="E244" s="10">
        <v>0.16579439925</v>
      </c>
      <c r="F244" s="10">
        <v>-0.1058625415</v>
      </c>
      <c r="G244" s="10">
        <v>-0.17601198500000001</v>
      </c>
      <c r="H244" s="10" t="s">
        <v>2816</v>
      </c>
    </row>
    <row r="245" spans="1:8" x14ac:dyDescent="0.2">
      <c r="A245" s="10" t="str">
        <f t="shared" si="9"/>
        <v>R</v>
      </c>
      <c r="B245" s="10" t="str">
        <f t="shared" si="10"/>
        <v>1762</v>
      </c>
      <c r="C245" s="10" t="str">
        <f t="shared" si="11"/>
        <v>S</v>
      </c>
      <c r="D245" s="9" t="s">
        <v>1245</v>
      </c>
      <c r="E245" s="10">
        <v>0.25393027774999999</v>
      </c>
      <c r="F245" s="10">
        <v>0.21015438824999999</v>
      </c>
      <c r="G245" s="10">
        <v>4.0961138000000001E-2</v>
      </c>
      <c r="H245" s="10" t="s">
        <v>2816</v>
      </c>
    </row>
    <row r="246" spans="1:8" x14ac:dyDescent="0.2">
      <c r="A246" s="10" t="str">
        <f t="shared" si="9"/>
        <v>R</v>
      </c>
      <c r="B246" s="10" t="str">
        <f t="shared" si="10"/>
        <v>1762</v>
      </c>
      <c r="C246" s="10" t="str">
        <f t="shared" si="11"/>
        <v>T</v>
      </c>
      <c r="D246" s="9" t="s">
        <v>1246</v>
      </c>
      <c r="E246" s="10">
        <v>0.19831573799999999</v>
      </c>
      <c r="F246" s="10">
        <v>-0.30058362275</v>
      </c>
      <c r="G246" s="10">
        <v>-0.28718471299999998</v>
      </c>
      <c r="H246" s="10" t="s">
        <v>2816</v>
      </c>
    </row>
    <row r="247" spans="1:8" x14ac:dyDescent="0.2">
      <c r="A247" s="10" t="str">
        <f t="shared" si="9"/>
        <v>R</v>
      </c>
      <c r="B247" s="10" t="str">
        <f t="shared" si="10"/>
        <v>1835</v>
      </c>
      <c r="C247" s="10" t="str">
        <f t="shared" si="11"/>
        <v>L</v>
      </c>
      <c r="D247" s="9" t="s">
        <v>1877</v>
      </c>
      <c r="E247" s="10">
        <v>-0.74752754075000005</v>
      </c>
      <c r="F247" s="10">
        <v>-0.51094000250000005</v>
      </c>
      <c r="G247" s="10">
        <v>-1.189276623</v>
      </c>
      <c r="H247" s="10" t="s">
        <v>2786</v>
      </c>
    </row>
    <row r="248" spans="1:8" x14ac:dyDescent="0.2">
      <c r="A248" s="10" t="str">
        <f t="shared" si="9"/>
        <v>R</v>
      </c>
      <c r="B248" s="10" t="str">
        <f t="shared" si="10"/>
        <v>1835</v>
      </c>
      <c r="C248" s="10" t="str">
        <f t="shared" si="11"/>
        <v>P</v>
      </c>
      <c r="D248" s="9" t="s">
        <v>1879</v>
      </c>
      <c r="E248" s="10">
        <v>-0.34379309349999998</v>
      </c>
      <c r="F248" s="10">
        <v>-0.44244023575000002</v>
      </c>
      <c r="G248" s="10">
        <v>-1.3120857530000001</v>
      </c>
      <c r="H248" s="10" t="s">
        <v>2786</v>
      </c>
    </row>
    <row r="249" spans="1:8" x14ac:dyDescent="0.2">
      <c r="A249" s="10" t="str">
        <f t="shared" si="9"/>
        <v>S</v>
      </c>
      <c r="B249" s="10" t="str">
        <f t="shared" si="10"/>
        <v>1631</v>
      </c>
      <c r="C249" s="10" t="str">
        <f t="shared" si="11"/>
        <v>G</v>
      </c>
      <c r="D249" s="9" t="s">
        <v>531</v>
      </c>
      <c r="E249" s="10">
        <v>0.17204645075</v>
      </c>
      <c r="F249" s="10" t="s">
        <v>76</v>
      </c>
      <c r="G249" s="10">
        <v>0.30570831700000001</v>
      </c>
      <c r="H249" s="10" t="s">
        <v>2816</v>
      </c>
    </row>
    <row r="250" spans="1:8" x14ac:dyDescent="0.2">
      <c r="A250" s="10" t="str">
        <f t="shared" si="9"/>
        <v>S</v>
      </c>
      <c r="B250" s="10" t="str">
        <f t="shared" si="10"/>
        <v>1631</v>
      </c>
      <c r="C250" s="10" t="str">
        <f t="shared" si="11"/>
        <v>T</v>
      </c>
      <c r="D250" s="9" t="s">
        <v>534</v>
      </c>
      <c r="E250" s="10">
        <v>-2.7875274500000002E-2</v>
      </c>
      <c r="F250" s="10" t="s">
        <v>76</v>
      </c>
      <c r="G250" s="10">
        <v>-0.89574793900000005</v>
      </c>
      <c r="H250" s="10" t="s">
        <v>2786</v>
      </c>
    </row>
    <row r="251" spans="1:8" x14ac:dyDescent="0.2">
      <c r="A251" s="10" t="str">
        <f t="shared" si="9"/>
        <v>S</v>
      </c>
      <c r="B251" s="10" t="str">
        <f t="shared" si="10"/>
        <v>1633</v>
      </c>
      <c r="C251" s="10" t="str">
        <f t="shared" si="11"/>
        <v>R</v>
      </c>
      <c r="D251" s="9" t="s">
        <v>547</v>
      </c>
      <c r="E251" s="10">
        <v>-0.14246562725</v>
      </c>
      <c r="F251" s="10" t="s">
        <v>76</v>
      </c>
      <c r="G251" s="10">
        <v>-0.33051965799999999</v>
      </c>
      <c r="H251" s="10" t="s">
        <v>2816</v>
      </c>
    </row>
    <row r="252" spans="1:8" x14ac:dyDescent="0.2">
      <c r="A252" s="10" t="str">
        <f t="shared" si="9"/>
        <v>S</v>
      </c>
      <c r="B252" s="10" t="str">
        <f t="shared" si="10"/>
        <v>1642</v>
      </c>
      <c r="C252" s="10" t="str">
        <f t="shared" si="11"/>
        <v>L</v>
      </c>
      <c r="D252" s="9" t="s">
        <v>604</v>
      </c>
      <c r="E252" s="10">
        <v>-0.21376881775000001</v>
      </c>
      <c r="F252" s="10" t="s">
        <v>76</v>
      </c>
      <c r="G252" s="10">
        <v>5.6911604999999997E-2</v>
      </c>
      <c r="H252" s="10" t="s">
        <v>2816</v>
      </c>
    </row>
    <row r="253" spans="1:8" x14ac:dyDescent="0.2">
      <c r="A253" s="10" t="str">
        <f t="shared" si="9"/>
        <v>S</v>
      </c>
      <c r="B253" s="10" t="str">
        <f t="shared" si="10"/>
        <v>1642</v>
      </c>
      <c r="C253" s="10" t="str">
        <f t="shared" si="11"/>
        <v>P</v>
      </c>
      <c r="D253" s="9" t="s">
        <v>605</v>
      </c>
      <c r="E253" s="10">
        <v>-0.1007502665</v>
      </c>
      <c r="F253" s="10" t="s">
        <v>76</v>
      </c>
      <c r="G253" s="10">
        <v>0.46069812999999998</v>
      </c>
      <c r="H253" s="10" t="s">
        <v>2816</v>
      </c>
    </row>
    <row r="254" spans="1:8" x14ac:dyDescent="0.2">
      <c r="A254" s="10" t="str">
        <f t="shared" si="9"/>
        <v>S</v>
      </c>
      <c r="B254" s="10" t="str">
        <f t="shared" si="10"/>
        <v>1642</v>
      </c>
      <c r="C254" s="10" t="str">
        <f t="shared" si="11"/>
        <v>T</v>
      </c>
      <c r="D254" s="9" t="s">
        <v>607</v>
      </c>
      <c r="E254" s="10">
        <v>-0.19087302875000001</v>
      </c>
      <c r="F254" s="10" t="s">
        <v>76</v>
      </c>
      <c r="G254" s="10">
        <v>0.43234235300000001</v>
      </c>
      <c r="H254" s="10" t="s">
        <v>2816</v>
      </c>
    </row>
    <row r="255" spans="1:8" x14ac:dyDescent="0.2">
      <c r="A255" s="10" t="str">
        <f t="shared" si="9"/>
        <v>S</v>
      </c>
      <c r="B255" s="10" t="str">
        <f t="shared" si="10"/>
        <v>1651</v>
      </c>
      <c r="C255" s="10" t="str">
        <f t="shared" si="11"/>
        <v>P</v>
      </c>
      <c r="D255" s="9" t="s">
        <v>650</v>
      </c>
      <c r="E255" s="10">
        <v>-0.99975584824999997</v>
      </c>
      <c r="F255" s="10" t="s">
        <v>76</v>
      </c>
      <c r="G255" s="10">
        <v>-1.4786487070000001</v>
      </c>
      <c r="H255" s="10" t="s">
        <v>2827</v>
      </c>
    </row>
    <row r="256" spans="1:8" x14ac:dyDescent="0.2">
      <c r="A256" s="10" t="str">
        <f t="shared" si="9"/>
        <v>S</v>
      </c>
      <c r="B256" s="10" t="str">
        <f t="shared" si="10"/>
        <v>1715</v>
      </c>
      <c r="C256" s="10" t="str">
        <f t="shared" si="11"/>
        <v>G</v>
      </c>
      <c r="D256" s="9" t="s">
        <v>1019</v>
      </c>
      <c r="E256" s="10">
        <v>-0.21314919225000001</v>
      </c>
      <c r="F256" s="10">
        <v>-0.36724072000000002</v>
      </c>
      <c r="G256" s="10">
        <v>-0.89450157500000005</v>
      </c>
      <c r="H256" s="10" t="s">
        <v>2786</v>
      </c>
    </row>
    <row r="257" spans="1:8" x14ac:dyDescent="0.2">
      <c r="A257" s="10" t="str">
        <f t="shared" si="9"/>
        <v>S</v>
      </c>
      <c r="B257" s="10" t="str">
        <f t="shared" si="10"/>
        <v>1715</v>
      </c>
      <c r="C257" s="10" t="str">
        <f t="shared" si="11"/>
        <v>I</v>
      </c>
      <c r="D257" s="9" t="s">
        <v>1020</v>
      </c>
      <c r="E257" s="10">
        <v>-1.6631192017500001</v>
      </c>
      <c r="F257" s="10">
        <v>-1.9388619217500001</v>
      </c>
      <c r="G257" s="10">
        <v>-2.0230407339999998</v>
      </c>
      <c r="H257" s="10" t="s">
        <v>2827</v>
      </c>
    </row>
    <row r="258" spans="1:8" x14ac:dyDescent="0.2">
      <c r="A258" s="10" t="str">
        <f t="shared" si="9"/>
        <v>S</v>
      </c>
      <c r="B258" s="10" t="str">
        <f t="shared" si="10"/>
        <v>1715</v>
      </c>
      <c r="C258" s="10" t="str">
        <f t="shared" si="11"/>
        <v>R</v>
      </c>
      <c r="D258" s="9" t="s">
        <v>32</v>
      </c>
      <c r="E258" s="10">
        <v>-1.75118125075</v>
      </c>
      <c r="F258" s="10">
        <v>-1.3141570119999999</v>
      </c>
      <c r="G258" s="10">
        <v>-1.950179047</v>
      </c>
      <c r="H258" s="10" t="s">
        <v>2827</v>
      </c>
    </row>
    <row r="259" spans="1:8" x14ac:dyDescent="0.2">
      <c r="A259" s="10" t="str">
        <f t="shared" ref="A259:A322" si="12">LEFT(D259,1)</f>
        <v>S</v>
      </c>
      <c r="B259" s="10" t="str">
        <f t="shared" ref="B259:B322" si="13">RIGHT(LEFT(D259,5),4)</f>
        <v>1755</v>
      </c>
      <c r="C259" s="10" t="str">
        <f t="shared" ref="C259:C322" si="14">RIGHT(D259,1)</f>
        <v>A</v>
      </c>
      <c r="D259" s="9" t="s">
        <v>1200</v>
      </c>
      <c r="E259" s="10">
        <v>-0.12466829575</v>
      </c>
      <c r="F259" s="10">
        <v>-0.105176304</v>
      </c>
      <c r="G259" s="10">
        <v>-0.183185182</v>
      </c>
      <c r="H259" s="10" t="s">
        <v>2816</v>
      </c>
    </row>
    <row r="260" spans="1:8" x14ac:dyDescent="0.2">
      <c r="A260" s="10" t="str">
        <f t="shared" si="12"/>
        <v>S</v>
      </c>
      <c r="B260" s="10" t="str">
        <f t="shared" si="13"/>
        <v>1755</v>
      </c>
      <c r="C260" s="10" t="str">
        <f t="shared" si="14"/>
        <v>T</v>
      </c>
      <c r="D260" s="9" t="s">
        <v>1202</v>
      </c>
      <c r="E260" s="10">
        <v>-3.0159737999999998E-2</v>
      </c>
      <c r="F260" s="10">
        <v>-0.15389518175</v>
      </c>
      <c r="G260" s="10">
        <v>-0.18846332399999999</v>
      </c>
      <c r="H260" s="10" t="s">
        <v>2816</v>
      </c>
    </row>
    <row r="261" spans="1:8" x14ac:dyDescent="0.2">
      <c r="A261" s="10" t="str">
        <f t="shared" si="12"/>
        <v>S</v>
      </c>
      <c r="B261" s="10" t="str">
        <f t="shared" si="13"/>
        <v>1841</v>
      </c>
      <c r="C261" s="10" t="str">
        <f t="shared" si="14"/>
        <v>R</v>
      </c>
      <c r="D261" s="9" t="s">
        <v>1936</v>
      </c>
      <c r="E261" s="10">
        <v>-0.88948831024999997</v>
      </c>
      <c r="F261" s="10">
        <v>-1.0783324620000001</v>
      </c>
      <c r="G261" s="10">
        <v>-2.0374800159999999</v>
      </c>
      <c r="H261" s="10" t="s">
        <v>2827</v>
      </c>
    </row>
    <row r="262" spans="1:8" x14ac:dyDescent="0.2">
      <c r="A262" s="10" t="str">
        <f t="shared" si="12"/>
        <v>S</v>
      </c>
      <c r="B262" s="10" t="str">
        <f t="shared" si="13"/>
        <v>1841</v>
      </c>
      <c r="C262" s="10" t="str">
        <f t="shared" si="14"/>
        <v>T</v>
      </c>
      <c r="D262" s="9" t="s">
        <v>1937</v>
      </c>
      <c r="E262" s="10">
        <v>-0.33338209375</v>
      </c>
      <c r="F262" s="10">
        <v>-0.63352472275000005</v>
      </c>
      <c r="G262" s="10">
        <v>-1.8634294629999999</v>
      </c>
      <c r="H262" s="10" t="s">
        <v>2827</v>
      </c>
    </row>
    <row r="263" spans="1:8" x14ac:dyDescent="0.2">
      <c r="A263" s="10" t="str">
        <f t="shared" si="12"/>
        <v>T</v>
      </c>
      <c r="B263" s="10" t="str">
        <f t="shared" si="13"/>
        <v>1640</v>
      </c>
      <c r="C263" s="10" t="str">
        <f t="shared" si="14"/>
        <v>A</v>
      </c>
      <c r="D263" s="9" t="s">
        <v>589</v>
      </c>
      <c r="E263" s="10">
        <v>-0.14593989574999999</v>
      </c>
      <c r="F263" s="10" t="s">
        <v>76</v>
      </c>
      <c r="G263" s="10">
        <v>-0.23940882799999999</v>
      </c>
      <c r="H263" s="10" t="s">
        <v>2816</v>
      </c>
    </row>
    <row r="264" spans="1:8" x14ac:dyDescent="0.2">
      <c r="A264" s="10" t="str">
        <f t="shared" si="12"/>
        <v>T</v>
      </c>
      <c r="B264" s="10" t="str">
        <f t="shared" si="13"/>
        <v>1643</v>
      </c>
      <c r="C264" s="10" t="str">
        <f t="shared" si="14"/>
        <v>S</v>
      </c>
      <c r="D264" s="9" t="s">
        <v>610</v>
      </c>
      <c r="E264" s="10">
        <v>0.27941877450000002</v>
      </c>
      <c r="F264" s="10" t="s">
        <v>76</v>
      </c>
      <c r="G264" s="10">
        <v>0.32223980899999999</v>
      </c>
      <c r="H264" s="10" t="s">
        <v>2816</v>
      </c>
    </row>
    <row r="265" spans="1:8" x14ac:dyDescent="0.2">
      <c r="A265" s="10" t="str">
        <f t="shared" si="12"/>
        <v>T</v>
      </c>
      <c r="B265" s="10" t="str">
        <f t="shared" si="13"/>
        <v>1658</v>
      </c>
      <c r="C265" s="10" t="str">
        <f t="shared" si="14"/>
        <v>A</v>
      </c>
      <c r="D265" s="9" t="s">
        <v>706</v>
      </c>
      <c r="E265" s="10">
        <v>-5.3612455250000003E-2</v>
      </c>
      <c r="F265" s="10" t="s">
        <v>76</v>
      </c>
      <c r="G265" s="10">
        <v>0.25701571499999998</v>
      </c>
      <c r="H265" s="10" t="s">
        <v>2816</v>
      </c>
    </row>
    <row r="266" spans="1:8" x14ac:dyDescent="0.2">
      <c r="A266" s="10" t="str">
        <f t="shared" si="12"/>
        <v>T</v>
      </c>
      <c r="B266" s="10" t="str">
        <f t="shared" si="13"/>
        <v>1675</v>
      </c>
      <c r="C266" s="10" t="str">
        <f t="shared" si="14"/>
        <v>A</v>
      </c>
      <c r="D266" s="9" t="s">
        <v>827</v>
      </c>
      <c r="E266" s="10">
        <v>-9.5591094999999994E-3</v>
      </c>
      <c r="F266" s="10">
        <v>4.2660093750000003E-2</v>
      </c>
      <c r="G266" s="10">
        <v>0.227925244</v>
      </c>
      <c r="H266" s="10" t="s">
        <v>2816</v>
      </c>
    </row>
    <row r="267" spans="1:8" x14ac:dyDescent="0.2">
      <c r="A267" s="10" t="str">
        <f t="shared" si="12"/>
        <v>T</v>
      </c>
      <c r="B267" s="10" t="str">
        <f t="shared" si="13"/>
        <v>1675</v>
      </c>
      <c r="C267" s="10" t="str">
        <f t="shared" si="14"/>
        <v>I</v>
      </c>
      <c r="D267" s="9" t="s">
        <v>830</v>
      </c>
      <c r="E267" s="10">
        <v>-4.2617117000000003E-2</v>
      </c>
      <c r="F267" s="10">
        <v>-5.2902340249999999E-2</v>
      </c>
      <c r="G267" s="10">
        <v>3.6029591999999999E-2</v>
      </c>
      <c r="H267" s="10" t="s">
        <v>2816</v>
      </c>
    </row>
    <row r="268" spans="1:8" x14ac:dyDescent="0.2">
      <c r="A268" s="10" t="str">
        <f t="shared" si="12"/>
        <v>T</v>
      </c>
      <c r="B268" s="10" t="str">
        <f t="shared" si="13"/>
        <v>1675</v>
      </c>
      <c r="C268" s="10" t="str">
        <f t="shared" si="14"/>
        <v>P</v>
      </c>
      <c r="D268" s="9" t="s">
        <v>831</v>
      </c>
      <c r="E268" s="10">
        <v>2.5330892000000001E-2</v>
      </c>
      <c r="F268" s="10">
        <v>2.0896427500000001E-3</v>
      </c>
      <c r="G268" s="10">
        <v>0.339670951</v>
      </c>
      <c r="H268" s="10" t="s">
        <v>2816</v>
      </c>
    </row>
    <row r="269" spans="1:8" x14ac:dyDescent="0.2">
      <c r="A269" s="10" t="str">
        <f t="shared" si="12"/>
        <v>T</v>
      </c>
      <c r="B269" s="10" t="str">
        <f t="shared" si="13"/>
        <v>1675</v>
      </c>
      <c r="C269" s="10" t="str">
        <f t="shared" si="14"/>
        <v>S</v>
      </c>
      <c r="D269" s="9" t="s">
        <v>832</v>
      </c>
      <c r="E269" s="10">
        <v>-9.9220853499999997E-2</v>
      </c>
      <c r="F269" s="10">
        <v>-6.3515466249999999E-2</v>
      </c>
      <c r="G269" s="10">
        <v>0.20915070199999999</v>
      </c>
      <c r="H269" s="10" t="s">
        <v>2816</v>
      </c>
    </row>
    <row r="270" spans="1:8" x14ac:dyDescent="0.2">
      <c r="A270" s="10" t="str">
        <f t="shared" si="12"/>
        <v>T</v>
      </c>
      <c r="B270" s="10" t="str">
        <f t="shared" si="13"/>
        <v>1677</v>
      </c>
      <c r="C270" s="10" t="str">
        <f t="shared" si="14"/>
        <v>S</v>
      </c>
      <c r="D270" s="9" t="s">
        <v>843</v>
      </c>
      <c r="E270" s="10">
        <v>0.29574424849999997</v>
      </c>
      <c r="F270" s="10">
        <v>-0.33857599150000001</v>
      </c>
      <c r="G270" s="10">
        <v>0.296779232</v>
      </c>
      <c r="H270" s="10" t="s">
        <v>2816</v>
      </c>
    </row>
    <row r="271" spans="1:8" x14ac:dyDescent="0.2">
      <c r="A271" s="10" t="str">
        <f t="shared" si="12"/>
        <v>T</v>
      </c>
      <c r="B271" s="10" t="str">
        <f t="shared" si="13"/>
        <v>1684</v>
      </c>
      <c r="C271" s="10" t="str">
        <f t="shared" si="14"/>
        <v>A</v>
      </c>
      <c r="D271" s="9" t="s">
        <v>879</v>
      </c>
      <c r="E271" s="10">
        <v>-0.26269567500000002</v>
      </c>
      <c r="F271" s="10">
        <v>-0.96255152249999998</v>
      </c>
      <c r="G271" s="10">
        <v>-0.65254572399999999</v>
      </c>
      <c r="H271" s="10" t="s">
        <v>2816</v>
      </c>
    </row>
    <row r="272" spans="1:8" x14ac:dyDescent="0.2">
      <c r="A272" s="10" t="str">
        <f t="shared" si="12"/>
        <v>T</v>
      </c>
      <c r="B272" s="10" t="str">
        <f t="shared" si="13"/>
        <v>1684</v>
      </c>
      <c r="C272" s="10" t="str">
        <f t="shared" si="14"/>
        <v>N</v>
      </c>
      <c r="D272" s="9" t="s">
        <v>882</v>
      </c>
      <c r="E272" s="10">
        <v>-1.1966868102499999</v>
      </c>
      <c r="F272" s="10">
        <v>-2.1151681302499998</v>
      </c>
      <c r="G272" s="10">
        <v>-1.250973785</v>
      </c>
      <c r="H272" s="10" t="s">
        <v>2786</v>
      </c>
    </row>
    <row r="273" spans="1:8" x14ac:dyDescent="0.2">
      <c r="A273" s="10" t="str">
        <f t="shared" si="12"/>
        <v>T</v>
      </c>
      <c r="B273" s="10" t="str">
        <f t="shared" si="13"/>
        <v>1684</v>
      </c>
      <c r="C273" s="10" t="str">
        <f t="shared" si="14"/>
        <v>P</v>
      </c>
      <c r="D273" s="9" t="s">
        <v>883</v>
      </c>
      <c r="E273" s="10">
        <v>-1.4354305814999999</v>
      </c>
      <c r="F273" s="10">
        <v>-1.5089226975000001</v>
      </c>
      <c r="G273" s="10">
        <v>-1.4683923919999999</v>
      </c>
      <c r="H273" s="10" t="s">
        <v>2827</v>
      </c>
    </row>
    <row r="274" spans="1:8" x14ac:dyDescent="0.2">
      <c r="A274" s="10" t="str">
        <f t="shared" si="12"/>
        <v>T</v>
      </c>
      <c r="B274" s="10" t="str">
        <f t="shared" si="13"/>
        <v>1684</v>
      </c>
      <c r="C274" s="10" t="str">
        <f t="shared" si="14"/>
        <v>S</v>
      </c>
      <c r="D274" s="9" t="s">
        <v>885</v>
      </c>
      <c r="E274" s="10">
        <v>0.12168341175</v>
      </c>
      <c r="F274" s="10">
        <v>-0.30752860524999998</v>
      </c>
      <c r="G274" s="10">
        <v>-0.58648539700000002</v>
      </c>
      <c r="H274" s="10" t="s">
        <v>2816</v>
      </c>
    </row>
    <row r="275" spans="1:8" x14ac:dyDescent="0.2">
      <c r="A275" s="10" t="str">
        <f t="shared" si="12"/>
        <v>T</v>
      </c>
      <c r="B275" s="10" t="str">
        <f t="shared" si="13"/>
        <v>1685</v>
      </c>
      <c r="C275" s="10" t="str">
        <f t="shared" si="14"/>
        <v>I</v>
      </c>
      <c r="D275" s="9" t="s">
        <v>26</v>
      </c>
      <c r="E275" s="10">
        <v>-1.6102287575000001</v>
      </c>
      <c r="F275" s="10">
        <v>-1.0335025092500001</v>
      </c>
      <c r="G275" s="10">
        <v>-1.9915762159999999</v>
      </c>
      <c r="H275" s="10" t="s">
        <v>2827</v>
      </c>
    </row>
    <row r="276" spans="1:8" x14ac:dyDescent="0.2">
      <c r="A276" s="10" t="str">
        <f t="shared" si="12"/>
        <v>T</v>
      </c>
      <c r="B276" s="10" t="str">
        <f t="shared" si="13"/>
        <v>1685</v>
      </c>
      <c r="C276" s="10" t="str">
        <f t="shared" si="14"/>
        <v>S</v>
      </c>
      <c r="D276" s="9" t="s">
        <v>887</v>
      </c>
      <c r="E276" s="10">
        <v>6.5329781000000003E-2</v>
      </c>
      <c r="F276" s="10">
        <v>-0.34000987049999998</v>
      </c>
      <c r="G276" s="10">
        <v>-0.83004119200000004</v>
      </c>
      <c r="H276" s="10" t="s">
        <v>2786</v>
      </c>
    </row>
    <row r="277" spans="1:8" x14ac:dyDescent="0.2">
      <c r="A277" s="10" t="str">
        <f t="shared" si="12"/>
        <v>T</v>
      </c>
      <c r="B277" s="10" t="str">
        <f t="shared" si="13"/>
        <v>1773</v>
      </c>
      <c r="C277" s="10" t="str">
        <f t="shared" si="14"/>
        <v>P</v>
      </c>
      <c r="D277" s="9" t="s">
        <v>1345</v>
      </c>
      <c r="E277" s="10">
        <v>0.33669113950000001</v>
      </c>
      <c r="F277" s="10">
        <v>-0.2736053705</v>
      </c>
      <c r="G277" s="10">
        <v>-6.7303492000000006E-2</v>
      </c>
      <c r="H277" s="10" t="s">
        <v>2816</v>
      </c>
    </row>
    <row r="278" spans="1:8" x14ac:dyDescent="0.2">
      <c r="A278" s="10" t="str">
        <f t="shared" si="12"/>
        <v>T</v>
      </c>
      <c r="B278" s="10" t="str">
        <f t="shared" si="13"/>
        <v>1773</v>
      </c>
      <c r="C278" s="10" t="str">
        <f t="shared" si="14"/>
        <v>S</v>
      </c>
      <c r="D278" s="9" t="s">
        <v>1346</v>
      </c>
      <c r="E278" s="10">
        <v>0.33345931249999999</v>
      </c>
      <c r="F278" s="10">
        <v>0.12226852000000001</v>
      </c>
      <c r="G278" s="10">
        <v>-0.19540032500000001</v>
      </c>
      <c r="H278" s="10" t="s">
        <v>2816</v>
      </c>
    </row>
    <row r="279" spans="1:8" x14ac:dyDescent="0.2">
      <c r="A279" s="10" t="str">
        <f t="shared" si="12"/>
        <v>T</v>
      </c>
      <c r="B279" s="10" t="str">
        <f t="shared" si="13"/>
        <v>1777</v>
      </c>
      <c r="C279" s="10" t="str">
        <f t="shared" si="14"/>
        <v>P</v>
      </c>
      <c r="D279" s="9" t="s">
        <v>1380</v>
      </c>
      <c r="E279" s="10">
        <v>-0.10756724099999999</v>
      </c>
      <c r="F279" s="10">
        <v>1.4813363749999999E-2</v>
      </c>
      <c r="G279" s="10">
        <v>9.1419210000000001E-2</v>
      </c>
      <c r="H279" s="10" t="s">
        <v>2816</v>
      </c>
    </row>
    <row r="280" spans="1:8" x14ac:dyDescent="0.2">
      <c r="A280" s="10" t="str">
        <f t="shared" si="12"/>
        <v>T</v>
      </c>
      <c r="B280" s="10" t="str">
        <f t="shared" si="13"/>
        <v>1799</v>
      </c>
      <c r="C280" s="10" t="str">
        <f t="shared" si="14"/>
        <v>S</v>
      </c>
      <c r="D280" s="9" t="s">
        <v>1567</v>
      </c>
      <c r="E280" s="10">
        <v>0.15456967775</v>
      </c>
      <c r="F280" s="10">
        <v>0.40573899400000002</v>
      </c>
      <c r="G280" s="10">
        <v>0.19399849</v>
      </c>
      <c r="H280" s="10" t="s">
        <v>2816</v>
      </c>
    </row>
    <row r="281" spans="1:8" x14ac:dyDescent="0.2">
      <c r="A281" s="10" t="str">
        <f t="shared" si="12"/>
        <v>T</v>
      </c>
      <c r="B281" s="10" t="str">
        <f t="shared" si="13"/>
        <v>1802</v>
      </c>
      <c r="C281" s="10" t="str">
        <f t="shared" si="14"/>
        <v>K</v>
      </c>
      <c r="D281" s="9" t="s">
        <v>1577</v>
      </c>
      <c r="E281" s="10">
        <v>-0.18356577900000001</v>
      </c>
      <c r="F281" s="10">
        <v>-0.33262438249999998</v>
      </c>
      <c r="G281" s="10">
        <v>-0.35478214699999999</v>
      </c>
      <c r="H281" s="10" t="s">
        <v>2816</v>
      </c>
    </row>
    <row r="282" spans="1:8" x14ac:dyDescent="0.2">
      <c r="A282" s="10" t="str">
        <f t="shared" si="12"/>
        <v>T</v>
      </c>
      <c r="B282" s="10" t="str">
        <f t="shared" si="13"/>
        <v>1802</v>
      </c>
      <c r="C282" s="10" t="str">
        <f t="shared" si="14"/>
        <v>P</v>
      </c>
      <c r="D282" s="9" t="s">
        <v>1581</v>
      </c>
      <c r="E282" s="10">
        <v>0.16167741275</v>
      </c>
      <c r="F282" s="10">
        <v>0.4503555045</v>
      </c>
      <c r="G282" s="10">
        <v>0.30581475299999999</v>
      </c>
      <c r="H282" s="10" t="s">
        <v>2816</v>
      </c>
    </row>
    <row r="283" spans="1:8" x14ac:dyDescent="0.2">
      <c r="A283" s="10" t="str">
        <f t="shared" si="12"/>
        <v>T</v>
      </c>
      <c r="B283" s="10" t="str">
        <f t="shared" si="13"/>
        <v>1834</v>
      </c>
      <c r="C283" s="10" t="str">
        <f t="shared" si="14"/>
        <v>A</v>
      </c>
      <c r="D283" s="9" t="s">
        <v>1858</v>
      </c>
      <c r="E283" s="10">
        <v>1.8348695E-3</v>
      </c>
      <c r="F283" s="10">
        <v>-0.50968921874999995</v>
      </c>
      <c r="G283" s="10">
        <v>0.220196066</v>
      </c>
      <c r="H283" s="10" t="s">
        <v>2816</v>
      </c>
    </row>
    <row r="284" spans="1:8" x14ac:dyDescent="0.2">
      <c r="A284" s="10" t="str">
        <f t="shared" si="12"/>
        <v>T</v>
      </c>
      <c r="B284" s="10" t="str">
        <f t="shared" si="13"/>
        <v>1834</v>
      </c>
      <c r="C284" s="10" t="str">
        <f t="shared" si="14"/>
        <v>S</v>
      </c>
      <c r="D284" s="9" t="s">
        <v>1870</v>
      </c>
      <c r="E284" s="10">
        <v>0.36544687125000003</v>
      </c>
      <c r="F284" s="10">
        <v>-0.11596383674999999</v>
      </c>
      <c r="G284" s="10">
        <v>-8.9850132999999999E-2</v>
      </c>
      <c r="H284" s="10" t="s">
        <v>2816</v>
      </c>
    </row>
    <row r="285" spans="1:8" x14ac:dyDescent="0.2">
      <c r="A285" s="10" t="str">
        <f t="shared" si="12"/>
        <v>V</v>
      </c>
      <c r="B285" s="10" t="str">
        <f t="shared" si="13"/>
        <v>1632</v>
      </c>
      <c r="C285" s="10" t="str">
        <f t="shared" si="14"/>
        <v>L</v>
      </c>
      <c r="D285" s="9" t="s">
        <v>539</v>
      </c>
      <c r="E285" s="10">
        <v>0.1385790395</v>
      </c>
      <c r="F285" s="10" t="s">
        <v>76</v>
      </c>
      <c r="G285" s="10">
        <v>-0.37706460200000003</v>
      </c>
      <c r="H285" s="10" t="s">
        <v>2816</v>
      </c>
    </row>
    <row r="286" spans="1:8" x14ac:dyDescent="0.2">
      <c r="A286" s="10" t="str">
        <f t="shared" si="12"/>
        <v>V</v>
      </c>
      <c r="B286" s="10" t="str">
        <f t="shared" si="13"/>
        <v>1646</v>
      </c>
      <c r="C286" s="10" t="str">
        <f t="shared" si="14"/>
        <v>D</v>
      </c>
      <c r="D286" s="9" t="s">
        <v>623</v>
      </c>
      <c r="E286" s="10">
        <v>0.27759132624999999</v>
      </c>
      <c r="F286" s="10" t="s">
        <v>76</v>
      </c>
      <c r="G286" s="10">
        <v>1.3159575E-2</v>
      </c>
      <c r="H286" s="10" t="s">
        <v>2816</v>
      </c>
    </row>
    <row r="287" spans="1:8" x14ac:dyDescent="0.2">
      <c r="A287" s="10" t="str">
        <f t="shared" si="12"/>
        <v>V</v>
      </c>
      <c r="B287" s="10" t="str">
        <f t="shared" si="13"/>
        <v>1646</v>
      </c>
      <c r="C287" s="10" t="str">
        <f t="shared" si="14"/>
        <v>G</v>
      </c>
      <c r="D287" s="9" t="s">
        <v>625</v>
      </c>
      <c r="E287" s="10">
        <v>1.5156076750000001E-2</v>
      </c>
      <c r="F287" s="10" t="s">
        <v>76</v>
      </c>
      <c r="G287" s="10">
        <v>0.51220687499999995</v>
      </c>
      <c r="H287" s="10" t="s">
        <v>2816</v>
      </c>
    </row>
    <row r="288" spans="1:8" x14ac:dyDescent="0.2">
      <c r="A288" s="10" t="str">
        <f t="shared" si="12"/>
        <v>V</v>
      </c>
      <c r="B288" s="10" t="str">
        <f t="shared" si="13"/>
        <v>1646</v>
      </c>
      <c r="C288" s="10" t="str">
        <f t="shared" si="14"/>
        <v>L</v>
      </c>
      <c r="D288" s="9" t="s">
        <v>626</v>
      </c>
      <c r="E288" s="10">
        <v>-9.6542939999999994E-2</v>
      </c>
      <c r="F288" s="10" t="s">
        <v>76</v>
      </c>
      <c r="G288" s="10">
        <v>-0.23303471100000001</v>
      </c>
      <c r="H288" s="10" t="s">
        <v>2816</v>
      </c>
    </row>
    <row r="289" spans="1:8" x14ac:dyDescent="0.2">
      <c r="A289" s="10" t="str">
        <f t="shared" si="12"/>
        <v>V</v>
      </c>
      <c r="B289" s="10" t="str">
        <f t="shared" si="13"/>
        <v>1653</v>
      </c>
      <c r="C289" s="10" t="str">
        <f t="shared" si="14"/>
        <v>A</v>
      </c>
      <c r="D289" s="9" t="s">
        <v>661</v>
      </c>
      <c r="E289" s="10">
        <v>1.0922441519999999</v>
      </c>
      <c r="F289" s="10" t="s">
        <v>76</v>
      </c>
      <c r="G289" s="10">
        <v>0.17139987800000001</v>
      </c>
      <c r="H289" s="10" t="s">
        <v>2816</v>
      </c>
    </row>
    <row r="290" spans="1:8" x14ac:dyDescent="0.2">
      <c r="A290" s="10" t="str">
        <f t="shared" si="12"/>
        <v>V</v>
      </c>
      <c r="B290" s="10" t="str">
        <f t="shared" si="13"/>
        <v>1653</v>
      </c>
      <c r="C290" s="10" t="str">
        <f t="shared" si="14"/>
        <v>L</v>
      </c>
      <c r="D290" s="9" t="s">
        <v>665</v>
      </c>
      <c r="E290" s="10">
        <v>-0.86228093100000003</v>
      </c>
      <c r="F290" s="10" t="s">
        <v>76</v>
      </c>
      <c r="G290" s="10">
        <v>-1.823211688</v>
      </c>
      <c r="H290" s="10" t="s">
        <v>2827</v>
      </c>
    </row>
    <row r="291" spans="1:8" x14ac:dyDescent="0.2">
      <c r="A291" s="10" t="str">
        <f t="shared" si="12"/>
        <v>V</v>
      </c>
      <c r="B291" s="10" t="str">
        <f t="shared" si="13"/>
        <v>1687</v>
      </c>
      <c r="C291" s="10" t="str">
        <f t="shared" si="14"/>
        <v>G</v>
      </c>
      <c r="D291" s="9" t="s">
        <v>892</v>
      </c>
      <c r="E291" s="10">
        <v>-1.9751925782499999</v>
      </c>
      <c r="F291" s="10">
        <v>-1.4238408204999999</v>
      </c>
      <c r="G291" s="10">
        <v>-2.3342818809999999</v>
      </c>
      <c r="H291" s="10" t="s">
        <v>2827</v>
      </c>
    </row>
    <row r="292" spans="1:8" x14ac:dyDescent="0.2">
      <c r="A292" s="10" t="str">
        <f t="shared" si="12"/>
        <v>V</v>
      </c>
      <c r="B292" s="10" t="str">
        <f t="shared" si="13"/>
        <v>1688</v>
      </c>
      <c r="C292" s="10" t="str">
        <f t="shared" si="14"/>
        <v>L</v>
      </c>
      <c r="D292" s="9" t="s">
        <v>896</v>
      </c>
      <c r="E292" s="10">
        <v>-4.4349152500000001E-3</v>
      </c>
      <c r="F292" s="10">
        <v>0.30500821475000001</v>
      </c>
      <c r="G292" s="10">
        <v>-0.41644055099999999</v>
      </c>
      <c r="H292" s="10" t="s">
        <v>2816</v>
      </c>
    </row>
    <row r="293" spans="1:8" x14ac:dyDescent="0.2">
      <c r="A293" s="10" t="str">
        <f t="shared" si="12"/>
        <v>V</v>
      </c>
      <c r="B293" s="10" t="str">
        <f t="shared" si="13"/>
        <v>1696</v>
      </c>
      <c r="C293" s="10" t="str">
        <f t="shared" si="14"/>
        <v>L</v>
      </c>
      <c r="D293" s="9" t="s">
        <v>941</v>
      </c>
      <c r="E293" s="10">
        <v>-0.65548753950000005</v>
      </c>
      <c r="F293" s="10">
        <v>-0.49300307900000001</v>
      </c>
      <c r="G293" s="10">
        <v>-0.67532154300000002</v>
      </c>
      <c r="H293" s="10" t="s">
        <v>2816</v>
      </c>
    </row>
    <row r="294" spans="1:8" x14ac:dyDescent="0.2">
      <c r="A294" s="10" t="str">
        <f t="shared" si="12"/>
        <v>V</v>
      </c>
      <c r="B294" s="10" t="str">
        <f t="shared" si="13"/>
        <v>1696</v>
      </c>
      <c r="C294" s="10" t="str">
        <f t="shared" si="14"/>
        <v>M</v>
      </c>
      <c r="D294" s="9" t="s">
        <v>942</v>
      </c>
      <c r="E294" s="10">
        <v>-0.22689692024999999</v>
      </c>
      <c r="F294" s="10">
        <v>-0.55651905575000005</v>
      </c>
      <c r="G294" s="10">
        <v>-0.29889681600000001</v>
      </c>
      <c r="H294" s="10" t="s">
        <v>2816</v>
      </c>
    </row>
    <row r="295" spans="1:8" x14ac:dyDescent="0.2">
      <c r="A295" s="10" t="str">
        <f t="shared" si="12"/>
        <v>V</v>
      </c>
      <c r="B295" s="10" t="str">
        <f t="shared" si="13"/>
        <v>1713</v>
      </c>
      <c r="C295" s="10" t="str">
        <f t="shared" si="14"/>
        <v>A</v>
      </c>
      <c r="D295" s="9" t="s">
        <v>1009</v>
      </c>
      <c r="E295" s="10">
        <v>-1.0562429095000001</v>
      </c>
      <c r="F295" s="10">
        <v>-1.23927010675</v>
      </c>
      <c r="G295" s="10">
        <v>-1.755476485</v>
      </c>
      <c r="H295" s="10" t="s">
        <v>2827</v>
      </c>
    </row>
    <row r="296" spans="1:8" x14ac:dyDescent="0.2">
      <c r="A296" s="10" t="str">
        <f t="shared" si="12"/>
        <v>V</v>
      </c>
      <c r="B296" s="10" t="str">
        <f t="shared" si="13"/>
        <v>1713</v>
      </c>
      <c r="C296" s="10" t="str">
        <f t="shared" si="14"/>
        <v>E</v>
      </c>
      <c r="D296" s="9" t="s">
        <v>1011</v>
      </c>
      <c r="E296" s="10">
        <v>-1.47636456625</v>
      </c>
      <c r="F296" s="10">
        <v>-0.93535148925</v>
      </c>
      <c r="G296" s="10">
        <v>-2.1837878650000002</v>
      </c>
      <c r="H296" s="10" t="s">
        <v>2827</v>
      </c>
    </row>
    <row r="297" spans="1:8" x14ac:dyDescent="0.2">
      <c r="A297" s="10" t="str">
        <f t="shared" si="12"/>
        <v>V</v>
      </c>
      <c r="B297" s="10" t="str">
        <f t="shared" si="13"/>
        <v>1713</v>
      </c>
      <c r="C297" s="10" t="str">
        <f t="shared" si="14"/>
        <v>L</v>
      </c>
      <c r="D297" s="9" t="s">
        <v>1012</v>
      </c>
      <c r="E297" s="10">
        <v>5.0757241750000001E-2</v>
      </c>
      <c r="F297" s="10">
        <v>-8.2092781749999996E-2</v>
      </c>
      <c r="G297" s="10">
        <v>-0.85621453999999997</v>
      </c>
      <c r="H297" s="10" t="s">
        <v>2786</v>
      </c>
    </row>
    <row r="298" spans="1:8" x14ac:dyDescent="0.2">
      <c r="A298" s="10" t="str">
        <f t="shared" si="12"/>
        <v>V</v>
      </c>
      <c r="B298" s="10" t="str">
        <f t="shared" si="13"/>
        <v>1714</v>
      </c>
      <c r="C298" s="10" t="str">
        <f t="shared" si="14"/>
        <v>I</v>
      </c>
      <c r="D298" s="9" t="s">
        <v>1015</v>
      </c>
      <c r="E298" s="10">
        <v>-2.6914465750000002E-2</v>
      </c>
      <c r="F298" s="10">
        <v>0.13540016699999999</v>
      </c>
      <c r="G298" s="10">
        <v>-0.43887712899999998</v>
      </c>
      <c r="H298" s="10" t="s">
        <v>2816</v>
      </c>
    </row>
    <row r="299" spans="1:8" x14ac:dyDescent="0.2">
      <c r="A299" s="10" t="str">
        <f t="shared" si="12"/>
        <v>V</v>
      </c>
      <c r="B299" s="10" t="str">
        <f t="shared" si="13"/>
        <v>1719</v>
      </c>
      <c r="C299" s="10" t="str">
        <f t="shared" si="14"/>
        <v>A</v>
      </c>
      <c r="D299" s="9" t="s">
        <v>1036</v>
      </c>
      <c r="E299" s="10">
        <v>-0.14819886625000001</v>
      </c>
      <c r="F299" s="10">
        <v>2.1439106499999999E-2</v>
      </c>
      <c r="G299" s="10">
        <v>0.37478679599999998</v>
      </c>
      <c r="H299" s="10" t="s">
        <v>2816</v>
      </c>
    </row>
    <row r="300" spans="1:8" x14ac:dyDescent="0.2">
      <c r="A300" s="10" t="str">
        <f t="shared" si="12"/>
        <v>V</v>
      </c>
      <c r="B300" s="10" t="str">
        <f t="shared" si="13"/>
        <v>1719</v>
      </c>
      <c r="C300" s="10" t="str">
        <f t="shared" si="14"/>
        <v>L</v>
      </c>
      <c r="D300" s="9" t="s">
        <v>1037</v>
      </c>
      <c r="E300" s="10">
        <v>-0.40087190774999998</v>
      </c>
      <c r="F300" s="10">
        <v>0.1138674965</v>
      </c>
      <c r="G300" s="10">
        <v>-0.35820417500000001</v>
      </c>
      <c r="H300" s="10" t="s">
        <v>2816</v>
      </c>
    </row>
    <row r="301" spans="1:8" x14ac:dyDescent="0.2">
      <c r="A301" s="10" t="str">
        <f t="shared" si="12"/>
        <v>V</v>
      </c>
      <c r="B301" s="10" t="str">
        <f t="shared" si="13"/>
        <v>1736</v>
      </c>
      <c r="C301" s="10" t="str">
        <f t="shared" si="14"/>
        <v>A</v>
      </c>
      <c r="D301" s="9" t="s">
        <v>49</v>
      </c>
      <c r="E301" s="10">
        <v>-0.38490731750000001</v>
      </c>
      <c r="F301" s="10">
        <v>-0.55257940574999997</v>
      </c>
      <c r="G301" s="10">
        <v>-1.603092599</v>
      </c>
      <c r="H301" s="10" t="s">
        <v>2827</v>
      </c>
    </row>
    <row r="302" spans="1:8" x14ac:dyDescent="0.2">
      <c r="A302" s="10" t="str">
        <f t="shared" si="12"/>
        <v>V</v>
      </c>
      <c r="B302" s="10" t="str">
        <f t="shared" si="13"/>
        <v>1736</v>
      </c>
      <c r="C302" s="10" t="str">
        <f t="shared" si="14"/>
        <v>F</v>
      </c>
      <c r="D302" s="9" t="s">
        <v>1093</v>
      </c>
      <c r="E302" s="10">
        <v>-1.4597499462500001</v>
      </c>
      <c r="F302" s="10">
        <v>-1.39040127675</v>
      </c>
      <c r="G302" s="10">
        <v>-2.3804637020000001</v>
      </c>
      <c r="H302" s="10" t="s">
        <v>2827</v>
      </c>
    </row>
    <row r="303" spans="1:8" x14ac:dyDescent="0.2">
      <c r="A303" s="10" t="str">
        <f t="shared" si="12"/>
        <v>V</v>
      </c>
      <c r="B303" s="10" t="str">
        <f t="shared" si="13"/>
        <v>1740</v>
      </c>
      <c r="C303" s="10" t="str">
        <f t="shared" si="14"/>
        <v>L</v>
      </c>
      <c r="D303" s="9" t="s">
        <v>1112</v>
      </c>
      <c r="E303" s="10">
        <v>-7.6294855250000002E-2</v>
      </c>
      <c r="F303" s="10">
        <v>0.1969375575</v>
      </c>
      <c r="G303" s="10">
        <v>-6.3516067999999995E-2</v>
      </c>
      <c r="H303" s="10" t="s">
        <v>2816</v>
      </c>
    </row>
    <row r="304" spans="1:8" x14ac:dyDescent="0.2">
      <c r="A304" s="10" t="str">
        <f t="shared" si="12"/>
        <v>V</v>
      </c>
      <c r="B304" s="10" t="str">
        <f t="shared" si="13"/>
        <v>1784</v>
      </c>
      <c r="C304" s="10" t="str">
        <f t="shared" si="14"/>
        <v>A</v>
      </c>
      <c r="D304" s="9" t="s">
        <v>1431</v>
      </c>
      <c r="E304" s="10">
        <v>0.17591357525000001</v>
      </c>
      <c r="F304" s="10">
        <v>4.529650625E-2</v>
      </c>
      <c r="G304" s="10">
        <v>0.288345831</v>
      </c>
      <c r="H304" s="10" t="s">
        <v>2816</v>
      </c>
    </row>
    <row r="305" spans="1:8" x14ac:dyDescent="0.2">
      <c r="A305" s="10" t="str">
        <f t="shared" si="12"/>
        <v>V</v>
      </c>
      <c r="B305" s="10" t="str">
        <f t="shared" si="13"/>
        <v>1792</v>
      </c>
      <c r="C305" s="10" t="str">
        <f t="shared" si="14"/>
        <v>G</v>
      </c>
      <c r="D305" s="9" t="s">
        <v>1493</v>
      </c>
      <c r="E305" s="10">
        <v>0.22176768175</v>
      </c>
      <c r="F305" s="10">
        <v>-0.684879028</v>
      </c>
      <c r="G305" s="10">
        <v>-0.58513882500000003</v>
      </c>
      <c r="H305" s="10" t="s">
        <v>2816</v>
      </c>
    </row>
    <row r="306" spans="1:8" x14ac:dyDescent="0.2">
      <c r="A306" s="10" t="str">
        <f t="shared" si="12"/>
        <v>V</v>
      </c>
      <c r="B306" s="10" t="str">
        <f t="shared" si="13"/>
        <v>1792</v>
      </c>
      <c r="C306" s="10" t="str">
        <f t="shared" si="14"/>
        <v>L</v>
      </c>
      <c r="D306" s="9" t="s">
        <v>1494</v>
      </c>
      <c r="E306" s="10">
        <v>0.28697532199999998</v>
      </c>
      <c r="F306" s="10">
        <v>-4.5610537749999999E-2</v>
      </c>
      <c r="G306" s="10">
        <v>-0.116997374</v>
      </c>
      <c r="H306" s="10" t="s">
        <v>2816</v>
      </c>
    </row>
    <row r="307" spans="1:8" x14ac:dyDescent="0.2">
      <c r="A307" s="10" t="str">
        <f t="shared" si="12"/>
        <v>V</v>
      </c>
      <c r="B307" s="10" t="str">
        <f t="shared" si="13"/>
        <v>1804</v>
      </c>
      <c r="C307" s="10" t="str">
        <f t="shared" si="14"/>
        <v>A</v>
      </c>
      <c r="D307" s="9" t="s">
        <v>1592</v>
      </c>
      <c r="E307" s="10">
        <v>-0.14020163124999999</v>
      </c>
      <c r="F307" s="10">
        <v>0.3143512765</v>
      </c>
      <c r="G307" s="10">
        <v>8.1583470000000005E-2</v>
      </c>
      <c r="H307" s="10" t="s">
        <v>2816</v>
      </c>
    </row>
    <row r="308" spans="1:8" x14ac:dyDescent="0.2">
      <c r="A308" s="10" t="str">
        <f t="shared" si="12"/>
        <v>V</v>
      </c>
      <c r="B308" s="10" t="str">
        <f t="shared" si="13"/>
        <v>1804</v>
      </c>
      <c r="C308" s="10" t="str">
        <f t="shared" si="14"/>
        <v>L</v>
      </c>
      <c r="D308" s="9" t="s">
        <v>1596</v>
      </c>
      <c r="E308" s="10">
        <v>0.21769044774999999</v>
      </c>
      <c r="F308" s="10">
        <v>0.418771805</v>
      </c>
      <c r="G308" s="10">
        <v>-0.58045023500000004</v>
      </c>
      <c r="H308" s="10" t="s">
        <v>2816</v>
      </c>
    </row>
    <row r="309" spans="1:8" x14ac:dyDescent="0.2">
      <c r="A309" s="10" t="str">
        <f t="shared" si="12"/>
        <v>V</v>
      </c>
      <c r="B309" s="10" t="str">
        <f t="shared" si="13"/>
        <v>1810</v>
      </c>
      <c r="C309" s="10" t="str">
        <f t="shared" si="14"/>
        <v>L</v>
      </c>
      <c r="D309" s="9" t="s">
        <v>1642</v>
      </c>
      <c r="E309" s="10">
        <v>0.21663597449999999</v>
      </c>
      <c r="F309" s="10">
        <v>-0.30864672850000002</v>
      </c>
      <c r="G309" s="10">
        <v>-0.12832495699999999</v>
      </c>
      <c r="H309" s="10" t="s">
        <v>2816</v>
      </c>
    </row>
    <row r="310" spans="1:8" x14ac:dyDescent="0.2">
      <c r="A310" s="10" t="str">
        <f t="shared" si="12"/>
        <v>V</v>
      </c>
      <c r="B310" s="10" t="str">
        <f t="shared" si="13"/>
        <v>1832</v>
      </c>
      <c r="C310" s="10" t="str">
        <f t="shared" si="14"/>
        <v>L</v>
      </c>
      <c r="D310" s="9" t="s">
        <v>1838</v>
      </c>
      <c r="E310" s="10">
        <v>0.328916665</v>
      </c>
      <c r="F310" s="10">
        <v>-0.26102467925</v>
      </c>
      <c r="G310" s="10">
        <v>-0.73647051699999999</v>
      </c>
      <c r="H310" s="10" t="s">
        <v>2816</v>
      </c>
    </row>
    <row r="311" spans="1:8" x14ac:dyDescent="0.2">
      <c r="A311" s="10" t="str">
        <f t="shared" si="12"/>
        <v>V</v>
      </c>
      <c r="B311" s="10" t="str">
        <f t="shared" si="13"/>
        <v>1833</v>
      </c>
      <c r="C311" s="10" t="str">
        <f t="shared" si="14"/>
        <v>A</v>
      </c>
      <c r="D311" s="9" t="s">
        <v>1845</v>
      </c>
      <c r="E311" s="10">
        <v>0.33574895275</v>
      </c>
      <c r="F311" s="10">
        <v>-0.22004100125000001</v>
      </c>
      <c r="G311" s="10">
        <v>-0.66142318700000002</v>
      </c>
      <c r="H311" s="10" t="s">
        <v>2816</v>
      </c>
    </row>
    <row r="312" spans="1:8" x14ac:dyDescent="0.2">
      <c r="A312" s="10" t="str">
        <f t="shared" si="12"/>
        <v>V</v>
      </c>
      <c r="B312" s="10" t="str">
        <f t="shared" si="13"/>
        <v>1833</v>
      </c>
      <c r="C312" s="10" t="str">
        <f t="shared" si="14"/>
        <v>E</v>
      </c>
      <c r="D312" s="9" t="s">
        <v>1847</v>
      </c>
      <c r="E312" s="10">
        <v>-1.07691159925</v>
      </c>
      <c r="F312" s="10">
        <v>-1.67797158675</v>
      </c>
      <c r="G312" s="10">
        <v>-2.6059337660000002</v>
      </c>
      <c r="H312" s="10" t="s">
        <v>2827</v>
      </c>
    </row>
    <row r="313" spans="1:8" x14ac:dyDescent="0.2">
      <c r="A313" s="10" t="str">
        <f t="shared" si="12"/>
        <v>V</v>
      </c>
      <c r="B313" s="10" t="str">
        <f t="shared" si="13"/>
        <v>1838</v>
      </c>
      <c r="C313" s="10" t="str">
        <f t="shared" si="14"/>
        <v>G</v>
      </c>
      <c r="D313" s="9" t="s">
        <v>1905</v>
      </c>
      <c r="E313" s="10">
        <v>-0.73299932874999996</v>
      </c>
      <c r="F313" s="10">
        <v>-0.65478948000000003</v>
      </c>
      <c r="G313" s="10">
        <v>-1.979915318</v>
      </c>
      <c r="H313" s="10" t="s">
        <v>2827</v>
      </c>
    </row>
    <row r="314" spans="1:8" x14ac:dyDescent="0.2">
      <c r="A314" s="10" t="str">
        <f t="shared" si="12"/>
        <v>V</v>
      </c>
      <c r="B314" s="10" t="str">
        <f t="shared" si="13"/>
        <v>1838</v>
      </c>
      <c r="C314" s="10" t="str">
        <f t="shared" si="14"/>
        <v>L</v>
      </c>
      <c r="D314" s="9" t="s">
        <v>1907</v>
      </c>
      <c r="E314" s="10">
        <v>-0.58520966750000003</v>
      </c>
      <c r="F314" s="10">
        <v>7.8494734999999996E-2</v>
      </c>
      <c r="G314" s="10">
        <v>-6.5622912000000005E-2</v>
      </c>
      <c r="H314" s="10" t="s">
        <v>2816</v>
      </c>
    </row>
    <row r="315" spans="1:8" x14ac:dyDescent="0.2">
      <c r="A315" s="10" t="str">
        <f t="shared" si="12"/>
        <v>V</v>
      </c>
      <c r="B315" s="10" t="str">
        <f t="shared" si="13"/>
        <v>1838</v>
      </c>
      <c r="C315" s="10" t="str">
        <f t="shared" si="14"/>
        <v>M</v>
      </c>
      <c r="D315" s="9" t="s">
        <v>1908</v>
      </c>
      <c r="E315" s="10">
        <v>-4.6329220000000003E-3</v>
      </c>
      <c r="F315" s="10">
        <v>-1.1075271497500001</v>
      </c>
      <c r="G315" s="10">
        <v>-0.55303793099999998</v>
      </c>
      <c r="H315" s="10" t="s">
        <v>2816</v>
      </c>
    </row>
    <row r="316" spans="1:8" x14ac:dyDescent="0.2">
      <c r="A316" s="10" t="str">
        <f t="shared" si="12"/>
        <v>V</v>
      </c>
      <c r="B316" s="10" t="str">
        <f t="shared" si="13"/>
        <v>1842</v>
      </c>
      <c r="C316" s="10" t="str">
        <f t="shared" si="14"/>
        <v>E</v>
      </c>
      <c r="D316" s="9" t="s">
        <v>1938</v>
      </c>
      <c r="E316" s="10">
        <v>-0.71125752075000004</v>
      </c>
      <c r="F316" s="10">
        <v>-0.82065674524999999</v>
      </c>
      <c r="G316" s="10">
        <v>-2.0268928829999999</v>
      </c>
      <c r="H316" s="10" t="s">
        <v>2827</v>
      </c>
    </row>
    <row r="317" spans="1:8" x14ac:dyDescent="0.2">
      <c r="A317" s="10" t="str">
        <f t="shared" si="12"/>
        <v>V</v>
      </c>
      <c r="B317" s="10" t="str">
        <f t="shared" si="13"/>
        <v>1842</v>
      </c>
      <c r="C317" s="10" t="str">
        <f t="shared" si="14"/>
        <v>G</v>
      </c>
      <c r="D317" s="9" t="s">
        <v>1940</v>
      </c>
      <c r="E317" s="10">
        <v>-1.2082699587500001</v>
      </c>
      <c r="F317" s="10">
        <v>-0.81040767375</v>
      </c>
      <c r="G317" s="10">
        <v>-1.9224340280000001</v>
      </c>
      <c r="H317" s="10" t="s">
        <v>2827</v>
      </c>
    </row>
    <row r="318" spans="1:8" x14ac:dyDescent="0.2">
      <c r="A318" s="10" t="str">
        <f t="shared" si="12"/>
        <v>V</v>
      </c>
      <c r="B318" s="10" t="str">
        <f t="shared" si="13"/>
        <v>1842</v>
      </c>
      <c r="C318" s="10" t="str">
        <f t="shared" si="14"/>
        <v>L</v>
      </c>
      <c r="D318" s="9" t="s">
        <v>1941</v>
      </c>
      <c r="E318" s="10">
        <v>-0.31475368850000002</v>
      </c>
      <c r="F318" s="10">
        <v>-0.62127283725000004</v>
      </c>
      <c r="G318" s="10">
        <v>-0.52545349600000002</v>
      </c>
      <c r="H318" s="10" t="s">
        <v>2816</v>
      </c>
    </row>
    <row r="319" spans="1:8" x14ac:dyDescent="0.2">
      <c r="A319" s="10" t="str">
        <f t="shared" si="12"/>
        <v>W</v>
      </c>
      <c r="B319" s="10" t="str">
        <f t="shared" si="13"/>
        <v>1712</v>
      </c>
      <c r="C319" s="10" t="str">
        <f t="shared" si="14"/>
        <v>G</v>
      </c>
      <c r="D319" s="9" t="s">
        <v>1005</v>
      </c>
      <c r="E319" s="10">
        <v>-1.6839892027500001</v>
      </c>
      <c r="F319" s="10">
        <v>-1.296506728</v>
      </c>
      <c r="G319" s="10">
        <v>-2.1362502189999999</v>
      </c>
      <c r="H319" s="10" t="s">
        <v>2827</v>
      </c>
    </row>
    <row r="320" spans="1:8" x14ac:dyDescent="0.2">
      <c r="A320" s="10" t="str">
        <f t="shared" si="12"/>
        <v>W</v>
      </c>
      <c r="B320" s="10" t="str">
        <f t="shared" si="13"/>
        <v>1718</v>
      </c>
      <c r="C320" s="10" t="str">
        <f t="shared" si="14"/>
        <v>L</v>
      </c>
      <c r="D320" s="9" t="s">
        <v>1034</v>
      </c>
      <c r="E320" s="10">
        <v>-0.71070471099999999</v>
      </c>
      <c r="F320" s="10">
        <v>-0.58045835649999999</v>
      </c>
      <c r="G320" s="10">
        <v>-1.371155232</v>
      </c>
      <c r="H320" s="10" t="s">
        <v>2827</v>
      </c>
    </row>
    <row r="321" spans="1:8" x14ac:dyDescent="0.2">
      <c r="A321" s="10" t="str">
        <f t="shared" si="12"/>
        <v>W</v>
      </c>
      <c r="B321" s="10" t="str">
        <f t="shared" si="13"/>
        <v>1782</v>
      </c>
      <c r="C321" s="10" t="str">
        <f t="shared" si="14"/>
        <v>L</v>
      </c>
      <c r="D321" s="9" t="s">
        <v>1413</v>
      </c>
      <c r="E321" s="10">
        <v>8.6998555249999998E-2</v>
      </c>
      <c r="F321" s="10">
        <v>-0.46367881</v>
      </c>
      <c r="G321" s="10">
        <v>3.8865879999999998E-3</v>
      </c>
      <c r="H321" s="10" t="s">
        <v>2816</v>
      </c>
    </row>
    <row r="322" spans="1:8" x14ac:dyDescent="0.2">
      <c r="A322" s="10" t="str">
        <f t="shared" si="12"/>
        <v>W</v>
      </c>
      <c r="B322" s="10" t="str">
        <f t="shared" si="13"/>
        <v>1782</v>
      </c>
      <c r="C322" s="10" t="str">
        <f t="shared" si="14"/>
        <v>R</v>
      </c>
      <c r="D322" s="9" t="s">
        <v>1415</v>
      </c>
      <c r="E322" s="10">
        <v>-7.7980024999999994E-2</v>
      </c>
      <c r="F322" s="10">
        <v>-0.68879646999999999</v>
      </c>
      <c r="G322" s="10">
        <v>0.150364469</v>
      </c>
      <c r="H322" s="10" t="s">
        <v>2816</v>
      </c>
    </row>
    <row r="323" spans="1:8" x14ac:dyDescent="0.2">
      <c r="A323" s="10" t="str">
        <f t="shared" ref="A323:A330" si="15">LEFT(D323,1)</f>
        <v>W</v>
      </c>
      <c r="B323" s="10" t="str">
        <f t="shared" ref="B323:B330" si="16">RIGHT(LEFT(D323,5),4)</f>
        <v>1815</v>
      </c>
      <c r="C323" s="10" t="str">
        <f t="shared" ref="C323:C330" si="17">RIGHT(D323,1)</f>
        <v>G</v>
      </c>
      <c r="D323" s="9" t="s">
        <v>1681</v>
      </c>
      <c r="E323" s="10">
        <v>-3.2366473999999999E-2</v>
      </c>
      <c r="F323" s="10">
        <v>-0.50928576874999998</v>
      </c>
      <c r="G323" s="10">
        <v>-0.62410591500000001</v>
      </c>
      <c r="H323" s="10" t="s">
        <v>2816</v>
      </c>
    </row>
    <row r="324" spans="1:8" x14ac:dyDescent="0.2">
      <c r="A324" s="10" t="str">
        <f t="shared" si="15"/>
        <v>W</v>
      </c>
      <c r="B324" s="10" t="str">
        <f t="shared" si="16"/>
        <v>1815</v>
      </c>
      <c r="C324" s="10" t="str">
        <f t="shared" si="17"/>
        <v>R</v>
      </c>
      <c r="D324" s="9" t="s">
        <v>1685</v>
      </c>
      <c r="E324" s="10">
        <v>5.9776632500000001E-3</v>
      </c>
      <c r="F324" s="10">
        <v>-0.35947940225000002</v>
      </c>
      <c r="G324" s="10">
        <v>-0.48402888799999999</v>
      </c>
      <c r="H324" s="10" t="s">
        <v>2816</v>
      </c>
    </row>
    <row r="325" spans="1:8" x14ac:dyDescent="0.2">
      <c r="A325" s="10" t="str">
        <f t="shared" si="15"/>
        <v>W</v>
      </c>
      <c r="B325" s="10" t="str">
        <f t="shared" si="16"/>
        <v>1815</v>
      </c>
      <c r="C325" s="10" t="str">
        <f t="shared" si="17"/>
        <v>S</v>
      </c>
      <c r="D325" s="9" t="s">
        <v>1686</v>
      </c>
      <c r="E325" s="10">
        <v>0.26628940800000001</v>
      </c>
      <c r="F325" s="10">
        <v>-0.17013660175</v>
      </c>
      <c r="G325" s="10">
        <v>-1.5496975310000001</v>
      </c>
      <c r="H325" s="10" t="s">
        <v>2827</v>
      </c>
    </row>
    <row r="326" spans="1:8" x14ac:dyDescent="0.2">
      <c r="A326" s="10" t="str">
        <f t="shared" si="15"/>
        <v>W</v>
      </c>
      <c r="B326" s="10" t="str">
        <f t="shared" si="16"/>
        <v>1837</v>
      </c>
      <c r="C326" s="10" t="str">
        <f t="shared" si="17"/>
        <v>G</v>
      </c>
      <c r="D326" s="9" t="s">
        <v>68</v>
      </c>
      <c r="E326" s="10">
        <v>-1.9510558760000001</v>
      </c>
      <c r="F326" s="10">
        <v>-0.79422333150000002</v>
      </c>
      <c r="G326" s="10">
        <v>-2.5628184740000002</v>
      </c>
      <c r="H326" s="10" t="s">
        <v>2827</v>
      </c>
    </row>
    <row r="327" spans="1:8" x14ac:dyDescent="0.2">
      <c r="A327" s="10" t="str">
        <f t="shared" si="15"/>
        <v>W</v>
      </c>
      <c r="B327" s="10" t="str">
        <f t="shared" si="16"/>
        <v>1837</v>
      </c>
      <c r="C327" s="10" t="str">
        <f t="shared" si="17"/>
        <v>R</v>
      </c>
      <c r="D327" s="9" t="s">
        <v>1897</v>
      </c>
      <c r="E327" s="10">
        <v>-0.98117029300000003</v>
      </c>
      <c r="F327" s="10">
        <v>-1.114951644</v>
      </c>
      <c r="G327" s="10">
        <v>-2.3875999480000001</v>
      </c>
      <c r="H327" s="10" t="s">
        <v>2827</v>
      </c>
    </row>
    <row r="328" spans="1:8" x14ac:dyDescent="0.2">
      <c r="A328" s="10" t="str">
        <f t="shared" si="15"/>
        <v>Y</v>
      </c>
      <c r="B328" s="10" t="str">
        <f t="shared" si="16"/>
        <v>1666</v>
      </c>
      <c r="C328" s="10" t="str">
        <f t="shared" si="17"/>
        <v>F</v>
      </c>
      <c r="D328" s="9" t="s">
        <v>759</v>
      </c>
      <c r="E328" s="10">
        <v>-8.0409996750000004E-2</v>
      </c>
      <c r="F328" s="10" t="s">
        <v>76</v>
      </c>
      <c r="G328" s="10">
        <v>-4.1038529999999997E-2</v>
      </c>
      <c r="H328" s="10" t="s">
        <v>2816</v>
      </c>
    </row>
    <row r="329" spans="1:8" x14ac:dyDescent="0.2">
      <c r="A329" s="10" t="str">
        <f t="shared" si="15"/>
        <v>Y</v>
      </c>
      <c r="B329" s="10" t="str">
        <f t="shared" si="16"/>
        <v>1769</v>
      </c>
      <c r="C329" s="10" t="str">
        <f t="shared" si="17"/>
        <v>F</v>
      </c>
      <c r="D329" s="9" t="s">
        <v>1293</v>
      </c>
      <c r="E329" s="10">
        <v>8.6879155000000007E-3</v>
      </c>
      <c r="F329" s="10">
        <v>-0.50599143324999996</v>
      </c>
      <c r="G329" s="10">
        <v>0.22251304899999999</v>
      </c>
      <c r="H329" s="10" t="s">
        <v>2816</v>
      </c>
    </row>
    <row r="330" spans="1:8" x14ac:dyDescent="0.2">
      <c r="A330" s="10" t="str">
        <f t="shared" si="15"/>
        <v>Y</v>
      </c>
      <c r="B330" s="10" t="str">
        <f t="shared" si="16"/>
        <v>1769</v>
      </c>
      <c r="C330" s="10" t="str">
        <f t="shared" si="17"/>
        <v>S</v>
      </c>
      <c r="D330" s="9" t="s">
        <v>1302</v>
      </c>
      <c r="E330" s="10">
        <v>-2.9282939250000001E-2</v>
      </c>
      <c r="F330" s="10">
        <v>-0.26159076074999998</v>
      </c>
      <c r="G330" s="10">
        <v>-0.45414862700000003</v>
      </c>
      <c r="H330" s="10" t="s">
        <v>2816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95A97-9301-344F-B40E-B193CDC01366}">
  <dimension ref="A1:O766"/>
  <sheetViews>
    <sheetView tabSelected="1" workbookViewId="0">
      <selection activeCell="A2" sqref="A2"/>
    </sheetView>
  </sheetViews>
  <sheetFormatPr baseColWidth="10" defaultRowHeight="16" x14ac:dyDescent="0.2"/>
  <cols>
    <col min="1" max="1" width="17.5" style="10" customWidth="1"/>
    <col min="2" max="4" width="10.83203125" style="10"/>
    <col min="5" max="5" width="14.1640625" style="10" customWidth="1"/>
    <col min="6" max="11" width="10.83203125" style="10"/>
    <col min="12" max="12" width="13" style="10" customWidth="1"/>
    <col min="13" max="16384" width="10.83203125" style="10"/>
  </cols>
  <sheetData>
    <row r="1" spans="1:15" x14ac:dyDescent="0.2">
      <c r="B1" s="10" t="s">
        <v>2827</v>
      </c>
      <c r="C1" s="10" t="s">
        <v>2827</v>
      </c>
      <c r="D1" s="10" t="s">
        <v>2827</v>
      </c>
      <c r="E1" s="10" t="s">
        <v>2827</v>
      </c>
      <c r="F1" s="10" t="s">
        <v>2827</v>
      </c>
      <c r="G1" s="10" t="s">
        <v>2827</v>
      </c>
      <c r="H1" s="10" t="s">
        <v>2827</v>
      </c>
      <c r="I1" s="10" t="s">
        <v>2816</v>
      </c>
      <c r="J1" s="10" t="s">
        <v>2816</v>
      </c>
      <c r="K1" s="10" t="s">
        <v>2816</v>
      </c>
      <c r="L1" s="10" t="s">
        <v>2816</v>
      </c>
      <c r="M1" s="10" t="s">
        <v>2816</v>
      </c>
      <c r="N1" s="10" t="s">
        <v>2816</v>
      </c>
      <c r="O1" s="10" t="s">
        <v>2816</v>
      </c>
    </row>
    <row r="2" spans="1:15" ht="34" x14ac:dyDescent="0.2">
      <c r="A2" s="65" t="s">
        <v>4279</v>
      </c>
      <c r="B2" s="61" t="s">
        <v>4278</v>
      </c>
      <c r="C2" s="61" t="s">
        <v>4277</v>
      </c>
      <c r="D2" s="61" t="s">
        <v>4276</v>
      </c>
      <c r="E2" s="61" t="s">
        <v>4275</v>
      </c>
      <c r="F2" s="61" t="s">
        <v>4274</v>
      </c>
      <c r="G2" s="62" t="s">
        <v>4273</v>
      </c>
      <c r="H2" s="61" t="s">
        <v>4272</v>
      </c>
      <c r="I2" s="60" t="s">
        <v>4278</v>
      </c>
      <c r="J2" s="60" t="s">
        <v>4277</v>
      </c>
      <c r="K2" s="60" t="s">
        <v>4276</v>
      </c>
      <c r="L2" s="60" t="s">
        <v>4275</v>
      </c>
      <c r="M2" s="60" t="s">
        <v>4274</v>
      </c>
      <c r="N2" s="60" t="s">
        <v>4273</v>
      </c>
      <c r="O2" s="60" t="s">
        <v>4272</v>
      </c>
    </row>
    <row r="3" spans="1:15" x14ac:dyDescent="0.2">
      <c r="B3" s="10" t="s">
        <v>75</v>
      </c>
      <c r="C3" s="10" t="s">
        <v>2648</v>
      </c>
      <c r="D3" s="10" t="s">
        <v>865</v>
      </c>
      <c r="E3" s="10" t="s">
        <v>877</v>
      </c>
      <c r="F3" s="10" t="s">
        <v>814</v>
      </c>
      <c r="G3" s="59" t="s">
        <v>650</v>
      </c>
      <c r="H3" s="10" t="s">
        <v>1234</v>
      </c>
      <c r="I3" s="10" t="s">
        <v>77</v>
      </c>
      <c r="J3" s="10" t="s">
        <v>822</v>
      </c>
      <c r="K3" s="10" t="s">
        <v>553</v>
      </c>
      <c r="L3" s="10" t="s">
        <v>808</v>
      </c>
      <c r="M3" s="10" t="s">
        <v>805</v>
      </c>
      <c r="N3" s="10" t="s">
        <v>531</v>
      </c>
      <c r="O3" s="10" t="s">
        <v>824</v>
      </c>
    </row>
    <row r="4" spans="1:15" x14ac:dyDescent="0.2">
      <c r="B4" s="10" t="s">
        <v>89</v>
      </c>
      <c r="C4" s="10" t="s">
        <v>46</v>
      </c>
      <c r="D4" s="10" t="s">
        <v>917</v>
      </c>
      <c r="E4" s="10" t="s">
        <v>883</v>
      </c>
      <c r="F4" s="10" t="s">
        <v>2511</v>
      </c>
      <c r="G4" s="59" t="s">
        <v>657</v>
      </c>
      <c r="H4" s="10" t="s">
        <v>59</v>
      </c>
      <c r="I4" s="10" t="s">
        <v>85</v>
      </c>
      <c r="J4" s="10" t="s">
        <v>2510</v>
      </c>
      <c r="K4" s="10" t="s">
        <v>564</v>
      </c>
      <c r="L4" s="10" t="s">
        <v>806</v>
      </c>
      <c r="M4" s="10" t="s">
        <v>809</v>
      </c>
      <c r="N4" s="10" t="s">
        <v>539</v>
      </c>
      <c r="O4" s="10" t="s">
        <v>903</v>
      </c>
    </row>
    <row r="5" spans="1:15" x14ac:dyDescent="0.2">
      <c r="B5" s="10" t="s">
        <v>94</v>
      </c>
      <c r="C5" s="10" t="s">
        <v>2501</v>
      </c>
      <c r="D5" s="10" t="s">
        <v>922</v>
      </c>
      <c r="E5" s="10" t="s">
        <v>26</v>
      </c>
      <c r="F5" s="10" t="s">
        <v>821</v>
      </c>
      <c r="G5" s="59" t="s">
        <v>655</v>
      </c>
      <c r="H5" s="10" t="s">
        <v>33</v>
      </c>
      <c r="I5" s="10" t="s">
        <v>84</v>
      </c>
      <c r="J5" s="10" t="s">
        <v>817</v>
      </c>
      <c r="K5" s="10" t="s">
        <v>648</v>
      </c>
      <c r="L5" s="10" t="s">
        <v>811</v>
      </c>
      <c r="M5" s="10" t="s">
        <v>2513</v>
      </c>
      <c r="N5" s="10" t="s">
        <v>547</v>
      </c>
      <c r="O5" s="10" t="s">
        <v>929</v>
      </c>
    </row>
    <row r="6" spans="1:15" x14ac:dyDescent="0.2">
      <c r="B6" s="10" t="s">
        <v>95</v>
      </c>
      <c r="C6" s="10" t="s">
        <v>2646</v>
      </c>
      <c r="D6" s="10" t="s">
        <v>924</v>
      </c>
      <c r="E6" s="10" t="s">
        <v>890</v>
      </c>
      <c r="F6" s="10" t="s">
        <v>2512</v>
      </c>
      <c r="G6" s="59" t="s">
        <v>665</v>
      </c>
      <c r="H6" s="10" t="s">
        <v>1397</v>
      </c>
      <c r="I6" s="10" t="s">
        <v>80</v>
      </c>
      <c r="J6" s="10" t="s">
        <v>818</v>
      </c>
      <c r="K6" s="10" t="s">
        <v>717</v>
      </c>
      <c r="L6" s="10" t="s">
        <v>819</v>
      </c>
      <c r="M6" s="10" t="s">
        <v>810</v>
      </c>
      <c r="N6" s="10" t="s">
        <v>555</v>
      </c>
      <c r="O6" s="10" t="s">
        <v>941</v>
      </c>
    </row>
    <row r="7" spans="1:15" x14ac:dyDescent="0.2">
      <c r="B7" s="10" t="s">
        <v>2580</v>
      </c>
      <c r="C7" s="10" t="s">
        <v>863</v>
      </c>
      <c r="D7" s="10" t="s">
        <v>928</v>
      </c>
      <c r="E7" s="10" t="s">
        <v>889</v>
      </c>
      <c r="F7" s="10" t="s">
        <v>2504</v>
      </c>
      <c r="G7" s="59" t="s">
        <v>702</v>
      </c>
      <c r="H7" s="10" t="s">
        <v>1396</v>
      </c>
      <c r="I7" s="10" t="s">
        <v>78</v>
      </c>
      <c r="J7" s="10" t="s">
        <v>2505</v>
      </c>
      <c r="K7" s="10" t="s">
        <v>718</v>
      </c>
      <c r="L7" s="10" t="s">
        <v>825</v>
      </c>
      <c r="M7" s="10" t="s">
        <v>812</v>
      </c>
      <c r="N7" s="10" t="s">
        <v>571</v>
      </c>
      <c r="O7" s="10" t="s">
        <v>950</v>
      </c>
    </row>
    <row r="8" spans="1:15" x14ac:dyDescent="0.2">
      <c r="B8" s="10" t="s">
        <v>106</v>
      </c>
      <c r="C8" s="10" t="s">
        <v>879</v>
      </c>
      <c r="D8" s="10" t="s">
        <v>4271</v>
      </c>
      <c r="E8" s="10" t="s">
        <v>892</v>
      </c>
      <c r="F8" s="10" t="s">
        <v>2502</v>
      </c>
      <c r="G8" s="59" t="s">
        <v>888</v>
      </c>
      <c r="H8" s="10" t="s">
        <v>37</v>
      </c>
      <c r="I8" s="10" t="s">
        <v>2581</v>
      </c>
      <c r="J8" s="10" t="s">
        <v>838</v>
      </c>
      <c r="K8" s="10" t="s">
        <v>735</v>
      </c>
      <c r="L8" s="10" t="s">
        <v>827</v>
      </c>
      <c r="M8" s="10" t="s">
        <v>820</v>
      </c>
      <c r="N8" s="10" t="s">
        <v>588</v>
      </c>
      <c r="O8" s="10" t="s">
        <v>985</v>
      </c>
    </row>
    <row r="9" spans="1:15" x14ac:dyDescent="0.2">
      <c r="B9" s="10" t="s">
        <v>118</v>
      </c>
      <c r="C9" s="10" t="s">
        <v>2471</v>
      </c>
      <c r="D9" s="10" t="s">
        <v>49</v>
      </c>
      <c r="E9" s="10" t="s">
        <v>912</v>
      </c>
      <c r="F9" s="10" t="s">
        <v>858</v>
      </c>
      <c r="G9" s="59" t="s">
        <v>938</v>
      </c>
      <c r="H9" s="10" t="s">
        <v>1463</v>
      </c>
      <c r="I9" s="10" t="s">
        <v>87</v>
      </c>
      <c r="J9" s="10" t="s">
        <v>844</v>
      </c>
      <c r="K9" s="10" t="s">
        <v>781</v>
      </c>
      <c r="L9" s="10" t="s">
        <v>830</v>
      </c>
      <c r="M9" s="10" t="s">
        <v>813</v>
      </c>
      <c r="N9" s="10" t="s">
        <v>589</v>
      </c>
      <c r="O9" s="10" t="s">
        <v>1030</v>
      </c>
    </row>
    <row r="10" spans="1:15" x14ac:dyDescent="0.2">
      <c r="B10" s="10" t="s">
        <v>129</v>
      </c>
      <c r="C10" s="10" t="s">
        <v>2642</v>
      </c>
      <c r="D10" s="10" t="s">
        <v>58</v>
      </c>
      <c r="E10" s="10" t="s">
        <v>946</v>
      </c>
      <c r="F10" s="10" t="s">
        <v>2492</v>
      </c>
      <c r="G10" s="59" t="s">
        <v>1034</v>
      </c>
      <c r="H10" s="10" t="s">
        <v>1474</v>
      </c>
      <c r="I10" s="10" t="s">
        <v>88</v>
      </c>
      <c r="J10" s="10" t="s">
        <v>849</v>
      </c>
      <c r="K10" s="10" t="s">
        <v>879</v>
      </c>
      <c r="L10" s="10" t="s">
        <v>831</v>
      </c>
      <c r="M10" s="10" t="s">
        <v>816</v>
      </c>
      <c r="N10" s="10" t="s">
        <v>595</v>
      </c>
      <c r="O10" s="10" t="s">
        <v>1037</v>
      </c>
    </row>
    <row r="11" spans="1:15" x14ac:dyDescent="0.2">
      <c r="B11" s="10" t="s">
        <v>181</v>
      </c>
      <c r="C11" s="10" t="s">
        <v>900</v>
      </c>
      <c r="D11" s="10" t="s">
        <v>1291</v>
      </c>
      <c r="E11" s="10" t="s">
        <v>956</v>
      </c>
      <c r="F11" s="10" t="s">
        <v>874</v>
      </c>
      <c r="G11" s="59" t="s">
        <v>1143</v>
      </c>
      <c r="H11" s="10" t="s">
        <v>1894</v>
      </c>
      <c r="I11" s="10" t="s">
        <v>90</v>
      </c>
      <c r="J11" s="10" t="s">
        <v>2497</v>
      </c>
      <c r="K11" s="10" t="s">
        <v>900</v>
      </c>
      <c r="L11" s="10" t="s">
        <v>832</v>
      </c>
      <c r="M11" s="10" t="s">
        <v>815</v>
      </c>
      <c r="N11" s="10" t="s">
        <v>604</v>
      </c>
      <c r="O11" s="10" t="s">
        <v>1055</v>
      </c>
    </row>
    <row r="12" spans="1:15" x14ac:dyDescent="0.2">
      <c r="B12" s="10" t="s">
        <v>176</v>
      </c>
      <c r="C12" s="10" t="s">
        <v>2643</v>
      </c>
      <c r="D12" s="10" t="s">
        <v>1316</v>
      </c>
      <c r="E12" s="10" t="s">
        <v>957</v>
      </c>
      <c r="F12" s="10" t="s">
        <v>868</v>
      </c>
      <c r="G12" s="59" t="s">
        <v>1177</v>
      </c>
      <c r="H12" s="10" t="s">
        <v>1922</v>
      </c>
      <c r="I12" s="10" t="s">
        <v>92</v>
      </c>
      <c r="J12" s="10" t="s">
        <v>2647</v>
      </c>
      <c r="K12" s="10" t="s">
        <v>1056</v>
      </c>
      <c r="L12" s="10" t="s">
        <v>843</v>
      </c>
      <c r="M12" s="10" t="s">
        <v>823</v>
      </c>
      <c r="N12" s="10" t="s">
        <v>605</v>
      </c>
      <c r="O12" s="10" t="s">
        <v>47</v>
      </c>
    </row>
    <row r="13" spans="1:15" x14ac:dyDescent="0.2">
      <c r="B13" s="10" t="s">
        <v>2574</v>
      </c>
      <c r="C13" s="10" t="s">
        <v>908</v>
      </c>
      <c r="D13" s="10" t="s">
        <v>61</v>
      </c>
      <c r="E13" s="10" t="s">
        <v>970</v>
      </c>
      <c r="F13" s="10" t="s">
        <v>884</v>
      </c>
      <c r="G13" s="59" t="s">
        <v>1271</v>
      </c>
      <c r="I13" s="10" t="s">
        <v>22</v>
      </c>
      <c r="J13" s="10" t="s">
        <v>2494</v>
      </c>
      <c r="K13" s="10" t="s">
        <v>1063</v>
      </c>
      <c r="L13" s="10" t="s">
        <v>850</v>
      </c>
      <c r="M13" s="10" t="s">
        <v>826</v>
      </c>
      <c r="N13" s="10" t="s">
        <v>607</v>
      </c>
      <c r="O13" s="10" t="s">
        <v>1071</v>
      </c>
    </row>
    <row r="14" spans="1:15" x14ac:dyDescent="0.2">
      <c r="B14" s="10" t="s">
        <v>200</v>
      </c>
      <c r="C14" s="10" t="s">
        <v>2640</v>
      </c>
      <c r="D14" s="10" t="s">
        <v>1651</v>
      </c>
      <c r="E14" s="10" t="s">
        <v>973</v>
      </c>
      <c r="F14" s="10" t="s">
        <v>882</v>
      </c>
      <c r="G14" s="59" t="s">
        <v>1464</v>
      </c>
      <c r="I14" s="10" t="s">
        <v>101</v>
      </c>
      <c r="J14" s="10" t="s">
        <v>2496</v>
      </c>
      <c r="K14" s="10" t="s">
        <v>1168</v>
      </c>
      <c r="L14" s="10" t="s">
        <v>855</v>
      </c>
      <c r="M14" s="10" t="s">
        <v>828</v>
      </c>
      <c r="N14" s="10" t="s">
        <v>610</v>
      </c>
      <c r="O14" s="10" t="s">
        <v>1077</v>
      </c>
    </row>
    <row r="15" spans="1:15" x14ac:dyDescent="0.2">
      <c r="B15" s="10" t="s">
        <v>204</v>
      </c>
      <c r="C15" s="10" t="s">
        <v>2639</v>
      </c>
      <c r="D15" s="10" t="s">
        <v>1686</v>
      </c>
      <c r="E15" s="10" t="s">
        <v>975</v>
      </c>
      <c r="F15" s="10" t="s">
        <v>2480</v>
      </c>
      <c r="G15" s="59" t="s">
        <v>1905</v>
      </c>
      <c r="I15" s="10" t="s">
        <v>98</v>
      </c>
      <c r="J15" s="10" t="s">
        <v>857</v>
      </c>
      <c r="K15" s="10" t="s">
        <v>1279</v>
      </c>
      <c r="L15" s="10" t="s">
        <v>862</v>
      </c>
      <c r="M15" s="10" t="s">
        <v>2508</v>
      </c>
      <c r="N15" s="10" t="s">
        <v>611</v>
      </c>
      <c r="O15" s="10" t="s">
        <v>1090</v>
      </c>
    </row>
    <row r="16" spans="1:15" x14ac:dyDescent="0.2">
      <c r="B16" s="10" t="s">
        <v>217</v>
      </c>
      <c r="C16" s="10" t="s">
        <v>2425</v>
      </c>
      <c r="D16" s="10" t="s">
        <v>1750</v>
      </c>
      <c r="E16" s="10" t="s">
        <v>982</v>
      </c>
      <c r="F16" s="10" t="s">
        <v>2474</v>
      </c>
      <c r="G16" s="59" t="s">
        <v>1943</v>
      </c>
      <c r="I16" s="10" t="s">
        <v>99</v>
      </c>
      <c r="J16" s="10" t="s">
        <v>2645</v>
      </c>
      <c r="K16" s="10" t="s">
        <v>1289</v>
      </c>
      <c r="L16" s="10" t="s">
        <v>869</v>
      </c>
      <c r="M16" s="10" t="s">
        <v>2509</v>
      </c>
      <c r="N16" s="10" t="s">
        <v>620</v>
      </c>
      <c r="O16" s="10" t="s">
        <v>1117</v>
      </c>
    </row>
    <row r="17" spans="2:15" x14ac:dyDescent="0.2">
      <c r="B17" s="10" t="s">
        <v>235</v>
      </c>
      <c r="C17" s="10" t="s">
        <v>2638</v>
      </c>
      <c r="D17" s="10" t="s">
        <v>1752</v>
      </c>
      <c r="E17" s="10" t="s">
        <v>984</v>
      </c>
      <c r="F17" s="10" t="s">
        <v>2475</v>
      </c>
      <c r="I17" s="10" t="s">
        <v>100</v>
      </c>
      <c r="J17" s="10" t="s">
        <v>2489</v>
      </c>
      <c r="K17" s="10" t="s">
        <v>1320</v>
      </c>
      <c r="L17" s="10" t="s">
        <v>885</v>
      </c>
      <c r="M17" s="10" t="s">
        <v>829</v>
      </c>
      <c r="N17" s="10" t="s">
        <v>623</v>
      </c>
      <c r="O17" s="10" t="s">
        <v>1134</v>
      </c>
    </row>
    <row r="18" spans="2:15" x14ac:dyDescent="0.2">
      <c r="B18" s="10" t="s">
        <v>231</v>
      </c>
      <c r="C18" s="10" t="s">
        <v>2637</v>
      </c>
      <c r="D18" s="10" t="s">
        <v>66</v>
      </c>
      <c r="E18" s="10" t="s">
        <v>986</v>
      </c>
      <c r="F18" s="10" t="s">
        <v>2476</v>
      </c>
      <c r="I18" s="10" t="s">
        <v>102</v>
      </c>
      <c r="J18" s="10" t="s">
        <v>870</v>
      </c>
      <c r="K18" s="10" t="s">
        <v>1352</v>
      </c>
      <c r="L18" s="10" t="s">
        <v>896</v>
      </c>
      <c r="M18" s="10" t="s">
        <v>833</v>
      </c>
      <c r="N18" s="10" t="s">
        <v>625</v>
      </c>
      <c r="O18" s="10" t="s">
        <v>1151</v>
      </c>
    </row>
    <row r="19" spans="2:15" x14ac:dyDescent="0.2">
      <c r="B19" s="10" t="s">
        <v>267</v>
      </c>
      <c r="C19" s="10" t="s">
        <v>2412</v>
      </c>
      <c r="D19" s="10" t="s">
        <v>1755</v>
      </c>
      <c r="E19" s="10" t="s">
        <v>989</v>
      </c>
      <c r="F19" s="10" t="s">
        <v>886</v>
      </c>
      <c r="I19" s="10" t="s">
        <v>103</v>
      </c>
      <c r="J19" s="10" t="s">
        <v>2644</v>
      </c>
      <c r="K19" s="10" t="s">
        <v>1747</v>
      </c>
      <c r="L19" s="10" t="s">
        <v>27</v>
      </c>
      <c r="M19" s="10" t="s">
        <v>834</v>
      </c>
      <c r="N19" s="10" t="s">
        <v>626</v>
      </c>
      <c r="O19" s="10" t="s">
        <v>55</v>
      </c>
    </row>
    <row r="20" spans="2:15" x14ac:dyDescent="0.2">
      <c r="B20" s="10" t="s">
        <v>279</v>
      </c>
      <c r="C20" s="10" t="s">
        <v>994</v>
      </c>
      <c r="D20" s="10" t="s">
        <v>1937</v>
      </c>
      <c r="E20" s="10" t="s">
        <v>1005</v>
      </c>
      <c r="F20" s="10" t="s">
        <v>2473</v>
      </c>
      <c r="I20" s="10" t="s">
        <v>105</v>
      </c>
      <c r="J20" s="10" t="s">
        <v>873</v>
      </c>
      <c r="K20" s="10" t="s">
        <v>1795</v>
      </c>
      <c r="L20" s="10" t="s">
        <v>923</v>
      </c>
      <c r="M20" s="10" t="s">
        <v>2503</v>
      </c>
      <c r="N20" s="10" t="s">
        <v>634</v>
      </c>
      <c r="O20" s="10" t="s">
        <v>1224</v>
      </c>
    </row>
    <row r="21" spans="2:15" x14ac:dyDescent="0.2">
      <c r="B21" s="10" t="s">
        <v>70</v>
      </c>
      <c r="C21" s="10" t="s">
        <v>1001</v>
      </c>
      <c r="D21" s="10" t="s">
        <v>1946</v>
      </c>
      <c r="E21" s="10" t="s">
        <v>1009</v>
      </c>
      <c r="F21" s="10" t="s">
        <v>891</v>
      </c>
      <c r="I21" s="10" t="s">
        <v>104</v>
      </c>
      <c r="J21" s="10" t="s">
        <v>2484</v>
      </c>
      <c r="K21" s="10" t="s">
        <v>1818</v>
      </c>
      <c r="L21" s="10" t="s">
        <v>936</v>
      </c>
      <c r="M21" s="10" t="s">
        <v>836</v>
      </c>
      <c r="N21" s="10" t="s">
        <v>641</v>
      </c>
      <c r="O21" s="10" t="s">
        <v>1287</v>
      </c>
    </row>
    <row r="22" spans="2:15" x14ac:dyDescent="0.2">
      <c r="B22" s="10" t="s">
        <v>280</v>
      </c>
      <c r="C22" s="10" t="s">
        <v>2636</v>
      </c>
      <c r="E22" s="10" t="s">
        <v>1011</v>
      </c>
      <c r="F22" s="10" t="s">
        <v>2472</v>
      </c>
      <c r="I22" s="10" t="s">
        <v>107</v>
      </c>
      <c r="J22" s="10" t="s">
        <v>2482</v>
      </c>
      <c r="K22" s="10" t="s">
        <v>1823</v>
      </c>
      <c r="L22" s="10" t="s">
        <v>939</v>
      </c>
      <c r="M22" s="10" t="s">
        <v>842</v>
      </c>
      <c r="N22" s="10" t="s">
        <v>661</v>
      </c>
      <c r="O22" s="10" t="s">
        <v>1317</v>
      </c>
    </row>
    <row r="23" spans="2:15" x14ac:dyDescent="0.2">
      <c r="B23" s="10" t="s">
        <v>2562</v>
      </c>
      <c r="C23" s="10" t="s">
        <v>2635</v>
      </c>
      <c r="E23" s="10" t="s">
        <v>32</v>
      </c>
      <c r="F23" s="10" t="s">
        <v>897</v>
      </c>
      <c r="I23" s="10" t="s">
        <v>115</v>
      </c>
      <c r="J23" s="10" t="s">
        <v>880</v>
      </c>
      <c r="K23" s="10" t="s">
        <v>67</v>
      </c>
      <c r="L23" s="10" t="s">
        <v>947</v>
      </c>
      <c r="M23" s="10" t="s">
        <v>839</v>
      </c>
      <c r="N23" s="10" t="s">
        <v>706</v>
      </c>
      <c r="O23" s="10" t="s">
        <v>1367</v>
      </c>
    </row>
    <row r="24" spans="2:15" x14ac:dyDescent="0.2">
      <c r="B24" s="10" t="s">
        <v>2563</v>
      </c>
      <c r="C24" s="10" t="s">
        <v>2634</v>
      </c>
      <c r="E24" s="10" t="s">
        <v>1020</v>
      </c>
      <c r="F24" s="10" t="s">
        <v>901</v>
      </c>
      <c r="I24" s="10" t="s">
        <v>108</v>
      </c>
      <c r="J24" s="10" t="s">
        <v>888</v>
      </c>
      <c r="K24" s="10" t="s">
        <v>1924</v>
      </c>
      <c r="L24" s="10" t="s">
        <v>978</v>
      </c>
      <c r="M24" s="10" t="s">
        <v>841</v>
      </c>
      <c r="N24" s="10" t="s">
        <v>715</v>
      </c>
      <c r="O24" s="10" t="s">
        <v>1377</v>
      </c>
    </row>
    <row r="25" spans="2:15" x14ac:dyDescent="0.2">
      <c r="B25" s="10" t="s">
        <v>2560</v>
      </c>
      <c r="C25" s="10" t="s">
        <v>2633</v>
      </c>
      <c r="E25" s="10" t="s">
        <v>1083</v>
      </c>
      <c r="F25" s="10" t="s">
        <v>2470</v>
      </c>
      <c r="I25" s="10" t="s">
        <v>111</v>
      </c>
      <c r="J25" s="10" t="s">
        <v>893</v>
      </c>
      <c r="K25" s="10" t="s">
        <v>1941</v>
      </c>
      <c r="L25" s="10" t="s">
        <v>30</v>
      </c>
      <c r="M25" s="10" t="s">
        <v>2498</v>
      </c>
      <c r="N25" s="10" t="s">
        <v>719</v>
      </c>
      <c r="O25" s="10" t="s">
        <v>34</v>
      </c>
    </row>
    <row r="26" spans="2:15" x14ac:dyDescent="0.2">
      <c r="B26" s="10" t="s">
        <v>314</v>
      </c>
      <c r="C26" s="10" t="s">
        <v>2631</v>
      </c>
      <c r="E26" s="10" t="s">
        <v>1084</v>
      </c>
      <c r="F26" s="10" t="s">
        <v>899</v>
      </c>
      <c r="I26" s="10" t="s">
        <v>113</v>
      </c>
      <c r="J26" s="10" t="s">
        <v>2457</v>
      </c>
      <c r="K26" s="10" t="s">
        <v>1968</v>
      </c>
      <c r="L26" s="10" t="s">
        <v>1004</v>
      </c>
      <c r="M26" s="10" t="s">
        <v>846</v>
      </c>
      <c r="N26" s="10" t="s">
        <v>720</v>
      </c>
      <c r="O26" s="10" t="s">
        <v>1400</v>
      </c>
    </row>
    <row r="27" spans="2:15" x14ac:dyDescent="0.2">
      <c r="B27" s="10" t="s">
        <v>311</v>
      </c>
      <c r="C27" s="10" t="s">
        <v>2630</v>
      </c>
      <c r="E27" s="10" t="s">
        <v>48</v>
      </c>
      <c r="F27" s="10" t="s">
        <v>898</v>
      </c>
      <c r="I27" s="10" t="s">
        <v>112</v>
      </c>
      <c r="J27" s="10" t="s">
        <v>2455</v>
      </c>
      <c r="K27" s="10" t="s">
        <v>2016</v>
      </c>
      <c r="L27" s="10" t="s">
        <v>1015</v>
      </c>
      <c r="M27" s="10" t="s">
        <v>847</v>
      </c>
      <c r="N27" s="10" t="s">
        <v>759</v>
      </c>
      <c r="O27" s="10" t="s">
        <v>1404</v>
      </c>
    </row>
    <row r="28" spans="2:15" x14ac:dyDescent="0.2">
      <c r="B28" s="10" t="s">
        <v>321</v>
      </c>
      <c r="C28" s="10" t="s">
        <v>2356</v>
      </c>
      <c r="E28" s="10" t="s">
        <v>1088</v>
      </c>
      <c r="F28" s="10" t="s">
        <v>2469</v>
      </c>
      <c r="I28" s="10" t="s">
        <v>110</v>
      </c>
      <c r="J28" s="10" t="s">
        <v>928</v>
      </c>
      <c r="K28" s="10" t="s">
        <v>2017</v>
      </c>
      <c r="L28" s="10" t="s">
        <v>1036</v>
      </c>
      <c r="M28" s="10" t="s">
        <v>848</v>
      </c>
      <c r="N28" s="10" t="s">
        <v>794</v>
      </c>
      <c r="O28" s="10" t="s">
        <v>1423</v>
      </c>
    </row>
    <row r="29" spans="2:15" x14ac:dyDescent="0.2">
      <c r="B29" s="10" t="s">
        <v>320</v>
      </c>
      <c r="C29" s="10" t="s">
        <v>1053</v>
      </c>
      <c r="E29" s="10" t="s">
        <v>1093</v>
      </c>
      <c r="F29" s="10" t="s">
        <v>902</v>
      </c>
      <c r="I29" s="10" t="s">
        <v>116</v>
      </c>
      <c r="J29" s="10" t="s">
        <v>2449</v>
      </c>
      <c r="K29" s="10" t="s">
        <v>2025</v>
      </c>
      <c r="L29" s="10" t="s">
        <v>1040</v>
      </c>
      <c r="M29" s="10" t="s">
        <v>2499</v>
      </c>
      <c r="N29" s="10" t="s">
        <v>859</v>
      </c>
      <c r="O29" s="10" t="s">
        <v>1448</v>
      </c>
    </row>
    <row r="30" spans="2:15" x14ac:dyDescent="0.2">
      <c r="B30" s="10" t="s">
        <v>331</v>
      </c>
      <c r="C30" s="10" t="s">
        <v>2350</v>
      </c>
      <c r="E30" s="10" t="s">
        <v>1105</v>
      </c>
      <c r="F30" s="10" t="s">
        <v>2464</v>
      </c>
      <c r="I30" s="10" t="s">
        <v>117</v>
      </c>
      <c r="J30" s="10" t="s">
        <v>930</v>
      </c>
      <c r="K30" s="10" t="s">
        <v>2052</v>
      </c>
      <c r="L30" s="10" t="s">
        <v>1046</v>
      </c>
      <c r="M30" s="10" t="s">
        <v>852</v>
      </c>
      <c r="N30" s="10" t="s">
        <v>863</v>
      </c>
      <c r="O30" s="10" t="s">
        <v>1469</v>
      </c>
    </row>
    <row r="31" spans="2:15" x14ac:dyDescent="0.2">
      <c r="B31" s="10" t="s">
        <v>2553</v>
      </c>
      <c r="C31" s="10" t="s">
        <v>1067</v>
      </c>
      <c r="E31" s="10" t="s">
        <v>1106</v>
      </c>
      <c r="F31" s="10" t="s">
        <v>2463</v>
      </c>
      <c r="I31" s="10" t="s">
        <v>125</v>
      </c>
      <c r="J31" s="10" t="s">
        <v>932</v>
      </c>
      <c r="L31" s="10" t="s">
        <v>1044</v>
      </c>
      <c r="M31" s="10" t="s">
        <v>2493</v>
      </c>
      <c r="N31" s="10" t="s">
        <v>942</v>
      </c>
      <c r="O31" s="10" t="s">
        <v>1485</v>
      </c>
    </row>
    <row r="32" spans="2:15" x14ac:dyDescent="0.2">
      <c r="B32" s="10" t="s">
        <v>344</v>
      </c>
      <c r="C32" s="10" t="s">
        <v>2335</v>
      </c>
      <c r="E32" s="10" t="s">
        <v>50</v>
      </c>
      <c r="F32" s="10" t="s">
        <v>2462</v>
      </c>
      <c r="I32" s="10" t="s">
        <v>122</v>
      </c>
      <c r="J32" s="10" t="s">
        <v>2448</v>
      </c>
      <c r="L32" s="10" t="s">
        <v>1048</v>
      </c>
      <c r="M32" s="10" t="s">
        <v>856</v>
      </c>
      <c r="N32" s="10" t="s">
        <v>1002</v>
      </c>
      <c r="O32" s="10" t="s">
        <v>1509</v>
      </c>
    </row>
    <row r="33" spans="2:15" x14ac:dyDescent="0.2">
      <c r="B33" s="10" t="s">
        <v>415</v>
      </c>
      <c r="C33" s="10" t="s">
        <v>2627</v>
      </c>
      <c r="E33" s="10" t="s">
        <v>51</v>
      </c>
      <c r="F33" s="10" t="s">
        <v>909</v>
      </c>
      <c r="I33" s="10" t="s">
        <v>124</v>
      </c>
      <c r="J33" s="10" t="s">
        <v>2445</v>
      </c>
      <c r="L33" s="10" t="s">
        <v>1050</v>
      </c>
      <c r="M33" s="10" t="s">
        <v>2491</v>
      </c>
      <c r="N33" s="10" t="s">
        <v>1128</v>
      </c>
      <c r="O33" s="10" t="s">
        <v>1505</v>
      </c>
    </row>
    <row r="34" spans="2:15" x14ac:dyDescent="0.2">
      <c r="B34" s="10" t="s">
        <v>413</v>
      </c>
      <c r="C34" s="10" t="s">
        <v>2626</v>
      </c>
      <c r="E34" s="10" t="s">
        <v>1146</v>
      </c>
      <c r="F34" s="10" t="s">
        <v>2460</v>
      </c>
      <c r="I34" s="10" t="s">
        <v>120</v>
      </c>
      <c r="J34" s="10" t="s">
        <v>948</v>
      </c>
      <c r="L34" s="10" t="s">
        <v>1058</v>
      </c>
      <c r="M34" s="10" t="s">
        <v>861</v>
      </c>
      <c r="N34" s="10" t="s">
        <v>1272</v>
      </c>
      <c r="O34" s="10" t="s">
        <v>1513</v>
      </c>
    </row>
    <row r="35" spans="2:15" x14ac:dyDescent="0.2">
      <c r="B35" s="10" t="s">
        <v>418</v>
      </c>
      <c r="C35" s="10" t="s">
        <v>2624</v>
      </c>
      <c r="E35" s="10" t="s">
        <v>56</v>
      </c>
      <c r="F35" s="10" t="s">
        <v>2459</v>
      </c>
      <c r="I35" s="10" t="s">
        <v>121</v>
      </c>
      <c r="J35" s="10" t="s">
        <v>953</v>
      </c>
      <c r="L35" s="10" t="s">
        <v>1060</v>
      </c>
      <c r="M35" s="10" t="s">
        <v>864</v>
      </c>
      <c r="N35" s="10" t="s">
        <v>1293</v>
      </c>
      <c r="O35" s="10" t="s">
        <v>1514</v>
      </c>
    </row>
    <row r="36" spans="2:15" x14ac:dyDescent="0.2">
      <c r="B36" s="10" t="s">
        <v>422</v>
      </c>
      <c r="C36" s="10" t="s">
        <v>1102</v>
      </c>
      <c r="E36" s="10" t="s">
        <v>1175</v>
      </c>
      <c r="F36" s="10" t="s">
        <v>915</v>
      </c>
      <c r="I36" s="10" t="s">
        <v>123</v>
      </c>
      <c r="J36" s="10" t="s">
        <v>951</v>
      </c>
      <c r="L36" s="10" t="s">
        <v>1066</v>
      </c>
      <c r="M36" s="10" t="s">
        <v>866</v>
      </c>
      <c r="N36" s="10" t="s">
        <v>1415</v>
      </c>
      <c r="O36" s="10" t="s">
        <v>1522</v>
      </c>
    </row>
    <row r="37" spans="2:15" x14ac:dyDescent="0.2">
      <c r="B37" s="10" t="s">
        <v>432</v>
      </c>
      <c r="C37" s="10" t="s">
        <v>2625</v>
      </c>
      <c r="E37" s="10" t="s">
        <v>1185</v>
      </c>
      <c r="F37" s="10" t="s">
        <v>914</v>
      </c>
      <c r="I37" s="10" t="s">
        <v>126</v>
      </c>
      <c r="J37" s="10" t="s">
        <v>2440</v>
      </c>
      <c r="L37" s="10" t="s">
        <v>1078</v>
      </c>
      <c r="M37" s="10" t="s">
        <v>865</v>
      </c>
      <c r="N37" s="10" t="s">
        <v>1493</v>
      </c>
      <c r="O37" s="10" t="s">
        <v>1533</v>
      </c>
    </row>
    <row r="38" spans="2:15" x14ac:dyDescent="0.2">
      <c r="B38" s="10" t="s">
        <v>2548</v>
      </c>
      <c r="C38" s="10" t="s">
        <v>2623</v>
      </c>
      <c r="E38" s="10" t="s">
        <v>1188</v>
      </c>
      <c r="F38" s="10" t="s">
        <v>910</v>
      </c>
      <c r="I38" s="10" t="s">
        <v>128</v>
      </c>
      <c r="J38" s="10" t="s">
        <v>960</v>
      </c>
      <c r="L38" s="10" t="s">
        <v>1079</v>
      </c>
      <c r="M38" s="10" t="s">
        <v>2490</v>
      </c>
      <c r="N38" s="10" t="s">
        <v>1612</v>
      </c>
      <c r="O38" s="10" t="s">
        <v>1528</v>
      </c>
    </row>
    <row r="39" spans="2:15" x14ac:dyDescent="0.2">
      <c r="B39" s="10" t="s">
        <v>455</v>
      </c>
      <c r="C39" s="10" t="s">
        <v>1128</v>
      </c>
      <c r="E39" s="10" t="s">
        <v>1233</v>
      </c>
      <c r="F39" s="10" t="s">
        <v>916</v>
      </c>
      <c r="I39" s="10" t="s">
        <v>137</v>
      </c>
      <c r="J39" s="10" t="s">
        <v>2432</v>
      </c>
      <c r="L39" s="10" t="s">
        <v>1082</v>
      </c>
      <c r="M39" s="10" t="s">
        <v>2488</v>
      </c>
      <c r="N39" s="10" t="s">
        <v>1681</v>
      </c>
      <c r="O39" s="10" t="s">
        <v>1527</v>
      </c>
    </row>
    <row r="40" spans="2:15" x14ac:dyDescent="0.2">
      <c r="B40" s="10" t="s">
        <v>453</v>
      </c>
      <c r="C40" s="10" t="s">
        <v>2622</v>
      </c>
      <c r="E40" s="10" t="s">
        <v>1237</v>
      </c>
      <c r="F40" s="10" t="s">
        <v>2456</v>
      </c>
      <c r="I40" s="10" t="s">
        <v>2578</v>
      </c>
      <c r="J40" s="10" t="s">
        <v>980</v>
      </c>
      <c r="L40" s="10" t="s">
        <v>1101</v>
      </c>
      <c r="M40" s="10" t="s">
        <v>876</v>
      </c>
      <c r="N40" s="10" t="s">
        <v>1788</v>
      </c>
      <c r="O40" s="10" t="s">
        <v>1547</v>
      </c>
    </row>
    <row r="41" spans="2:15" x14ac:dyDescent="0.2">
      <c r="B41" s="10" t="s">
        <v>469</v>
      </c>
      <c r="C41" s="10" t="s">
        <v>1139</v>
      </c>
      <c r="E41" s="10" t="s">
        <v>1240</v>
      </c>
      <c r="F41" s="10" t="s">
        <v>925</v>
      </c>
      <c r="I41" s="10" t="s">
        <v>131</v>
      </c>
      <c r="J41" s="10" t="s">
        <v>2420</v>
      </c>
      <c r="L41" s="10" t="s">
        <v>1112</v>
      </c>
      <c r="M41" s="10" t="s">
        <v>875</v>
      </c>
      <c r="N41" s="10" t="s">
        <v>1822</v>
      </c>
      <c r="O41" s="10" t="s">
        <v>1548</v>
      </c>
    </row>
    <row r="42" spans="2:15" x14ac:dyDescent="0.2">
      <c r="B42" s="10" t="s">
        <v>461</v>
      </c>
      <c r="C42" s="10" t="s">
        <v>2297</v>
      </c>
      <c r="E42" s="10" t="s">
        <v>1257</v>
      </c>
      <c r="F42" s="10" t="s">
        <v>2447</v>
      </c>
      <c r="I42" s="10" t="s">
        <v>134</v>
      </c>
      <c r="J42" s="10" t="s">
        <v>31</v>
      </c>
      <c r="L42" s="10" t="s">
        <v>1129</v>
      </c>
      <c r="M42" s="10" t="s">
        <v>872</v>
      </c>
      <c r="N42" s="10" t="s">
        <v>1831</v>
      </c>
      <c r="O42" s="10" t="s">
        <v>1554</v>
      </c>
    </row>
    <row r="43" spans="2:15" x14ac:dyDescent="0.2">
      <c r="B43" s="10" t="s">
        <v>2544</v>
      </c>
      <c r="C43" s="10" t="s">
        <v>2621</v>
      </c>
      <c r="E43" s="10" t="s">
        <v>1270</v>
      </c>
      <c r="F43" s="10" t="s">
        <v>937</v>
      </c>
      <c r="I43" s="10" t="s">
        <v>133</v>
      </c>
      <c r="J43" s="10" t="s">
        <v>2415</v>
      </c>
      <c r="L43" s="10" t="s">
        <v>1135</v>
      </c>
      <c r="M43" s="10" t="s">
        <v>2487</v>
      </c>
      <c r="N43" s="10" t="s">
        <v>1858</v>
      </c>
      <c r="O43" s="10" t="s">
        <v>39</v>
      </c>
    </row>
    <row r="44" spans="2:15" x14ac:dyDescent="0.2">
      <c r="B44" s="10" t="s">
        <v>2543</v>
      </c>
      <c r="C44" s="10" t="s">
        <v>2620</v>
      </c>
      <c r="E44" s="10" t="s">
        <v>1427</v>
      </c>
      <c r="F44" s="10" t="s">
        <v>2443</v>
      </c>
      <c r="I44" s="10" t="s">
        <v>135</v>
      </c>
      <c r="J44" s="10" t="s">
        <v>2410</v>
      </c>
      <c r="L44" s="10" t="s">
        <v>1150</v>
      </c>
      <c r="M44" s="10" t="s">
        <v>2485</v>
      </c>
      <c r="N44" s="10" t="s">
        <v>1883</v>
      </c>
      <c r="O44" s="10" t="s">
        <v>1606</v>
      </c>
    </row>
    <row r="45" spans="2:15" x14ac:dyDescent="0.2">
      <c r="B45" s="10" t="s">
        <v>2542</v>
      </c>
      <c r="C45" s="10" t="s">
        <v>2619</v>
      </c>
      <c r="E45" s="10" t="s">
        <v>1424</v>
      </c>
      <c r="F45" s="10" t="s">
        <v>2441</v>
      </c>
      <c r="I45" s="10" t="s">
        <v>138</v>
      </c>
      <c r="J45" s="10" t="s">
        <v>2411</v>
      </c>
      <c r="L45" s="10" t="s">
        <v>1154</v>
      </c>
      <c r="M45" s="10" t="s">
        <v>2483</v>
      </c>
      <c r="N45" s="10" t="s">
        <v>1908</v>
      </c>
      <c r="O45" s="10" t="s">
        <v>1628</v>
      </c>
    </row>
    <row r="46" spans="2:15" x14ac:dyDescent="0.2">
      <c r="B46" s="10" t="s">
        <v>521</v>
      </c>
      <c r="C46" s="10" t="s">
        <v>2618</v>
      </c>
      <c r="E46" s="10" t="s">
        <v>1654</v>
      </c>
      <c r="F46" s="10" t="s">
        <v>945</v>
      </c>
      <c r="I46" s="10" t="s">
        <v>139</v>
      </c>
      <c r="J46" s="10" t="s">
        <v>2403</v>
      </c>
      <c r="L46" s="10" t="s">
        <v>1158</v>
      </c>
      <c r="M46" s="10" t="s">
        <v>878</v>
      </c>
      <c r="N46" s="10" t="s">
        <v>1944</v>
      </c>
      <c r="O46" s="10" t="s">
        <v>1640</v>
      </c>
    </row>
    <row r="47" spans="2:15" x14ac:dyDescent="0.2">
      <c r="B47" s="10" t="s">
        <v>2537</v>
      </c>
      <c r="C47" s="10" t="s">
        <v>1191</v>
      </c>
      <c r="E47" s="10" t="s">
        <v>1847</v>
      </c>
      <c r="F47" s="10" t="s">
        <v>2438</v>
      </c>
      <c r="I47" s="10" t="s">
        <v>140</v>
      </c>
      <c r="J47" s="10" t="s">
        <v>2402</v>
      </c>
      <c r="L47" s="10" t="s">
        <v>1165</v>
      </c>
      <c r="M47" s="10" t="s">
        <v>2479</v>
      </c>
      <c r="N47" s="10" t="s">
        <v>1976</v>
      </c>
      <c r="O47" s="10" t="s">
        <v>1691</v>
      </c>
    </row>
    <row r="48" spans="2:15" x14ac:dyDescent="0.2">
      <c r="B48" s="10" t="s">
        <v>535</v>
      </c>
      <c r="C48" s="10" t="s">
        <v>2253</v>
      </c>
      <c r="E48" s="10" t="s">
        <v>1897</v>
      </c>
      <c r="F48" s="10" t="s">
        <v>2437</v>
      </c>
      <c r="I48" s="10" t="s">
        <v>141</v>
      </c>
      <c r="J48" s="10" t="s">
        <v>2395</v>
      </c>
      <c r="L48" s="10" t="s">
        <v>1167</v>
      </c>
      <c r="M48" s="10" t="s">
        <v>887</v>
      </c>
      <c r="O48" s="10" t="s">
        <v>1703</v>
      </c>
    </row>
    <row r="49" spans="2:15" x14ac:dyDescent="0.2">
      <c r="B49" s="10" t="s">
        <v>544</v>
      </c>
      <c r="C49" s="10" t="s">
        <v>1243</v>
      </c>
      <c r="E49" s="10" t="s">
        <v>68</v>
      </c>
      <c r="F49" s="10" t="s">
        <v>958</v>
      </c>
      <c r="I49" s="10" t="s">
        <v>142</v>
      </c>
      <c r="J49" s="10" t="s">
        <v>2632</v>
      </c>
      <c r="L49" s="10" t="s">
        <v>1171</v>
      </c>
      <c r="M49" s="10" t="s">
        <v>2468</v>
      </c>
      <c r="O49" s="10" t="s">
        <v>1740</v>
      </c>
    </row>
    <row r="50" spans="2:15" x14ac:dyDescent="0.2">
      <c r="B50" s="10" t="s">
        <v>2536</v>
      </c>
      <c r="C50" s="10" t="s">
        <v>2216</v>
      </c>
      <c r="E50" s="10" t="s">
        <v>1920</v>
      </c>
      <c r="F50" s="10" t="s">
        <v>2435</v>
      </c>
      <c r="I50" s="10" t="s">
        <v>147</v>
      </c>
      <c r="J50" s="10" t="s">
        <v>2378</v>
      </c>
      <c r="L50" s="10" t="s">
        <v>1182</v>
      </c>
      <c r="M50" s="10" t="s">
        <v>2466</v>
      </c>
      <c r="O50" s="10" t="s">
        <v>1773</v>
      </c>
    </row>
    <row r="51" spans="2:15" x14ac:dyDescent="0.2">
      <c r="B51" s="10" t="s">
        <v>551</v>
      </c>
      <c r="C51" s="10" t="s">
        <v>2617</v>
      </c>
      <c r="E51" s="10" t="s">
        <v>1936</v>
      </c>
      <c r="F51" s="10" t="s">
        <v>2434</v>
      </c>
      <c r="I51" s="10" t="s">
        <v>143</v>
      </c>
      <c r="J51" s="10" t="s">
        <v>1038</v>
      </c>
      <c r="L51" s="10" t="s">
        <v>1184</v>
      </c>
      <c r="M51" s="10" t="s">
        <v>906</v>
      </c>
      <c r="O51" s="10" t="s">
        <v>1807</v>
      </c>
    </row>
    <row r="52" spans="2:15" x14ac:dyDescent="0.2">
      <c r="B52" s="10" t="s">
        <v>558</v>
      </c>
      <c r="C52" s="10" t="s">
        <v>1275</v>
      </c>
      <c r="E52" s="10" t="s">
        <v>1938</v>
      </c>
      <c r="F52" s="10" t="s">
        <v>963</v>
      </c>
      <c r="I52" s="10" t="s">
        <v>144</v>
      </c>
      <c r="J52" s="10" t="s">
        <v>1039</v>
      </c>
      <c r="L52" s="10" t="s">
        <v>1200</v>
      </c>
      <c r="M52" s="10" t="s">
        <v>2467</v>
      </c>
      <c r="O52" s="10" t="s">
        <v>1907</v>
      </c>
    </row>
    <row r="53" spans="2:15" x14ac:dyDescent="0.2">
      <c r="B53" s="10" t="s">
        <v>566</v>
      </c>
      <c r="C53" s="10" t="s">
        <v>1283</v>
      </c>
      <c r="E53" s="10" t="s">
        <v>1940</v>
      </c>
      <c r="F53" s="10" t="s">
        <v>964</v>
      </c>
      <c r="I53" s="10" t="s">
        <v>145</v>
      </c>
      <c r="J53" s="10" t="s">
        <v>1041</v>
      </c>
      <c r="L53" s="10" t="s">
        <v>1202</v>
      </c>
      <c r="M53" s="10" t="s">
        <v>2465</v>
      </c>
      <c r="O53" s="10" t="s">
        <v>1961</v>
      </c>
    </row>
    <row r="54" spans="2:15" x14ac:dyDescent="0.2">
      <c r="B54" s="10" t="s">
        <v>572</v>
      </c>
      <c r="C54" s="10" t="s">
        <v>1290</v>
      </c>
      <c r="E54" s="10" t="s">
        <v>1978</v>
      </c>
      <c r="F54" s="10" t="s">
        <v>967</v>
      </c>
      <c r="I54" s="10" t="s">
        <v>146</v>
      </c>
      <c r="J54" s="10" t="s">
        <v>2372</v>
      </c>
      <c r="L54" s="10" t="s">
        <v>1207</v>
      </c>
      <c r="M54" s="10" t="s">
        <v>921</v>
      </c>
      <c r="O54" s="10" t="s">
        <v>1984</v>
      </c>
    </row>
    <row r="55" spans="2:15" x14ac:dyDescent="0.2">
      <c r="B55" s="10" t="s">
        <v>578</v>
      </c>
      <c r="C55" s="10" t="s">
        <v>1312</v>
      </c>
      <c r="F55" s="10" t="s">
        <v>2430</v>
      </c>
      <c r="I55" s="10" t="s">
        <v>148</v>
      </c>
      <c r="J55" s="10" t="s">
        <v>2369</v>
      </c>
      <c r="L55" s="10" t="s">
        <v>1204</v>
      </c>
      <c r="M55" s="10" t="s">
        <v>917</v>
      </c>
      <c r="O55" s="10" t="s">
        <v>1996</v>
      </c>
    </row>
    <row r="56" spans="2:15" x14ac:dyDescent="0.2">
      <c r="B56" s="10" t="s">
        <v>584</v>
      </c>
      <c r="C56" s="10" t="s">
        <v>1308</v>
      </c>
      <c r="F56" s="10" t="s">
        <v>972</v>
      </c>
      <c r="I56" s="10" t="s">
        <v>162</v>
      </c>
      <c r="J56" s="10" t="s">
        <v>2629</v>
      </c>
      <c r="L56" s="10" t="s">
        <v>1209</v>
      </c>
      <c r="M56" s="10" t="s">
        <v>919</v>
      </c>
      <c r="O56" s="10" t="s">
        <v>2054</v>
      </c>
    </row>
    <row r="57" spans="2:15" x14ac:dyDescent="0.2">
      <c r="B57" s="10" t="s">
        <v>599</v>
      </c>
      <c r="C57" s="10" t="s">
        <v>1310</v>
      </c>
      <c r="F57" s="10" t="s">
        <v>969</v>
      </c>
      <c r="I57" s="10" t="s">
        <v>160</v>
      </c>
      <c r="J57" s="10" t="s">
        <v>2348</v>
      </c>
      <c r="L57" s="10" t="s">
        <v>1212</v>
      </c>
      <c r="M57" s="10" t="s">
        <v>920</v>
      </c>
      <c r="O57" s="10" t="s">
        <v>2064</v>
      </c>
    </row>
    <row r="58" spans="2:15" x14ac:dyDescent="0.2">
      <c r="B58" s="10" t="s">
        <v>618</v>
      </c>
      <c r="C58" s="10" t="s">
        <v>1315</v>
      </c>
      <c r="F58" s="10" t="s">
        <v>971</v>
      </c>
      <c r="I58" s="10" t="s">
        <v>152</v>
      </c>
      <c r="J58" s="10" t="s">
        <v>2346</v>
      </c>
      <c r="L58" s="10" t="s">
        <v>1219</v>
      </c>
      <c r="M58" s="10" t="s">
        <v>2453</v>
      </c>
      <c r="O58" s="10" t="s">
        <v>2065</v>
      </c>
    </row>
    <row r="59" spans="2:15" x14ac:dyDescent="0.2">
      <c r="B59" s="10" t="s">
        <v>631</v>
      </c>
      <c r="C59" s="10" t="s">
        <v>1323</v>
      </c>
      <c r="F59" s="10" t="s">
        <v>968</v>
      </c>
      <c r="I59" s="10" t="s">
        <v>154</v>
      </c>
      <c r="J59" s="10" t="s">
        <v>2345</v>
      </c>
      <c r="L59" s="10" t="s">
        <v>1221</v>
      </c>
      <c r="M59" s="10" t="s">
        <v>2454</v>
      </c>
    </row>
    <row r="60" spans="2:15" x14ac:dyDescent="0.2">
      <c r="B60" s="10" t="s">
        <v>642</v>
      </c>
      <c r="C60" s="10" t="s">
        <v>1320</v>
      </c>
      <c r="F60" s="10" t="s">
        <v>981</v>
      </c>
      <c r="I60" s="10" t="s">
        <v>156</v>
      </c>
      <c r="J60" s="10" t="s">
        <v>2628</v>
      </c>
      <c r="L60" s="10" t="s">
        <v>1232</v>
      </c>
      <c r="M60" s="10" t="s">
        <v>2452</v>
      </c>
    </row>
    <row r="61" spans="2:15" x14ac:dyDescent="0.2">
      <c r="B61" s="10" t="s">
        <v>638</v>
      </c>
      <c r="C61" s="10" t="s">
        <v>1331</v>
      </c>
      <c r="F61" s="10" t="s">
        <v>2423</v>
      </c>
      <c r="I61" s="10" t="s">
        <v>158</v>
      </c>
      <c r="J61" s="10" t="s">
        <v>2344</v>
      </c>
      <c r="L61" s="10" t="s">
        <v>1235</v>
      </c>
      <c r="M61" s="10" t="s">
        <v>918</v>
      </c>
    </row>
    <row r="62" spans="2:15" x14ac:dyDescent="0.2">
      <c r="B62" s="10" t="s">
        <v>644</v>
      </c>
      <c r="C62" s="10" t="s">
        <v>1365</v>
      </c>
      <c r="F62" s="10" t="s">
        <v>2421</v>
      </c>
      <c r="I62" s="10" t="s">
        <v>157</v>
      </c>
      <c r="J62" s="10" t="s">
        <v>2333</v>
      </c>
      <c r="L62" s="10" t="s">
        <v>1238</v>
      </c>
      <c r="M62" s="10" t="s">
        <v>922</v>
      </c>
    </row>
    <row r="63" spans="2:15" x14ac:dyDescent="0.2">
      <c r="B63" s="10" t="s">
        <v>653</v>
      </c>
      <c r="C63" s="10" t="s">
        <v>1364</v>
      </c>
      <c r="F63" s="10" t="s">
        <v>983</v>
      </c>
      <c r="I63" s="10" t="s">
        <v>159</v>
      </c>
      <c r="J63" s="10" t="s">
        <v>1091</v>
      </c>
      <c r="L63" s="10" t="s">
        <v>1242</v>
      </c>
      <c r="M63" s="10" t="s">
        <v>926</v>
      </c>
    </row>
    <row r="64" spans="2:15" x14ac:dyDescent="0.2">
      <c r="B64" s="10" t="s">
        <v>656</v>
      </c>
      <c r="C64" s="10" t="s">
        <v>2615</v>
      </c>
      <c r="F64" s="10" t="s">
        <v>2419</v>
      </c>
      <c r="I64" s="10" t="s">
        <v>153</v>
      </c>
      <c r="J64" s="10" t="s">
        <v>2320</v>
      </c>
      <c r="L64" s="10" t="s">
        <v>1245</v>
      </c>
      <c r="M64" s="10" t="s">
        <v>927</v>
      </c>
    </row>
    <row r="65" spans="2:13" x14ac:dyDescent="0.2">
      <c r="B65" s="10" t="s">
        <v>663</v>
      </c>
      <c r="C65" s="10" t="s">
        <v>1385</v>
      </c>
      <c r="F65" s="10" t="s">
        <v>990</v>
      </c>
      <c r="I65" s="10" t="s">
        <v>161</v>
      </c>
      <c r="J65" s="10" t="s">
        <v>1110</v>
      </c>
      <c r="L65" s="10" t="s">
        <v>1246</v>
      </c>
      <c r="M65" s="10" t="s">
        <v>2450</v>
      </c>
    </row>
    <row r="66" spans="2:13" x14ac:dyDescent="0.2">
      <c r="B66" s="10" t="s">
        <v>666</v>
      </c>
      <c r="C66" s="10" t="s">
        <v>1388</v>
      </c>
      <c r="F66" s="10" t="s">
        <v>988</v>
      </c>
      <c r="I66" s="10" t="s">
        <v>163</v>
      </c>
      <c r="J66" s="10" t="s">
        <v>1111</v>
      </c>
      <c r="L66" s="10" t="s">
        <v>1248</v>
      </c>
      <c r="M66" s="10" t="s">
        <v>935</v>
      </c>
    </row>
    <row r="67" spans="2:13" x14ac:dyDescent="0.2">
      <c r="B67" s="10" t="s">
        <v>668</v>
      </c>
      <c r="C67" s="10" t="s">
        <v>1392</v>
      </c>
      <c r="F67" s="10" t="s">
        <v>2416</v>
      </c>
      <c r="I67" s="10" t="s">
        <v>164</v>
      </c>
      <c r="J67" s="10" t="s">
        <v>1113</v>
      </c>
      <c r="L67" s="10" t="s">
        <v>1252</v>
      </c>
      <c r="M67" s="10" t="s">
        <v>2446</v>
      </c>
    </row>
    <row r="68" spans="2:13" x14ac:dyDescent="0.2">
      <c r="B68" s="10" t="s">
        <v>667</v>
      </c>
      <c r="C68" s="10" t="s">
        <v>1393</v>
      </c>
      <c r="F68" s="10" t="s">
        <v>2413</v>
      </c>
      <c r="I68" s="10" t="s">
        <v>166</v>
      </c>
      <c r="J68" s="10" t="s">
        <v>1116</v>
      </c>
      <c r="L68" s="10" t="s">
        <v>1264</v>
      </c>
      <c r="M68" s="10" t="s">
        <v>933</v>
      </c>
    </row>
    <row r="69" spans="2:13" x14ac:dyDescent="0.2">
      <c r="B69" s="10" t="s">
        <v>675</v>
      </c>
      <c r="C69" s="10" t="s">
        <v>1395</v>
      </c>
      <c r="F69" s="10" t="s">
        <v>2408</v>
      </c>
      <c r="I69" s="10" t="s">
        <v>167</v>
      </c>
      <c r="J69" s="10" t="s">
        <v>1121</v>
      </c>
      <c r="L69" s="10" t="s">
        <v>1265</v>
      </c>
      <c r="M69" s="10" t="s">
        <v>934</v>
      </c>
    </row>
    <row r="70" spans="2:13" x14ac:dyDescent="0.2">
      <c r="B70" s="10" t="s">
        <v>677</v>
      </c>
      <c r="C70" s="10" t="s">
        <v>2612</v>
      </c>
      <c r="F70" s="10" t="s">
        <v>997</v>
      </c>
      <c r="I70" s="10" t="s">
        <v>168</v>
      </c>
      <c r="J70" s="10" t="s">
        <v>52</v>
      </c>
      <c r="L70" s="10" t="s">
        <v>1267</v>
      </c>
      <c r="M70" s="10" t="s">
        <v>944</v>
      </c>
    </row>
    <row r="71" spans="2:13" x14ac:dyDescent="0.2">
      <c r="B71" s="10" t="s">
        <v>678</v>
      </c>
      <c r="C71" s="10" t="s">
        <v>1425</v>
      </c>
      <c r="F71" s="10" t="s">
        <v>1014</v>
      </c>
      <c r="I71" s="10" t="s">
        <v>170</v>
      </c>
      <c r="J71" s="10" t="s">
        <v>2301</v>
      </c>
      <c r="L71" s="10" t="s">
        <v>1268</v>
      </c>
      <c r="M71" s="10" t="s">
        <v>954</v>
      </c>
    </row>
    <row r="72" spans="2:13" x14ac:dyDescent="0.2">
      <c r="B72" s="10" t="s">
        <v>674</v>
      </c>
      <c r="C72" s="10" t="s">
        <v>2610</v>
      </c>
      <c r="F72" s="10" t="s">
        <v>1010</v>
      </c>
      <c r="I72" s="10" t="s">
        <v>169</v>
      </c>
      <c r="J72" s="10" t="s">
        <v>2302</v>
      </c>
      <c r="L72" s="10" t="s">
        <v>1274</v>
      </c>
      <c r="M72" s="10" t="s">
        <v>955</v>
      </c>
    </row>
    <row r="73" spans="2:13" x14ac:dyDescent="0.2">
      <c r="B73" s="10" t="s">
        <v>2525</v>
      </c>
      <c r="C73" s="10" t="s">
        <v>1442</v>
      </c>
      <c r="F73" s="10" t="s">
        <v>2397</v>
      </c>
      <c r="I73" s="10" t="s">
        <v>172</v>
      </c>
      <c r="J73" s="10" t="s">
        <v>1118</v>
      </c>
      <c r="L73" s="10" t="s">
        <v>1281</v>
      </c>
      <c r="M73" s="10" t="s">
        <v>2433</v>
      </c>
    </row>
    <row r="74" spans="2:13" x14ac:dyDescent="0.2">
      <c r="B74" s="10" t="s">
        <v>683</v>
      </c>
      <c r="C74" s="10" t="s">
        <v>1436</v>
      </c>
      <c r="F74" s="10" t="s">
        <v>2398</v>
      </c>
      <c r="I74" s="10" t="s">
        <v>175</v>
      </c>
      <c r="J74" s="10" t="s">
        <v>1122</v>
      </c>
      <c r="L74" s="10" t="s">
        <v>1302</v>
      </c>
      <c r="M74" s="10" t="s">
        <v>977</v>
      </c>
    </row>
    <row r="75" spans="2:13" x14ac:dyDescent="0.2">
      <c r="B75" s="10" t="s">
        <v>684</v>
      </c>
      <c r="C75" s="10" t="s">
        <v>1444</v>
      </c>
      <c r="F75" s="10" t="s">
        <v>1013</v>
      </c>
      <c r="I75" s="10" t="s">
        <v>174</v>
      </c>
      <c r="J75" s="10" t="s">
        <v>1125</v>
      </c>
      <c r="L75" s="10" t="s">
        <v>1326</v>
      </c>
      <c r="M75" s="10" t="s">
        <v>992</v>
      </c>
    </row>
    <row r="76" spans="2:13" x14ac:dyDescent="0.2">
      <c r="B76" s="10" t="s">
        <v>689</v>
      </c>
      <c r="C76" s="10" t="s">
        <v>1451</v>
      </c>
      <c r="F76" s="10" t="s">
        <v>2396</v>
      </c>
      <c r="I76" s="10" t="s">
        <v>2577</v>
      </c>
      <c r="J76" s="10" t="s">
        <v>1130</v>
      </c>
      <c r="L76" s="10" t="s">
        <v>1322</v>
      </c>
      <c r="M76" s="10" t="s">
        <v>995</v>
      </c>
    </row>
    <row r="77" spans="2:13" x14ac:dyDescent="0.2">
      <c r="B77" s="10" t="s">
        <v>2523</v>
      </c>
      <c r="C77" s="10" t="s">
        <v>1466</v>
      </c>
      <c r="F77" s="10" t="s">
        <v>1008</v>
      </c>
      <c r="I77" s="10" t="s">
        <v>2576</v>
      </c>
      <c r="J77" s="10" t="s">
        <v>1131</v>
      </c>
      <c r="L77" s="10" t="s">
        <v>1332</v>
      </c>
      <c r="M77" s="10" t="s">
        <v>996</v>
      </c>
    </row>
    <row r="78" spans="2:13" x14ac:dyDescent="0.2">
      <c r="B78" s="10" t="s">
        <v>693</v>
      </c>
      <c r="C78" s="10" t="s">
        <v>38</v>
      </c>
      <c r="F78" s="10" t="s">
        <v>2394</v>
      </c>
      <c r="I78" s="10" t="s">
        <v>177</v>
      </c>
      <c r="J78" s="10" t="s">
        <v>1137</v>
      </c>
      <c r="L78" s="10" t="s">
        <v>1337</v>
      </c>
      <c r="M78" s="10" t="s">
        <v>2407</v>
      </c>
    </row>
    <row r="79" spans="2:13" x14ac:dyDescent="0.2">
      <c r="B79" s="10" t="s">
        <v>694</v>
      </c>
      <c r="C79" s="10" t="s">
        <v>1467</v>
      </c>
      <c r="F79" s="10" t="s">
        <v>2388</v>
      </c>
      <c r="I79" s="10" t="s">
        <v>2575</v>
      </c>
      <c r="J79" s="10" t="s">
        <v>1138</v>
      </c>
      <c r="L79" s="10" t="s">
        <v>1345</v>
      </c>
      <c r="M79" s="10" t="s">
        <v>1000</v>
      </c>
    </row>
    <row r="80" spans="2:13" x14ac:dyDescent="0.2">
      <c r="B80" s="10" t="s">
        <v>698</v>
      </c>
      <c r="C80" s="10" t="s">
        <v>1470</v>
      </c>
      <c r="F80" s="10" t="s">
        <v>1018</v>
      </c>
      <c r="I80" s="10" t="s">
        <v>182</v>
      </c>
      <c r="J80" s="10" t="s">
        <v>1141</v>
      </c>
      <c r="L80" s="10" t="s">
        <v>1346</v>
      </c>
      <c r="M80" s="10" t="s">
        <v>2405</v>
      </c>
    </row>
    <row r="81" spans="2:13" x14ac:dyDescent="0.2">
      <c r="B81" s="10" t="s">
        <v>692</v>
      </c>
      <c r="C81" s="10" t="s">
        <v>1471</v>
      </c>
      <c r="F81" s="10" t="s">
        <v>1021</v>
      </c>
      <c r="I81" s="10" t="s">
        <v>185</v>
      </c>
      <c r="J81" s="10" t="s">
        <v>1144</v>
      </c>
      <c r="L81" s="10" t="s">
        <v>1358</v>
      </c>
      <c r="M81" s="10" t="s">
        <v>1003</v>
      </c>
    </row>
    <row r="82" spans="2:13" x14ac:dyDescent="0.2">
      <c r="B82" s="10" t="s">
        <v>704</v>
      </c>
      <c r="C82" s="10" t="s">
        <v>1468</v>
      </c>
      <c r="F82" s="10" t="s">
        <v>2387</v>
      </c>
      <c r="I82" s="10" t="s">
        <v>187</v>
      </c>
      <c r="J82" s="10" t="s">
        <v>1155</v>
      </c>
      <c r="L82" s="10" t="s">
        <v>1363</v>
      </c>
      <c r="M82" s="10" t="s">
        <v>2404</v>
      </c>
    </row>
    <row r="83" spans="2:13" x14ac:dyDescent="0.2">
      <c r="B83" s="10" t="s">
        <v>714</v>
      </c>
      <c r="C83" s="10" t="s">
        <v>1477</v>
      </c>
      <c r="F83" s="10" t="s">
        <v>1023</v>
      </c>
      <c r="I83" s="10" t="s">
        <v>186</v>
      </c>
      <c r="J83" s="10" t="s">
        <v>2292</v>
      </c>
      <c r="L83" s="10" t="s">
        <v>1370</v>
      </c>
      <c r="M83" s="10" t="s">
        <v>2400</v>
      </c>
    </row>
    <row r="84" spans="2:13" x14ac:dyDescent="0.2">
      <c r="B84" s="10" t="s">
        <v>721</v>
      </c>
      <c r="C84" s="10" t="s">
        <v>1482</v>
      </c>
      <c r="F84" s="10" t="s">
        <v>2380</v>
      </c>
      <c r="I84" s="10" t="s">
        <v>192</v>
      </c>
      <c r="J84" s="10" t="s">
        <v>1156</v>
      </c>
      <c r="L84" s="10" t="s">
        <v>1375</v>
      </c>
      <c r="M84" s="10" t="s">
        <v>1012</v>
      </c>
    </row>
    <row r="85" spans="2:13" x14ac:dyDescent="0.2">
      <c r="B85" s="10" t="s">
        <v>734</v>
      </c>
      <c r="C85" s="10" t="s">
        <v>2607</v>
      </c>
      <c r="F85" s="10" t="s">
        <v>2381</v>
      </c>
      <c r="I85" s="10" t="s">
        <v>189</v>
      </c>
      <c r="J85" s="10" t="s">
        <v>2290</v>
      </c>
      <c r="L85" s="10" t="s">
        <v>1380</v>
      </c>
      <c r="M85" s="10" t="s">
        <v>2392</v>
      </c>
    </row>
    <row r="86" spans="2:13" x14ac:dyDescent="0.2">
      <c r="B86" s="10" t="s">
        <v>738</v>
      </c>
      <c r="C86" s="10" t="s">
        <v>1499</v>
      </c>
      <c r="F86" s="10" t="s">
        <v>2383</v>
      </c>
      <c r="I86" s="10" t="s">
        <v>191</v>
      </c>
      <c r="J86" s="10" t="s">
        <v>54</v>
      </c>
      <c r="L86" s="10" t="s">
        <v>1413</v>
      </c>
      <c r="M86" s="10" t="s">
        <v>2389</v>
      </c>
    </row>
    <row r="87" spans="2:13" x14ac:dyDescent="0.2">
      <c r="B87" s="10" t="s">
        <v>743</v>
      </c>
      <c r="C87" s="10" t="s">
        <v>1518</v>
      </c>
      <c r="F87" s="10" t="s">
        <v>2375</v>
      </c>
      <c r="I87" s="10" t="s">
        <v>190</v>
      </c>
      <c r="J87" s="10" t="s">
        <v>2287</v>
      </c>
      <c r="L87" s="10" t="s">
        <v>35</v>
      </c>
      <c r="M87" s="10" t="s">
        <v>1019</v>
      </c>
    </row>
    <row r="88" spans="2:13" x14ac:dyDescent="0.2">
      <c r="B88" s="10" t="s">
        <v>742</v>
      </c>
      <c r="C88" s="10" t="s">
        <v>1538</v>
      </c>
      <c r="F88" s="10" t="s">
        <v>1035</v>
      </c>
      <c r="I88" s="10" t="s">
        <v>188</v>
      </c>
      <c r="J88" s="10" t="s">
        <v>2285</v>
      </c>
      <c r="L88" s="10" t="s">
        <v>1429</v>
      </c>
      <c r="M88" s="10" t="s">
        <v>1026</v>
      </c>
    </row>
    <row r="89" spans="2:13" x14ac:dyDescent="0.2">
      <c r="B89" s="10" t="s">
        <v>751</v>
      </c>
      <c r="C89" s="10" t="s">
        <v>2603</v>
      </c>
      <c r="F89" s="10" t="s">
        <v>2373</v>
      </c>
      <c r="I89" s="10" t="s">
        <v>193</v>
      </c>
      <c r="J89" s="10" t="s">
        <v>1160</v>
      </c>
      <c r="L89" s="10" t="s">
        <v>1431</v>
      </c>
      <c r="M89" s="10" t="s">
        <v>2379</v>
      </c>
    </row>
    <row r="90" spans="2:13" x14ac:dyDescent="0.2">
      <c r="B90" s="10" t="s">
        <v>748</v>
      </c>
      <c r="C90" s="10" t="s">
        <v>1591</v>
      </c>
      <c r="F90" s="10" t="s">
        <v>2374</v>
      </c>
      <c r="I90" s="10" t="s">
        <v>195</v>
      </c>
      <c r="J90" s="10" t="s">
        <v>1163</v>
      </c>
      <c r="L90" s="10" t="s">
        <v>1440</v>
      </c>
      <c r="M90" s="10" t="s">
        <v>2376</v>
      </c>
    </row>
    <row r="91" spans="2:13" x14ac:dyDescent="0.2">
      <c r="B91" s="10" t="s">
        <v>754</v>
      </c>
      <c r="C91" s="10" t="s">
        <v>1621</v>
      </c>
      <c r="F91" s="10" t="s">
        <v>2370</v>
      </c>
      <c r="I91" s="10" t="s">
        <v>196</v>
      </c>
      <c r="J91" s="10" t="s">
        <v>2282</v>
      </c>
      <c r="L91" s="10" t="s">
        <v>1494</v>
      </c>
      <c r="M91" s="10" t="s">
        <v>1032</v>
      </c>
    </row>
    <row r="92" spans="2:13" x14ac:dyDescent="0.2">
      <c r="B92" s="10" t="s">
        <v>758</v>
      </c>
      <c r="C92" s="10" t="s">
        <v>1623</v>
      </c>
      <c r="F92" s="10" t="s">
        <v>2367</v>
      </c>
      <c r="I92" s="10" t="s">
        <v>198</v>
      </c>
      <c r="J92" s="10" t="s">
        <v>2281</v>
      </c>
      <c r="L92" s="10" t="s">
        <v>1508</v>
      </c>
      <c r="M92" s="10" t="s">
        <v>1042</v>
      </c>
    </row>
    <row r="93" spans="2:13" x14ac:dyDescent="0.2">
      <c r="B93" s="10" t="s">
        <v>775</v>
      </c>
      <c r="C93" s="10" t="s">
        <v>1627</v>
      </c>
      <c r="F93" s="10" t="s">
        <v>2366</v>
      </c>
      <c r="I93" s="10" t="s">
        <v>199</v>
      </c>
      <c r="J93" s="10" t="s">
        <v>1166</v>
      </c>
      <c r="L93" s="10" t="s">
        <v>1519</v>
      </c>
      <c r="M93" s="10" t="s">
        <v>2368</v>
      </c>
    </row>
    <row r="94" spans="2:13" x14ac:dyDescent="0.2">
      <c r="B94" s="10" t="s">
        <v>779</v>
      </c>
      <c r="C94" s="10" t="s">
        <v>2601</v>
      </c>
      <c r="F94" s="10" t="s">
        <v>2347</v>
      </c>
      <c r="I94" s="10" t="s">
        <v>201</v>
      </c>
      <c r="J94" s="10" t="s">
        <v>1177</v>
      </c>
      <c r="L94" s="10" t="s">
        <v>1515</v>
      </c>
      <c r="M94" s="10" t="s">
        <v>1043</v>
      </c>
    </row>
    <row r="95" spans="2:13" x14ac:dyDescent="0.2">
      <c r="B95" s="10" t="s">
        <v>790</v>
      </c>
      <c r="C95" s="10" t="s">
        <v>1635</v>
      </c>
      <c r="F95" s="10" t="s">
        <v>2338</v>
      </c>
      <c r="I95" s="10" t="s">
        <v>202</v>
      </c>
      <c r="J95" s="10" t="s">
        <v>1178</v>
      </c>
      <c r="L95" s="10" t="s">
        <v>1558</v>
      </c>
      <c r="M95" s="10" t="s">
        <v>1047</v>
      </c>
    </row>
    <row r="96" spans="2:13" x14ac:dyDescent="0.2">
      <c r="B96" s="10" t="s">
        <v>783</v>
      </c>
      <c r="C96" s="10" t="s">
        <v>1650</v>
      </c>
      <c r="F96" s="10" t="s">
        <v>2325</v>
      </c>
      <c r="I96" s="10" t="s">
        <v>203</v>
      </c>
      <c r="J96" s="10" t="s">
        <v>1179</v>
      </c>
      <c r="L96" s="10" t="s">
        <v>1560</v>
      </c>
      <c r="M96" s="10" t="s">
        <v>2365</v>
      </c>
    </row>
    <row r="97" spans="2:13" x14ac:dyDescent="0.2">
      <c r="B97" s="10" t="s">
        <v>798</v>
      </c>
      <c r="C97" s="10" t="s">
        <v>1652</v>
      </c>
      <c r="F97" s="10" t="s">
        <v>2326</v>
      </c>
      <c r="I97" s="10" t="s">
        <v>213</v>
      </c>
      <c r="J97" s="10" t="s">
        <v>2271</v>
      </c>
      <c r="L97" s="10" t="s">
        <v>1567</v>
      </c>
      <c r="M97" s="10" t="s">
        <v>1045</v>
      </c>
    </row>
    <row r="98" spans="2:13" x14ac:dyDescent="0.2">
      <c r="B98" s="10" t="s">
        <v>802</v>
      </c>
      <c r="C98" s="10" t="s">
        <v>1647</v>
      </c>
      <c r="F98" s="10" t="s">
        <v>1086</v>
      </c>
      <c r="I98" s="10" t="s">
        <v>210</v>
      </c>
      <c r="J98" s="10" t="s">
        <v>2269</v>
      </c>
      <c r="L98" s="10" t="s">
        <v>1577</v>
      </c>
      <c r="M98" s="10" t="s">
        <v>2363</v>
      </c>
    </row>
    <row r="99" spans="2:13" x14ac:dyDescent="0.2">
      <c r="B99" s="10" t="s">
        <v>803</v>
      </c>
      <c r="C99" s="10" t="s">
        <v>1658</v>
      </c>
      <c r="F99" s="10" t="s">
        <v>1087</v>
      </c>
      <c r="I99" s="10" t="s">
        <v>205</v>
      </c>
      <c r="J99" s="10" t="s">
        <v>2265</v>
      </c>
      <c r="L99" s="10" t="s">
        <v>1581</v>
      </c>
      <c r="M99" s="10" t="s">
        <v>2362</v>
      </c>
    </row>
    <row r="100" spans="2:13" x14ac:dyDescent="0.2">
      <c r="B100" s="10" t="s">
        <v>822</v>
      </c>
      <c r="C100" s="10" t="s">
        <v>1662</v>
      </c>
      <c r="F100" s="10" t="s">
        <v>1089</v>
      </c>
      <c r="I100" s="10" t="s">
        <v>212</v>
      </c>
      <c r="J100" s="10" t="s">
        <v>1196</v>
      </c>
      <c r="L100" s="10" t="s">
        <v>1592</v>
      </c>
      <c r="M100" s="10" t="s">
        <v>2361</v>
      </c>
    </row>
    <row r="101" spans="2:13" x14ac:dyDescent="0.2">
      <c r="B101" s="10" t="s">
        <v>2506</v>
      </c>
      <c r="C101" s="10" t="s">
        <v>1665</v>
      </c>
      <c r="F101" s="10" t="s">
        <v>1095</v>
      </c>
      <c r="I101" s="10" t="s">
        <v>207</v>
      </c>
      <c r="J101" s="10" t="s">
        <v>1197</v>
      </c>
      <c r="L101" s="10" t="s">
        <v>1596</v>
      </c>
      <c r="M101" s="10" t="s">
        <v>2360</v>
      </c>
    </row>
    <row r="102" spans="2:13" x14ac:dyDescent="0.2">
      <c r="B102" s="10" t="s">
        <v>857</v>
      </c>
      <c r="C102" s="10" t="s">
        <v>2599</v>
      </c>
      <c r="F102" s="10" t="s">
        <v>1092</v>
      </c>
      <c r="I102" s="10" t="s">
        <v>208</v>
      </c>
      <c r="J102" s="10" t="s">
        <v>2254</v>
      </c>
      <c r="L102" s="10" t="s">
        <v>1603</v>
      </c>
      <c r="M102" s="10" t="s">
        <v>1049</v>
      </c>
    </row>
    <row r="103" spans="2:13" x14ac:dyDescent="0.2">
      <c r="B103" s="10" t="s">
        <v>871</v>
      </c>
      <c r="C103" s="10" t="s">
        <v>1693</v>
      </c>
      <c r="F103" s="10" t="s">
        <v>1096</v>
      </c>
      <c r="I103" s="10" t="s">
        <v>206</v>
      </c>
      <c r="J103" s="10" t="s">
        <v>2252</v>
      </c>
      <c r="L103" s="10" t="s">
        <v>1605</v>
      </c>
      <c r="M103" s="10" t="s">
        <v>2355</v>
      </c>
    </row>
    <row r="104" spans="2:13" x14ac:dyDescent="0.2">
      <c r="B104" s="10" t="s">
        <v>881</v>
      </c>
      <c r="C104" s="10" t="s">
        <v>1710</v>
      </c>
      <c r="F104" s="10" t="s">
        <v>1097</v>
      </c>
      <c r="I104" s="10" t="s">
        <v>211</v>
      </c>
      <c r="J104" s="10" t="s">
        <v>2247</v>
      </c>
      <c r="L104" s="10" t="s">
        <v>1615</v>
      </c>
      <c r="M104" s="10" t="s">
        <v>1054</v>
      </c>
    </row>
    <row r="105" spans="2:13" x14ac:dyDescent="0.2">
      <c r="B105" s="10" t="s">
        <v>2481</v>
      </c>
      <c r="C105" s="10" t="s">
        <v>1742</v>
      </c>
      <c r="F105" s="10" t="s">
        <v>1098</v>
      </c>
      <c r="I105" s="10" t="s">
        <v>214</v>
      </c>
      <c r="J105" s="10" t="s">
        <v>1215</v>
      </c>
      <c r="L105" s="10" t="s">
        <v>1642</v>
      </c>
      <c r="M105" s="10" t="s">
        <v>2353</v>
      </c>
    </row>
    <row r="106" spans="2:13" x14ac:dyDescent="0.2">
      <c r="B106" s="10" t="s">
        <v>2477</v>
      </c>
      <c r="C106" s="10" t="s">
        <v>2595</v>
      </c>
      <c r="F106" s="10" t="s">
        <v>1103</v>
      </c>
      <c r="I106" s="10" t="s">
        <v>215</v>
      </c>
      <c r="J106" s="10" t="s">
        <v>1220</v>
      </c>
      <c r="L106" s="10" t="s">
        <v>1649</v>
      </c>
      <c r="M106" s="10" t="s">
        <v>1057</v>
      </c>
    </row>
    <row r="107" spans="2:13" x14ac:dyDescent="0.2">
      <c r="B107" s="10" t="s">
        <v>894</v>
      </c>
      <c r="C107" s="10" t="s">
        <v>1747</v>
      </c>
      <c r="F107" s="10" t="s">
        <v>2313</v>
      </c>
      <c r="I107" s="10" t="s">
        <v>216</v>
      </c>
      <c r="J107" s="10" t="s">
        <v>1226</v>
      </c>
      <c r="L107" s="10" t="s">
        <v>1673</v>
      </c>
      <c r="M107" s="10" t="s">
        <v>1059</v>
      </c>
    </row>
    <row r="108" spans="2:13" x14ac:dyDescent="0.2">
      <c r="B108" s="10" t="s">
        <v>895</v>
      </c>
      <c r="C108" s="10" t="s">
        <v>1762</v>
      </c>
      <c r="F108" s="10" t="s">
        <v>1104</v>
      </c>
      <c r="I108" s="10" t="s">
        <v>218</v>
      </c>
      <c r="J108" s="10" t="s">
        <v>1229</v>
      </c>
      <c r="L108" s="10" t="s">
        <v>1685</v>
      </c>
      <c r="M108" s="10" t="s">
        <v>2352</v>
      </c>
    </row>
    <row r="109" spans="2:13" x14ac:dyDescent="0.2">
      <c r="B109" s="10" t="s">
        <v>907</v>
      </c>
      <c r="C109" s="10" t="s">
        <v>1770</v>
      </c>
      <c r="F109" s="10" t="s">
        <v>2312</v>
      </c>
      <c r="I109" s="10" t="s">
        <v>226</v>
      </c>
      <c r="J109" s="10" t="s">
        <v>1230</v>
      </c>
      <c r="L109" s="10" t="s">
        <v>1714</v>
      </c>
      <c r="M109" s="10" t="s">
        <v>1061</v>
      </c>
    </row>
    <row r="110" spans="2:13" x14ac:dyDescent="0.2">
      <c r="B110" s="10" t="s">
        <v>904</v>
      </c>
      <c r="C110" s="10" t="s">
        <v>1784</v>
      </c>
      <c r="F110" s="10" t="s">
        <v>1108</v>
      </c>
      <c r="I110" s="10" t="s">
        <v>224</v>
      </c>
      <c r="J110" s="10" t="s">
        <v>1249</v>
      </c>
      <c r="L110" s="10" t="s">
        <v>1720</v>
      </c>
      <c r="M110" s="10" t="s">
        <v>1062</v>
      </c>
    </row>
    <row r="111" spans="2:13" x14ac:dyDescent="0.2">
      <c r="B111" s="10" t="s">
        <v>2461</v>
      </c>
      <c r="C111" s="10" t="s">
        <v>1780</v>
      </c>
      <c r="F111" s="10" t="s">
        <v>2309</v>
      </c>
      <c r="I111" s="10" t="s">
        <v>220</v>
      </c>
      <c r="J111" s="10" t="s">
        <v>2215</v>
      </c>
      <c r="L111" s="10" t="s">
        <v>1726</v>
      </c>
      <c r="M111" s="10" t="s">
        <v>1064</v>
      </c>
    </row>
    <row r="112" spans="2:13" x14ac:dyDescent="0.2">
      <c r="B112" s="10" t="s">
        <v>911</v>
      </c>
      <c r="C112" s="10" t="s">
        <v>1840</v>
      </c>
      <c r="F112" s="10" t="s">
        <v>2310</v>
      </c>
      <c r="I112" s="10" t="s">
        <v>219</v>
      </c>
      <c r="J112" s="10" t="s">
        <v>1253</v>
      </c>
      <c r="L112" s="10" t="s">
        <v>1729</v>
      </c>
      <c r="M112" s="10" t="s">
        <v>1069</v>
      </c>
    </row>
    <row r="113" spans="2:13" x14ac:dyDescent="0.2">
      <c r="B113" s="10" t="s">
        <v>913</v>
      </c>
      <c r="C113" s="10" t="s">
        <v>2179</v>
      </c>
      <c r="F113" s="10" t="s">
        <v>2307</v>
      </c>
      <c r="I113" s="10" t="s">
        <v>221</v>
      </c>
      <c r="J113" s="10" t="s">
        <v>58</v>
      </c>
      <c r="L113" s="10" t="s">
        <v>1738</v>
      </c>
      <c r="M113" s="10" t="s">
        <v>2343</v>
      </c>
    </row>
    <row r="114" spans="2:13" x14ac:dyDescent="0.2">
      <c r="B114" s="10" t="s">
        <v>2458</v>
      </c>
      <c r="C114" s="10" t="s">
        <v>2591</v>
      </c>
      <c r="F114" s="10" t="s">
        <v>2311</v>
      </c>
      <c r="I114" s="10" t="s">
        <v>223</v>
      </c>
      <c r="J114" s="10" t="s">
        <v>1255</v>
      </c>
      <c r="L114" s="10" t="s">
        <v>1741</v>
      </c>
      <c r="M114" s="10" t="s">
        <v>2342</v>
      </c>
    </row>
    <row r="115" spans="2:13" x14ac:dyDescent="0.2">
      <c r="B115" s="10" t="s">
        <v>2455</v>
      </c>
      <c r="C115" s="10" t="s">
        <v>42</v>
      </c>
      <c r="F115" s="10" t="s">
        <v>1109</v>
      </c>
      <c r="I115" s="10" t="s">
        <v>2572</v>
      </c>
      <c r="J115" s="10" t="s">
        <v>1256</v>
      </c>
      <c r="L115" s="10" t="s">
        <v>1759</v>
      </c>
      <c r="M115" s="10" t="s">
        <v>2341</v>
      </c>
    </row>
    <row r="116" spans="2:13" x14ac:dyDescent="0.2">
      <c r="B116" s="10" t="s">
        <v>932</v>
      </c>
      <c r="C116" s="10" t="s">
        <v>1882</v>
      </c>
      <c r="F116" s="10" t="s">
        <v>53</v>
      </c>
      <c r="I116" s="10" t="s">
        <v>227</v>
      </c>
      <c r="J116" s="10" t="s">
        <v>1259</v>
      </c>
      <c r="L116" s="10" t="s">
        <v>1775</v>
      </c>
      <c r="M116" s="10" t="s">
        <v>1075</v>
      </c>
    </row>
    <row r="117" spans="2:13" x14ac:dyDescent="0.2">
      <c r="B117" s="10" t="s">
        <v>941</v>
      </c>
      <c r="C117" s="10" t="s">
        <v>1896</v>
      </c>
      <c r="F117" s="10" t="s">
        <v>1120</v>
      </c>
      <c r="I117" s="10" t="s">
        <v>228</v>
      </c>
      <c r="J117" s="10" t="s">
        <v>2210</v>
      </c>
      <c r="L117" s="10" t="s">
        <v>1774</v>
      </c>
      <c r="M117" s="10" t="s">
        <v>2339</v>
      </c>
    </row>
    <row r="118" spans="2:13" x14ac:dyDescent="0.2">
      <c r="B118" s="10" t="s">
        <v>2442</v>
      </c>
      <c r="C118" s="10" t="s">
        <v>1895</v>
      </c>
      <c r="F118" s="10" t="s">
        <v>1132</v>
      </c>
      <c r="I118" s="10" t="s">
        <v>229</v>
      </c>
      <c r="J118" s="10" t="s">
        <v>2209</v>
      </c>
      <c r="L118" s="10" t="s">
        <v>1787</v>
      </c>
      <c r="M118" s="10" t="s">
        <v>2340</v>
      </c>
    </row>
    <row r="119" spans="2:13" x14ac:dyDescent="0.2">
      <c r="B119" s="10" t="s">
        <v>943</v>
      </c>
      <c r="C119" s="10" t="s">
        <v>1899</v>
      </c>
      <c r="F119" s="10" t="s">
        <v>1124</v>
      </c>
      <c r="I119" s="10" t="s">
        <v>232</v>
      </c>
      <c r="J119" s="10" t="s">
        <v>1260</v>
      </c>
      <c r="L119" s="10" t="s">
        <v>1789</v>
      </c>
      <c r="M119" s="10" t="s">
        <v>1074</v>
      </c>
    </row>
    <row r="120" spans="2:13" x14ac:dyDescent="0.2">
      <c r="B120" s="10" t="s">
        <v>948</v>
      </c>
      <c r="C120" s="10" t="s">
        <v>1910</v>
      </c>
      <c r="F120" s="10" t="s">
        <v>1140</v>
      </c>
      <c r="I120" s="10" t="s">
        <v>234</v>
      </c>
      <c r="J120" s="10" t="s">
        <v>2207</v>
      </c>
      <c r="L120" s="10" t="s">
        <v>1832</v>
      </c>
      <c r="M120" s="10" t="s">
        <v>2337</v>
      </c>
    </row>
    <row r="121" spans="2:13" x14ac:dyDescent="0.2">
      <c r="B121" s="10" t="s">
        <v>953</v>
      </c>
      <c r="C121" s="10" t="s">
        <v>1908</v>
      </c>
      <c r="F121" s="10" t="s">
        <v>2298</v>
      </c>
      <c r="I121" s="10" t="s">
        <v>233</v>
      </c>
      <c r="J121" s="10" t="s">
        <v>2206</v>
      </c>
      <c r="L121" s="10" t="s">
        <v>1838</v>
      </c>
      <c r="M121" s="10" t="s">
        <v>1076</v>
      </c>
    </row>
    <row r="122" spans="2:13" x14ac:dyDescent="0.2">
      <c r="B122" s="10" t="s">
        <v>950</v>
      </c>
      <c r="C122" s="10" t="s">
        <v>1915</v>
      </c>
      <c r="F122" s="10" t="s">
        <v>1145</v>
      </c>
      <c r="I122" s="10" t="s">
        <v>2571</v>
      </c>
      <c r="J122" s="10" t="s">
        <v>2616</v>
      </c>
      <c r="L122" s="10" t="s">
        <v>1845</v>
      </c>
      <c r="M122" s="10" t="s">
        <v>2331</v>
      </c>
    </row>
    <row r="123" spans="2:13" x14ac:dyDescent="0.2">
      <c r="B123" s="10" t="s">
        <v>949</v>
      </c>
      <c r="C123" s="10" t="s">
        <v>1917</v>
      </c>
      <c r="F123" s="10" t="s">
        <v>2293</v>
      </c>
      <c r="I123" s="10" t="s">
        <v>236</v>
      </c>
      <c r="J123" s="10" t="s">
        <v>1284</v>
      </c>
      <c r="L123" s="10" t="s">
        <v>1870</v>
      </c>
      <c r="M123" s="10" t="s">
        <v>1080</v>
      </c>
    </row>
    <row r="124" spans="2:13" x14ac:dyDescent="0.2">
      <c r="B124" s="10" t="s">
        <v>29</v>
      </c>
      <c r="C124" s="10" t="s">
        <v>2590</v>
      </c>
      <c r="F124" s="10" t="s">
        <v>2291</v>
      </c>
      <c r="I124" s="10" t="s">
        <v>237</v>
      </c>
      <c r="J124" s="10" t="s">
        <v>1285</v>
      </c>
      <c r="L124" s="10" t="s">
        <v>1949</v>
      </c>
      <c r="M124" s="10" t="s">
        <v>2334</v>
      </c>
    </row>
    <row r="125" spans="2:13" x14ac:dyDescent="0.2">
      <c r="B125" s="10" t="s">
        <v>2439</v>
      </c>
      <c r="C125" s="10" t="s">
        <v>1924</v>
      </c>
      <c r="F125" s="10" t="s">
        <v>2288</v>
      </c>
      <c r="I125" s="10" t="s">
        <v>239</v>
      </c>
      <c r="J125" s="10" t="s">
        <v>2199</v>
      </c>
      <c r="L125" s="10" t="s">
        <v>1956</v>
      </c>
      <c r="M125" s="10" t="s">
        <v>2332</v>
      </c>
    </row>
    <row r="126" spans="2:13" x14ac:dyDescent="0.2">
      <c r="B126" s="10" t="s">
        <v>2436</v>
      </c>
      <c r="C126" s="10" t="s">
        <v>1925</v>
      </c>
      <c r="F126" s="10" t="s">
        <v>2286</v>
      </c>
      <c r="I126" s="10" t="s">
        <v>238</v>
      </c>
      <c r="J126" s="10" t="s">
        <v>1294</v>
      </c>
      <c r="L126" s="10" t="s">
        <v>1979</v>
      </c>
      <c r="M126" s="10" t="s">
        <v>2330</v>
      </c>
    </row>
    <row r="127" spans="2:13" x14ac:dyDescent="0.2">
      <c r="B127" s="10" t="s">
        <v>959</v>
      </c>
      <c r="C127" s="10" t="s">
        <v>1931</v>
      </c>
      <c r="F127" s="10" t="s">
        <v>1170</v>
      </c>
      <c r="I127" s="10" t="s">
        <v>241</v>
      </c>
      <c r="J127" s="10" t="s">
        <v>1295</v>
      </c>
      <c r="L127" s="10" t="s">
        <v>1995</v>
      </c>
      <c r="M127" s="10" t="s">
        <v>1081</v>
      </c>
    </row>
    <row r="128" spans="2:13" x14ac:dyDescent="0.2">
      <c r="B128" s="10" t="s">
        <v>961</v>
      </c>
      <c r="C128" s="10" t="s">
        <v>1932</v>
      </c>
      <c r="F128" s="10" t="s">
        <v>2276</v>
      </c>
      <c r="I128" s="10" t="s">
        <v>243</v>
      </c>
      <c r="J128" s="10" t="s">
        <v>1296</v>
      </c>
      <c r="L128" s="10" t="s">
        <v>2020</v>
      </c>
      <c r="M128" s="10" t="s">
        <v>2323</v>
      </c>
    </row>
    <row r="129" spans="2:13" x14ac:dyDescent="0.2">
      <c r="B129" s="10" t="s">
        <v>962</v>
      </c>
      <c r="C129" s="10" t="s">
        <v>1934</v>
      </c>
      <c r="F129" s="10" t="s">
        <v>1174</v>
      </c>
      <c r="I129" s="10" t="s">
        <v>242</v>
      </c>
      <c r="J129" s="10" t="s">
        <v>1303</v>
      </c>
      <c r="L129" s="10" t="s">
        <v>2024</v>
      </c>
      <c r="M129" s="10" t="s">
        <v>2316</v>
      </c>
    </row>
    <row r="130" spans="2:13" x14ac:dyDescent="0.2">
      <c r="B130" s="10" t="s">
        <v>2431</v>
      </c>
      <c r="C130" s="10" t="s">
        <v>1972</v>
      </c>
      <c r="F130" s="10" t="s">
        <v>2277</v>
      </c>
      <c r="I130" s="10" t="s">
        <v>244</v>
      </c>
      <c r="J130" s="10" t="s">
        <v>1325</v>
      </c>
      <c r="L130" s="10" t="s">
        <v>2056</v>
      </c>
      <c r="M130" s="10" t="s">
        <v>2315</v>
      </c>
    </row>
    <row r="131" spans="2:13" x14ac:dyDescent="0.2">
      <c r="B131" s="10" t="s">
        <v>965</v>
      </c>
      <c r="C131" s="10" t="s">
        <v>1994</v>
      </c>
      <c r="F131" s="10" t="s">
        <v>1181</v>
      </c>
      <c r="I131" s="10" t="s">
        <v>245</v>
      </c>
      <c r="J131" s="10" t="s">
        <v>1333</v>
      </c>
      <c r="L131" s="10" t="s">
        <v>2061</v>
      </c>
      <c r="M131" s="10" t="s">
        <v>1114</v>
      </c>
    </row>
    <row r="132" spans="2:13" x14ac:dyDescent="0.2">
      <c r="B132" s="10" t="s">
        <v>966</v>
      </c>
      <c r="C132" s="10" t="s">
        <v>2588</v>
      </c>
      <c r="F132" s="10" t="s">
        <v>1183</v>
      </c>
      <c r="I132" s="10" t="s">
        <v>2570</v>
      </c>
      <c r="J132" s="10" t="s">
        <v>1341</v>
      </c>
      <c r="L132" s="10" t="s">
        <v>2062</v>
      </c>
      <c r="M132" s="10" t="s">
        <v>2304</v>
      </c>
    </row>
    <row r="133" spans="2:13" x14ac:dyDescent="0.2">
      <c r="B133" s="10" t="s">
        <v>2429</v>
      </c>
      <c r="C133" s="10" t="s">
        <v>2587</v>
      </c>
      <c r="F133" s="10" t="s">
        <v>2267</v>
      </c>
      <c r="I133" s="10" t="s">
        <v>246</v>
      </c>
      <c r="J133" s="10" t="s">
        <v>1344</v>
      </c>
      <c r="L133" s="10" t="s">
        <v>2066</v>
      </c>
      <c r="M133" s="10" t="s">
        <v>1123</v>
      </c>
    </row>
    <row r="134" spans="2:13" x14ac:dyDescent="0.2">
      <c r="B134" s="10" t="s">
        <v>2428</v>
      </c>
      <c r="C134" s="10" t="s">
        <v>2000</v>
      </c>
      <c r="F134" s="10" t="s">
        <v>2270</v>
      </c>
      <c r="I134" s="10" t="s">
        <v>247</v>
      </c>
      <c r="J134" s="10" t="s">
        <v>1356</v>
      </c>
      <c r="M134" s="10" t="s">
        <v>1133</v>
      </c>
    </row>
    <row r="135" spans="2:13" x14ac:dyDescent="0.2">
      <c r="B135" s="10" t="s">
        <v>974</v>
      </c>
      <c r="C135" s="10" t="s">
        <v>2014</v>
      </c>
      <c r="F135" s="10" t="s">
        <v>1189</v>
      </c>
      <c r="I135" s="10" t="s">
        <v>249</v>
      </c>
      <c r="J135" s="10" t="s">
        <v>1354</v>
      </c>
      <c r="M135" s="10" t="s">
        <v>1126</v>
      </c>
    </row>
    <row r="136" spans="2:13" x14ac:dyDescent="0.2">
      <c r="B136" s="10" t="s">
        <v>980</v>
      </c>
      <c r="C136" s="10" t="s">
        <v>2586</v>
      </c>
      <c r="F136" s="10" t="s">
        <v>2263</v>
      </c>
      <c r="I136" s="10" t="s">
        <v>2569</v>
      </c>
      <c r="J136" s="10" t="s">
        <v>1368</v>
      </c>
      <c r="M136" s="10" t="s">
        <v>1127</v>
      </c>
    </row>
    <row r="137" spans="2:13" x14ac:dyDescent="0.2">
      <c r="B137" s="10" t="s">
        <v>976</v>
      </c>
      <c r="C137" s="10" t="s">
        <v>2025</v>
      </c>
      <c r="F137" s="10" t="s">
        <v>2259</v>
      </c>
      <c r="I137" s="10" t="s">
        <v>250</v>
      </c>
      <c r="J137" s="10" t="s">
        <v>1374</v>
      </c>
      <c r="M137" s="10" t="s">
        <v>2299</v>
      </c>
    </row>
    <row r="138" spans="2:13" x14ac:dyDescent="0.2">
      <c r="B138" s="10" t="s">
        <v>2424</v>
      </c>
      <c r="C138" s="10" t="s">
        <v>2022</v>
      </c>
      <c r="F138" s="10" t="s">
        <v>1201</v>
      </c>
      <c r="I138" s="10" t="s">
        <v>253</v>
      </c>
      <c r="J138" s="10" t="s">
        <v>1379</v>
      </c>
      <c r="M138" s="10" t="s">
        <v>2296</v>
      </c>
    </row>
    <row r="139" spans="2:13" x14ac:dyDescent="0.2">
      <c r="B139" s="10" t="s">
        <v>2422</v>
      </c>
      <c r="C139" s="10" t="s">
        <v>2035</v>
      </c>
      <c r="F139" s="10" t="s">
        <v>1208</v>
      </c>
      <c r="I139" s="10" t="s">
        <v>254</v>
      </c>
      <c r="J139" s="10" t="s">
        <v>1383</v>
      </c>
      <c r="M139" s="10" t="s">
        <v>1148</v>
      </c>
    </row>
    <row r="140" spans="2:13" x14ac:dyDescent="0.2">
      <c r="B140" s="10" t="s">
        <v>2417</v>
      </c>
      <c r="C140" s="10" t="s">
        <v>2041</v>
      </c>
      <c r="F140" s="10" t="s">
        <v>2231</v>
      </c>
      <c r="I140" s="10" t="s">
        <v>256</v>
      </c>
      <c r="J140" s="10" t="s">
        <v>1386</v>
      </c>
      <c r="M140" s="10" t="s">
        <v>1153</v>
      </c>
    </row>
    <row r="141" spans="2:13" x14ac:dyDescent="0.2">
      <c r="B141" s="10" t="s">
        <v>987</v>
      </c>
      <c r="C141" s="10" t="s">
        <v>2036</v>
      </c>
      <c r="F141" s="10" t="s">
        <v>1231</v>
      </c>
      <c r="I141" s="10" t="s">
        <v>257</v>
      </c>
      <c r="J141" s="10" t="s">
        <v>1387</v>
      </c>
      <c r="M141" s="10" t="s">
        <v>1149</v>
      </c>
    </row>
    <row r="142" spans="2:13" x14ac:dyDescent="0.2">
      <c r="B142" s="10" t="s">
        <v>31</v>
      </c>
      <c r="C142" s="10" t="s">
        <v>69</v>
      </c>
      <c r="F142" s="10" t="s">
        <v>2232</v>
      </c>
      <c r="I142" s="10" t="s">
        <v>258</v>
      </c>
      <c r="J142" s="10" t="s">
        <v>2614</v>
      </c>
      <c r="M142" s="10" t="s">
        <v>1152</v>
      </c>
    </row>
    <row r="143" spans="2:13" x14ac:dyDescent="0.2">
      <c r="B143" s="10" t="s">
        <v>2406</v>
      </c>
      <c r="C143" s="10" t="s">
        <v>2070</v>
      </c>
      <c r="F143" s="10" t="s">
        <v>2228</v>
      </c>
      <c r="I143" s="10" t="s">
        <v>259</v>
      </c>
      <c r="J143" s="10" t="s">
        <v>1390</v>
      </c>
      <c r="M143" s="10" t="s">
        <v>1157</v>
      </c>
    </row>
    <row r="144" spans="2:13" x14ac:dyDescent="0.2">
      <c r="B144" s="10" t="s">
        <v>998</v>
      </c>
      <c r="C144" s="10" t="s">
        <v>2077</v>
      </c>
      <c r="F144" s="10" t="s">
        <v>2227</v>
      </c>
      <c r="I144" s="10" t="s">
        <v>260</v>
      </c>
      <c r="J144" s="10" t="s">
        <v>1394</v>
      </c>
      <c r="M144" s="10" t="s">
        <v>1164</v>
      </c>
    </row>
    <row r="145" spans="2:13" x14ac:dyDescent="0.2">
      <c r="B145" s="10" t="s">
        <v>2403</v>
      </c>
      <c r="C145" s="10" t="s">
        <v>2078</v>
      </c>
      <c r="F145" s="10" t="s">
        <v>1239</v>
      </c>
      <c r="I145" s="10" t="s">
        <v>2566</v>
      </c>
      <c r="J145" s="10" t="s">
        <v>1399</v>
      </c>
      <c r="M145" s="10" t="s">
        <v>2280</v>
      </c>
    </row>
    <row r="146" spans="2:13" x14ac:dyDescent="0.2">
      <c r="B146" s="10" t="s">
        <v>1006</v>
      </c>
      <c r="C146" s="10" t="s">
        <v>2584</v>
      </c>
      <c r="F146" s="10" t="s">
        <v>2226</v>
      </c>
      <c r="I146" s="10" t="s">
        <v>264</v>
      </c>
      <c r="J146" s="10" t="s">
        <v>1403</v>
      </c>
      <c r="M146" s="10" t="s">
        <v>2279</v>
      </c>
    </row>
    <row r="147" spans="2:13" x14ac:dyDescent="0.2">
      <c r="B147" s="10" t="s">
        <v>2395</v>
      </c>
      <c r="C147" s="10" t="s">
        <v>2144</v>
      </c>
      <c r="F147" s="10" t="s">
        <v>2225</v>
      </c>
      <c r="I147" s="10" t="s">
        <v>2565</v>
      </c>
      <c r="J147" s="10" t="s">
        <v>1401</v>
      </c>
      <c r="M147" s="10" t="s">
        <v>2278</v>
      </c>
    </row>
    <row r="148" spans="2:13" x14ac:dyDescent="0.2">
      <c r="B148" s="10" t="s">
        <v>2391</v>
      </c>
      <c r="F148" s="10" t="s">
        <v>1236</v>
      </c>
      <c r="I148" s="10" t="s">
        <v>262</v>
      </c>
      <c r="J148" s="10" t="s">
        <v>1402</v>
      </c>
      <c r="M148" s="10" t="s">
        <v>1172</v>
      </c>
    </row>
    <row r="149" spans="2:13" x14ac:dyDescent="0.2">
      <c r="B149" s="10" t="s">
        <v>2390</v>
      </c>
      <c r="F149" s="10" t="s">
        <v>1241</v>
      </c>
      <c r="I149" s="10" t="s">
        <v>265</v>
      </c>
      <c r="J149" s="10" t="s">
        <v>1407</v>
      </c>
      <c r="M149" s="10" t="s">
        <v>2274</v>
      </c>
    </row>
    <row r="150" spans="2:13" x14ac:dyDescent="0.2">
      <c r="B150" s="10" t="s">
        <v>2393</v>
      </c>
      <c r="F150" s="10" t="s">
        <v>1247</v>
      </c>
      <c r="I150" s="10" t="s">
        <v>270</v>
      </c>
      <c r="J150" s="10" t="s">
        <v>2611</v>
      </c>
      <c r="M150" s="10" t="s">
        <v>2272</v>
      </c>
    </row>
    <row r="151" spans="2:13" x14ac:dyDescent="0.2">
      <c r="B151" s="10" t="s">
        <v>2385</v>
      </c>
      <c r="F151" s="10" t="s">
        <v>2213</v>
      </c>
      <c r="I151" s="10" t="s">
        <v>269</v>
      </c>
      <c r="J151" s="10" t="s">
        <v>1410</v>
      </c>
      <c r="M151" s="10" t="s">
        <v>1187</v>
      </c>
    </row>
    <row r="152" spans="2:13" x14ac:dyDescent="0.2">
      <c r="B152" s="10" t="s">
        <v>2386</v>
      </c>
      <c r="F152" s="10" t="s">
        <v>1269</v>
      </c>
      <c r="I152" s="10" t="s">
        <v>266</v>
      </c>
      <c r="J152" s="10" t="s">
        <v>1412</v>
      </c>
      <c r="M152" s="10" t="s">
        <v>1192</v>
      </c>
    </row>
    <row r="153" spans="2:13" x14ac:dyDescent="0.2">
      <c r="B153" s="10" t="s">
        <v>1022</v>
      </c>
      <c r="F153" s="10" t="s">
        <v>2205</v>
      </c>
      <c r="I153" s="10" t="s">
        <v>268</v>
      </c>
      <c r="J153" s="10" t="s">
        <v>1414</v>
      </c>
      <c r="M153" s="10" t="s">
        <v>1193</v>
      </c>
    </row>
    <row r="154" spans="2:13" x14ac:dyDescent="0.2">
      <c r="B154" s="10" t="s">
        <v>2384</v>
      </c>
      <c r="F154" s="10" t="s">
        <v>2204</v>
      </c>
      <c r="I154" s="10" t="s">
        <v>271</v>
      </c>
      <c r="J154" s="10" t="s">
        <v>1417</v>
      </c>
      <c r="M154" s="10" t="s">
        <v>2261</v>
      </c>
    </row>
    <row r="155" spans="2:13" x14ac:dyDescent="0.2">
      <c r="B155" s="10" t="s">
        <v>2382</v>
      </c>
      <c r="F155" s="10" t="s">
        <v>1277</v>
      </c>
      <c r="I155" s="10" t="s">
        <v>277</v>
      </c>
      <c r="J155" s="10" t="s">
        <v>1419</v>
      </c>
      <c r="M155" s="10" t="s">
        <v>1195</v>
      </c>
    </row>
    <row r="156" spans="2:13" x14ac:dyDescent="0.2">
      <c r="B156" s="10" t="s">
        <v>1028</v>
      </c>
      <c r="F156" s="10" t="s">
        <v>1273</v>
      </c>
      <c r="I156" s="10" t="s">
        <v>274</v>
      </c>
      <c r="J156" s="10" t="s">
        <v>1433</v>
      </c>
      <c r="M156" s="10" t="s">
        <v>2260</v>
      </c>
    </row>
    <row r="157" spans="2:13" x14ac:dyDescent="0.2">
      <c r="B157" s="10" t="s">
        <v>1029</v>
      </c>
      <c r="F157" s="10" t="s">
        <v>1286</v>
      </c>
      <c r="I157" s="10" t="s">
        <v>275</v>
      </c>
      <c r="J157" s="10" t="s">
        <v>1432</v>
      </c>
      <c r="M157" s="10" t="s">
        <v>2262</v>
      </c>
    </row>
    <row r="158" spans="2:13" x14ac:dyDescent="0.2">
      <c r="B158" s="10" t="s">
        <v>1041</v>
      </c>
      <c r="F158" s="10" t="s">
        <v>2198</v>
      </c>
      <c r="I158" s="10" t="s">
        <v>276</v>
      </c>
      <c r="J158" s="10" t="s">
        <v>1443</v>
      </c>
      <c r="M158" s="10" t="s">
        <v>1198</v>
      </c>
    </row>
    <row r="159" spans="2:13" x14ac:dyDescent="0.2">
      <c r="B159" s="10" t="s">
        <v>2358</v>
      </c>
      <c r="F159" s="10" t="s">
        <v>1282</v>
      </c>
      <c r="I159" s="10" t="s">
        <v>2564</v>
      </c>
      <c r="J159" s="10" t="s">
        <v>1437</v>
      </c>
      <c r="M159" s="10" t="s">
        <v>2258</v>
      </c>
    </row>
    <row r="160" spans="2:13" x14ac:dyDescent="0.2">
      <c r="B160" s="10" t="s">
        <v>2351</v>
      </c>
      <c r="F160" s="10" t="s">
        <v>1309</v>
      </c>
      <c r="I160" s="10" t="s">
        <v>282</v>
      </c>
      <c r="J160" s="10" t="s">
        <v>1449</v>
      </c>
      <c r="M160" s="10" t="s">
        <v>2249</v>
      </c>
    </row>
    <row r="161" spans="2:13" x14ac:dyDescent="0.2">
      <c r="B161" s="10" t="s">
        <v>47</v>
      </c>
      <c r="F161" s="10" t="s">
        <v>1305</v>
      </c>
      <c r="I161" s="10" t="s">
        <v>281</v>
      </c>
      <c r="J161" s="10" t="s">
        <v>1447</v>
      </c>
      <c r="M161" s="10" t="s">
        <v>2250</v>
      </c>
    </row>
    <row r="162" spans="2:13" x14ac:dyDescent="0.2">
      <c r="B162" s="10" t="s">
        <v>2345</v>
      </c>
      <c r="F162" s="10" t="s">
        <v>1328</v>
      </c>
      <c r="I162" s="10" t="s">
        <v>283</v>
      </c>
      <c r="J162" s="10" t="s">
        <v>1446</v>
      </c>
      <c r="M162" s="10" t="s">
        <v>1206</v>
      </c>
    </row>
    <row r="163" spans="2:13" x14ac:dyDescent="0.2">
      <c r="B163" s="10" t="s">
        <v>1068</v>
      </c>
      <c r="F163" s="10" t="s">
        <v>1349</v>
      </c>
      <c r="I163" s="10" t="s">
        <v>285</v>
      </c>
      <c r="J163" s="10" t="s">
        <v>1453</v>
      </c>
      <c r="M163" s="10" t="s">
        <v>2248</v>
      </c>
    </row>
    <row r="164" spans="2:13" x14ac:dyDescent="0.2">
      <c r="B164" s="10" t="s">
        <v>1071</v>
      </c>
      <c r="F164" s="10" t="s">
        <v>1384</v>
      </c>
      <c r="I164" s="10" t="s">
        <v>286</v>
      </c>
      <c r="J164" s="10" t="s">
        <v>1454</v>
      </c>
      <c r="M164" s="10" t="s">
        <v>2246</v>
      </c>
    </row>
    <row r="165" spans="2:13" x14ac:dyDescent="0.2">
      <c r="B165" s="10" t="s">
        <v>1070</v>
      </c>
      <c r="F165" s="10" t="s">
        <v>1398</v>
      </c>
      <c r="I165" s="10" t="s">
        <v>287</v>
      </c>
      <c r="J165" s="10" t="s">
        <v>1464</v>
      </c>
      <c r="M165" s="10" t="s">
        <v>1210</v>
      </c>
    </row>
    <row r="166" spans="2:13" x14ac:dyDescent="0.2">
      <c r="B166" s="10" t="s">
        <v>2328</v>
      </c>
      <c r="F166" s="10" t="s">
        <v>1408</v>
      </c>
      <c r="I166" s="10" t="s">
        <v>289</v>
      </c>
      <c r="J166" s="10" t="s">
        <v>61</v>
      </c>
      <c r="M166" s="10" t="s">
        <v>1214</v>
      </c>
    </row>
    <row r="167" spans="2:13" x14ac:dyDescent="0.2">
      <c r="B167" s="10" t="s">
        <v>2327</v>
      </c>
      <c r="F167" s="10" t="s">
        <v>1420</v>
      </c>
      <c r="I167" s="10" t="s">
        <v>2561</v>
      </c>
      <c r="J167" s="10" t="s">
        <v>1459</v>
      </c>
      <c r="M167" s="10" t="s">
        <v>1216</v>
      </c>
    </row>
    <row r="168" spans="2:13" x14ac:dyDescent="0.2">
      <c r="B168" s="10" t="s">
        <v>1085</v>
      </c>
      <c r="F168" s="10" t="s">
        <v>1418</v>
      </c>
      <c r="I168" s="10" t="s">
        <v>288</v>
      </c>
      <c r="J168" s="10" t="s">
        <v>1465</v>
      </c>
      <c r="M168" s="10" t="s">
        <v>1217</v>
      </c>
    </row>
    <row r="169" spans="2:13" x14ac:dyDescent="0.2">
      <c r="B169" s="10" t="s">
        <v>2329</v>
      </c>
      <c r="F169" s="10" t="s">
        <v>1461</v>
      </c>
      <c r="I169" s="10" t="s">
        <v>290</v>
      </c>
      <c r="J169" s="10" t="s">
        <v>1478</v>
      </c>
      <c r="M169" s="10" t="s">
        <v>1218</v>
      </c>
    </row>
    <row r="170" spans="2:13" x14ac:dyDescent="0.2">
      <c r="B170" s="10" t="s">
        <v>1091</v>
      </c>
      <c r="F170" s="10" t="s">
        <v>1475</v>
      </c>
      <c r="I170" s="10" t="s">
        <v>291</v>
      </c>
      <c r="J170" s="10" t="s">
        <v>1479</v>
      </c>
      <c r="M170" s="10" t="s">
        <v>2240</v>
      </c>
    </row>
    <row r="171" spans="2:13" x14ac:dyDescent="0.2">
      <c r="B171" s="10" t="s">
        <v>2321</v>
      </c>
      <c r="F171" s="10" t="s">
        <v>1472</v>
      </c>
      <c r="I171" s="10" t="s">
        <v>292</v>
      </c>
      <c r="J171" s="10" t="s">
        <v>1483</v>
      </c>
      <c r="M171" s="10" t="s">
        <v>2241</v>
      </c>
    </row>
    <row r="172" spans="2:13" x14ac:dyDescent="0.2">
      <c r="B172" s="10" t="s">
        <v>2322</v>
      </c>
      <c r="F172" s="10" t="s">
        <v>1491</v>
      </c>
      <c r="I172" s="10" t="s">
        <v>293</v>
      </c>
      <c r="J172" s="10" t="s">
        <v>1484</v>
      </c>
      <c r="M172" s="10" t="s">
        <v>2239</v>
      </c>
    </row>
    <row r="173" spans="2:13" x14ac:dyDescent="0.2">
      <c r="B173" s="10" t="s">
        <v>2318</v>
      </c>
      <c r="F173" s="10" t="s">
        <v>1599</v>
      </c>
      <c r="I173" s="10" t="s">
        <v>2557</v>
      </c>
      <c r="J173" s="10" t="s">
        <v>2608</v>
      </c>
      <c r="M173" s="10" t="s">
        <v>2238</v>
      </c>
    </row>
    <row r="174" spans="2:13" x14ac:dyDescent="0.2">
      <c r="B174" s="10" t="s">
        <v>1107</v>
      </c>
      <c r="F174" s="10" t="s">
        <v>1622</v>
      </c>
      <c r="I174" s="10" t="s">
        <v>2559</v>
      </c>
      <c r="J174" s="10" t="s">
        <v>1496</v>
      </c>
      <c r="M174" s="10" t="s">
        <v>2236</v>
      </c>
    </row>
    <row r="175" spans="2:13" x14ac:dyDescent="0.2">
      <c r="B175" s="10" t="s">
        <v>2308</v>
      </c>
      <c r="F175" s="10" t="s">
        <v>1630</v>
      </c>
      <c r="I175" s="10" t="s">
        <v>2558</v>
      </c>
      <c r="J175" s="10" t="s">
        <v>2606</v>
      </c>
      <c r="M175" s="10" t="s">
        <v>2235</v>
      </c>
    </row>
    <row r="176" spans="2:13" x14ac:dyDescent="0.2">
      <c r="B176" s="10" t="s">
        <v>2306</v>
      </c>
      <c r="F176" s="10" t="s">
        <v>1634</v>
      </c>
      <c r="I176" s="10" t="s">
        <v>295</v>
      </c>
      <c r="J176" s="10" t="s">
        <v>1495</v>
      </c>
      <c r="M176" s="10" t="s">
        <v>1222</v>
      </c>
    </row>
    <row r="177" spans="2:13" x14ac:dyDescent="0.2">
      <c r="B177" s="10" t="s">
        <v>1119</v>
      </c>
      <c r="F177" s="10" t="s">
        <v>1641</v>
      </c>
      <c r="I177" s="10" t="s">
        <v>296</v>
      </c>
      <c r="J177" s="10" t="s">
        <v>1497</v>
      </c>
      <c r="M177" s="10" t="s">
        <v>1223</v>
      </c>
    </row>
    <row r="178" spans="2:13" x14ac:dyDescent="0.2">
      <c r="B178" s="10" t="s">
        <v>52</v>
      </c>
      <c r="F178" s="10" t="s">
        <v>1639</v>
      </c>
      <c r="I178" s="10" t="s">
        <v>298</v>
      </c>
      <c r="J178" s="10" t="s">
        <v>1498</v>
      </c>
      <c r="M178" s="10" t="s">
        <v>2233</v>
      </c>
    </row>
    <row r="179" spans="2:13" x14ac:dyDescent="0.2">
      <c r="B179" s="10" t="s">
        <v>1118</v>
      </c>
      <c r="F179" s="10" t="s">
        <v>1705</v>
      </c>
      <c r="I179" s="10" t="s">
        <v>297</v>
      </c>
      <c r="J179" s="10" t="s">
        <v>2605</v>
      </c>
      <c r="M179" s="10" t="s">
        <v>1228</v>
      </c>
    </row>
    <row r="180" spans="2:13" x14ac:dyDescent="0.2">
      <c r="B180" s="10" t="s">
        <v>1136</v>
      </c>
      <c r="F180" s="10" t="s">
        <v>1798</v>
      </c>
      <c r="I180" s="10" t="s">
        <v>308</v>
      </c>
      <c r="J180" s="10" t="s">
        <v>1502</v>
      </c>
      <c r="M180" s="10" t="s">
        <v>2224</v>
      </c>
    </row>
    <row r="181" spans="2:13" x14ac:dyDescent="0.2">
      <c r="B181" s="10" t="s">
        <v>1137</v>
      </c>
      <c r="F181" s="10" t="s">
        <v>67</v>
      </c>
      <c r="I181" s="10" t="s">
        <v>306</v>
      </c>
      <c r="J181" s="10" t="s">
        <v>1510</v>
      </c>
      <c r="M181" s="10" t="s">
        <v>2223</v>
      </c>
    </row>
    <row r="182" spans="2:13" x14ac:dyDescent="0.2">
      <c r="B182" s="10" t="s">
        <v>1138</v>
      </c>
      <c r="F182" s="10" t="s">
        <v>1844</v>
      </c>
      <c r="I182" s="10" t="s">
        <v>304</v>
      </c>
      <c r="J182" s="10" t="s">
        <v>1512</v>
      </c>
      <c r="M182" s="10" t="s">
        <v>2222</v>
      </c>
    </row>
    <row r="183" spans="2:13" x14ac:dyDescent="0.2">
      <c r="B183" s="10" t="s">
        <v>1142</v>
      </c>
      <c r="F183" s="10" t="s">
        <v>1855</v>
      </c>
      <c r="I183" s="10" t="s">
        <v>303</v>
      </c>
      <c r="J183" s="10" t="s">
        <v>1511</v>
      </c>
      <c r="M183" s="10" t="s">
        <v>1244</v>
      </c>
    </row>
    <row r="184" spans="2:13" x14ac:dyDescent="0.2">
      <c r="B184" s="10" t="s">
        <v>1151</v>
      </c>
      <c r="F184" s="10" t="s">
        <v>1856</v>
      </c>
      <c r="I184" s="10" t="s">
        <v>305</v>
      </c>
      <c r="J184" s="10" t="s">
        <v>1517</v>
      </c>
      <c r="M184" s="10" t="s">
        <v>2219</v>
      </c>
    </row>
    <row r="185" spans="2:13" x14ac:dyDescent="0.2">
      <c r="B185" s="10" t="s">
        <v>1147</v>
      </c>
      <c r="F185" s="10" t="s">
        <v>1892</v>
      </c>
      <c r="I185" s="10" t="s">
        <v>307</v>
      </c>
      <c r="J185" s="10" t="s">
        <v>2604</v>
      </c>
      <c r="M185" s="10" t="s">
        <v>2217</v>
      </c>
    </row>
    <row r="186" spans="2:13" x14ac:dyDescent="0.2">
      <c r="B186" s="10" t="s">
        <v>54</v>
      </c>
      <c r="F186" s="10" t="s">
        <v>1898</v>
      </c>
      <c r="I186" s="10" t="s">
        <v>312</v>
      </c>
      <c r="J186" s="10" t="s">
        <v>1530</v>
      </c>
      <c r="M186" s="10" t="s">
        <v>1250</v>
      </c>
    </row>
    <row r="187" spans="2:13" x14ac:dyDescent="0.2">
      <c r="B187" s="10" t="s">
        <v>2287</v>
      </c>
      <c r="F187" s="10" t="s">
        <v>1912</v>
      </c>
      <c r="I187" s="10" t="s">
        <v>316</v>
      </c>
      <c r="J187" s="10" t="s">
        <v>1526</v>
      </c>
      <c r="M187" s="10" t="s">
        <v>2214</v>
      </c>
    </row>
    <row r="188" spans="2:13" x14ac:dyDescent="0.2">
      <c r="B188" s="10" t="s">
        <v>1161</v>
      </c>
      <c r="F188" s="10" t="s">
        <v>1901</v>
      </c>
      <c r="I188" s="10" t="s">
        <v>2556</v>
      </c>
      <c r="J188" s="10" t="s">
        <v>1532</v>
      </c>
      <c r="M188" s="10" t="s">
        <v>1258</v>
      </c>
    </row>
    <row r="189" spans="2:13" x14ac:dyDescent="0.2">
      <c r="B189" s="10" t="s">
        <v>1159</v>
      </c>
      <c r="F189" s="10" t="s">
        <v>1911</v>
      </c>
      <c r="I189" s="10" t="s">
        <v>317</v>
      </c>
      <c r="J189" s="10" t="s">
        <v>1529</v>
      </c>
      <c r="M189" s="10" t="s">
        <v>1261</v>
      </c>
    </row>
    <row r="190" spans="2:13" x14ac:dyDescent="0.2">
      <c r="B190" s="10" t="s">
        <v>1160</v>
      </c>
      <c r="F190" s="10" t="s">
        <v>1919</v>
      </c>
      <c r="I190" s="10" t="s">
        <v>313</v>
      </c>
      <c r="J190" s="10" t="s">
        <v>1531</v>
      </c>
      <c r="M190" s="10" t="s">
        <v>2208</v>
      </c>
    </row>
    <row r="191" spans="2:13" x14ac:dyDescent="0.2">
      <c r="B191" s="10" t="s">
        <v>2289</v>
      </c>
      <c r="F191" s="10" t="s">
        <v>1914</v>
      </c>
      <c r="I191" s="10" t="s">
        <v>315</v>
      </c>
      <c r="J191" s="10" t="s">
        <v>1540</v>
      </c>
      <c r="M191" s="10" t="s">
        <v>1262</v>
      </c>
    </row>
    <row r="192" spans="2:13" x14ac:dyDescent="0.2">
      <c r="B192" s="10" t="s">
        <v>2282</v>
      </c>
      <c r="F192" s="10" t="s">
        <v>1923</v>
      </c>
      <c r="I192" s="10" t="s">
        <v>319</v>
      </c>
      <c r="J192" s="10" t="s">
        <v>1541</v>
      </c>
      <c r="M192" s="10" t="s">
        <v>1263</v>
      </c>
    </row>
    <row r="193" spans="2:13" x14ac:dyDescent="0.2">
      <c r="B193" s="10" t="s">
        <v>1169</v>
      </c>
      <c r="F193" s="10" t="s">
        <v>1939</v>
      </c>
      <c r="I193" s="10" t="s">
        <v>2555</v>
      </c>
      <c r="J193" s="10" t="s">
        <v>1544</v>
      </c>
      <c r="M193" s="10" t="s">
        <v>2203</v>
      </c>
    </row>
    <row r="194" spans="2:13" x14ac:dyDescent="0.2">
      <c r="B194" s="10" t="s">
        <v>2275</v>
      </c>
      <c r="F194" s="10" t="s">
        <v>1958</v>
      </c>
      <c r="I194" s="10" t="s">
        <v>329</v>
      </c>
      <c r="J194" s="10" t="s">
        <v>1551</v>
      </c>
      <c r="M194" s="10" t="s">
        <v>1276</v>
      </c>
    </row>
    <row r="195" spans="2:13" x14ac:dyDescent="0.2">
      <c r="B195" s="10" t="s">
        <v>2273</v>
      </c>
      <c r="F195" s="10" t="s">
        <v>1993</v>
      </c>
      <c r="I195" s="10" t="s">
        <v>322</v>
      </c>
      <c r="J195" s="10" t="s">
        <v>1552</v>
      </c>
      <c r="M195" s="10" t="s">
        <v>1280</v>
      </c>
    </row>
    <row r="196" spans="2:13" x14ac:dyDescent="0.2">
      <c r="B196" s="10" t="s">
        <v>2266</v>
      </c>
      <c r="F196" s="10" t="s">
        <v>2002</v>
      </c>
      <c r="I196" s="10" t="s">
        <v>324</v>
      </c>
      <c r="J196" s="10" t="s">
        <v>1555</v>
      </c>
      <c r="M196" s="10" t="s">
        <v>2200</v>
      </c>
    </row>
    <row r="197" spans="2:13" x14ac:dyDescent="0.2">
      <c r="B197" s="10" t="s">
        <v>2265</v>
      </c>
      <c r="F197" s="10" t="s">
        <v>2039</v>
      </c>
      <c r="I197" s="10" t="s">
        <v>325</v>
      </c>
      <c r="J197" s="10" t="s">
        <v>1561</v>
      </c>
      <c r="M197" s="10" t="s">
        <v>2197</v>
      </c>
    </row>
    <row r="198" spans="2:13" x14ac:dyDescent="0.2">
      <c r="B198" s="10" t="s">
        <v>2264</v>
      </c>
      <c r="F198" s="10" t="s">
        <v>2044</v>
      </c>
      <c r="I198" s="10" t="s">
        <v>323</v>
      </c>
      <c r="J198" s="10" t="s">
        <v>1563</v>
      </c>
      <c r="M198" s="10" t="s">
        <v>1288</v>
      </c>
    </row>
    <row r="199" spans="2:13" x14ac:dyDescent="0.2">
      <c r="B199" s="10" t="s">
        <v>1190</v>
      </c>
      <c r="F199" s="10" t="s">
        <v>2045</v>
      </c>
      <c r="I199" s="10" t="s">
        <v>328</v>
      </c>
      <c r="J199" s="10" t="s">
        <v>1580</v>
      </c>
      <c r="M199" s="10" t="s">
        <v>1298</v>
      </c>
    </row>
    <row r="200" spans="2:13" x14ac:dyDescent="0.2">
      <c r="B200" s="10" t="s">
        <v>1197</v>
      </c>
      <c r="I200" s="10" t="s">
        <v>330</v>
      </c>
      <c r="J200" s="10" t="s">
        <v>1584</v>
      </c>
      <c r="M200" s="10" t="s">
        <v>1300</v>
      </c>
    </row>
    <row r="201" spans="2:13" x14ac:dyDescent="0.2">
      <c r="B201" s="10" t="s">
        <v>2256</v>
      </c>
      <c r="I201" s="10" t="s">
        <v>2554</v>
      </c>
      <c r="J201" s="10" t="s">
        <v>1593</v>
      </c>
      <c r="M201" s="10" t="s">
        <v>1292</v>
      </c>
    </row>
    <row r="202" spans="2:13" x14ac:dyDescent="0.2">
      <c r="B202" s="10" t="s">
        <v>1215</v>
      </c>
      <c r="I202" s="10" t="s">
        <v>332</v>
      </c>
      <c r="J202" s="10" t="s">
        <v>1595</v>
      </c>
      <c r="M202" s="10" t="s">
        <v>1297</v>
      </c>
    </row>
    <row r="203" spans="2:13" x14ac:dyDescent="0.2">
      <c r="B203" s="10" t="s">
        <v>2243</v>
      </c>
      <c r="I203" s="10" t="s">
        <v>334</v>
      </c>
      <c r="J203" s="10" t="s">
        <v>2602</v>
      </c>
      <c r="M203" s="10" t="s">
        <v>1306</v>
      </c>
    </row>
    <row r="204" spans="2:13" x14ac:dyDescent="0.2">
      <c r="B204" s="10" t="s">
        <v>57</v>
      </c>
      <c r="I204" s="10" t="s">
        <v>333</v>
      </c>
      <c r="J204" s="10" t="s">
        <v>1611</v>
      </c>
      <c r="M204" s="10" t="s">
        <v>1314</v>
      </c>
    </row>
    <row r="205" spans="2:13" x14ac:dyDescent="0.2">
      <c r="B205" s="10" t="s">
        <v>2234</v>
      </c>
      <c r="I205" s="10" t="s">
        <v>335</v>
      </c>
      <c r="J205" s="10" t="s">
        <v>1616</v>
      </c>
      <c r="M205" s="10" t="s">
        <v>1324</v>
      </c>
    </row>
    <row r="206" spans="2:13" x14ac:dyDescent="0.2">
      <c r="B206" s="10" t="s">
        <v>2229</v>
      </c>
      <c r="I206" s="10" t="s">
        <v>336</v>
      </c>
      <c r="J206" s="10" t="s">
        <v>1613</v>
      </c>
      <c r="M206" s="10" t="s">
        <v>1340</v>
      </c>
    </row>
    <row r="207" spans="2:13" x14ac:dyDescent="0.2">
      <c r="B207" s="10" t="s">
        <v>1251</v>
      </c>
      <c r="I207" s="10" t="s">
        <v>337</v>
      </c>
      <c r="J207" s="10" t="s">
        <v>1624</v>
      </c>
      <c r="M207" s="10" t="s">
        <v>1339</v>
      </c>
    </row>
    <row r="208" spans="2:13" x14ac:dyDescent="0.2">
      <c r="B208" s="10" t="s">
        <v>2215</v>
      </c>
      <c r="I208" s="10" t="s">
        <v>338</v>
      </c>
      <c r="J208" s="10" t="s">
        <v>1625</v>
      </c>
      <c r="M208" s="10" t="s">
        <v>1357</v>
      </c>
    </row>
    <row r="209" spans="2:13" x14ac:dyDescent="0.2">
      <c r="B209" s="10" t="s">
        <v>2212</v>
      </c>
      <c r="I209" s="10" t="s">
        <v>339</v>
      </c>
      <c r="J209" s="10" t="s">
        <v>1626</v>
      </c>
      <c r="M209" s="10" t="s">
        <v>1351</v>
      </c>
    </row>
    <row r="210" spans="2:13" x14ac:dyDescent="0.2">
      <c r="B210" s="10" t="s">
        <v>1266</v>
      </c>
      <c r="I210" s="10" t="s">
        <v>340</v>
      </c>
      <c r="J210" s="10" t="s">
        <v>1633</v>
      </c>
      <c r="M210" s="10" t="s">
        <v>1373</v>
      </c>
    </row>
    <row r="211" spans="2:13" x14ac:dyDescent="0.2">
      <c r="B211" s="10" t="s">
        <v>1278</v>
      </c>
      <c r="I211" s="10" t="s">
        <v>342</v>
      </c>
      <c r="J211" s="10" t="s">
        <v>63</v>
      </c>
      <c r="M211" s="10" t="s">
        <v>1372</v>
      </c>
    </row>
    <row r="212" spans="2:13" x14ac:dyDescent="0.2">
      <c r="B212" s="10" t="s">
        <v>2199</v>
      </c>
      <c r="I212" s="10" t="s">
        <v>343</v>
      </c>
      <c r="J212" s="10" t="s">
        <v>2600</v>
      </c>
      <c r="M212" s="10" t="s">
        <v>1371</v>
      </c>
    </row>
    <row r="213" spans="2:13" x14ac:dyDescent="0.2">
      <c r="B213" s="10" t="s">
        <v>1289</v>
      </c>
      <c r="I213" s="10" t="s">
        <v>351</v>
      </c>
      <c r="J213" s="10" t="s">
        <v>1646</v>
      </c>
      <c r="M213" s="10" t="s">
        <v>1382</v>
      </c>
    </row>
    <row r="214" spans="2:13" x14ac:dyDescent="0.2">
      <c r="B214" s="10" t="s">
        <v>1362</v>
      </c>
      <c r="I214" s="10" t="s">
        <v>345</v>
      </c>
      <c r="J214" s="10" t="s">
        <v>1648</v>
      </c>
      <c r="M214" s="10" t="s">
        <v>1409</v>
      </c>
    </row>
    <row r="215" spans="2:13" x14ac:dyDescent="0.2">
      <c r="B215" s="10" t="s">
        <v>1368</v>
      </c>
      <c r="I215" s="10" t="s">
        <v>346</v>
      </c>
      <c r="J215" s="10" t="s">
        <v>1655</v>
      </c>
      <c r="M215" s="10" t="s">
        <v>1416</v>
      </c>
    </row>
    <row r="216" spans="2:13" x14ac:dyDescent="0.2">
      <c r="B216" s="10" t="s">
        <v>2194</v>
      </c>
      <c r="I216" s="10" t="s">
        <v>348</v>
      </c>
      <c r="J216" s="10" t="s">
        <v>1661</v>
      </c>
      <c r="M216" s="10" t="s">
        <v>1439</v>
      </c>
    </row>
    <row r="217" spans="2:13" x14ac:dyDescent="0.2">
      <c r="B217" s="10" t="s">
        <v>1376</v>
      </c>
      <c r="I217" s="10" t="s">
        <v>347</v>
      </c>
      <c r="J217" s="10" t="s">
        <v>1663</v>
      </c>
      <c r="M217" s="10" t="s">
        <v>1441</v>
      </c>
    </row>
    <row r="218" spans="2:13" x14ac:dyDescent="0.2">
      <c r="B218" s="10" t="s">
        <v>1412</v>
      </c>
      <c r="I218" s="10" t="s">
        <v>349</v>
      </c>
      <c r="J218" s="10" t="s">
        <v>1664</v>
      </c>
      <c r="M218" s="10" t="s">
        <v>1445</v>
      </c>
    </row>
    <row r="219" spans="2:13" x14ac:dyDescent="0.2">
      <c r="B219" s="10" t="s">
        <v>1421</v>
      </c>
      <c r="I219" s="10" t="s">
        <v>350</v>
      </c>
      <c r="J219" s="10" t="s">
        <v>1666</v>
      </c>
      <c r="M219" s="10" t="s">
        <v>1458</v>
      </c>
    </row>
    <row r="220" spans="2:13" x14ac:dyDescent="0.2">
      <c r="B220" s="10" t="s">
        <v>1435</v>
      </c>
      <c r="I220" s="10" t="s">
        <v>355</v>
      </c>
      <c r="J220" s="10" t="s">
        <v>1667</v>
      </c>
      <c r="M220" s="10" t="s">
        <v>1476</v>
      </c>
    </row>
    <row r="221" spans="2:13" x14ac:dyDescent="0.2">
      <c r="B221" s="10" t="s">
        <v>1430</v>
      </c>
      <c r="I221" s="10" t="s">
        <v>353</v>
      </c>
      <c r="J221" s="10" t="s">
        <v>1671</v>
      </c>
      <c r="M221" s="10" t="s">
        <v>1481</v>
      </c>
    </row>
    <row r="222" spans="2:13" x14ac:dyDescent="0.2">
      <c r="B222" s="10" t="s">
        <v>1443</v>
      </c>
      <c r="I222" s="10" t="s">
        <v>354</v>
      </c>
      <c r="J222" s="10" t="s">
        <v>1675</v>
      </c>
      <c r="M222" s="10" t="s">
        <v>1489</v>
      </c>
    </row>
    <row r="223" spans="2:13" x14ac:dyDescent="0.2">
      <c r="B223" s="10" t="s">
        <v>1455</v>
      </c>
      <c r="I223" s="10" t="s">
        <v>357</v>
      </c>
      <c r="J223" s="10" t="s">
        <v>1677</v>
      </c>
      <c r="M223" s="10" t="s">
        <v>1488</v>
      </c>
    </row>
    <row r="224" spans="2:13" x14ac:dyDescent="0.2">
      <c r="B224" s="10" t="s">
        <v>1457</v>
      </c>
      <c r="I224" s="10" t="s">
        <v>358</v>
      </c>
      <c r="J224" s="10" t="s">
        <v>1679</v>
      </c>
      <c r="M224" s="10" t="s">
        <v>1506</v>
      </c>
    </row>
    <row r="225" spans="2:13" x14ac:dyDescent="0.2">
      <c r="B225" s="10" t="s">
        <v>1473</v>
      </c>
      <c r="I225" s="10" t="s">
        <v>360</v>
      </c>
      <c r="J225" s="10" t="s">
        <v>1682</v>
      </c>
      <c r="M225" s="10" t="s">
        <v>1500</v>
      </c>
    </row>
    <row r="226" spans="2:13" x14ac:dyDescent="0.2">
      <c r="B226" s="10" t="s">
        <v>1513</v>
      </c>
      <c r="I226" s="10" t="s">
        <v>362</v>
      </c>
      <c r="J226" s="10" t="s">
        <v>1688</v>
      </c>
      <c r="M226" s="10" t="s">
        <v>1503</v>
      </c>
    </row>
    <row r="227" spans="2:13" x14ac:dyDescent="0.2">
      <c r="B227" s="10" t="s">
        <v>2192</v>
      </c>
      <c r="I227" s="10" t="s">
        <v>364</v>
      </c>
      <c r="J227" s="10" t="s">
        <v>1692</v>
      </c>
      <c r="M227" s="10" t="s">
        <v>1504</v>
      </c>
    </row>
    <row r="228" spans="2:13" x14ac:dyDescent="0.2">
      <c r="B228" s="10" t="s">
        <v>1524</v>
      </c>
      <c r="I228" s="10" t="s">
        <v>363</v>
      </c>
      <c r="J228" s="10" t="s">
        <v>2598</v>
      </c>
      <c r="M228" s="10" t="s">
        <v>1520</v>
      </c>
    </row>
    <row r="229" spans="2:13" x14ac:dyDescent="0.2">
      <c r="B229" s="10" t="s">
        <v>1537</v>
      </c>
      <c r="I229" s="10" t="s">
        <v>361</v>
      </c>
      <c r="J229" s="10" t="s">
        <v>1695</v>
      </c>
      <c r="M229" s="10" t="s">
        <v>1516</v>
      </c>
    </row>
    <row r="230" spans="2:13" x14ac:dyDescent="0.2">
      <c r="B230" s="10" t="s">
        <v>1569</v>
      </c>
      <c r="I230" s="10" t="s">
        <v>365</v>
      </c>
      <c r="J230" s="10" t="s">
        <v>1700</v>
      </c>
      <c r="M230" s="10" t="s">
        <v>1534</v>
      </c>
    </row>
    <row r="231" spans="2:13" x14ac:dyDescent="0.2">
      <c r="B231" s="10" t="s">
        <v>1574</v>
      </c>
      <c r="I231" s="10" t="s">
        <v>368</v>
      </c>
      <c r="J231" s="10" t="s">
        <v>2596</v>
      </c>
      <c r="M231" s="10" t="s">
        <v>1535</v>
      </c>
    </row>
    <row r="232" spans="2:13" x14ac:dyDescent="0.2">
      <c r="B232" s="10" t="s">
        <v>1586</v>
      </c>
      <c r="I232" s="10" t="s">
        <v>370</v>
      </c>
      <c r="J232" s="10" t="s">
        <v>1698</v>
      </c>
      <c r="M232" s="10" t="s">
        <v>1536</v>
      </c>
    </row>
    <row r="233" spans="2:13" x14ac:dyDescent="0.2">
      <c r="B233" s="10" t="s">
        <v>1637</v>
      </c>
      <c r="I233" s="10" t="s">
        <v>369</v>
      </c>
      <c r="J233" s="10" t="s">
        <v>2597</v>
      </c>
      <c r="M233" s="10" t="s">
        <v>1543</v>
      </c>
    </row>
    <row r="234" spans="2:13" x14ac:dyDescent="0.2">
      <c r="B234" s="10" t="s">
        <v>1636</v>
      </c>
      <c r="I234" s="10" t="s">
        <v>377</v>
      </c>
      <c r="J234" s="10" t="s">
        <v>1704</v>
      </c>
      <c r="M234" s="10" t="s">
        <v>1545</v>
      </c>
    </row>
    <row r="235" spans="2:13" x14ac:dyDescent="0.2">
      <c r="B235" s="10" t="s">
        <v>1643</v>
      </c>
      <c r="I235" s="10" t="s">
        <v>376</v>
      </c>
      <c r="J235" s="10" t="s">
        <v>1706</v>
      </c>
      <c r="M235" s="10" t="s">
        <v>1566</v>
      </c>
    </row>
    <row r="236" spans="2:13" x14ac:dyDescent="0.2">
      <c r="B236" s="10" t="s">
        <v>1670</v>
      </c>
      <c r="I236" s="10" t="s">
        <v>372</v>
      </c>
      <c r="J236" s="10" t="s">
        <v>1708</v>
      </c>
      <c r="M236" s="10" t="s">
        <v>1564</v>
      </c>
    </row>
    <row r="237" spans="2:13" x14ac:dyDescent="0.2">
      <c r="B237" s="10" t="s">
        <v>2189</v>
      </c>
      <c r="I237" s="10" t="s">
        <v>373</v>
      </c>
      <c r="J237" s="10" t="s">
        <v>65</v>
      </c>
      <c r="M237" s="10" t="s">
        <v>1573</v>
      </c>
    </row>
    <row r="238" spans="2:13" x14ac:dyDescent="0.2">
      <c r="B238" s="10" t="s">
        <v>1768</v>
      </c>
      <c r="I238" s="10" t="s">
        <v>374</v>
      </c>
      <c r="J238" s="10" t="s">
        <v>41</v>
      </c>
      <c r="M238" s="10" t="s">
        <v>1575</v>
      </c>
    </row>
    <row r="239" spans="2:13" x14ac:dyDescent="0.2">
      <c r="B239" s="10" t="s">
        <v>1808</v>
      </c>
      <c r="I239" s="10" t="s">
        <v>378</v>
      </c>
      <c r="J239" s="10" t="s">
        <v>1723</v>
      </c>
      <c r="M239" s="10" t="s">
        <v>1583</v>
      </c>
    </row>
    <row r="240" spans="2:13" x14ac:dyDescent="0.2">
      <c r="B240" s="10" t="s">
        <v>2185</v>
      </c>
      <c r="I240" s="10" t="s">
        <v>386</v>
      </c>
      <c r="J240" s="10" t="s">
        <v>1727</v>
      </c>
      <c r="M240" s="10" t="s">
        <v>1579</v>
      </c>
    </row>
    <row r="241" spans="2:13" x14ac:dyDescent="0.2">
      <c r="B241" s="10" t="s">
        <v>1823</v>
      </c>
      <c r="I241" s="10" t="s">
        <v>385</v>
      </c>
      <c r="J241" s="10" t="s">
        <v>1734</v>
      </c>
      <c r="M241" s="10" t="s">
        <v>1588</v>
      </c>
    </row>
    <row r="242" spans="2:13" x14ac:dyDescent="0.2">
      <c r="B242" s="10" t="s">
        <v>2183</v>
      </c>
      <c r="I242" s="10" t="s">
        <v>382</v>
      </c>
      <c r="J242" s="10" t="s">
        <v>1736</v>
      </c>
      <c r="M242" s="10" t="s">
        <v>1607</v>
      </c>
    </row>
    <row r="243" spans="2:13" x14ac:dyDescent="0.2">
      <c r="B243" s="10" t="s">
        <v>1842</v>
      </c>
      <c r="I243" s="10" t="s">
        <v>383</v>
      </c>
      <c r="J243" s="10" t="s">
        <v>1748</v>
      </c>
      <c r="M243" s="10" t="s">
        <v>1602</v>
      </c>
    </row>
    <row r="244" spans="2:13" x14ac:dyDescent="0.2">
      <c r="B244" s="10" t="s">
        <v>1836</v>
      </c>
      <c r="I244" s="10" t="s">
        <v>384</v>
      </c>
      <c r="J244" s="10" t="s">
        <v>1750</v>
      </c>
      <c r="M244" s="10" t="s">
        <v>1617</v>
      </c>
    </row>
    <row r="245" spans="2:13" x14ac:dyDescent="0.2">
      <c r="B245" s="10" t="s">
        <v>1837</v>
      </c>
      <c r="I245" s="10" t="s">
        <v>387</v>
      </c>
      <c r="J245" s="10" t="s">
        <v>1758</v>
      </c>
      <c r="M245" s="10" t="s">
        <v>1618</v>
      </c>
    </row>
    <row r="246" spans="2:13" x14ac:dyDescent="0.2">
      <c r="B246" s="10" t="s">
        <v>1834</v>
      </c>
      <c r="I246" s="10" t="s">
        <v>388</v>
      </c>
      <c r="J246" s="10" t="s">
        <v>2594</v>
      </c>
      <c r="M246" s="10" t="s">
        <v>1645</v>
      </c>
    </row>
    <row r="247" spans="2:13" x14ac:dyDescent="0.2">
      <c r="B247" s="10" t="s">
        <v>2181</v>
      </c>
      <c r="I247" s="10" t="s">
        <v>391</v>
      </c>
      <c r="J247" s="10" t="s">
        <v>1754</v>
      </c>
      <c r="M247" s="10" t="s">
        <v>1656</v>
      </c>
    </row>
    <row r="248" spans="2:13" x14ac:dyDescent="0.2">
      <c r="B248" s="10" t="s">
        <v>1846</v>
      </c>
      <c r="I248" s="10" t="s">
        <v>398</v>
      </c>
      <c r="J248" s="10" t="s">
        <v>1760</v>
      </c>
      <c r="M248" s="10" t="s">
        <v>1660</v>
      </c>
    </row>
    <row r="249" spans="2:13" x14ac:dyDescent="0.2">
      <c r="B249" s="10" t="s">
        <v>1852</v>
      </c>
      <c r="I249" s="10" t="s">
        <v>396</v>
      </c>
      <c r="J249" s="10" t="s">
        <v>2593</v>
      </c>
      <c r="M249" s="10" t="s">
        <v>1680</v>
      </c>
    </row>
    <row r="250" spans="2:13" x14ac:dyDescent="0.2">
      <c r="B250" s="10" t="s">
        <v>1848</v>
      </c>
      <c r="I250" s="10" t="s">
        <v>392</v>
      </c>
      <c r="J250" s="10" t="s">
        <v>1765</v>
      </c>
      <c r="M250" s="10" t="s">
        <v>1684</v>
      </c>
    </row>
    <row r="251" spans="2:13" x14ac:dyDescent="0.2">
      <c r="B251" s="10" t="s">
        <v>2177</v>
      </c>
      <c r="I251" s="10" t="s">
        <v>394</v>
      </c>
      <c r="J251" s="10" t="s">
        <v>1764</v>
      </c>
      <c r="M251" s="10" t="s">
        <v>1686</v>
      </c>
    </row>
    <row r="252" spans="2:13" x14ac:dyDescent="0.2">
      <c r="B252" s="10" t="s">
        <v>1851</v>
      </c>
      <c r="I252" s="10" t="s">
        <v>393</v>
      </c>
      <c r="J252" s="10" t="s">
        <v>1768</v>
      </c>
      <c r="M252" s="10" t="s">
        <v>2188</v>
      </c>
    </row>
    <row r="253" spans="2:13" x14ac:dyDescent="0.2">
      <c r="B253" s="10" t="s">
        <v>1853</v>
      </c>
      <c r="I253" s="10" t="s">
        <v>397</v>
      </c>
      <c r="J253" s="10" t="s">
        <v>1772</v>
      </c>
      <c r="M253" s="10" t="s">
        <v>1701</v>
      </c>
    </row>
    <row r="254" spans="2:13" x14ac:dyDescent="0.2">
      <c r="B254" s="10" t="s">
        <v>1867</v>
      </c>
      <c r="I254" s="10" t="s">
        <v>399</v>
      </c>
      <c r="J254" s="10" t="s">
        <v>1779</v>
      </c>
      <c r="M254" s="10" t="s">
        <v>1697</v>
      </c>
    </row>
    <row r="255" spans="2:13" x14ac:dyDescent="0.2">
      <c r="B255" s="10" t="s">
        <v>1857</v>
      </c>
      <c r="I255" s="10" t="s">
        <v>401</v>
      </c>
      <c r="J255" s="10" t="s">
        <v>1781</v>
      </c>
      <c r="M255" s="10" t="s">
        <v>1702</v>
      </c>
    </row>
    <row r="256" spans="2:13" x14ac:dyDescent="0.2">
      <c r="B256" s="10" t="s">
        <v>1873</v>
      </c>
      <c r="I256" s="10" t="s">
        <v>402</v>
      </c>
      <c r="J256" s="10" t="s">
        <v>2592</v>
      </c>
      <c r="M256" s="10" t="s">
        <v>1719</v>
      </c>
    </row>
    <row r="257" spans="2:13" x14ac:dyDescent="0.2">
      <c r="B257" s="10" t="s">
        <v>2174</v>
      </c>
      <c r="I257" s="10" t="s">
        <v>400</v>
      </c>
      <c r="J257" s="10" t="s">
        <v>1791</v>
      </c>
      <c r="M257" s="10" t="s">
        <v>1718</v>
      </c>
    </row>
    <row r="258" spans="2:13" x14ac:dyDescent="0.2">
      <c r="B258" s="10" t="s">
        <v>1875</v>
      </c>
      <c r="I258" s="10" t="s">
        <v>403</v>
      </c>
      <c r="J258" s="10" t="s">
        <v>1797</v>
      </c>
      <c r="M258" s="10" t="s">
        <v>1712</v>
      </c>
    </row>
    <row r="259" spans="2:13" x14ac:dyDescent="0.2">
      <c r="B259" s="10" t="s">
        <v>1880</v>
      </c>
      <c r="I259" s="10" t="s">
        <v>404</v>
      </c>
      <c r="J259" s="10" t="s">
        <v>1800</v>
      </c>
      <c r="M259" s="10" t="s">
        <v>1716</v>
      </c>
    </row>
    <row r="260" spans="2:13" x14ac:dyDescent="0.2">
      <c r="B260" s="10" t="s">
        <v>1877</v>
      </c>
      <c r="I260" s="10" t="s">
        <v>405</v>
      </c>
      <c r="J260" s="10" t="s">
        <v>1825</v>
      </c>
      <c r="M260" s="10" t="s">
        <v>1725</v>
      </c>
    </row>
    <row r="261" spans="2:13" x14ac:dyDescent="0.2">
      <c r="B261" s="10" t="s">
        <v>1878</v>
      </c>
      <c r="I261" s="10" t="s">
        <v>408</v>
      </c>
      <c r="J261" s="10" t="s">
        <v>1829</v>
      </c>
      <c r="M261" s="10" t="s">
        <v>2187</v>
      </c>
    </row>
    <row r="262" spans="2:13" x14ac:dyDescent="0.2">
      <c r="B262" s="10" t="s">
        <v>43</v>
      </c>
      <c r="I262" s="10" t="s">
        <v>409</v>
      </c>
      <c r="J262" s="10" t="s">
        <v>1842</v>
      </c>
      <c r="M262" s="10" t="s">
        <v>1733</v>
      </c>
    </row>
    <row r="263" spans="2:13" x14ac:dyDescent="0.2">
      <c r="B263" s="10" t="s">
        <v>1893</v>
      </c>
      <c r="I263" s="10" t="s">
        <v>410</v>
      </c>
      <c r="J263" s="10" t="s">
        <v>1873</v>
      </c>
      <c r="M263" s="10" t="s">
        <v>1735</v>
      </c>
    </row>
    <row r="264" spans="2:13" x14ac:dyDescent="0.2">
      <c r="B264" s="10" t="s">
        <v>2172</v>
      </c>
      <c r="I264" s="10" t="s">
        <v>412</v>
      </c>
      <c r="J264" s="10" t="s">
        <v>1879</v>
      </c>
      <c r="M264" s="10" t="s">
        <v>1743</v>
      </c>
    </row>
    <row r="265" spans="2:13" x14ac:dyDescent="0.2">
      <c r="B265" s="10" t="s">
        <v>1904</v>
      </c>
      <c r="I265" s="10" t="s">
        <v>414</v>
      </c>
      <c r="J265" s="10" t="s">
        <v>1881</v>
      </c>
      <c r="M265" s="10" t="s">
        <v>1737</v>
      </c>
    </row>
    <row r="266" spans="2:13" x14ac:dyDescent="0.2">
      <c r="B266" s="10" t="s">
        <v>1906</v>
      </c>
      <c r="I266" s="10" t="s">
        <v>2550</v>
      </c>
      <c r="J266" s="10" t="s">
        <v>1889</v>
      </c>
      <c r="M266" s="10" t="s">
        <v>1752</v>
      </c>
    </row>
    <row r="267" spans="2:13" x14ac:dyDescent="0.2">
      <c r="B267" s="10" t="s">
        <v>2170</v>
      </c>
      <c r="I267" s="10" t="s">
        <v>417</v>
      </c>
      <c r="J267" s="10" t="s">
        <v>1884</v>
      </c>
      <c r="M267" s="10" t="s">
        <v>66</v>
      </c>
    </row>
    <row r="268" spans="2:13" x14ac:dyDescent="0.2">
      <c r="B268" s="10" t="s">
        <v>1907</v>
      </c>
      <c r="I268" s="10" t="s">
        <v>419</v>
      </c>
      <c r="J268" s="10" t="s">
        <v>1888</v>
      </c>
      <c r="M268" s="10" t="s">
        <v>1753</v>
      </c>
    </row>
    <row r="269" spans="2:13" x14ac:dyDescent="0.2">
      <c r="B269" s="10" t="s">
        <v>2171</v>
      </c>
      <c r="I269" s="10" t="s">
        <v>420</v>
      </c>
      <c r="J269" s="10" t="s">
        <v>1885</v>
      </c>
      <c r="M269" s="10" t="s">
        <v>1755</v>
      </c>
    </row>
    <row r="270" spans="2:13" x14ac:dyDescent="0.2">
      <c r="B270" s="10" t="s">
        <v>1929</v>
      </c>
      <c r="I270" s="10" t="s">
        <v>421</v>
      </c>
      <c r="J270" s="10" t="s">
        <v>1887</v>
      </c>
      <c r="M270" s="10" t="s">
        <v>1756</v>
      </c>
    </row>
    <row r="271" spans="2:13" x14ac:dyDescent="0.2">
      <c r="B271" s="10" t="s">
        <v>1933</v>
      </c>
      <c r="I271" s="10" t="s">
        <v>431</v>
      </c>
      <c r="J271" s="10" t="s">
        <v>1890</v>
      </c>
      <c r="M271" s="10" t="s">
        <v>1763</v>
      </c>
    </row>
    <row r="272" spans="2:13" x14ac:dyDescent="0.2">
      <c r="B272" s="10" t="s">
        <v>1935</v>
      </c>
      <c r="I272" s="10" t="s">
        <v>429</v>
      </c>
      <c r="J272" s="10" t="s">
        <v>1916</v>
      </c>
      <c r="M272" s="10" t="s">
        <v>1766</v>
      </c>
    </row>
    <row r="273" spans="2:13" x14ac:dyDescent="0.2">
      <c r="B273" s="10" t="s">
        <v>1942</v>
      </c>
      <c r="I273" s="10" t="s">
        <v>423</v>
      </c>
      <c r="J273" s="10" t="s">
        <v>1921</v>
      </c>
      <c r="M273" s="10" t="s">
        <v>1767</v>
      </c>
    </row>
    <row r="274" spans="2:13" x14ac:dyDescent="0.2">
      <c r="B274" s="10" t="s">
        <v>1945</v>
      </c>
      <c r="I274" s="10" t="s">
        <v>426</v>
      </c>
      <c r="J274" s="10" t="s">
        <v>1929</v>
      </c>
      <c r="M274" s="10" t="s">
        <v>1769</v>
      </c>
    </row>
    <row r="275" spans="2:13" x14ac:dyDescent="0.2">
      <c r="B275" s="10" t="s">
        <v>1951</v>
      </c>
      <c r="I275" s="10" t="s">
        <v>428</v>
      </c>
      <c r="J275" s="10" t="s">
        <v>1946</v>
      </c>
      <c r="M275" s="10" t="s">
        <v>1771</v>
      </c>
    </row>
    <row r="276" spans="2:13" x14ac:dyDescent="0.2">
      <c r="B276" s="10" t="s">
        <v>1973</v>
      </c>
      <c r="I276" s="10" t="s">
        <v>425</v>
      </c>
      <c r="J276" s="10" t="s">
        <v>1950</v>
      </c>
      <c r="M276" s="10" t="s">
        <v>1776</v>
      </c>
    </row>
    <row r="277" spans="2:13" x14ac:dyDescent="0.2">
      <c r="B277" s="10" t="s">
        <v>1987</v>
      </c>
      <c r="I277" s="10" t="s">
        <v>430</v>
      </c>
      <c r="J277" s="10" t="s">
        <v>1960</v>
      </c>
      <c r="M277" s="10" t="s">
        <v>1777</v>
      </c>
    </row>
    <row r="278" spans="2:13" x14ac:dyDescent="0.2">
      <c r="B278" s="10" t="s">
        <v>2042</v>
      </c>
      <c r="I278" s="10" t="s">
        <v>2549</v>
      </c>
      <c r="J278" s="10" t="s">
        <v>1971</v>
      </c>
      <c r="M278" s="10" t="s">
        <v>1782</v>
      </c>
    </row>
    <row r="279" spans="2:13" x14ac:dyDescent="0.2">
      <c r="B279" s="10" t="s">
        <v>2038</v>
      </c>
      <c r="I279" s="10" t="s">
        <v>435</v>
      </c>
      <c r="J279" s="10" t="s">
        <v>2589</v>
      </c>
      <c r="M279" s="10" t="s">
        <v>1786</v>
      </c>
    </row>
    <row r="280" spans="2:13" x14ac:dyDescent="0.2">
      <c r="B280" s="10" t="s">
        <v>2034</v>
      </c>
      <c r="I280" s="10" t="s">
        <v>436</v>
      </c>
      <c r="J280" s="10" t="s">
        <v>1975</v>
      </c>
      <c r="M280" s="10" t="s">
        <v>1790</v>
      </c>
    </row>
    <row r="281" spans="2:13" x14ac:dyDescent="0.2">
      <c r="B281" s="10" t="s">
        <v>2043</v>
      </c>
      <c r="I281" s="10" t="s">
        <v>437</v>
      </c>
      <c r="J281" s="10" t="s">
        <v>1980</v>
      </c>
      <c r="M281" s="10" t="s">
        <v>1794</v>
      </c>
    </row>
    <row r="282" spans="2:13" x14ac:dyDescent="0.2">
      <c r="B282" s="10" t="s">
        <v>2108</v>
      </c>
      <c r="I282" s="10" t="s">
        <v>438</v>
      </c>
      <c r="J282" s="10" t="s">
        <v>1982</v>
      </c>
      <c r="M282" s="10" t="s">
        <v>1793</v>
      </c>
    </row>
    <row r="283" spans="2:13" x14ac:dyDescent="0.2">
      <c r="B283" s="10" t="s">
        <v>2164</v>
      </c>
      <c r="I283" s="10" t="s">
        <v>446</v>
      </c>
      <c r="J283" s="10" t="s">
        <v>1990</v>
      </c>
      <c r="M283" s="10" t="s">
        <v>2186</v>
      </c>
    </row>
    <row r="284" spans="2:13" x14ac:dyDescent="0.2">
      <c r="B284" s="10" t="s">
        <v>2150</v>
      </c>
      <c r="I284" s="10" t="s">
        <v>445</v>
      </c>
      <c r="J284" s="10" t="s">
        <v>1986</v>
      </c>
      <c r="M284" s="10" t="s">
        <v>1801</v>
      </c>
    </row>
    <row r="285" spans="2:13" x14ac:dyDescent="0.2">
      <c r="B285" s="10" t="s">
        <v>2148</v>
      </c>
      <c r="I285" s="10" t="s">
        <v>441</v>
      </c>
      <c r="J285" s="10" t="s">
        <v>2003</v>
      </c>
      <c r="M285" s="10" t="s">
        <v>1803</v>
      </c>
    </row>
    <row r="286" spans="2:13" x14ac:dyDescent="0.2">
      <c r="I286" s="10" t="s">
        <v>443</v>
      </c>
      <c r="J286" s="10" t="s">
        <v>2008</v>
      </c>
      <c r="M286" s="10" t="s">
        <v>1804</v>
      </c>
    </row>
    <row r="287" spans="2:13" x14ac:dyDescent="0.2">
      <c r="I287" s="10" t="s">
        <v>442</v>
      </c>
      <c r="J287" s="10" t="s">
        <v>2004</v>
      </c>
      <c r="M287" s="10" t="s">
        <v>1806</v>
      </c>
    </row>
    <row r="288" spans="2:13" x14ac:dyDescent="0.2">
      <c r="I288" s="10" t="s">
        <v>440</v>
      </c>
      <c r="J288" s="10" t="s">
        <v>2005</v>
      </c>
      <c r="M288" s="10" t="s">
        <v>1809</v>
      </c>
    </row>
    <row r="289" spans="9:13" x14ac:dyDescent="0.2">
      <c r="I289" s="10" t="s">
        <v>444</v>
      </c>
      <c r="J289" s="10" t="s">
        <v>2007</v>
      </c>
      <c r="M289" s="10" t="s">
        <v>1810</v>
      </c>
    </row>
    <row r="290" spans="9:13" x14ac:dyDescent="0.2">
      <c r="I290" s="10" t="s">
        <v>450</v>
      </c>
      <c r="J290" s="10" t="s">
        <v>2012</v>
      </c>
      <c r="M290" s="10" t="s">
        <v>1811</v>
      </c>
    </row>
    <row r="291" spans="9:13" x14ac:dyDescent="0.2">
      <c r="I291" s="10" t="s">
        <v>451</v>
      </c>
      <c r="J291" s="10" t="s">
        <v>2015</v>
      </c>
      <c r="M291" s="10" t="s">
        <v>1821</v>
      </c>
    </row>
    <row r="292" spans="9:13" x14ac:dyDescent="0.2">
      <c r="I292" s="10" t="s">
        <v>452</v>
      </c>
      <c r="J292" s="10" t="s">
        <v>2023</v>
      </c>
      <c r="M292" s="10" t="s">
        <v>1841</v>
      </c>
    </row>
    <row r="293" spans="9:13" x14ac:dyDescent="0.2">
      <c r="I293" s="10" t="s">
        <v>454</v>
      </c>
      <c r="J293" s="10" t="s">
        <v>2030</v>
      </c>
      <c r="M293" s="10" t="s">
        <v>1839</v>
      </c>
    </row>
    <row r="294" spans="9:13" x14ac:dyDescent="0.2">
      <c r="I294" s="10" t="s">
        <v>456</v>
      </c>
      <c r="J294" s="10" t="s">
        <v>2585</v>
      </c>
      <c r="M294" s="10" t="s">
        <v>2180</v>
      </c>
    </row>
    <row r="295" spans="9:13" x14ac:dyDescent="0.2">
      <c r="I295" s="10" t="s">
        <v>2547</v>
      </c>
      <c r="J295" s="10" t="s">
        <v>2031</v>
      </c>
      <c r="M295" s="10" t="s">
        <v>1850</v>
      </c>
    </row>
    <row r="296" spans="9:13" x14ac:dyDescent="0.2">
      <c r="I296" s="10" t="s">
        <v>458</v>
      </c>
      <c r="J296" s="10" t="s">
        <v>2037</v>
      </c>
      <c r="M296" s="10" t="s">
        <v>1854</v>
      </c>
    </row>
    <row r="297" spans="9:13" x14ac:dyDescent="0.2">
      <c r="I297" s="10" t="s">
        <v>459</v>
      </c>
      <c r="J297" s="10" t="s">
        <v>2053</v>
      </c>
      <c r="M297" s="10" t="s">
        <v>2175</v>
      </c>
    </row>
    <row r="298" spans="9:13" x14ac:dyDescent="0.2">
      <c r="I298" s="10" t="s">
        <v>457</v>
      </c>
      <c r="J298" s="10" t="s">
        <v>2050</v>
      </c>
      <c r="M298" s="10" t="s">
        <v>1891</v>
      </c>
    </row>
    <row r="299" spans="9:13" x14ac:dyDescent="0.2">
      <c r="I299" s="10" t="s">
        <v>460</v>
      </c>
      <c r="J299" s="10" t="s">
        <v>2051</v>
      </c>
      <c r="M299" s="10" t="s">
        <v>1902</v>
      </c>
    </row>
    <row r="300" spans="9:13" x14ac:dyDescent="0.2">
      <c r="I300" s="10" t="s">
        <v>462</v>
      </c>
      <c r="J300" s="10" t="s">
        <v>2048</v>
      </c>
      <c r="M300" s="10" t="s">
        <v>1926</v>
      </c>
    </row>
    <row r="301" spans="9:13" x14ac:dyDescent="0.2">
      <c r="I301" s="10" t="s">
        <v>468</v>
      </c>
      <c r="J301" s="10" t="s">
        <v>2057</v>
      </c>
      <c r="M301" s="10" t="s">
        <v>1930</v>
      </c>
    </row>
    <row r="302" spans="9:13" x14ac:dyDescent="0.2">
      <c r="I302" s="10" t="s">
        <v>466</v>
      </c>
      <c r="J302" s="10" t="s">
        <v>2168</v>
      </c>
      <c r="M302" s="10" t="s">
        <v>1948</v>
      </c>
    </row>
    <row r="303" spans="9:13" x14ac:dyDescent="0.2">
      <c r="I303" s="10" t="s">
        <v>463</v>
      </c>
      <c r="J303" s="10" t="s">
        <v>2083</v>
      </c>
      <c r="M303" s="10" t="s">
        <v>1966</v>
      </c>
    </row>
    <row r="304" spans="9:13" x14ac:dyDescent="0.2">
      <c r="I304" s="10" t="s">
        <v>465</v>
      </c>
      <c r="J304" s="10" t="s">
        <v>2084</v>
      </c>
      <c r="M304" s="10" t="s">
        <v>1964</v>
      </c>
    </row>
    <row r="305" spans="9:13" x14ac:dyDescent="0.2">
      <c r="I305" s="10" t="s">
        <v>2546</v>
      </c>
      <c r="J305" s="10" t="s">
        <v>2112</v>
      </c>
      <c r="M305" s="10" t="s">
        <v>1977</v>
      </c>
    </row>
    <row r="306" spans="9:13" x14ac:dyDescent="0.2">
      <c r="I306" s="10" t="s">
        <v>464</v>
      </c>
      <c r="J306" s="10" t="s">
        <v>2166</v>
      </c>
      <c r="M306" s="10" t="s">
        <v>1981</v>
      </c>
    </row>
    <row r="307" spans="9:13" x14ac:dyDescent="0.2">
      <c r="I307" s="10" t="s">
        <v>467</v>
      </c>
      <c r="J307" s="10" t="s">
        <v>2117</v>
      </c>
      <c r="M307" s="10" t="s">
        <v>1991</v>
      </c>
    </row>
    <row r="308" spans="9:13" x14ac:dyDescent="0.2">
      <c r="I308" s="10" t="s">
        <v>470</v>
      </c>
      <c r="J308" s="10" t="s">
        <v>2154</v>
      </c>
      <c r="M308" s="10" t="s">
        <v>1999</v>
      </c>
    </row>
    <row r="309" spans="9:13" x14ac:dyDescent="0.2">
      <c r="I309" s="10" t="s">
        <v>472</v>
      </c>
      <c r="J309" s="10" t="s">
        <v>2150</v>
      </c>
      <c r="M309" s="10" t="s">
        <v>1997</v>
      </c>
    </row>
    <row r="310" spans="9:13" x14ac:dyDescent="0.2">
      <c r="I310" s="10" t="s">
        <v>471</v>
      </c>
      <c r="M310" s="10" t="s">
        <v>2009</v>
      </c>
    </row>
    <row r="311" spans="9:13" x14ac:dyDescent="0.2">
      <c r="I311" s="10" t="s">
        <v>473</v>
      </c>
      <c r="M311" s="10" t="s">
        <v>2011</v>
      </c>
    </row>
    <row r="312" spans="9:13" x14ac:dyDescent="0.2">
      <c r="I312" s="10" t="s">
        <v>474</v>
      </c>
      <c r="M312" s="10" t="s">
        <v>2013</v>
      </c>
    </row>
    <row r="313" spans="9:13" x14ac:dyDescent="0.2">
      <c r="I313" s="10" t="s">
        <v>475</v>
      </c>
      <c r="M313" s="10" t="s">
        <v>2018</v>
      </c>
    </row>
    <row r="314" spans="9:13" x14ac:dyDescent="0.2">
      <c r="I314" s="10" t="s">
        <v>478</v>
      </c>
      <c r="M314" s="10" t="s">
        <v>2019</v>
      </c>
    </row>
    <row r="315" spans="9:13" x14ac:dyDescent="0.2">
      <c r="I315" s="10" t="s">
        <v>2545</v>
      </c>
      <c r="M315" s="10" t="s">
        <v>2021</v>
      </c>
    </row>
    <row r="316" spans="9:13" x14ac:dyDescent="0.2">
      <c r="I316" s="10" t="s">
        <v>489</v>
      </c>
      <c r="M316" s="10" t="s">
        <v>2047</v>
      </c>
    </row>
    <row r="317" spans="9:13" x14ac:dyDescent="0.2">
      <c r="I317" s="10" t="s">
        <v>480</v>
      </c>
      <c r="M317" s="10" t="s">
        <v>2049</v>
      </c>
    </row>
    <row r="318" spans="9:13" x14ac:dyDescent="0.2">
      <c r="I318" s="10" t="s">
        <v>488</v>
      </c>
      <c r="M318" s="10" t="s">
        <v>2060</v>
      </c>
    </row>
    <row r="319" spans="9:13" x14ac:dyDescent="0.2">
      <c r="I319" s="10" t="s">
        <v>481</v>
      </c>
      <c r="M319" s="10" t="s">
        <v>2067</v>
      </c>
    </row>
    <row r="320" spans="9:13" x14ac:dyDescent="0.2">
      <c r="I320" s="10" t="s">
        <v>483</v>
      </c>
      <c r="M320" s="10" t="s">
        <v>2072</v>
      </c>
    </row>
    <row r="321" spans="9:13" x14ac:dyDescent="0.2">
      <c r="I321" s="10" t="s">
        <v>484</v>
      </c>
      <c r="M321" s="10" t="s">
        <v>2071</v>
      </c>
    </row>
    <row r="322" spans="9:13" x14ac:dyDescent="0.2">
      <c r="I322" s="10" t="s">
        <v>486</v>
      </c>
      <c r="M322" s="10" t="s">
        <v>2073</v>
      </c>
    </row>
    <row r="323" spans="9:13" x14ac:dyDescent="0.2">
      <c r="I323" s="10" t="s">
        <v>485</v>
      </c>
      <c r="M323" s="10" t="s">
        <v>2074</v>
      </c>
    </row>
    <row r="324" spans="9:13" x14ac:dyDescent="0.2">
      <c r="I324" s="10" t="s">
        <v>482</v>
      </c>
      <c r="M324" s="10" t="s">
        <v>2081</v>
      </c>
    </row>
    <row r="325" spans="9:13" x14ac:dyDescent="0.2">
      <c r="I325" s="10" t="s">
        <v>487</v>
      </c>
      <c r="M325" s="10" t="s">
        <v>2088</v>
      </c>
    </row>
    <row r="326" spans="9:13" x14ac:dyDescent="0.2">
      <c r="I326" s="10" t="s">
        <v>490</v>
      </c>
      <c r="M326" s="10" t="s">
        <v>2076</v>
      </c>
    </row>
    <row r="327" spans="9:13" x14ac:dyDescent="0.2">
      <c r="I327" s="10" t="s">
        <v>491</v>
      </c>
      <c r="M327" s="10" t="s">
        <v>2085</v>
      </c>
    </row>
    <row r="328" spans="9:13" x14ac:dyDescent="0.2">
      <c r="I328" s="10" t="s">
        <v>492</v>
      </c>
      <c r="M328" s="10" t="s">
        <v>2079</v>
      </c>
    </row>
    <row r="329" spans="9:13" x14ac:dyDescent="0.2">
      <c r="I329" s="10" t="s">
        <v>497</v>
      </c>
      <c r="M329" s="10" t="s">
        <v>2082</v>
      </c>
    </row>
    <row r="330" spans="9:13" x14ac:dyDescent="0.2">
      <c r="I330" s="10" t="s">
        <v>496</v>
      </c>
      <c r="M330" s="10" t="s">
        <v>2086</v>
      </c>
    </row>
    <row r="331" spans="9:13" x14ac:dyDescent="0.2">
      <c r="I331" s="10" t="s">
        <v>494</v>
      </c>
      <c r="M331" s="10" t="s">
        <v>2075</v>
      </c>
    </row>
    <row r="332" spans="9:13" x14ac:dyDescent="0.2">
      <c r="I332" s="10" t="s">
        <v>493</v>
      </c>
      <c r="M332" s="10" t="s">
        <v>2087</v>
      </c>
    </row>
    <row r="333" spans="9:13" x14ac:dyDescent="0.2">
      <c r="I333" s="10" t="s">
        <v>498</v>
      </c>
      <c r="M333" s="10" t="s">
        <v>2089</v>
      </c>
    </row>
    <row r="334" spans="9:13" x14ac:dyDescent="0.2">
      <c r="I334" s="10" t="s">
        <v>499</v>
      </c>
      <c r="M334" s="10" t="s">
        <v>2092</v>
      </c>
    </row>
    <row r="335" spans="9:13" x14ac:dyDescent="0.2">
      <c r="I335" s="10" t="s">
        <v>501</v>
      </c>
      <c r="M335" s="10" t="s">
        <v>2091</v>
      </c>
    </row>
    <row r="336" spans="9:13" x14ac:dyDescent="0.2">
      <c r="I336" s="10" t="s">
        <v>500</v>
      </c>
      <c r="M336" s="10" t="s">
        <v>2101</v>
      </c>
    </row>
    <row r="337" spans="9:13" x14ac:dyDescent="0.2">
      <c r="I337" s="10" t="s">
        <v>2540</v>
      </c>
      <c r="M337" s="10" t="s">
        <v>2093</v>
      </c>
    </row>
    <row r="338" spans="9:13" x14ac:dyDescent="0.2">
      <c r="I338" s="10" t="s">
        <v>502</v>
      </c>
      <c r="M338" s="10" t="s">
        <v>2096</v>
      </c>
    </row>
    <row r="339" spans="9:13" x14ac:dyDescent="0.2">
      <c r="I339" s="10" t="s">
        <v>505</v>
      </c>
      <c r="M339" s="10" t="s">
        <v>2095</v>
      </c>
    </row>
    <row r="340" spans="9:13" x14ac:dyDescent="0.2">
      <c r="I340" s="10" t="s">
        <v>504</v>
      </c>
      <c r="M340" s="10" t="s">
        <v>2097</v>
      </c>
    </row>
    <row r="341" spans="9:13" x14ac:dyDescent="0.2">
      <c r="I341" s="10" t="s">
        <v>506</v>
      </c>
      <c r="M341" s="10" t="s">
        <v>2099</v>
      </c>
    </row>
    <row r="342" spans="9:13" x14ac:dyDescent="0.2">
      <c r="I342" s="10" t="s">
        <v>507</v>
      </c>
      <c r="M342" s="10" t="s">
        <v>2102</v>
      </c>
    </row>
    <row r="343" spans="9:13" x14ac:dyDescent="0.2">
      <c r="I343" s="10" t="s">
        <v>508</v>
      </c>
      <c r="M343" s="10" t="s">
        <v>2103</v>
      </c>
    </row>
    <row r="344" spans="9:13" x14ac:dyDescent="0.2">
      <c r="I344" s="10" t="s">
        <v>509</v>
      </c>
      <c r="M344" s="10" t="s">
        <v>2104</v>
      </c>
    </row>
    <row r="345" spans="9:13" x14ac:dyDescent="0.2">
      <c r="I345" s="10" t="s">
        <v>514</v>
      </c>
      <c r="M345" s="10" t="s">
        <v>2165</v>
      </c>
    </row>
    <row r="346" spans="9:13" x14ac:dyDescent="0.2">
      <c r="I346" s="10" t="s">
        <v>511</v>
      </c>
      <c r="M346" s="10" t="s">
        <v>2110</v>
      </c>
    </row>
    <row r="347" spans="9:13" x14ac:dyDescent="0.2">
      <c r="I347" s="10" t="s">
        <v>510</v>
      </c>
      <c r="M347" s="10" t="s">
        <v>2111</v>
      </c>
    </row>
    <row r="348" spans="9:13" x14ac:dyDescent="0.2">
      <c r="I348" s="10" t="s">
        <v>513</v>
      </c>
      <c r="M348" s="10" t="s">
        <v>2115</v>
      </c>
    </row>
    <row r="349" spans="9:13" x14ac:dyDescent="0.2">
      <c r="I349" s="10" t="s">
        <v>515</v>
      </c>
      <c r="M349" s="10" t="s">
        <v>2107</v>
      </c>
    </row>
    <row r="350" spans="9:13" x14ac:dyDescent="0.2">
      <c r="I350" s="10" t="s">
        <v>516</v>
      </c>
      <c r="M350" s="10" t="s">
        <v>45</v>
      </c>
    </row>
    <row r="351" spans="9:13" x14ac:dyDescent="0.2">
      <c r="I351" s="10" t="s">
        <v>517</v>
      </c>
      <c r="M351" s="10" t="s">
        <v>2109</v>
      </c>
    </row>
    <row r="352" spans="9:13" x14ac:dyDescent="0.2">
      <c r="I352" s="10" t="s">
        <v>527</v>
      </c>
      <c r="M352" s="10" t="s">
        <v>2113</v>
      </c>
    </row>
    <row r="353" spans="9:13" x14ac:dyDescent="0.2">
      <c r="I353" s="10" t="s">
        <v>525</v>
      </c>
      <c r="M353" s="10" t="s">
        <v>2114</v>
      </c>
    </row>
    <row r="354" spans="9:13" x14ac:dyDescent="0.2">
      <c r="I354" s="10" t="s">
        <v>518</v>
      </c>
      <c r="M354" s="10" t="s">
        <v>2116</v>
      </c>
    </row>
    <row r="355" spans="9:13" x14ac:dyDescent="0.2">
      <c r="I355" s="10" t="s">
        <v>520</v>
      </c>
      <c r="M355" s="10" t="s">
        <v>2121</v>
      </c>
    </row>
    <row r="356" spans="9:13" x14ac:dyDescent="0.2">
      <c r="I356" s="10" t="s">
        <v>523</v>
      </c>
      <c r="M356" s="10" t="s">
        <v>2118</v>
      </c>
    </row>
    <row r="357" spans="9:13" x14ac:dyDescent="0.2">
      <c r="I357" s="10" t="s">
        <v>522</v>
      </c>
      <c r="M357" s="10" t="s">
        <v>2120</v>
      </c>
    </row>
    <row r="358" spans="9:13" x14ac:dyDescent="0.2">
      <c r="I358" s="10" t="s">
        <v>524</v>
      </c>
      <c r="M358" s="10" t="s">
        <v>2163</v>
      </c>
    </row>
    <row r="359" spans="9:13" x14ac:dyDescent="0.2">
      <c r="I359" s="10" t="s">
        <v>519</v>
      </c>
      <c r="M359" s="10" t="s">
        <v>2162</v>
      </c>
    </row>
    <row r="360" spans="9:13" x14ac:dyDescent="0.2">
      <c r="I360" s="10" t="s">
        <v>530</v>
      </c>
      <c r="M360" s="10" t="s">
        <v>2119</v>
      </c>
    </row>
    <row r="361" spans="9:13" x14ac:dyDescent="0.2">
      <c r="I361" s="10" t="s">
        <v>529</v>
      </c>
      <c r="M361" s="10" t="s">
        <v>2160</v>
      </c>
    </row>
    <row r="362" spans="9:13" x14ac:dyDescent="0.2">
      <c r="I362" s="10" t="s">
        <v>2538</v>
      </c>
      <c r="M362" s="10" t="s">
        <v>2159</v>
      </c>
    </row>
    <row r="363" spans="9:13" x14ac:dyDescent="0.2">
      <c r="I363" s="10" t="s">
        <v>533</v>
      </c>
      <c r="M363" s="10" t="s">
        <v>2122</v>
      </c>
    </row>
    <row r="364" spans="9:13" x14ac:dyDescent="0.2">
      <c r="I364" s="10" t="s">
        <v>534</v>
      </c>
      <c r="M364" s="10" t="s">
        <v>2158</v>
      </c>
    </row>
    <row r="365" spans="9:13" x14ac:dyDescent="0.2">
      <c r="I365" s="10" t="s">
        <v>536</v>
      </c>
      <c r="M365" s="10" t="s">
        <v>2156</v>
      </c>
    </row>
    <row r="366" spans="9:13" x14ac:dyDescent="0.2">
      <c r="I366" s="10" t="s">
        <v>541</v>
      </c>
      <c r="M366" s="10" t="s">
        <v>2125</v>
      </c>
    </row>
    <row r="367" spans="9:13" x14ac:dyDescent="0.2">
      <c r="I367" s="10" t="s">
        <v>537</v>
      </c>
      <c r="M367" s="10" t="s">
        <v>2152</v>
      </c>
    </row>
    <row r="368" spans="9:13" x14ac:dyDescent="0.2">
      <c r="I368" s="10" t="s">
        <v>540</v>
      </c>
      <c r="M368" s="10" t="s">
        <v>2153</v>
      </c>
    </row>
    <row r="369" spans="9:13" x14ac:dyDescent="0.2">
      <c r="I369" s="10" t="s">
        <v>538</v>
      </c>
      <c r="M369" s="10" t="s">
        <v>2124</v>
      </c>
    </row>
    <row r="370" spans="9:13" x14ac:dyDescent="0.2">
      <c r="I370" s="10" t="s">
        <v>543</v>
      </c>
      <c r="M370" s="10" t="s">
        <v>2126</v>
      </c>
    </row>
    <row r="371" spans="9:13" x14ac:dyDescent="0.2">
      <c r="I371" s="10" t="s">
        <v>542</v>
      </c>
      <c r="M371" s="10" t="s">
        <v>2151</v>
      </c>
    </row>
    <row r="372" spans="9:13" x14ac:dyDescent="0.2">
      <c r="I372" s="10" t="s">
        <v>546</v>
      </c>
      <c r="M372" s="10" t="s">
        <v>2130</v>
      </c>
    </row>
    <row r="373" spans="9:13" x14ac:dyDescent="0.2">
      <c r="I373" s="10" t="s">
        <v>2535</v>
      </c>
      <c r="M373" s="10" t="s">
        <v>2147</v>
      </c>
    </row>
    <row r="374" spans="9:13" x14ac:dyDescent="0.2">
      <c r="I374" s="10" t="s">
        <v>545</v>
      </c>
      <c r="M374" s="10" t="s">
        <v>2129</v>
      </c>
    </row>
    <row r="375" spans="9:13" x14ac:dyDescent="0.2">
      <c r="I375" s="10" t="s">
        <v>550</v>
      </c>
      <c r="M375" s="10" t="s">
        <v>2128</v>
      </c>
    </row>
    <row r="376" spans="9:13" x14ac:dyDescent="0.2">
      <c r="I376" s="10" t="s">
        <v>549</v>
      </c>
      <c r="M376" s="10" t="s">
        <v>2146</v>
      </c>
    </row>
    <row r="377" spans="9:13" x14ac:dyDescent="0.2">
      <c r="I377" s="10" t="s">
        <v>552</v>
      </c>
      <c r="M377" s="10" t="s">
        <v>2127</v>
      </c>
    </row>
    <row r="378" spans="9:13" x14ac:dyDescent="0.2">
      <c r="I378" s="10" t="s">
        <v>554</v>
      </c>
      <c r="M378" s="10" t="s">
        <v>2145</v>
      </c>
    </row>
    <row r="379" spans="9:13" x14ac:dyDescent="0.2">
      <c r="I379" s="10" t="s">
        <v>556</v>
      </c>
      <c r="M379" s="10" t="s">
        <v>2143</v>
      </c>
    </row>
    <row r="380" spans="9:13" x14ac:dyDescent="0.2">
      <c r="I380" s="10" t="s">
        <v>557</v>
      </c>
      <c r="M380" s="10" t="s">
        <v>2138</v>
      </c>
    </row>
    <row r="381" spans="9:13" x14ac:dyDescent="0.2">
      <c r="I381" s="10" t="s">
        <v>562</v>
      </c>
      <c r="M381" s="10" t="s">
        <v>2134</v>
      </c>
    </row>
    <row r="382" spans="9:13" x14ac:dyDescent="0.2">
      <c r="I382" s="10" t="s">
        <v>560</v>
      </c>
      <c r="M382" s="10" t="s">
        <v>2142</v>
      </c>
    </row>
    <row r="383" spans="9:13" x14ac:dyDescent="0.2">
      <c r="I383" s="10" t="s">
        <v>561</v>
      </c>
      <c r="M383" s="10" t="s">
        <v>2141</v>
      </c>
    </row>
    <row r="384" spans="9:13" x14ac:dyDescent="0.2">
      <c r="I384" s="10" t="s">
        <v>559</v>
      </c>
      <c r="M384" s="10" t="s">
        <v>2133</v>
      </c>
    </row>
    <row r="385" spans="9:13" x14ac:dyDescent="0.2">
      <c r="I385" s="10" t="s">
        <v>563</v>
      </c>
      <c r="M385" s="10" t="s">
        <v>2140</v>
      </c>
    </row>
    <row r="386" spans="9:13" x14ac:dyDescent="0.2">
      <c r="I386" s="10" t="s">
        <v>569</v>
      </c>
      <c r="M386" s="10" t="s">
        <v>2139</v>
      </c>
    </row>
    <row r="387" spans="9:13" x14ac:dyDescent="0.2">
      <c r="I387" s="10" t="s">
        <v>570</v>
      </c>
      <c r="M387" s="10" t="s">
        <v>2135</v>
      </c>
    </row>
    <row r="388" spans="9:13" x14ac:dyDescent="0.2">
      <c r="I388" s="10" t="s">
        <v>574</v>
      </c>
      <c r="M388" s="10" t="s">
        <v>2132</v>
      </c>
    </row>
    <row r="389" spans="9:13" x14ac:dyDescent="0.2">
      <c r="I389" s="10" t="s">
        <v>573</v>
      </c>
      <c r="M389" s="10" t="s">
        <v>2137</v>
      </c>
    </row>
    <row r="390" spans="9:13" x14ac:dyDescent="0.2">
      <c r="I390" s="10" t="s">
        <v>575</v>
      </c>
    </row>
    <row r="391" spans="9:13" x14ac:dyDescent="0.2">
      <c r="I391" s="10" t="s">
        <v>576</v>
      </c>
    </row>
    <row r="392" spans="9:13" x14ac:dyDescent="0.2">
      <c r="I392" s="10" t="s">
        <v>2534</v>
      </c>
    </row>
    <row r="393" spans="9:13" x14ac:dyDescent="0.2">
      <c r="I393" s="10" t="s">
        <v>577</v>
      </c>
    </row>
    <row r="394" spans="9:13" x14ac:dyDescent="0.2">
      <c r="I394" s="10" t="s">
        <v>579</v>
      </c>
    </row>
    <row r="395" spans="9:13" x14ac:dyDescent="0.2">
      <c r="I395" s="10" t="s">
        <v>580</v>
      </c>
    </row>
    <row r="396" spans="9:13" x14ac:dyDescent="0.2">
      <c r="I396" s="10" t="s">
        <v>582</v>
      </c>
    </row>
    <row r="397" spans="9:13" x14ac:dyDescent="0.2">
      <c r="I397" s="10" t="s">
        <v>586</v>
      </c>
    </row>
    <row r="398" spans="9:13" x14ac:dyDescent="0.2">
      <c r="I398" s="10" t="s">
        <v>587</v>
      </c>
    </row>
    <row r="399" spans="9:13" x14ac:dyDescent="0.2">
      <c r="I399" s="10" t="s">
        <v>593</v>
      </c>
    </row>
    <row r="400" spans="9:13" x14ac:dyDescent="0.2">
      <c r="I400" s="10" t="s">
        <v>2533</v>
      </c>
    </row>
    <row r="401" spans="9:9" x14ac:dyDescent="0.2">
      <c r="I401" s="10" t="s">
        <v>591</v>
      </c>
    </row>
    <row r="402" spans="9:9" x14ac:dyDescent="0.2">
      <c r="I402" s="10" t="s">
        <v>592</v>
      </c>
    </row>
    <row r="403" spans="9:9" x14ac:dyDescent="0.2">
      <c r="I403" s="10" t="s">
        <v>594</v>
      </c>
    </row>
    <row r="404" spans="9:9" x14ac:dyDescent="0.2">
      <c r="I404" s="10" t="s">
        <v>598</v>
      </c>
    </row>
    <row r="405" spans="9:9" x14ac:dyDescent="0.2">
      <c r="I405" s="10" t="s">
        <v>596</v>
      </c>
    </row>
    <row r="406" spans="9:9" x14ac:dyDescent="0.2">
      <c r="I406" s="10" t="s">
        <v>597</v>
      </c>
    </row>
    <row r="407" spans="9:9" x14ac:dyDescent="0.2">
      <c r="I407" s="10" t="s">
        <v>606</v>
      </c>
    </row>
    <row r="408" spans="9:9" x14ac:dyDescent="0.2">
      <c r="I408" s="10" t="s">
        <v>603</v>
      </c>
    </row>
    <row r="409" spans="9:9" x14ac:dyDescent="0.2">
      <c r="I409" s="10" t="s">
        <v>602</v>
      </c>
    </row>
    <row r="410" spans="9:9" x14ac:dyDescent="0.2">
      <c r="I410" s="10" t="s">
        <v>609</v>
      </c>
    </row>
    <row r="411" spans="9:9" x14ac:dyDescent="0.2">
      <c r="I411" s="10" t="s">
        <v>612</v>
      </c>
    </row>
    <row r="412" spans="9:9" x14ac:dyDescent="0.2">
      <c r="I412" s="10" t="s">
        <v>2532</v>
      </c>
    </row>
    <row r="413" spans="9:9" x14ac:dyDescent="0.2">
      <c r="I413" s="10" t="s">
        <v>615</v>
      </c>
    </row>
    <row r="414" spans="9:9" x14ac:dyDescent="0.2">
      <c r="I414" s="10" t="s">
        <v>614</v>
      </c>
    </row>
    <row r="415" spans="9:9" x14ac:dyDescent="0.2">
      <c r="I415" s="10" t="s">
        <v>616</v>
      </c>
    </row>
    <row r="416" spans="9:9" x14ac:dyDescent="0.2">
      <c r="I416" s="10" t="s">
        <v>617</v>
      </c>
    </row>
    <row r="417" spans="9:9" x14ac:dyDescent="0.2">
      <c r="I417" s="10" t="s">
        <v>619</v>
      </c>
    </row>
    <row r="418" spans="9:9" x14ac:dyDescent="0.2">
      <c r="I418" s="10" t="s">
        <v>621</v>
      </c>
    </row>
    <row r="419" spans="9:9" x14ac:dyDescent="0.2">
      <c r="I419" s="10" t="s">
        <v>2531</v>
      </c>
    </row>
    <row r="420" spans="9:9" x14ac:dyDescent="0.2">
      <c r="I420" s="10" t="s">
        <v>622</v>
      </c>
    </row>
    <row r="421" spans="9:9" x14ac:dyDescent="0.2">
      <c r="I421" s="10" t="s">
        <v>624</v>
      </c>
    </row>
    <row r="422" spans="9:9" x14ac:dyDescent="0.2">
      <c r="I422" s="10" t="s">
        <v>627</v>
      </c>
    </row>
    <row r="423" spans="9:9" x14ac:dyDescent="0.2">
      <c r="I423" s="10" t="s">
        <v>628</v>
      </c>
    </row>
    <row r="424" spans="9:9" x14ac:dyDescent="0.2">
      <c r="I424" s="10" t="s">
        <v>629</v>
      </c>
    </row>
    <row r="425" spans="9:9" x14ac:dyDescent="0.2">
      <c r="I425" s="10" t="s">
        <v>630</v>
      </c>
    </row>
    <row r="426" spans="9:9" x14ac:dyDescent="0.2">
      <c r="I426" s="10" t="s">
        <v>2530</v>
      </c>
    </row>
    <row r="427" spans="9:9" x14ac:dyDescent="0.2">
      <c r="I427" s="10" t="s">
        <v>632</v>
      </c>
    </row>
    <row r="428" spans="9:9" x14ac:dyDescent="0.2">
      <c r="I428" s="10" t="s">
        <v>633</v>
      </c>
    </row>
    <row r="429" spans="9:9" x14ac:dyDescent="0.2">
      <c r="I429" s="10" t="s">
        <v>635</v>
      </c>
    </row>
    <row r="430" spans="9:9" x14ac:dyDescent="0.2">
      <c r="I430" s="10" t="s">
        <v>636</v>
      </c>
    </row>
    <row r="431" spans="9:9" x14ac:dyDescent="0.2">
      <c r="I431" s="10" t="s">
        <v>637</v>
      </c>
    </row>
    <row r="432" spans="9:9" x14ac:dyDescent="0.2">
      <c r="I432" s="10" t="s">
        <v>639</v>
      </c>
    </row>
    <row r="433" spans="9:9" x14ac:dyDescent="0.2">
      <c r="I433" s="10" t="s">
        <v>640</v>
      </c>
    </row>
    <row r="434" spans="9:9" x14ac:dyDescent="0.2">
      <c r="I434" s="10" t="s">
        <v>643</v>
      </c>
    </row>
    <row r="435" spans="9:9" x14ac:dyDescent="0.2">
      <c r="I435" s="10" t="s">
        <v>645</v>
      </c>
    </row>
    <row r="436" spans="9:9" x14ac:dyDescent="0.2">
      <c r="I436" s="10" t="s">
        <v>2528</v>
      </c>
    </row>
    <row r="437" spans="9:9" x14ac:dyDescent="0.2">
      <c r="I437" s="10" t="s">
        <v>646</v>
      </c>
    </row>
    <row r="438" spans="9:9" x14ac:dyDescent="0.2">
      <c r="I438" s="10" t="s">
        <v>2527</v>
      </c>
    </row>
    <row r="439" spans="9:9" x14ac:dyDescent="0.2">
      <c r="I439" s="10" t="s">
        <v>2526</v>
      </c>
    </row>
    <row r="440" spans="9:9" x14ac:dyDescent="0.2">
      <c r="I440" s="10" t="s">
        <v>649</v>
      </c>
    </row>
    <row r="441" spans="9:9" x14ac:dyDescent="0.2">
      <c r="I441" s="10" t="s">
        <v>651</v>
      </c>
    </row>
    <row r="442" spans="9:9" x14ac:dyDescent="0.2">
      <c r="I442" s="10" t="s">
        <v>654</v>
      </c>
    </row>
    <row r="443" spans="9:9" x14ac:dyDescent="0.2">
      <c r="I443" s="10" t="s">
        <v>652</v>
      </c>
    </row>
    <row r="444" spans="9:9" x14ac:dyDescent="0.2">
      <c r="I444" s="10" t="s">
        <v>664</v>
      </c>
    </row>
    <row r="445" spans="9:9" x14ac:dyDescent="0.2">
      <c r="I445" s="10" t="s">
        <v>670</v>
      </c>
    </row>
    <row r="446" spans="9:9" x14ac:dyDescent="0.2">
      <c r="I446" s="10" t="s">
        <v>669</v>
      </c>
    </row>
    <row r="447" spans="9:9" x14ac:dyDescent="0.2">
      <c r="I447" s="10" t="s">
        <v>673</v>
      </c>
    </row>
    <row r="448" spans="9:9" x14ac:dyDescent="0.2">
      <c r="I448" s="10" t="s">
        <v>681</v>
      </c>
    </row>
    <row r="449" spans="9:9" x14ac:dyDescent="0.2">
      <c r="I449" s="10" t="s">
        <v>682</v>
      </c>
    </row>
    <row r="450" spans="9:9" x14ac:dyDescent="0.2">
      <c r="I450" s="10" t="s">
        <v>685</v>
      </c>
    </row>
    <row r="451" spans="9:9" x14ac:dyDescent="0.2">
      <c r="I451" s="10" t="s">
        <v>687</v>
      </c>
    </row>
    <row r="452" spans="9:9" x14ac:dyDescent="0.2">
      <c r="I452" s="10" t="s">
        <v>688</v>
      </c>
    </row>
    <row r="453" spans="9:9" x14ac:dyDescent="0.2">
      <c r="I453" s="10" t="s">
        <v>690</v>
      </c>
    </row>
    <row r="454" spans="9:9" x14ac:dyDescent="0.2">
      <c r="I454" s="10" t="s">
        <v>2524</v>
      </c>
    </row>
    <row r="455" spans="9:9" x14ac:dyDescent="0.2">
      <c r="I455" s="10" t="s">
        <v>691</v>
      </c>
    </row>
    <row r="456" spans="9:9" x14ac:dyDescent="0.2">
      <c r="I456" s="10" t="s">
        <v>701</v>
      </c>
    </row>
    <row r="457" spans="9:9" x14ac:dyDescent="0.2">
      <c r="I457" s="10" t="s">
        <v>697</v>
      </c>
    </row>
    <row r="458" spans="9:9" x14ac:dyDescent="0.2">
      <c r="I458" s="10" t="s">
        <v>695</v>
      </c>
    </row>
    <row r="459" spans="9:9" x14ac:dyDescent="0.2">
      <c r="I459" s="10" t="s">
        <v>703</v>
      </c>
    </row>
    <row r="460" spans="9:9" x14ac:dyDescent="0.2">
      <c r="I460" s="10" t="s">
        <v>705</v>
      </c>
    </row>
    <row r="461" spans="9:9" x14ac:dyDescent="0.2">
      <c r="I461" s="10" t="s">
        <v>708</v>
      </c>
    </row>
    <row r="462" spans="9:9" x14ac:dyDescent="0.2">
      <c r="I462" s="10" t="s">
        <v>709</v>
      </c>
    </row>
    <row r="463" spans="9:9" x14ac:dyDescent="0.2">
      <c r="I463" s="10" t="s">
        <v>710</v>
      </c>
    </row>
    <row r="464" spans="9:9" x14ac:dyDescent="0.2">
      <c r="I464" s="10" t="s">
        <v>716</v>
      </c>
    </row>
    <row r="465" spans="9:9" x14ac:dyDescent="0.2">
      <c r="I465" s="10" t="s">
        <v>722</v>
      </c>
    </row>
    <row r="466" spans="9:9" x14ac:dyDescent="0.2">
      <c r="I466" s="10" t="s">
        <v>724</v>
      </c>
    </row>
    <row r="467" spans="9:9" x14ac:dyDescent="0.2">
      <c r="I467" s="10" t="s">
        <v>723</v>
      </c>
    </row>
    <row r="468" spans="9:9" x14ac:dyDescent="0.2">
      <c r="I468" s="10" t="s">
        <v>725</v>
      </c>
    </row>
    <row r="469" spans="9:9" x14ac:dyDescent="0.2">
      <c r="I469" s="10" t="s">
        <v>727</v>
      </c>
    </row>
    <row r="470" spans="9:9" x14ac:dyDescent="0.2">
      <c r="I470" s="10" t="s">
        <v>730</v>
      </c>
    </row>
    <row r="471" spans="9:9" x14ac:dyDescent="0.2">
      <c r="I471" s="10" t="s">
        <v>731</v>
      </c>
    </row>
    <row r="472" spans="9:9" x14ac:dyDescent="0.2">
      <c r="I472" s="10" t="s">
        <v>737</v>
      </c>
    </row>
    <row r="473" spans="9:9" x14ac:dyDescent="0.2">
      <c r="I473" s="10" t="s">
        <v>741</v>
      </c>
    </row>
    <row r="474" spans="9:9" x14ac:dyDescent="0.2">
      <c r="I474" s="10" t="s">
        <v>746</v>
      </c>
    </row>
    <row r="475" spans="9:9" x14ac:dyDescent="0.2">
      <c r="I475" s="10" t="s">
        <v>744</v>
      </c>
    </row>
    <row r="476" spans="9:9" x14ac:dyDescent="0.2">
      <c r="I476" s="10" t="s">
        <v>745</v>
      </c>
    </row>
    <row r="477" spans="9:9" x14ac:dyDescent="0.2">
      <c r="I477" s="10" t="s">
        <v>747</v>
      </c>
    </row>
    <row r="478" spans="9:9" x14ac:dyDescent="0.2">
      <c r="I478" s="10" t="s">
        <v>749</v>
      </c>
    </row>
    <row r="479" spans="9:9" x14ac:dyDescent="0.2">
      <c r="I479" s="10" t="s">
        <v>750</v>
      </c>
    </row>
    <row r="480" spans="9:9" x14ac:dyDescent="0.2">
      <c r="I480" s="10" t="s">
        <v>752</v>
      </c>
    </row>
    <row r="481" spans="9:9" x14ac:dyDescent="0.2">
      <c r="I481" s="10" t="s">
        <v>2521</v>
      </c>
    </row>
    <row r="482" spans="9:9" x14ac:dyDescent="0.2">
      <c r="I482" s="10" t="s">
        <v>753</v>
      </c>
    </row>
    <row r="483" spans="9:9" x14ac:dyDescent="0.2">
      <c r="I483" s="10" t="s">
        <v>756</v>
      </c>
    </row>
    <row r="484" spans="9:9" x14ac:dyDescent="0.2">
      <c r="I484" s="10" t="s">
        <v>757</v>
      </c>
    </row>
    <row r="485" spans="9:9" x14ac:dyDescent="0.2">
      <c r="I485" s="10" t="s">
        <v>2520</v>
      </c>
    </row>
    <row r="486" spans="9:9" x14ac:dyDescent="0.2">
      <c r="I486" s="10" t="s">
        <v>2519</v>
      </c>
    </row>
    <row r="487" spans="9:9" x14ac:dyDescent="0.2">
      <c r="I487" s="10" t="s">
        <v>760</v>
      </c>
    </row>
    <row r="488" spans="9:9" x14ac:dyDescent="0.2">
      <c r="I488" s="10" t="s">
        <v>761</v>
      </c>
    </row>
    <row r="489" spans="9:9" x14ac:dyDescent="0.2">
      <c r="I489" s="10" t="s">
        <v>762</v>
      </c>
    </row>
    <row r="490" spans="9:9" x14ac:dyDescent="0.2">
      <c r="I490" s="10" t="s">
        <v>764</v>
      </c>
    </row>
    <row r="491" spans="9:9" x14ac:dyDescent="0.2">
      <c r="I491" s="10" t="s">
        <v>2518</v>
      </c>
    </row>
    <row r="492" spans="9:9" x14ac:dyDescent="0.2">
      <c r="I492" s="10" t="s">
        <v>765</v>
      </c>
    </row>
    <row r="493" spans="9:9" x14ac:dyDescent="0.2">
      <c r="I493" s="10" t="s">
        <v>2517</v>
      </c>
    </row>
    <row r="494" spans="9:9" x14ac:dyDescent="0.2">
      <c r="I494" s="10" t="s">
        <v>767</v>
      </c>
    </row>
    <row r="495" spans="9:9" x14ac:dyDescent="0.2">
      <c r="I495" s="10" t="s">
        <v>769</v>
      </c>
    </row>
    <row r="496" spans="9:9" x14ac:dyDescent="0.2">
      <c r="I496" s="10" t="s">
        <v>770</v>
      </c>
    </row>
    <row r="497" spans="9:9" x14ac:dyDescent="0.2">
      <c r="I497" s="10" t="s">
        <v>771</v>
      </c>
    </row>
    <row r="498" spans="9:9" x14ac:dyDescent="0.2">
      <c r="I498" s="10" t="s">
        <v>773</v>
      </c>
    </row>
    <row r="499" spans="9:9" x14ac:dyDescent="0.2">
      <c r="I499" s="10" t="s">
        <v>774</v>
      </c>
    </row>
    <row r="500" spans="9:9" x14ac:dyDescent="0.2">
      <c r="I500" s="10" t="s">
        <v>776</v>
      </c>
    </row>
    <row r="501" spans="9:9" x14ac:dyDescent="0.2">
      <c r="I501" s="10" t="s">
        <v>777</v>
      </c>
    </row>
    <row r="502" spans="9:9" x14ac:dyDescent="0.2">
      <c r="I502" s="10" t="s">
        <v>778</v>
      </c>
    </row>
    <row r="503" spans="9:9" x14ac:dyDescent="0.2">
      <c r="I503" s="10" t="s">
        <v>782</v>
      </c>
    </row>
    <row r="504" spans="9:9" x14ac:dyDescent="0.2">
      <c r="I504" s="10" t="s">
        <v>784</v>
      </c>
    </row>
    <row r="505" spans="9:9" x14ac:dyDescent="0.2">
      <c r="I505" s="10" t="s">
        <v>787</v>
      </c>
    </row>
    <row r="506" spans="9:9" x14ac:dyDescent="0.2">
      <c r="I506" s="10" t="s">
        <v>788</v>
      </c>
    </row>
    <row r="507" spans="9:9" x14ac:dyDescent="0.2">
      <c r="I507" s="10" t="s">
        <v>792</v>
      </c>
    </row>
    <row r="508" spans="9:9" x14ac:dyDescent="0.2">
      <c r="I508" s="10" t="s">
        <v>793</v>
      </c>
    </row>
    <row r="509" spans="9:9" x14ac:dyDescent="0.2">
      <c r="I509" s="10" t="s">
        <v>795</v>
      </c>
    </row>
    <row r="510" spans="9:9" x14ac:dyDescent="0.2">
      <c r="I510" s="10" t="s">
        <v>2516</v>
      </c>
    </row>
    <row r="511" spans="9:9" x14ac:dyDescent="0.2">
      <c r="I511" s="10" t="s">
        <v>796</v>
      </c>
    </row>
    <row r="512" spans="9:9" x14ac:dyDescent="0.2">
      <c r="I512" s="10" t="s">
        <v>797</v>
      </c>
    </row>
    <row r="513" spans="9:9" x14ac:dyDescent="0.2">
      <c r="I513" s="10" t="s">
        <v>799</v>
      </c>
    </row>
    <row r="514" spans="9:9" x14ac:dyDescent="0.2">
      <c r="I514" s="10" t="s">
        <v>800</v>
      </c>
    </row>
    <row r="515" spans="9:9" x14ac:dyDescent="0.2">
      <c r="I515" s="10" t="s">
        <v>801</v>
      </c>
    </row>
    <row r="516" spans="9:9" x14ac:dyDescent="0.2">
      <c r="I516" s="10" t="s">
        <v>2515</v>
      </c>
    </row>
    <row r="517" spans="9:9" x14ac:dyDescent="0.2">
      <c r="I517" s="10" t="s">
        <v>804</v>
      </c>
    </row>
    <row r="518" spans="9:9" x14ac:dyDescent="0.2">
      <c r="I518" s="10" t="s">
        <v>807</v>
      </c>
    </row>
    <row r="519" spans="9:9" x14ac:dyDescent="0.2">
      <c r="I519" s="10" t="s">
        <v>2514</v>
      </c>
    </row>
    <row r="520" spans="9:9" x14ac:dyDescent="0.2">
      <c r="I520" s="10" t="s">
        <v>2507</v>
      </c>
    </row>
    <row r="521" spans="9:9" x14ac:dyDescent="0.2">
      <c r="I521" s="10" t="s">
        <v>835</v>
      </c>
    </row>
    <row r="522" spans="9:9" x14ac:dyDescent="0.2">
      <c r="I522" s="10" t="s">
        <v>837</v>
      </c>
    </row>
    <row r="523" spans="9:9" x14ac:dyDescent="0.2">
      <c r="I523" s="10" t="s">
        <v>845</v>
      </c>
    </row>
    <row r="524" spans="9:9" x14ac:dyDescent="0.2">
      <c r="I524" s="10" t="s">
        <v>2500</v>
      </c>
    </row>
    <row r="525" spans="9:9" x14ac:dyDescent="0.2">
      <c r="I525" s="10" t="s">
        <v>851</v>
      </c>
    </row>
    <row r="526" spans="9:9" x14ac:dyDescent="0.2">
      <c r="I526" s="10" t="s">
        <v>2495</v>
      </c>
    </row>
    <row r="527" spans="9:9" x14ac:dyDescent="0.2">
      <c r="I527" s="10" t="s">
        <v>854</v>
      </c>
    </row>
    <row r="528" spans="9:9" x14ac:dyDescent="0.2">
      <c r="I528" s="10" t="s">
        <v>867</v>
      </c>
    </row>
    <row r="529" spans="9:9" x14ac:dyDescent="0.2">
      <c r="I529" s="10" t="s">
        <v>2486</v>
      </c>
    </row>
    <row r="530" spans="9:9" x14ac:dyDescent="0.2">
      <c r="I530" s="10" t="s">
        <v>924</v>
      </c>
    </row>
    <row r="531" spans="9:9" x14ac:dyDescent="0.2">
      <c r="I531" s="10" t="s">
        <v>931</v>
      </c>
    </row>
    <row r="532" spans="9:9" x14ac:dyDescent="0.2">
      <c r="I532" s="10" t="s">
        <v>952</v>
      </c>
    </row>
    <row r="533" spans="9:9" x14ac:dyDescent="0.2">
      <c r="I533" s="10" t="s">
        <v>2427</v>
      </c>
    </row>
    <row r="534" spans="9:9" x14ac:dyDescent="0.2">
      <c r="I534" s="10" t="s">
        <v>2426</v>
      </c>
    </row>
    <row r="535" spans="9:9" x14ac:dyDescent="0.2">
      <c r="I535" s="10" t="s">
        <v>991</v>
      </c>
    </row>
    <row r="536" spans="9:9" x14ac:dyDescent="0.2">
      <c r="I536" s="10" t="s">
        <v>2414</v>
      </c>
    </row>
    <row r="537" spans="9:9" x14ac:dyDescent="0.2">
      <c r="I537" s="10" t="s">
        <v>2409</v>
      </c>
    </row>
    <row r="538" spans="9:9" x14ac:dyDescent="0.2">
      <c r="I538" s="10" t="s">
        <v>999</v>
      </c>
    </row>
    <row r="539" spans="9:9" x14ac:dyDescent="0.2">
      <c r="I539" s="10" t="s">
        <v>1001</v>
      </c>
    </row>
    <row r="540" spans="9:9" x14ac:dyDescent="0.2">
      <c r="I540" s="10" t="s">
        <v>2401</v>
      </c>
    </row>
    <row r="541" spans="9:9" x14ac:dyDescent="0.2">
      <c r="I541" s="10" t="s">
        <v>1007</v>
      </c>
    </row>
    <row r="542" spans="9:9" x14ac:dyDescent="0.2">
      <c r="I542" s="10" t="s">
        <v>1016</v>
      </c>
    </row>
    <row r="543" spans="9:9" x14ac:dyDescent="0.2">
      <c r="I543" s="10" t="s">
        <v>1025</v>
      </c>
    </row>
    <row r="544" spans="9:9" x14ac:dyDescent="0.2">
      <c r="I544" s="10" t="s">
        <v>1024</v>
      </c>
    </row>
    <row r="545" spans="9:9" x14ac:dyDescent="0.2">
      <c r="I545" s="10" t="s">
        <v>2377</v>
      </c>
    </row>
    <row r="546" spans="9:9" x14ac:dyDescent="0.2">
      <c r="I546" s="10" t="s">
        <v>2364</v>
      </c>
    </row>
    <row r="547" spans="9:9" x14ac:dyDescent="0.2">
      <c r="I547" s="10" t="s">
        <v>2357</v>
      </c>
    </row>
    <row r="548" spans="9:9" x14ac:dyDescent="0.2">
      <c r="I548" s="10" t="s">
        <v>1052</v>
      </c>
    </row>
    <row r="549" spans="9:9" x14ac:dyDescent="0.2">
      <c r="I549" s="10" t="s">
        <v>2356</v>
      </c>
    </row>
    <row r="550" spans="9:9" x14ac:dyDescent="0.2">
      <c r="I550" s="10" t="s">
        <v>1053</v>
      </c>
    </row>
    <row r="551" spans="9:9" x14ac:dyDescent="0.2">
      <c r="I551" s="10" t="s">
        <v>2354</v>
      </c>
    </row>
    <row r="552" spans="9:9" x14ac:dyDescent="0.2">
      <c r="I552" s="10" t="s">
        <v>2350</v>
      </c>
    </row>
    <row r="553" spans="9:9" x14ac:dyDescent="0.2">
      <c r="I553" s="10" t="s">
        <v>2349</v>
      </c>
    </row>
    <row r="554" spans="9:9" x14ac:dyDescent="0.2">
      <c r="I554" s="10" t="s">
        <v>1072</v>
      </c>
    </row>
    <row r="555" spans="9:9" x14ac:dyDescent="0.2">
      <c r="I555" s="10" t="s">
        <v>1073</v>
      </c>
    </row>
    <row r="556" spans="9:9" x14ac:dyDescent="0.2">
      <c r="I556" s="10" t="s">
        <v>2336</v>
      </c>
    </row>
    <row r="557" spans="9:9" x14ac:dyDescent="0.2">
      <c r="I557" s="10" t="s">
        <v>2335</v>
      </c>
    </row>
    <row r="558" spans="9:9" x14ac:dyDescent="0.2">
      <c r="I558" s="10" t="s">
        <v>2324</v>
      </c>
    </row>
    <row r="559" spans="9:9" x14ac:dyDescent="0.2">
      <c r="I559" s="10" t="s">
        <v>1100</v>
      </c>
    </row>
    <row r="560" spans="9:9" x14ac:dyDescent="0.2">
      <c r="I560" s="10" t="s">
        <v>2314</v>
      </c>
    </row>
    <row r="561" spans="9:9" x14ac:dyDescent="0.2">
      <c r="I561" s="10" t="s">
        <v>1115</v>
      </c>
    </row>
    <row r="562" spans="9:9" x14ac:dyDescent="0.2">
      <c r="I562" s="10" t="s">
        <v>2300</v>
      </c>
    </row>
    <row r="563" spans="9:9" x14ac:dyDescent="0.2">
      <c r="I563" s="10" t="s">
        <v>2295</v>
      </c>
    </row>
    <row r="564" spans="9:9" x14ac:dyDescent="0.2">
      <c r="I564" s="10" t="s">
        <v>2294</v>
      </c>
    </row>
    <row r="565" spans="9:9" x14ac:dyDescent="0.2">
      <c r="I565" s="10" t="s">
        <v>2283</v>
      </c>
    </row>
    <row r="566" spans="9:9" x14ac:dyDescent="0.2">
      <c r="I566" s="10" t="s">
        <v>1173</v>
      </c>
    </row>
    <row r="567" spans="9:9" x14ac:dyDescent="0.2">
      <c r="I567" s="10" t="s">
        <v>1186</v>
      </c>
    </row>
    <row r="568" spans="9:9" x14ac:dyDescent="0.2">
      <c r="I568" s="10" t="s">
        <v>1194</v>
      </c>
    </row>
    <row r="569" spans="9:9" x14ac:dyDescent="0.2">
      <c r="I569" s="10" t="s">
        <v>1205</v>
      </c>
    </row>
    <row r="570" spans="9:9" x14ac:dyDescent="0.2">
      <c r="I570" s="10" t="s">
        <v>1203</v>
      </c>
    </row>
    <row r="571" spans="9:9" x14ac:dyDescent="0.2">
      <c r="I571" s="10" t="s">
        <v>2245</v>
      </c>
    </row>
    <row r="572" spans="9:9" x14ac:dyDescent="0.2">
      <c r="I572" s="10" t="s">
        <v>1211</v>
      </c>
    </row>
    <row r="573" spans="9:9" x14ac:dyDescent="0.2">
      <c r="I573" s="10" t="s">
        <v>1213</v>
      </c>
    </row>
    <row r="574" spans="9:9" x14ac:dyDescent="0.2">
      <c r="I574" s="10" t="s">
        <v>2244</v>
      </c>
    </row>
    <row r="575" spans="9:9" x14ac:dyDescent="0.2">
      <c r="I575" s="10" t="s">
        <v>2237</v>
      </c>
    </row>
    <row r="576" spans="9:9" x14ac:dyDescent="0.2">
      <c r="I576" s="10" t="s">
        <v>1225</v>
      </c>
    </row>
    <row r="577" spans="9:9" x14ac:dyDescent="0.2">
      <c r="I577" s="10" t="s">
        <v>1227</v>
      </c>
    </row>
    <row r="578" spans="9:9" x14ac:dyDescent="0.2">
      <c r="I578" s="10" t="s">
        <v>2230</v>
      </c>
    </row>
    <row r="579" spans="9:9" x14ac:dyDescent="0.2">
      <c r="I579" s="10" t="s">
        <v>2220</v>
      </c>
    </row>
    <row r="580" spans="9:9" x14ac:dyDescent="0.2">
      <c r="I580" s="10" t="s">
        <v>2221</v>
      </c>
    </row>
    <row r="581" spans="9:9" x14ac:dyDescent="0.2">
      <c r="I581" s="10" t="s">
        <v>2218</v>
      </c>
    </row>
    <row r="582" spans="9:9" x14ac:dyDescent="0.2">
      <c r="I582" s="10" t="s">
        <v>1254</v>
      </c>
    </row>
    <row r="583" spans="9:9" x14ac:dyDescent="0.2">
      <c r="I583" s="10" t="s">
        <v>2202</v>
      </c>
    </row>
    <row r="584" spans="9:9" x14ac:dyDescent="0.2">
      <c r="I584" s="10" t="s">
        <v>1275</v>
      </c>
    </row>
    <row r="585" spans="9:9" x14ac:dyDescent="0.2">
      <c r="I585" s="10" t="s">
        <v>1283</v>
      </c>
    </row>
    <row r="586" spans="9:9" x14ac:dyDescent="0.2">
      <c r="I586" s="10" t="s">
        <v>1301</v>
      </c>
    </row>
    <row r="587" spans="9:9" x14ac:dyDescent="0.2">
      <c r="I587" s="10" t="s">
        <v>1299</v>
      </c>
    </row>
    <row r="588" spans="9:9" x14ac:dyDescent="0.2">
      <c r="I588" s="10" t="s">
        <v>1304</v>
      </c>
    </row>
    <row r="589" spans="9:9" x14ac:dyDescent="0.2">
      <c r="I589" s="10" t="s">
        <v>1313</v>
      </c>
    </row>
    <row r="590" spans="9:9" x14ac:dyDescent="0.2">
      <c r="I590" s="10" t="s">
        <v>1315</v>
      </c>
    </row>
    <row r="591" spans="9:9" x14ac:dyDescent="0.2">
      <c r="I591" s="10" t="s">
        <v>1323</v>
      </c>
    </row>
    <row r="592" spans="9:9" x14ac:dyDescent="0.2">
      <c r="I592" s="10" t="s">
        <v>1321</v>
      </c>
    </row>
    <row r="593" spans="9:9" x14ac:dyDescent="0.2">
      <c r="I593" s="10" t="s">
        <v>1318</v>
      </c>
    </row>
    <row r="594" spans="9:9" x14ac:dyDescent="0.2">
      <c r="I594" s="10" t="s">
        <v>1327</v>
      </c>
    </row>
    <row r="595" spans="9:9" x14ac:dyDescent="0.2">
      <c r="I595" s="10" t="s">
        <v>1336</v>
      </c>
    </row>
    <row r="596" spans="9:9" x14ac:dyDescent="0.2">
      <c r="I596" s="10" t="s">
        <v>1335</v>
      </c>
    </row>
    <row r="597" spans="9:9" x14ac:dyDescent="0.2">
      <c r="I597" s="10" t="s">
        <v>1329</v>
      </c>
    </row>
    <row r="598" spans="9:9" x14ac:dyDescent="0.2">
      <c r="I598" s="10" t="s">
        <v>1330</v>
      </c>
    </row>
    <row r="599" spans="9:9" x14ac:dyDescent="0.2">
      <c r="I599" s="10" t="s">
        <v>1338</v>
      </c>
    </row>
    <row r="600" spans="9:9" x14ac:dyDescent="0.2">
      <c r="I600" s="10" t="s">
        <v>1342</v>
      </c>
    </row>
    <row r="601" spans="9:9" x14ac:dyDescent="0.2">
      <c r="I601" s="10" t="s">
        <v>1343</v>
      </c>
    </row>
    <row r="602" spans="9:9" x14ac:dyDescent="0.2">
      <c r="I602" s="10" t="s">
        <v>2196</v>
      </c>
    </row>
    <row r="603" spans="9:9" x14ac:dyDescent="0.2">
      <c r="I603" s="10" t="s">
        <v>1348</v>
      </c>
    </row>
    <row r="604" spans="9:9" x14ac:dyDescent="0.2">
      <c r="I604" s="10" t="s">
        <v>1347</v>
      </c>
    </row>
    <row r="605" spans="9:9" x14ac:dyDescent="0.2">
      <c r="I605" s="10" t="s">
        <v>2195</v>
      </c>
    </row>
    <row r="606" spans="9:9" x14ac:dyDescent="0.2">
      <c r="I606" s="10" t="s">
        <v>1350</v>
      </c>
    </row>
    <row r="607" spans="9:9" x14ac:dyDescent="0.2">
      <c r="I607" s="10" t="s">
        <v>1353</v>
      </c>
    </row>
    <row r="608" spans="9:9" x14ac:dyDescent="0.2">
      <c r="I608" s="10" t="s">
        <v>1355</v>
      </c>
    </row>
    <row r="609" spans="9:9" x14ac:dyDescent="0.2">
      <c r="I609" s="10" t="s">
        <v>1359</v>
      </c>
    </row>
    <row r="610" spans="9:9" x14ac:dyDescent="0.2">
      <c r="I610" s="10" t="s">
        <v>1360</v>
      </c>
    </row>
    <row r="611" spans="9:9" x14ac:dyDescent="0.2">
      <c r="I611" s="10" t="s">
        <v>1369</v>
      </c>
    </row>
    <row r="612" spans="9:9" x14ac:dyDescent="0.2">
      <c r="I612" s="10" t="s">
        <v>1381</v>
      </c>
    </row>
    <row r="613" spans="9:9" x14ac:dyDescent="0.2">
      <c r="I613" s="10" t="s">
        <v>1378</v>
      </c>
    </row>
    <row r="614" spans="9:9" x14ac:dyDescent="0.2">
      <c r="I614" s="10" t="s">
        <v>2193</v>
      </c>
    </row>
    <row r="615" spans="9:9" x14ac:dyDescent="0.2">
      <c r="I615" s="10" t="s">
        <v>1389</v>
      </c>
    </row>
    <row r="616" spans="9:9" x14ac:dyDescent="0.2">
      <c r="I616" s="10" t="s">
        <v>1405</v>
      </c>
    </row>
    <row r="617" spans="9:9" x14ac:dyDescent="0.2">
      <c r="I617" s="10" t="s">
        <v>1406</v>
      </c>
    </row>
    <row r="618" spans="9:9" x14ac:dyDescent="0.2">
      <c r="I618" s="10" t="s">
        <v>1438</v>
      </c>
    </row>
    <row r="619" spans="9:9" x14ac:dyDescent="0.2">
      <c r="I619" s="10" t="s">
        <v>1452</v>
      </c>
    </row>
    <row r="620" spans="9:9" x14ac:dyDescent="0.2">
      <c r="I620" s="10" t="s">
        <v>1456</v>
      </c>
    </row>
    <row r="621" spans="9:9" x14ac:dyDescent="0.2">
      <c r="I621" s="10" t="s">
        <v>1462</v>
      </c>
    </row>
    <row r="622" spans="9:9" x14ac:dyDescent="0.2">
      <c r="I622" s="10" t="s">
        <v>1480</v>
      </c>
    </row>
    <row r="623" spans="9:9" x14ac:dyDescent="0.2">
      <c r="I623" s="10" t="s">
        <v>1487</v>
      </c>
    </row>
    <row r="624" spans="9:9" x14ac:dyDescent="0.2">
      <c r="I624" s="10" t="s">
        <v>1501</v>
      </c>
    </row>
    <row r="625" spans="9:9" x14ac:dyDescent="0.2">
      <c r="I625" s="10" t="s">
        <v>1521</v>
      </c>
    </row>
    <row r="626" spans="9:9" x14ac:dyDescent="0.2">
      <c r="I626" s="10" t="s">
        <v>1523</v>
      </c>
    </row>
    <row r="627" spans="9:9" x14ac:dyDescent="0.2">
      <c r="I627" s="10" t="s">
        <v>1525</v>
      </c>
    </row>
    <row r="628" spans="9:9" x14ac:dyDescent="0.2">
      <c r="I628" s="10" t="s">
        <v>1538</v>
      </c>
    </row>
    <row r="629" spans="9:9" x14ac:dyDescent="0.2">
      <c r="I629" s="10" t="s">
        <v>1542</v>
      </c>
    </row>
    <row r="630" spans="9:9" x14ac:dyDescent="0.2">
      <c r="I630" s="10" t="s">
        <v>1549</v>
      </c>
    </row>
    <row r="631" spans="9:9" x14ac:dyDescent="0.2">
      <c r="I631" s="10" t="s">
        <v>1546</v>
      </c>
    </row>
    <row r="632" spans="9:9" x14ac:dyDescent="0.2">
      <c r="I632" s="10" t="s">
        <v>1550</v>
      </c>
    </row>
    <row r="633" spans="9:9" x14ac:dyDescent="0.2">
      <c r="I633" s="10" t="s">
        <v>1557</v>
      </c>
    </row>
    <row r="634" spans="9:9" x14ac:dyDescent="0.2">
      <c r="I634" s="10" t="s">
        <v>1553</v>
      </c>
    </row>
    <row r="635" spans="9:9" x14ac:dyDescent="0.2">
      <c r="I635" s="10" t="s">
        <v>1556</v>
      </c>
    </row>
    <row r="636" spans="9:9" x14ac:dyDescent="0.2">
      <c r="I636" s="10" t="s">
        <v>1559</v>
      </c>
    </row>
    <row r="637" spans="9:9" x14ac:dyDescent="0.2">
      <c r="I637" s="10" t="s">
        <v>1565</v>
      </c>
    </row>
    <row r="638" spans="9:9" x14ac:dyDescent="0.2">
      <c r="I638" s="10" t="s">
        <v>1571</v>
      </c>
    </row>
    <row r="639" spans="9:9" x14ac:dyDescent="0.2">
      <c r="I639" s="10" t="s">
        <v>1570</v>
      </c>
    </row>
    <row r="640" spans="9:9" x14ac:dyDescent="0.2">
      <c r="I640" s="10" t="s">
        <v>1572</v>
      </c>
    </row>
    <row r="641" spans="9:9" x14ac:dyDescent="0.2">
      <c r="I641" s="10" t="s">
        <v>1582</v>
      </c>
    </row>
    <row r="642" spans="9:9" x14ac:dyDescent="0.2">
      <c r="I642" s="10" t="s">
        <v>1576</v>
      </c>
    </row>
    <row r="643" spans="9:9" x14ac:dyDescent="0.2">
      <c r="I643" s="10" t="s">
        <v>1578</v>
      </c>
    </row>
    <row r="644" spans="9:9" x14ac:dyDescent="0.2">
      <c r="I644" s="10" t="s">
        <v>1585</v>
      </c>
    </row>
    <row r="645" spans="9:9" x14ac:dyDescent="0.2">
      <c r="I645" s="10" t="s">
        <v>1587</v>
      </c>
    </row>
    <row r="646" spans="9:9" x14ac:dyDescent="0.2">
      <c r="I646" s="10" t="s">
        <v>1589</v>
      </c>
    </row>
    <row r="647" spans="9:9" x14ac:dyDescent="0.2">
      <c r="I647" s="10" t="s">
        <v>1594</v>
      </c>
    </row>
    <row r="648" spans="9:9" x14ac:dyDescent="0.2">
      <c r="I648" s="10" t="s">
        <v>1598</v>
      </c>
    </row>
    <row r="649" spans="9:9" x14ac:dyDescent="0.2">
      <c r="I649" s="10" t="s">
        <v>1600</v>
      </c>
    </row>
    <row r="650" spans="9:9" x14ac:dyDescent="0.2">
      <c r="I650" s="10" t="s">
        <v>1601</v>
      </c>
    </row>
    <row r="651" spans="9:9" x14ac:dyDescent="0.2">
      <c r="I651" s="10" t="s">
        <v>1604</v>
      </c>
    </row>
    <row r="652" spans="9:9" x14ac:dyDescent="0.2">
      <c r="I652" s="10" t="s">
        <v>1608</v>
      </c>
    </row>
    <row r="653" spans="9:9" x14ac:dyDescent="0.2">
      <c r="I653" s="10" t="s">
        <v>1610</v>
      </c>
    </row>
    <row r="654" spans="9:9" x14ac:dyDescent="0.2">
      <c r="I654" s="10" t="s">
        <v>1614</v>
      </c>
    </row>
    <row r="655" spans="9:9" x14ac:dyDescent="0.2">
      <c r="I655" s="10" t="s">
        <v>1619</v>
      </c>
    </row>
    <row r="656" spans="9:9" x14ac:dyDescent="0.2">
      <c r="I656" s="10" t="s">
        <v>1620</v>
      </c>
    </row>
    <row r="657" spans="9:9" x14ac:dyDescent="0.2">
      <c r="I657" s="10" t="s">
        <v>40</v>
      </c>
    </row>
    <row r="658" spans="9:9" x14ac:dyDescent="0.2">
      <c r="I658" s="10" t="s">
        <v>2191</v>
      </c>
    </row>
    <row r="659" spans="9:9" x14ac:dyDescent="0.2">
      <c r="I659" s="10" t="s">
        <v>1669</v>
      </c>
    </row>
    <row r="660" spans="9:9" x14ac:dyDescent="0.2">
      <c r="I660" s="10" t="s">
        <v>1672</v>
      </c>
    </row>
    <row r="661" spans="9:9" x14ac:dyDescent="0.2">
      <c r="I661" s="10" t="s">
        <v>1676</v>
      </c>
    </row>
    <row r="662" spans="9:9" x14ac:dyDescent="0.2">
      <c r="I662" s="10" t="s">
        <v>1674</v>
      </c>
    </row>
    <row r="663" spans="9:9" x14ac:dyDescent="0.2">
      <c r="I663" s="10" t="s">
        <v>1678</v>
      </c>
    </row>
    <row r="664" spans="9:9" x14ac:dyDescent="0.2">
      <c r="I664" s="10" t="s">
        <v>1687</v>
      </c>
    </row>
    <row r="665" spans="9:9" x14ac:dyDescent="0.2">
      <c r="I665" s="10" t="s">
        <v>1694</v>
      </c>
    </row>
    <row r="666" spans="9:9" x14ac:dyDescent="0.2">
      <c r="I666" s="10" t="s">
        <v>1690</v>
      </c>
    </row>
    <row r="667" spans="9:9" x14ac:dyDescent="0.2">
      <c r="I667" s="10" t="s">
        <v>1689</v>
      </c>
    </row>
    <row r="668" spans="9:9" x14ac:dyDescent="0.2">
      <c r="I668" s="10" t="s">
        <v>1696</v>
      </c>
    </row>
    <row r="669" spans="9:9" x14ac:dyDescent="0.2">
      <c r="I669" s="10" t="s">
        <v>1699</v>
      </c>
    </row>
    <row r="670" spans="9:9" x14ac:dyDescent="0.2">
      <c r="I670" s="10" t="s">
        <v>1709</v>
      </c>
    </row>
    <row r="671" spans="9:9" x14ac:dyDescent="0.2">
      <c r="I671" s="10" t="s">
        <v>1707</v>
      </c>
    </row>
    <row r="672" spans="9:9" x14ac:dyDescent="0.2">
      <c r="I672" s="10" t="s">
        <v>1711</v>
      </c>
    </row>
    <row r="673" spans="9:9" x14ac:dyDescent="0.2">
      <c r="I673" s="10" t="s">
        <v>1715</v>
      </c>
    </row>
    <row r="674" spans="9:9" x14ac:dyDescent="0.2">
      <c r="I674" s="10" t="s">
        <v>1713</v>
      </c>
    </row>
    <row r="675" spans="9:9" x14ac:dyDescent="0.2">
      <c r="I675" s="10" t="s">
        <v>1722</v>
      </c>
    </row>
    <row r="676" spans="9:9" x14ac:dyDescent="0.2">
      <c r="I676" s="10" t="s">
        <v>1721</v>
      </c>
    </row>
    <row r="677" spans="9:9" x14ac:dyDescent="0.2">
      <c r="I677" s="10" t="s">
        <v>1724</v>
      </c>
    </row>
    <row r="678" spans="9:9" x14ac:dyDescent="0.2">
      <c r="I678" s="10" t="s">
        <v>1728</v>
      </c>
    </row>
    <row r="679" spans="9:9" x14ac:dyDescent="0.2">
      <c r="I679" s="10" t="s">
        <v>1731</v>
      </c>
    </row>
    <row r="680" spans="9:9" x14ac:dyDescent="0.2">
      <c r="I680" s="10" t="s">
        <v>1739</v>
      </c>
    </row>
    <row r="681" spans="9:9" x14ac:dyDescent="0.2">
      <c r="I681" s="10" t="s">
        <v>1744</v>
      </c>
    </row>
    <row r="682" spans="9:9" x14ac:dyDescent="0.2">
      <c r="I682" s="10" t="s">
        <v>1746</v>
      </c>
    </row>
    <row r="683" spans="9:9" x14ac:dyDescent="0.2">
      <c r="I683" s="10" t="s">
        <v>1745</v>
      </c>
    </row>
    <row r="684" spans="9:9" x14ac:dyDescent="0.2">
      <c r="I684" s="10" t="s">
        <v>1751</v>
      </c>
    </row>
    <row r="685" spans="9:9" x14ac:dyDescent="0.2">
      <c r="I685" s="10" t="s">
        <v>1757</v>
      </c>
    </row>
    <row r="686" spans="9:9" x14ac:dyDescent="0.2">
      <c r="I686" s="10" t="s">
        <v>1761</v>
      </c>
    </row>
    <row r="687" spans="9:9" x14ac:dyDescent="0.2">
      <c r="I687" s="10" t="s">
        <v>1783</v>
      </c>
    </row>
    <row r="688" spans="9:9" x14ac:dyDescent="0.2">
      <c r="I688" s="10" t="s">
        <v>1785</v>
      </c>
    </row>
    <row r="689" spans="9:9" x14ac:dyDescent="0.2">
      <c r="I689" s="10" t="s">
        <v>1792</v>
      </c>
    </row>
    <row r="690" spans="9:9" x14ac:dyDescent="0.2">
      <c r="I690" s="10" t="s">
        <v>1796</v>
      </c>
    </row>
    <row r="691" spans="9:9" x14ac:dyDescent="0.2">
      <c r="I691" s="10" t="s">
        <v>1805</v>
      </c>
    </row>
    <row r="692" spans="9:9" x14ac:dyDescent="0.2">
      <c r="I692" s="10" t="s">
        <v>1799</v>
      </c>
    </row>
    <row r="693" spans="9:9" x14ac:dyDescent="0.2">
      <c r="I693" s="10" t="s">
        <v>1812</v>
      </c>
    </row>
    <row r="694" spans="9:9" x14ac:dyDescent="0.2">
      <c r="I694" s="10" t="s">
        <v>1815</v>
      </c>
    </row>
    <row r="695" spans="9:9" x14ac:dyDescent="0.2">
      <c r="I695" s="10" t="s">
        <v>1816</v>
      </c>
    </row>
    <row r="696" spans="9:9" x14ac:dyDescent="0.2">
      <c r="I696" s="10" t="s">
        <v>1814</v>
      </c>
    </row>
    <row r="697" spans="9:9" x14ac:dyDescent="0.2">
      <c r="I697" s="10" t="s">
        <v>1820</v>
      </c>
    </row>
    <row r="698" spans="9:9" x14ac:dyDescent="0.2">
      <c r="I698" s="10" t="s">
        <v>1819</v>
      </c>
    </row>
    <row r="699" spans="9:9" x14ac:dyDescent="0.2">
      <c r="I699" s="10" t="s">
        <v>1817</v>
      </c>
    </row>
    <row r="700" spans="9:9" x14ac:dyDescent="0.2">
      <c r="I700" s="10" t="s">
        <v>1824</v>
      </c>
    </row>
    <row r="701" spans="9:9" x14ac:dyDescent="0.2">
      <c r="I701" s="10" t="s">
        <v>1827</v>
      </c>
    </row>
    <row r="702" spans="9:9" x14ac:dyDescent="0.2">
      <c r="I702" s="10" t="s">
        <v>1826</v>
      </c>
    </row>
    <row r="703" spans="9:9" x14ac:dyDescent="0.2">
      <c r="I703" s="10" t="s">
        <v>2184</v>
      </c>
    </row>
    <row r="704" spans="9:9" x14ac:dyDescent="0.2">
      <c r="I704" s="10" t="s">
        <v>1833</v>
      </c>
    </row>
    <row r="705" spans="9:9" x14ac:dyDescent="0.2">
      <c r="I705" s="10" t="s">
        <v>1843</v>
      </c>
    </row>
    <row r="706" spans="9:9" x14ac:dyDescent="0.2">
      <c r="I706" s="10" t="s">
        <v>2179</v>
      </c>
    </row>
    <row r="707" spans="9:9" x14ac:dyDescent="0.2">
      <c r="I707" s="10" t="s">
        <v>1840</v>
      </c>
    </row>
    <row r="708" spans="9:9" x14ac:dyDescent="0.2">
      <c r="I708" s="10" t="s">
        <v>1849</v>
      </c>
    </row>
    <row r="709" spans="9:9" x14ac:dyDescent="0.2">
      <c r="I709" s="10" t="s">
        <v>2178</v>
      </c>
    </row>
    <row r="710" spans="9:9" x14ac:dyDescent="0.2">
      <c r="I710" s="10" t="s">
        <v>1860</v>
      </c>
    </row>
    <row r="711" spans="9:9" x14ac:dyDescent="0.2">
      <c r="I711" s="10" t="s">
        <v>1863</v>
      </c>
    </row>
    <row r="712" spans="9:9" x14ac:dyDescent="0.2">
      <c r="I712" s="10" t="s">
        <v>1864</v>
      </c>
    </row>
    <row r="713" spans="9:9" x14ac:dyDescent="0.2">
      <c r="I713" s="10" t="s">
        <v>1866</v>
      </c>
    </row>
    <row r="714" spans="9:9" x14ac:dyDescent="0.2">
      <c r="I714" s="10" t="s">
        <v>1862</v>
      </c>
    </row>
    <row r="715" spans="9:9" x14ac:dyDescent="0.2">
      <c r="I715" s="10" t="s">
        <v>1868</v>
      </c>
    </row>
    <row r="716" spans="9:9" x14ac:dyDescent="0.2">
      <c r="I716" s="10" t="s">
        <v>1859</v>
      </c>
    </row>
    <row r="717" spans="9:9" x14ac:dyDescent="0.2">
      <c r="I717" s="10" t="s">
        <v>1869</v>
      </c>
    </row>
    <row r="718" spans="9:9" x14ac:dyDescent="0.2">
      <c r="I718" s="10" t="s">
        <v>1865</v>
      </c>
    </row>
    <row r="719" spans="9:9" x14ac:dyDescent="0.2">
      <c r="I719" s="10" t="s">
        <v>2173</v>
      </c>
    </row>
    <row r="720" spans="9:9" x14ac:dyDescent="0.2">
      <c r="I720" s="10" t="s">
        <v>1886</v>
      </c>
    </row>
    <row r="721" spans="9:9" x14ac:dyDescent="0.2">
      <c r="I721" s="10" t="s">
        <v>1903</v>
      </c>
    </row>
    <row r="722" spans="9:9" x14ac:dyDescent="0.2">
      <c r="I722" s="10" t="s">
        <v>1927</v>
      </c>
    </row>
    <row r="723" spans="9:9" x14ac:dyDescent="0.2">
      <c r="I723" s="10" t="s">
        <v>1928</v>
      </c>
    </row>
    <row r="724" spans="9:9" x14ac:dyDescent="0.2">
      <c r="I724" s="10" t="s">
        <v>1955</v>
      </c>
    </row>
    <row r="725" spans="9:9" x14ac:dyDescent="0.2">
      <c r="I725" s="10" t="s">
        <v>1952</v>
      </c>
    </row>
    <row r="726" spans="9:9" x14ac:dyDescent="0.2">
      <c r="I726" s="10" t="s">
        <v>1954</v>
      </c>
    </row>
    <row r="727" spans="9:9" x14ac:dyDescent="0.2">
      <c r="I727" s="10" t="s">
        <v>2169</v>
      </c>
    </row>
    <row r="728" spans="9:9" x14ac:dyDescent="0.2">
      <c r="I728" s="10" t="s">
        <v>1957</v>
      </c>
    </row>
    <row r="729" spans="9:9" x14ac:dyDescent="0.2">
      <c r="I729" s="10" t="s">
        <v>1959</v>
      </c>
    </row>
    <row r="730" spans="9:9" x14ac:dyDescent="0.2">
      <c r="I730" s="10" t="s">
        <v>1967</v>
      </c>
    </row>
    <row r="731" spans="9:9" x14ac:dyDescent="0.2">
      <c r="I731" s="10" t="s">
        <v>1962</v>
      </c>
    </row>
    <row r="732" spans="9:9" x14ac:dyDescent="0.2">
      <c r="I732" s="10" t="s">
        <v>1965</v>
      </c>
    </row>
    <row r="733" spans="9:9" x14ac:dyDescent="0.2">
      <c r="I733" s="10" t="s">
        <v>1969</v>
      </c>
    </row>
    <row r="734" spans="9:9" x14ac:dyDescent="0.2">
      <c r="I734" s="10" t="s">
        <v>1970</v>
      </c>
    </row>
    <row r="735" spans="9:9" x14ac:dyDescent="0.2">
      <c r="I735" s="10" t="s">
        <v>1974</v>
      </c>
    </row>
    <row r="736" spans="9:9" x14ac:dyDescent="0.2">
      <c r="I736" s="10" t="s">
        <v>1983</v>
      </c>
    </row>
    <row r="737" spans="9:9" x14ac:dyDescent="0.2">
      <c r="I737" s="10" t="s">
        <v>1989</v>
      </c>
    </row>
    <row r="738" spans="9:9" x14ac:dyDescent="0.2">
      <c r="I738" s="10" t="s">
        <v>1985</v>
      </c>
    </row>
    <row r="739" spans="9:9" x14ac:dyDescent="0.2">
      <c r="I739" s="10" t="s">
        <v>1988</v>
      </c>
    </row>
    <row r="740" spans="9:9" x14ac:dyDescent="0.2">
      <c r="I740" s="10" t="s">
        <v>1998</v>
      </c>
    </row>
    <row r="741" spans="9:9" x14ac:dyDescent="0.2">
      <c r="I741" s="10" t="s">
        <v>2001</v>
      </c>
    </row>
    <row r="742" spans="9:9" x14ac:dyDescent="0.2">
      <c r="I742" s="10" t="s">
        <v>2006</v>
      </c>
    </row>
    <row r="743" spans="9:9" x14ac:dyDescent="0.2">
      <c r="I743" s="10" t="s">
        <v>2010</v>
      </c>
    </row>
    <row r="744" spans="9:9" x14ac:dyDescent="0.2">
      <c r="I744" s="10" t="s">
        <v>2029</v>
      </c>
    </row>
    <row r="745" spans="9:9" x14ac:dyDescent="0.2">
      <c r="I745" s="10" t="s">
        <v>2026</v>
      </c>
    </row>
    <row r="746" spans="9:9" x14ac:dyDescent="0.2">
      <c r="I746" s="10" t="s">
        <v>2028</v>
      </c>
    </row>
    <row r="747" spans="9:9" x14ac:dyDescent="0.2">
      <c r="I747" s="10" t="s">
        <v>2033</v>
      </c>
    </row>
    <row r="748" spans="9:9" x14ac:dyDescent="0.2">
      <c r="I748" s="10" t="s">
        <v>2032</v>
      </c>
    </row>
    <row r="749" spans="9:9" x14ac:dyDescent="0.2">
      <c r="I749" s="10" t="s">
        <v>2046</v>
      </c>
    </row>
    <row r="750" spans="9:9" x14ac:dyDescent="0.2">
      <c r="I750" s="10" t="s">
        <v>2055</v>
      </c>
    </row>
    <row r="751" spans="9:9" x14ac:dyDescent="0.2">
      <c r="I751" s="10" t="s">
        <v>2058</v>
      </c>
    </row>
    <row r="752" spans="9:9" x14ac:dyDescent="0.2">
      <c r="I752" s="10" t="s">
        <v>2063</v>
      </c>
    </row>
    <row r="753" spans="9:9" x14ac:dyDescent="0.2">
      <c r="I753" s="10" t="s">
        <v>2068</v>
      </c>
    </row>
    <row r="754" spans="9:9" x14ac:dyDescent="0.2">
      <c r="I754" s="10" t="s">
        <v>2077</v>
      </c>
    </row>
    <row r="755" spans="9:9" x14ac:dyDescent="0.2">
      <c r="I755" s="10" t="s">
        <v>2080</v>
      </c>
    </row>
    <row r="756" spans="9:9" x14ac:dyDescent="0.2">
      <c r="I756" s="10" t="s">
        <v>2100</v>
      </c>
    </row>
    <row r="757" spans="9:9" x14ac:dyDescent="0.2">
      <c r="I757" s="10" t="s">
        <v>2094</v>
      </c>
    </row>
    <row r="758" spans="9:9" x14ac:dyDescent="0.2">
      <c r="I758" s="10" t="s">
        <v>72</v>
      </c>
    </row>
    <row r="759" spans="9:9" x14ac:dyDescent="0.2">
      <c r="I759" s="10" t="s">
        <v>2105</v>
      </c>
    </row>
    <row r="760" spans="9:9" x14ac:dyDescent="0.2">
      <c r="I760" s="10" t="s">
        <v>2161</v>
      </c>
    </row>
    <row r="761" spans="9:9" x14ac:dyDescent="0.2">
      <c r="I761" s="10" t="s">
        <v>2155</v>
      </c>
    </row>
    <row r="762" spans="9:9" x14ac:dyDescent="0.2">
      <c r="I762" s="10" t="s">
        <v>2123</v>
      </c>
    </row>
    <row r="763" spans="9:9" x14ac:dyDescent="0.2">
      <c r="I763" s="10" t="s">
        <v>2157</v>
      </c>
    </row>
    <row r="764" spans="9:9" x14ac:dyDescent="0.2">
      <c r="I764" s="10" t="s">
        <v>2149</v>
      </c>
    </row>
    <row r="765" spans="9:9" x14ac:dyDescent="0.2">
      <c r="I765" s="10" t="s">
        <v>2144</v>
      </c>
    </row>
    <row r="766" spans="9:9" x14ac:dyDescent="0.2">
      <c r="I766" s="10" t="s">
        <v>2131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62D9B-F59B-2943-AD81-8EE0104D2854}">
  <dimension ref="A1:XFD698"/>
  <sheetViews>
    <sheetView topLeftCell="A76" workbookViewId="0">
      <selection activeCell="H82" sqref="H82"/>
    </sheetView>
  </sheetViews>
  <sheetFormatPr baseColWidth="10" defaultRowHeight="17" x14ac:dyDescent="0.25"/>
  <cols>
    <col min="1" max="1" width="29.6640625" style="54" bestFit="1" customWidth="1"/>
    <col min="2" max="2" width="115.33203125" style="54" bestFit="1" customWidth="1"/>
    <col min="3" max="16384" width="10.83203125" style="10"/>
  </cols>
  <sheetData>
    <row r="1" spans="1:2" ht="18" x14ac:dyDescent="0.2">
      <c r="A1" s="38" t="s">
        <v>2876</v>
      </c>
      <c r="B1" s="38" t="s">
        <v>2877</v>
      </c>
    </row>
    <row r="2" spans="1:2" ht="18" x14ac:dyDescent="0.2">
      <c r="A2" s="39" t="s">
        <v>2878</v>
      </c>
      <c r="B2" s="40"/>
    </row>
    <row r="3" spans="1:2" ht="18" x14ac:dyDescent="0.2">
      <c r="A3" s="41" t="s">
        <v>2879</v>
      </c>
      <c r="B3" s="41" t="s">
        <v>2880</v>
      </c>
    </row>
    <row r="4" spans="1:2" ht="36" x14ac:dyDescent="0.2">
      <c r="A4" s="42" t="s">
        <v>2881</v>
      </c>
      <c r="B4" s="42" t="s">
        <v>2882</v>
      </c>
    </row>
    <row r="5" spans="1:2" ht="18" x14ac:dyDescent="0.2">
      <c r="A5" s="42" t="s">
        <v>2883</v>
      </c>
      <c r="B5" s="42" t="s">
        <v>2884</v>
      </c>
    </row>
    <row r="6" spans="1:2" ht="18" x14ac:dyDescent="0.2">
      <c r="A6" s="42" t="s">
        <v>2885</v>
      </c>
      <c r="B6" s="42" t="s">
        <v>2886</v>
      </c>
    </row>
    <row r="7" spans="1:2" ht="18" x14ac:dyDescent="0.2">
      <c r="A7" s="42" t="s">
        <v>2887</v>
      </c>
      <c r="B7" s="42" t="s">
        <v>2888</v>
      </c>
    </row>
    <row r="8" spans="1:2" ht="18" x14ac:dyDescent="0.2">
      <c r="A8" s="42" t="s">
        <v>2889</v>
      </c>
      <c r="B8" s="42" t="s">
        <v>2890</v>
      </c>
    </row>
    <row r="9" spans="1:2" ht="18" x14ac:dyDescent="0.2">
      <c r="A9" s="42" t="s">
        <v>2891</v>
      </c>
      <c r="B9" s="42" t="s">
        <v>2892</v>
      </c>
    </row>
    <row r="10" spans="1:2" ht="18" x14ac:dyDescent="0.2">
      <c r="A10" s="42" t="s">
        <v>2893</v>
      </c>
      <c r="B10" s="42" t="s">
        <v>2894</v>
      </c>
    </row>
    <row r="11" spans="1:2" ht="18" x14ac:dyDescent="0.2">
      <c r="A11" s="42" t="s">
        <v>2895</v>
      </c>
      <c r="B11" s="42" t="s">
        <v>2896</v>
      </c>
    </row>
    <row r="12" spans="1:2" ht="18" x14ac:dyDescent="0.2">
      <c r="A12" s="42" t="s">
        <v>2897</v>
      </c>
      <c r="B12" s="42" t="s">
        <v>2898</v>
      </c>
    </row>
    <row r="13" spans="1:2" ht="18" x14ac:dyDescent="0.2">
      <c r="A13" s="42" t="s">
        <v>2899</v>
      </c>
      <c r="B13" s="42" t="s">
        <v>2900</v>
      </c>
    </row>
    <row r="14" spans="1:2" ht="18" x14ac:dyDescent="0.2">
      <c r="A14" s="42" t="s">
        <v>2901</v>
      </c>
      <c r="B14" s="42" t="s">
        <v>2902</v>
      </c>
    </row>
    <row r="15" spans="1:2" ht="18" x14ac:dyDescent="0.2">
      <c r="A15" s="42" t="s">
        <v>2903</v>
      </c>
      <c r="B15" s="42" t="s">
        <v>2904</v>
      </c>
    </row>
    <row r="16" spans="1:2" ht="18" x14ac:dyDescent="0.2">
      <c r="A16" s="42" t="s">
        <v>2905</v>
      </c>
      <c r="B16" s="42" t="s">
        <v>2906</v>
      </c>
    </row>
    <row r="17" spans="1:2" ht="18" x14ac:dyDescent="0.2">
      <c r="A17" s="42" t="s">
        <v>2907</v>
      </c>
      <c r="B17" s="42" t="s">
        <v>2908</v>
      </c>
    </row>
    <row r="18" spans="1:2" ht="18" x14ac:dyDescent="0.2">
      <c r="A18" s="42" t="s">
        <v>2909</v>
      </c>
      <c r="B18" s="42" t="s">
        <v>2910</v>
      </c>
    </row>
    <row r="19" spans="1:2" ht="18" x14ac:dyDescent="0.2">
      <c r="A19" s="42" t="s">
        <v>2911</v>
      </c>
      <c r="B19" s="42" t="s">
        <v>2912</v>
      </c>
    </row>
    <row r="20" spans="1:2" ht="18" x14ac:dyDescent="0.2">
      <c r="A20" s="42" t="s">
        <v>2913</v>
      </c>
      <c r="B20" s="42" t="s">
        <v>2914</v>
      </c>
    </row>
    <row r="21" spans="1:2" ht="18" x14ac:dyDescent="0.2">
      <c r="A21" s="42" t="s">
        <v>2915</v>
      </c>
      <c r="B21" s="42" t="s">
        <v>2916</v>
      </c>
    </row>
    <row r="22" spans="1:2" ht="18" x14ac:dyDescent="0.2">
      <c r="A22" s="43" t="s">
        <v>2917</v>
      </c>
      <c r="B22" s="43" t="s">
        <v>2918</v>
      </c>
    </row>
    <row r="23" spans="1:2" ht="18" x14ac:dyDescent="0.2">
      <c r="A23" s="39" t="s">
        <v>2919</v>
      </c>
      <c r="B23" s="44"/>
    </row>
    <row r="24" spans="1:2" ht="18" x14ac:dyDescent="0.25">
      <c r="A24" s="58" t="s">
        <v>4255</v>
      </c>
      <c r="B24" s="57" t="s">
        <v>4259</v>
      </c>
    </row>
    <row r="25" spans="1:2" ht="18" x14ac:dyDescent="0.25">
      <c r="A25" s="58" t="s">
        <v>4256</v>
      </c>
      <c r="B25" s="57" t="s">
        <v>4260</v>
      </c>
    </row>
    <row r="26" spans="1:2" ht="18" x14ac:dyDescent="0.25">
      <c r="A26" s="45" t="s">
        <v>4261</v>
      </c>
      <c r="B26" s="57" t="s">
        <v>4257</v>
      </c>
    </row>
    <row r="27" spans="1:2" ht="18" x14ac:dyDescent="0.25">
      <c r="A27" s="47" t="s">
        <v>4262</v>
      </c>
      <c r="B27" s="57" t="s">
        <v>4258</v>
      </c>
    </row>
    <row r="28" spans="1:2" ht="18" x14ac:dyDescent="0.25">
      <c r="A28" s="45" t="s">
        <v>4239</v>
      </c>
      <c r="B28" s="57" t="s">
        <v>4241</v>
      </c>
    </row>
    <row r="29" spans="1:2" ht="18" x14ac:dyDescent="0.25">
      <c r="A29" s="47" t="s">
        <v>4240</v>
      </c>
      <c r="B29" s="57" t="s">
        <v>4242</v>
      </c>
    </row>
    <row r="30" spans="1:2" ht="18" x14ac:dyDescent="0.25">
      <c r="A30" s="45" t="s">
        <v>4195</v>
      </c>
      <c r="B30" s="57" t="s">
        <v>4197</v>
      </c>
    </row>
    <row r="31" spans="1:2" ht="18" x14ac:dyDescent="0.25">
      <c r="A31" s="47" t="s">
        <v>4196</v>
      </c>
      <c r="B31" s="57" t="s">
        <v>4198</v>
      </c>
    </row>
    <row r="32" spans="1:2" ht="18" x14ac:dyDescent="0.25">
      <c r="A32" s="45" t="s">
        <v>4200</v>
      </c>
      <c r="B32" s="57" t="s">
        <v>4201</v>
      </c>
    </row>
    <row r="33" spans="1:2" ht="18" x14ac:dyDescent="0.25">
      <c r="A33" s="47" t="s">
        <v>4199</v>
      </c>
      <c r="B33" s="57" t="s">
        <v>4202</v>
      </c>
    </row>
    <row r="34" spans="1:2" ht="18" x14ac:dyDescent="0.25">
      <c r="A34" s="45" t="s">
        <v>4191</v>
      </c>
      <c r="B34" s="57" t="s">
        <v>4193</v>
      </c>
    </row>
    <row r="35" spans="1:2" ht="18" x14ac:dyDescent="0.25">
      <c r="A35" s="47" t="s">
        <v>4192</v>
      </c>
      <c r="B35" s="57" t="s">
        <v>4194</v>
      </c>
    </row>
    <row r="36" spans="1:2" ht="18" x14ac:dyDescent="0.25">
      <c r="A36" s="45" t="s">
        <v>4243</v>
      </c>
      <c r="B36" s="57" t="s">
        <v>4245</v>
      </c>
    </row>
    <row r="37" spans="1:2" ht="18" x14ac:dyDescent="0.25">
      <c r="A37" s="47" t="s">
        <v>4244</v>
      </c>
      <c r="B37" s="57" t="s">
        <v>4246</v>
      </c>
    </row>
    <row r="38" spans="1:2" ht="18" x14ac:dyDescent="0.25">
      <c r="A38" s="45" t="s">
        <v>4211</v>
      </c>
      <c r="B38" s="57" t="s">
        <v>4212</v>
      </c>
    </row>
    <row r="39" spans="1:2" ht="18" x14ac:dyDescent="0.25">
      <c r="A39" s="47" t="s">
        <v>4213</v>
      </c>
      <c r="B39" s="57" t="s">
        <v>4214</v>
      </c>
    </row>
    <row r="40" spans="1:2" ht="18" x14ac:dyDescent="0.25">
      <c r="A40" s="45" t="s">
        <v>4263</v>
      </c>
      <c r="B40" s="57" t="s">
        <v>4265</v>
      </c>
    </row>
    <row r="41" spans="1:2" ht="18" x14ac:dyDescent="0.25">
      <c r="A41" s="47" t="s">
        <v>4264</v>
      </c>
      <c r="B41" s="57" t="s">
        <v>4266</v>
      </c>
    </row>
    <row r="42" spans="1:2" ht="18" x14ac:dyDescent="0.25">
      <c r="A42" s="45" t="s">
        <v>4203</v>
      </c>
      <c r="B42" s="57" t="s">
        <v>4205</v>
      </c>
    </row>
    <row r="43" spans="1:2" ht="18" x14ac:dyDescent="0.25">
      <c r="A43" s="47" t="s">
        <v>4204</v>
      </c>
      <c r="B43" s="57" t="s">
        <v>4206</v>
      </c>
    </row>
    <row r="44" spans="1:2" ht="18" x14ac:dyDescent="0.25">
      <c r="A44" s="45" t="s">
        <v>2980</v>
      </c>
      <c r="B44" s="57" t="s">
        <v>4231</v>
      </c>
    </row>
    <row r="45" spans="1:2" ht="18" x14ac:dyDescent="0.25">
      <c r="A45" s="47" t="s">
        <v>2982</v>
      </c>
      <c r="B45" s="57" t="s">
        <v>4232</v>
      </c>
    </row>
    <row r="46" spans="1:2" ht="18" x14ac:dyDescent="0.25">
      <c r="A46" s="45" t="s">
        <v>2984</v>
      </c>
      <c r="B46" s="57" t="s">
        <v>4233</v>
      </c>
    </row>
    <row r="47" spans="1:2" ht="18" x14ac:dyDescent="0.25">
      <c r="A47" s="47" t="s">
        <v>2986</v>
      </c>
      <c r="B47" s="57" t="s">
        <v>4234</v>
      </c>
    </row>
    <row r="48" spans="1:2" ht="18" x14ac:dyDescent="0.25">
      <c r="A48" s="45" t="s">
        <v>4207</v>
      </c>
      <c r="B48" s="57" t="s">
        <v>4209</v>
      </c>
    </row>
    <row r="49" spans="1:16384" ht="18" x14ac:dyDescent="0.25">
      <c r="A49" s="47" t="s">
        <v>4208</v>
      </c>
      <c r="B49" s="57" t="s">
        <v>4210</v>
      </c>
    </row>
    <row r="50" spans="1:16384" ht="18" x14ac:dyDescent="0.25">
      <c r="A50" s="45" t="s">
        <v>4235</v>
      </c>
      <c r="B50" s="57" t="s">
        <v>4237</v>
      </c>
    </row>
    <row r="51" spans="1:16384" ht="18" x14ac:dyDescent="0.25">
      <c r="A51" s="47" t="s">
        <v>4236</v>
      </c>
      <c r="B51" s="57" t="s">
        <v>4238</v>
      </c>
    </row>
    <row r="52" spans="1:16384" ht="18" x14ac:dyDescent="0.25">
      <c r="A52" s="45" t="s">
        <v>4267</v>
      </c>
      <c r="B52" s="57" t="s">
        <v>4269</v>
      </c>
    </row>
    <row r="53" spans="1:16384" ht="18" x14ac:dyDescent="0.25">
      <c r="A53" s="47" t="s">
        <v>4268</v>
      </c>
      <c r="B53" s="57" t="s">
        <v>4270</v>
      </c>
      <c r="C53" s="49"/>
      <c r="D53" s="50"/>
      <c r="E53" s="49"/>
      <c r="F53" s="50"/>
      <c r="G53" s="49"/>
      <c r="H53" s="50"/>
      <c r="I53" s="49"/>
      <c r="J53" s="50"/>
      <c r="K53" s="49"/>
      <c r="L53" s="50"/>
      <c r="M53" s="49"/>
      <c r="N53" s="50"/>
      <c r="O53" s="49"/>
      <c r="P53" s="50"/>
      <c r="Q53" s="49"/>
      <c r="R53" s="50"/>
      <c r="S53" s="49"/>
      <c r="T53" s="50"/>
      <c r="U53" s="49"/>
      <c r="V53" s="50"/>
      <c r="W53" s="49"/>
      <c r="X53" s="50"/>
      <c r="Y53" s="49"/>
      <c r="Z53" s="50"/>
      <c r="AA53" s="49"/>
      <c r="AB53" s="50"/>
      <c r="AC53" s="49"/>
      <c r="AD53" s="50"/>
      <c r="AE53" s="49"/>
      <c r="AF53" s="50"/>
      <c r="AG53" s="49"/>
      <c r="AH53" s="50"/>
      <c r="AI53" s="49"/>
      <c r="AJ53" s="50"/>
      <c r="AK53" s="49"/>
      <c r="AL53" s="50"/>
      <c r="AM53" s="49"/>
      <c r="AN53" s="50"/>
      <c r="AO53" s="49"/>
      <c r="AP53" s="50"/>
      <c r="AQ53" s="49"/>
      <c r="AR53" s="50"/>
      <c r="AS53" s="49"/>
      <c r="AT53" s="50"/>
      <c r="AU53" s="49"/>
      <c r="AV53" s="50"/>
      <c r="AW53" s="49"/>
      <c r="AX53" s="50"/>
      <c r="AY53" s="49"/>
      <c r="AZ53" s="50"/>
      <c r="BA53" s="49"/>
      <c r="BB53" s="50"/>
      <c r="BC53" s="49"/>
      <c r="BD53" s="50"/>
      <c r="BE53" s="49"/>
      <c r="BF53" s="50"/>
      <c r="BG53" s="49"/>
      <c r="BH53" s="50"/>
      <c r="BI53" s="49"/>
      <c r="BJ53" s="50"/>
      <c r="BK53" s="49"/>
      <c r="BL53" s="50"/>
      <c r="BM53" s="49"/>
      <c r="BN53" s="50"/>
      <c r="BO53" s="49"/>
      <c r="BP53" s="50"/>
      <c r="BQ53" s="49"/>
      <c r="BR53" s="50"/>
      <c r="BS53" s="49"/>
      <c r="BT53" s="50"/>
      <c r="BU53" s="49"/>
      <c r="BV53" s="50"/>
      <c r="BW53" s="49"/>
      <c r="BX53" s="50"/>
      <c r="BY53" s="49"/>
      <c r="BZ53" s="50"/>
      <c r="CA53" s="49"/>
      <c r="CB53" s="50"/>
      <c r="CC53" s="49"/>
      <c r="CD53" s="50"/>
      <c r="CE53" s="49"/>
      <c r="CF53" s="50"/>
      <c r="CG53" s="49"/>
      <c r="CH53" s="50"/>
      <c r="CI53" s="49"/>
      <c r="CJ53" s="50"/>
      <c r="CK53" s="49"/>
      <c r="CL53" s="50"/>
      <c r="CM53" s="49"/>
      <c r="CN53" s="50"/>
      <c r="CO53" s="49"/>
      <c r="CP53" s="50"/>
      <c r="CQ53" s="49"/>
      <c r="CR53" s="50"/>
      <c r="CS53" s="49"/>
      <c r="CT53" s="50"/>
      <c r="CU53" s="49"/>
      <c r="CV53" s="50"/>
      <c r="CW53" s="49"/>
      <c r="CX53" s="50"/>
      <c r="CY53" s="49"/>
      <c r="CZ53" s="50"/>
      <c r="DA53" s="49"/>
      <c r="DB53" s="50"/>
      <c r="DC53" s="49"/>
      <c r="DD53" s="50"/>
      <c r="DE53" s="49"/>
      <c r="DF53" s="50"/>
      <c r="DG53" s="49"/>
      <c r="DH53" s="50"/>
      <c r="DI53" s="49"/>
      <c r="DJ53" s="50"/>
      <c r="DK53" s="49"/>
      <c r="DL53" s="50"/>
      <c r="DM53" s="49"/>
      <c r="DN53" s="50"/>
      <c r="DO53" s="49"/>
      <c r="DP53" s="50"/>
      <c r="DQ53" s="49"/>
      <c r="DR53" s="50"/>
      <c r="DS53" s="49"/>
      <c r="DT53" s="50"/>
      <c r="DU53" s="49"/>
      <c r="DV53" s="50"/>
      <c r="DW53" s="49"/>
      <c r="DX53" s="50"/>
      <c r="DY53" s="49"/>
      <c r="DZ53" s="50"/>
      <c r="EA53" s="49"/>
      <c r="EB53" s="50"/>
      <c r="EC53" s="49"/>
      <c r="ED53" s="50"/>
      <c r="EE53" s="49"/>
      <c r="EF53" s="50"/>
      <c r="EG53" s="49"/>
      <c r="EH53" s="50"/>
      <c r="EI53" s="49"/>
      <c r="EJ53" s="50"/>
      <c r="EK53" s="49"/>
      <c r="EL53" s="50"/>
      <c r="EM53" s="49"/>
      <c r="EN53" s="50"/>
      <c r="EO53" s="49"/>
      <c r="EP53" s="50"/>
      <c r="EQ53" s="49"/>
      <c r="ER53" s="50"/>
      <c r="ES53" s="49"/>
      <c r="ET53" s="50"/>
      <c r="EU53" s="49"/>
      <c r="EV53" s="50"/>
      <c r="EW53" s="49"/>
      <c r="EX53" s="50"/>
      <c r="EY53" s="49"/>
      <c r="EZ53" s="50"/>
      <c r="FA53" s="49"/>
      <c r="FB53" s="50"/>
      <c r="FC53" s="49"/>
      <c r="FD53" s="50"/>
      <c r="FE53" s="49"/>
      <c r="FF53" s="50"/>
      <c r="FG53" s="49"/>
      <c r="FH53" s="50"/>
      <c r="FI53" s="49"/>
      <c r="FJ53" s="50"/>
      <c r="FK53" s="49"/>
      <c r="FL53" s="50"/>
      <c r="FM53" s="49"/>
      <c r="FN53" s="50"/>
      <c r="FO53" s="49"/>
      <c r="FP53" s="50"/>
      <c r="FQ53" s="49"/>
      <c r="FR53" s="50"/>
      <c r="FS53" s="49"/>
      <c r="FT53" s="50"/>
      <c r="FU53" s="49"/>
      <c r="FV53" s="50"/>
      <c r="FW53" s="49"/>
      <c r="FX53" s="50"/>
      <c r="FY53" s="49"/>
      <c r="FZ53" s="50"/>
      <c r="GA53" s="49"/>
      <c r="GB53" s="50"/>
      <c r="GC53" s="49"/>
      <c r="GD53" s="50"/>
      <c r="GE53" s="49"/>
      <c r="GF53" s="50"/>
      <c r="GG53" s="49"/>
      <c r="GH53" s="50"/>
      <c r="GI53" s="49"/>
      <c r="GJ53" s="50"/>
      <c r="GK53" s="49"/>
      <c r="GL53" s="50"/>
      <c r="GM53" s="49"/>
      <c r="GN53" s="50"/>
      <c r="GO53" s="49"/>
      <c r="GP53" s="50"/>
      <c r="GQ53" s="49"/>
      <c r="GR53" s="50"/>
      <c r="GS53" s="49"/>
      <c r="GT53" s="50"/>
      <c r="GU53" s="49"/>
      <c r="GV53" s="50"/>
      <c r="GW53" s="49"/>
      <c r="GX53" s="50"/>
      <c r="GY53" s="49"/>
      <c r="GZ53" s="50"/>
      <c r="HA53" s="49"/>
      <c r="HB53" s="50"/>
      <c r="HC53" s="49"/>
      <c r="HD53" s="50"/>
      <c r="HE53" s="49"/>
      <c r="HF53" s="50"/>
      <c r="HG53" s="49"/>
      <c r="HH53" s="50"/>
      <c r="HI53" s="49"/>
      <c r="HJ53" s="50"/>
      <c r="HK53" s="49"/>
      <c r="HL53" s="50"/>
      <c r="HM53" s="49"/>
      <c r="HN53" s="50"/>
      <c r="HO53" s="49"/>
      <c r="HP53" s="50"/>
      <c r="HQ53" s="49"/>
      <c r="HR53" s="50"/>
      <c r="HS53" s="49"/>
      <c r="HT53" s="50"/>
      <c r="HU53" s="49"/>
      <c r="HV53" s="50"/>
      <c r="HW53" s="49"/>
      <c r="HX53" s="50"/>
      <c r="HY53" s="49"/>
      <c r="HZ53" s="50"/>
      <c r="IA53" s="49"/>
      <c r="IB53" s="50"/>
      <c r="IC53" s="49"/>
      <c r="ID53" s="50"/>
      <c r="IE53" s="49"/>
      <c r="IF53" s="50"/>
      <c r="IG53" s="49"/>
      <c r="IH53" s="50"/>
      <c r="II53" s="49"/>
      <c r="IJ53" s="50"/>
      <c r="IK53" s="49"/>
      <c r="IL53" s="50"/>
      <c r="IM53" s="49"/>
      <c r="IN53" s="50"/>
      <c r="IO53" s="49"/>
      <c r="IP53" s="50"/>
      <c r="IQ53" s="49"/>
      <c r="IR53" s="50"/>
      <c r="IS53" s="49"/>
      <c r="IT53" s="50"/>
      <c r="IU53" s="49"/>
      <c r="IV53" s="50"/>
      <c r="IW53" s="49"/>
      <c r="IX53" s="50"/>
      <c r="IY53" s="49"/>
      <c r="IZ53" s="50"/>
      <c r="JA53" s="49"/>
      <c r="JB53" s="50"/>
      <c r="JC53" s="49"/>
      <c r="JD53" s="50"/>
      <c r="JE53" s="49"/>
      <c r="JF53" s="50"/>
      <c r="JG53" s="49"/>
      <c r="JH53" s="50"/>
      <c r="JI53" s="49"/>
      <c r="JJ53" s="50"/>
      <c r="JK53" s="49"/>
      <c r="JL53" s="50"/>
      <c r="JM53" s="49"/>
      <c r="JN53" s="50"/>
      <c r="JO53" s="49"/>
      <c r="JP53" s="50"/>
      <c r="JQ53" s="49"/>
      <c r="JR53" s="50"/>
      <c r="JS53" s="49"/>
      <c r="JT53" s="50"/>
      <c r="JU53" s="49"/>
      <c r="JV53" s="50"/>
      <c r="JW53" s="49"/>
      <c r="JX53" s="50"/>
      <c r="JY53" s="49"/>
      <c r="JZ53" s="50"/>
      <c r="KA53" s="49"/>
      <c r="KB53" s="50"/>
      <c r="KC53" s="49"/>
      <c r="KD53" s="50"/>
      <c r="KE53" s="49"/>
      <c r="KF53" s="50"/>
      <c r="KG53" s="49"/>
      <c r="KH53" s="50"/>
      <c r="KI53" s="49"/>
      <c r="KJ53" s="50"/>
      <c r="KK53" s="49"/>
      <c r="KL53" s="50"/>
      <c r="KM53" s="49"/>
      <c r="KN53" s="50"/>
      <c r="KO53" s="49"/>
      <c r="KP53" s="50"/>
      <c r="KQ53" s="49"/>
      <c r="KR53" s="50"/>
      <c r="KS53" s="49"/>
      <c r="KT53" s="50"/>
      <c r="KU53" s="49"/>
      <c r="KV53" s="50"/>
      <c r="KW53" s="49"/>
      <c r="KX53" s="50"/>
      <c r="KY53" s="49"/>
      <c r="KZ53" s="50"/>
      <c r="LA53" s="49"/>
      <c r="LB53" s="50"/>
      <c r="LC53" s="49"/>
      <c r="LD53" s="50"/>
      <c r="LE53" s="49"/>
      <c r="LF53" s="50"/>
      <c r="LG53" s="49"/>
      <c r="LH53" s="50"/>
      <c r="LI53" s="49"/>
      <c r="LJ53" s="50"/>
      <c r="LK53" s="49"/>
      <c r="LL53" s="50"/>
      <c r="LM53" s="49"/>
      <c r="LN53" s="50"/>
      <c r="LO53" s="49"/>
      <c r="LP53" s="50"/>
      <c r="LQ53" s="49"/>
      <c r="LR53" s="50"/>
      <c r="LS53" s="49"/>
      <c r="LT53" s="50"/>
      <c r="LU53" s="49"/>
      <c r="LV53" s="50"/>
      <c r="LW53" s="49"/>
      <c r="LX53" s="50"/>
      <c r="LY53" s="49"/>
      <c r="LZ53" s="50"/>
      <c r="MA53" s="49"/>
      <c r="MB53" s="50"/>
      <c r="MC53" s="49"/>
      <c r="MD53" s="50"/>
      <c r="ME53" s="49"/>
      <c r="MF53" s="50"/>
      <c r="MG53" s="49"/>
      <c r="MH53" s="50"/>
      <c r="MI53" s="49"/>
      <c r="MJ53" s="50"/>
      <c r="MK53" s="49"/>
      <c r="ML53" s="50"/>
      <c r="MM53" s="49"/>
      <c r="MN53" s="50"/>
      <c r="MO53" s="49"/>
      <c r="MP53" s="50"/>
      <c r="MQ53" s="49"/>
      <c r="MR53" s="50"/>
      <c r="MS53" s="49"/>
      <c r="MT53" s="50"/>
      <c r="MU53" s="49"/>
      <c r="MV53" s="50"/>
      <c r="MW53" s="49"/>
      <c r="MX53" s="50"/>
      <c r="MY53" s="49"/>
      <c r="MZ53" s="50"/>
      <c r="NA53" s="49"/>
      <c r="NB53" s="50"/>
      <c r="NC53" s="49"/>
      <c r="ND53" s="50"/>
      <c r="NE53" s="49"/>
      <c r="NF53" s="50"/>
      <c r="NG53" s="49"/>
      <c r="NH53" s="50"/>
      <c r="NI53" s="49"/>
      <c r="NJ53" s="50"/>
      <c r="NK53" s="49"/>
      <c r="NL53" s="50"/>
      <c r="NM53" s="49"/>
      <c r="NN53" s="50"/>
      <c r="NO53" s="49"/>
      <c r="NP53" s="50"/>
      <c r="NQ53" s="49"/>
      <c r="NR53" s="50"/>
      <c r="NS53" s="49"/>
      <c r="NT53" s="50"/>
      <c r="NU53" s="49"/>
      <c r="NV53" s="50"/>
      <c r="NW53" s="49"/>
      <c r="NX53" s="50"/>
      <c r="NY53" s="49"/>
      <c r="NZ53" s="50"/>
      <c r="OA53" s="49"/>
      <c r="OB53" s="50"/>
      <c r="OC53" s="49"/>
      <c r="OD53" s="50"/>
      <c r="OE53" s="49"/>
      <c r="OF53" s="50"/>
      <c r="OG53" s="49"/>
      <c r="OH53" s="50"/>
      <c r="OI53" s="49"/>
      <c r="OJ53" s="50"/>
      <c r="OK53" s="49"/>
      <c r="OL53" s="50"/>
      <c r="OM53" s="49"/>
      <c r="ON53" s="50"/>
      <c r="OO53" s="49"/>
      <c r="OP53" s="50"/>
      <c r="OQ53" s="49"/>
      <c r="OR53" s="50"/>
      <c r="OS53" s="49"/>
      <c r="OT53" s="50"/>
      <c r="OU53" s="49"/>
      <c r="OV53" s="50"/>
      <c r="OW53" s="49"/>
      <c r="OX53" s="50"/>
      <c r="OY53" s="49"/>
      <c r="OZ53" s="50"/>
      <c r="PA53" s="49"/>
      <c r="PB53" s="50"/>
      <c r="PC53" s="49"/>
      <c r="PD53" s="50"/>
      <c r="PE53" s="49"/>
      <c r="PF53" s="50"/>
      <c r="PG53" s="49"/>
      <c r="PH53" s="50"/>
      <c r="PI53" s="49"/>
      <c r="PJ53" s="50"/>
      <c r="PK53" s="49"/>
      <c r="PL53" s="50"/>
      <c r="PM53" s="49"/>
      <c r="PN53" s="50"/>
      <c r="PO53" s="49"/>
      <c r="PP53" s="50"/>
      <c r="PQ53" s="49"/>
      <c r="PR53" s="50"/>
      <c r="PS53" s="49"/>
      <c r="PT53" s="50"/>
      <c r="PU53" s="49"/>
      <c r="PV53" s="50"/>
      <c r="PW53" s="49"/>
      <c r="PX53" s="50"/>
      <c r="PY53" s="49"/>
      <c r="PZ53" s="50"/>
      <c r="QA53" s="49"/>
      <c r="QB53" s="50"/>
      <c r="QC53" s="49"/>
      <c r="QD53" s="50"/>
      <c r="QE53" s="49"/>
      <c r="QF53" s="50"/>
      <c r="QG53" s="49"/>
      <c r="QH53" s="50"/>
      <c r="QI53" s="49"/>
      <c r="QJ53" s="50"/>
      <c r="QK53" s="49"/>
      <c r="QL53" s="50"/>
      <c r="QM53" s="49"/>
      <c r="QN53" s="50"/>
      <c r="QO53" s="49"/>
      <c r="QP53" s="50"/>
      <c r="QQ53" s="49"/>
      <c r="QR53" s="50"/>
      <c r="QS53" s="49"/>
      <c r="QT53" s="50"/>
      <c r="QU53" s="49"/>
      <c r="QV53" s="50"/>
      <c r="QW53" s="49"/>
      <c r="QX53" s="50"/>
      <c r="QY53" s="49"/>
      <c r="QZ53" s="50"/>
      <c r="RA53" s="49"/>
      <c r="RB53" s="50"/>
      <c r="RC53" s="49"/>
      <c r="RD53" s="50"/>
      <c r="RE53" s="49"/>
      <c r="RF53" s="50"/>
      <c r="RG53" s="49"/>
      <c r="RH53" s="50"/>
      <c r="RI53" s="49"/>
      <c r="RJ53" s="50"/>
      <c r="RK53" s="49"/>
      <c r="RL53" s="50"/>
      <c r="RM53" s="49"/>
      <c r="RN53" s="50"/>
      <c r="RO53" s="49"/>
      <c r="RP53" s="50"/>
      <c r="RQ53" s="49"/>
      <c r="RR53" s="50"/>
      <c r="RS53" s="49"/>
      <c r="RT53" s="50"/>
      <c r="RU53" s="49"/>
      <c r="RV53" s="50"/>
      <c r="RW53" s="49"/>
      <c r="RX53" s="50"/>
      <c r="RY53" s="49"/>
      <c r="RZ53" s="50"/>
      <c r="SA53" s="49"/>
      <c r="SB53" s="50"/>
      <c r="SC53" s="49"/>
      <c r="SD53" s="50"/>
      <c r="SE53" s="49"/>
      <c r="SF53" s="50"/>
      <c r="SG53" s="49"/>
      <c r="SH53" s="50"/>
      <c r="SI53" s="49"/>
      <c r="SJ53" s="50"/>
      <c r="SK53" s="49"/>
      <c r="SL53" s="50"/>
      <c r="SM53" s="49"/>
      <c r="SN53" s="50"/>
      <c r="SO53" s="49"/>
      <c r="SP53" s="50"/>
      <c r="SQ53" s="49"/>
      <c r="SR53" s="50"/>
      <c r="SS53" s="49"/>
      <c r="ST53" s="50"/>
      <c r="SU53" s="49"/>
      <c r="SV53" s="50"/>
      <c r="SW53" s="49"/>
      <c r="SX53" s="50"/>
      <c r="SY53" s="49"/>
      <c r="SZ53" s="50"/>
      <c r="TA53" s="49"/>
      <c r="TB53" s="50"/>
      <c r="TC53" s="49"/>
      <c r="TD53" s="50"/>
      <c r="TE53" s="49"/>
      <c r="TF53" s="50"/>
      <c r="TG53" s="49"/>
      <c r="TH53" s="50"/>
      <c r="TI53" s="49"/>
      <c r="TJ53" s="50"/>
      <c r="TK53" s="49"/>
      <c r="TL53" s="50"/>
      <c r="TM53" s="49"/>
      <c r="TN53" s="50"/>
      <c r="TO53" s="49"/>
      <c r="TP53" s="50"/>
      <c r="TQ53" s="49"/>
      <c r="TR53" s="50"/>
      <c r="TS53" s="49"/>
      <c r="TT53" s="50"/>
      <c r="TU53" s="49"/>
      <c r="TV53" s="50"/>
      <c r="TW53" s="49"/>
      <c r="TX53" s="50"/>
      <c r="TY53" s="49"/>
      <c r="TZ53" s="50"/>
      <c r="UA53" s="49"/>
      <c r="UB53" s="50"/>
      <c r="UC53" s="49"/>
      <c r="UD53" s="50"/>
      <c r="UE53" s="49"/>
      <c r="UF53" s="50"/>
      <c r="UG53" s="49"/>
      <c r="UH53" s="50"/>
      <c r="UI53" s="49"/>
      <c r="UJ53" s="50"/>
      <c r="UK53" s="49"/>
      <c r="UL53" s="50"/>
      <c r="UM53" s="49"/>
      <c r="UN53" s="50"/>
      <c r="UO53" s="49"/>
      <c r="UP53" s="50"/>
      <c r="UQ53" s="49"/>
      <c r="UR53" s="50"/>
      <c r="US53" s="49"/>
      <c r="UT53" s="50"/>
      <c r="UU53" s="49"/>
      <c r="UV53" s="50"/>
      <c r="UW53" s="49"/>
      <c r="UX53" s="50"/>
      <c r="UY53" s="49"/>
      <c r="UZ53" s="50"/>
      <c r="VA53" s="49"/>
      <c r="VB53" s="50"/>
      <c r="VC53" s="49"/>
      <c r="VD53" s="50"/>
      <c r="VE53" s="49"/>
      <c r="VF53" s="50"/>
      <c r="VG53" s="49"/>
      <c r="VH53" s="50"/>
      <c r="VI53" s="49"/>
      <c r="VJ53" s="50"/>
      <c r="VK53" s="49"/>
      <c r="VL53" s="50"/>
      <c r="VM53" s="49"/>
      <c r="VN53" s="50"/>
      <c r="VO53" s="49"/>
      <c r="VP53" s="50"/>
      <c r="VQ53" s="49"/>
      <c r="VR53" s="50"/>
      <c r="VS53" s="49"/>
      <c r="VT53" s="50"/>
      <c r="VU53" s="49"/>
      <c r="VV53" s="50"/>
      <c r="VW53" s="49"/>
      <c r="VX53" s="50"/>
      <c r="VY53" s="49"/>
      <c r="VZ53" s="50"/>
      <c r="WA53" s="49"/>
      <c r="WB53" s="50"/>
      <c r="WC53" s="49"/>
      <c r="WD53" s="50"/>
      <c r="WE53" s="49"/>
      <c r="WF53" s="50"/>
      <c r="WG53" s="49"/>
      <c r="WH53" s="50"/>
      <c r="WI53" s="49"/>
      <c r="WJ53" s="50"/>
      <c r="WK53" s="49"/>
      <c r="WL53" s="50"/>
      <c r="WM53" s="49"/>
      <c r="WN53" s="50"/>
      <c r="WO53" s="49"/>
      <c r="WP53" s="50"/>
      <c r="WQ53" s="49"/>
      <c r="WR53" s="50"/>
      <c r="WS53" s="49"/>
      <c r="WT53" s="50"/>
      <c r="WU53" s="49"/>
      <c r="WV53" s="50"/>
      <c r="WW53" s="49"/>
      <c r="WX53" s="50"/>
      <c r="WY53" s="49"/>
      <c r="WZ53" s="50"/>
      <c r="XA53" s="49"/>
      <c r="XB53" s="50"/>
      <c r="XC53" s="49"/>
      <c r="XD53" s="50"/>
      <c r="XE53" s="49"/>
      <c r="XF53" s="50"/>
      <c r="XG53" s="49"/>
      <c r="XH53" s="50"/>
      <c r="XI53" s="49"/>
      <c r="XJ53" s="50"/>
      <c r="XK53" s="49"/>
      <c r="XL53" s="50"/>
      <c r="XM53" s="49"/>
      <c r="XN53" s="50"/>
      <c r="XO53" s="49"/>
      <c r="XP53" s="50"/>
      <c r="XQ53" s="49"/>
      <c r="XR53" s="50"/>
      <c r="XS53" s="49"/>
      <c r="XT53" s="50"/>
      <c r="XU53" s="49"/>
      <c r="XV53" s="50"/>
      <c r="XW53" s="49"/>
      <c r="XX53" s="50"/>
      <c r="XY53" s="49"/>
      <c r="XZ53" s="50"/>
      <c r="YA53" s="49"/>
      <c r="YB53" s="50"/>
      <c r="YC53" s="49"/>
      <c r="YD53" s="50"/>
      <c r="YE53" s="49"/>
      <c r="YF53" s="50"/>
      <c r="YG53" s="49"/>
      <c r="YH53" s="50"/>
      <c r="YI53" s="49"/>
      <c r="YJ53" s="50"/>
      <c r="YK53" s="49"/>
      <c r="YL53" s="50"/>
      <c r="YM53" s="49"/>
      <c r="YN53" s="50"/>
      <c r="YO53" s="49"/>
      <c r="YP53" s="50"/>
      <c r="YQ53" s="49"/>
      <c r="YR53" s="50"/>
      <c r="YS53" s="49"/>
      <c r="YT53" s="50"/>
      <c r="YU53" s="49"/>
      <c r="YV53" s="50"/>
      <c r="YW53" s="49"/>
      <c r="YX53" s="50"/>
      <c r="YY53" s="49"/>
      <c r="YZ53" s="50"/>
      <c r="ZA53" s="49"/>
      <c r="ZB53" s="50"/>
      <c r="ZC53" s="49"/>
      <c r="ZD53" s="50"/>
      <c r="ZE53" s="49"/>
      <c r="ZF53" s="50"/>
      <c r="ZG53" s="49"/>
      <c r="ZH53" s="50"/>
      <c r="ZI53" s="49"/>
      <c r="ZJ53" s="50"/>
      <c r="ZK53" s="49"/>
      <c r="ZL53" s="50"/>
      <c r="ZM53" s="49"/>
      <c r="ZN53" s="50"/>
      <c r="ZO53" s="49"/>
      <c r="ZP53" s="50"/>
      <c r="ZQ53" s="49"/>
      <c r="ZR53" s="50"/>
      <c r="ZS53" s="49"/>
      <c r="ZT53" s="50"/>
      <c r="ZU53" s="49"/>
      <c r="ZV53" s="50"/>
      <c r="ZW53" s="49"/>
      <c r="ZX53" s="50"/>
      <c r="ZY53" s="49"/>
      <c r="ZZ53" s="50"/>
      <c r="AAA53" s="49"/>
      <c r="AAB53" s="50"/>
      <c r="AAC53" s="49"/>
      <c r="AAD53" s="50"/>
      <c r="AAE53" s="49"/>
      <c r="AAF53" s="50"/>
      <c r="AAG53" s="49"/>
      <c r="AAH53" s="50"/>
      <c r="AAI53" s="49"/>
      <c r="AAJ53" s="50"/>
      <c r="AAK53" s="49"/>
      <c r="AAL53" s="50"/>
      <c r="AAM53" s="49"/>
      <c r="AAN53" s="50"/>
      <c r="AAO53" s="49"/>
      <c r="AAP53" s="50"/>
      <c r="AAQ53" s="49"/>
      <c r="AAR53" s="50"/>
      <c r="AAS53" s="49"/>
      <c r="AAT53" s="50"/>
      <c r="AAU53" s="49"/>
      <c r="AAV53" s="50"/>
      <c r="AAW53" s="49"/>
      <c r="AAX53" s="50"/>
      <c r="AAY53" s="49"/>
      <c r="AAZ53" s="50"/>
      <c r="ABA53" s="49"/>
      <c r="ABB53" s="50"/>
      <c r="ABC53" s="49"/>
      <c r="ABD53" s="50"/>
      <c r="ABE53" s="49"/>
      <c r="ABF53" s="50"/>
      <c r="ABG53" s="49"/>
      <c r="ABH53" s="50"/>
      <c r="ABI53" s="49"/>
      <c r="ABJ53" s="50"/>
      <c r="ABK53" s="49"/>
      <c r="ABL53" s="50"/>
      <c r="ABM53" s="49"/>
      <c r="ABN53" s="50"/>
      <c r="ABO53" s="49"/>
      <c r="ABP53" s="50"/>
      <c r="ABQ53" s="49"/>
      <c r="ABR53" s="50"/>
      <c r="ABS53" s="49"/>
      <c r="ABT53" s="50"/>
      <c r="ABU53" s="49"/>
      <c r="ABV53" s="50"/>
      <c r="ABW53" s="49"/>
      <c r="ABX53" s="50"/>
      <c r="ABY53" s="49"/>
      <c r="ABZ53" s="50"/>
      <c r="ACA53" s="49"/>
      <c r="ACB53" s="50"/>
      <c r="ACC53" s="49"/>
      <c r="ACD53" s="50"/>
      <c r="ACE53" s="49"/>
      <c r="ACF53" s="50"/>
      <c r="ACG53" s="49"/>
      <c r="ACH53" s="50"/>
      <c r="ACI53" s="49"/>
      <c r="ACJ53" s="50"/>
      <c r="ACK53" s="49"/>
      <c r="ACL53" s="50"/>
      <c r="ACM53" s="49"/>
      <c r="ACN53" s="50"/>
      <c r="ACO53" s="49"/>
      <c r="ACP53" s="50"/>
      <c r="ACQ53" s="49"/>
      <c r="ACR53" s="50"/>
      <c r="ACS53" s="49"/>
      <c r="ACT53" s="50"/>
      <c r="ACU53" s="49"/>
      <c r="ACV53" s="50"/>
      <c r="ACW53" s="49"/>
      <c r="ACX53" s="50"/>
      <c r="ACY53" s="49"/>
      <c r="ACZ53" s="50"/>
      <c r="ADA53" s="49"/>
      <c r="ADB53" s="50"/>
      <c r="ADC53" s="49"/>
      <c r="ADD53" s="50"/>
      <c r="ADE53" s="49"/>
      <c r="ADF53" s="50"/>
      <c r="ADG53" s="49"/>
      <c r="ADH53" s="50"/>
      <c r="ADI53" s="49"/>
      <c r="ADJ53" s="50"/>
      <c r="ADK53" s="49"/>
      <c r="ADL53" s="50"/>
      <c r="ADM53" s="49"/>
      <c r="ADN53" s="50"/>
      <c r="ADO53" s="49"/>
      <c r="ADP53" s="50"/>
      <c r="ADQ53" s="49"/>
      <c r="ADR53" s="50"/>
      <c r="ADS53" s="49"/>
      <c r="ADT53" s="50"/>
      <c r="ADU53" s="49"/>
      <c r="ADV53" s="50"/>
      <c r="ADW53" s="49"/>
      <c r="ADX53" s="50"/>
      <c r="ADY53" s="49"/>
      <c r="ADZ53" s="50"/>
      <c r="AEA53" s="49"/>
      <c r="AEB53" s="50"/>
      <c r="AEC53" s="49"/>
      <c r="AED53" s="50"/>
      <c r="AEE53" s="49"/>
      <c r="AEF53" s="50"/>
      <c r="AEG53" s="49"/>
      <c r="AEH53" s="50"/>
      <c r="AEI53" s="49"/>
      <c r="AEJ53" s="50"/>
      <c r="AEK53" s="49"/>
      <c r="AEL53" s="50"/>
      <c r="AEM53" s="49"/>
      <c r="AEN53" s="50"/>
      <c r="AEO53" s="49"/>
      <c r="AEP53" s="50"/>
      <c r="AEQ53" s="49"/>
      <c r="AER53" s="50"/>
      <c r="AES53" s="49"/>
      <c r="AET53" s="50"/>
      <c r="AEU53" s="49"/>
      <c r="AEV53" s="50"/>
      <c r="AEW53" s="49"/>
      <c r="AEX53" s="50"/>
      <c r="AEY53" s="49"/>
      <c r="AEZ53" s="50"/>
      <c r="AFA53" s="49"/>
      <c r="AFB53" s="50"/>
      <c r="AFC53" s="49"/>
      <c r="AFD53" s="50"/>
      <c r="AFE53" s="49"/>
      <c r="AFF53" s="50"/>
      <c r="AFG53" s="49"/>
      <c r="AFH53" s="50"/>
      <c r="AFI53" s="49"/>
      <c r="AFJ53" s="50"/>
      <c r="AFK53" s="49"/>
      <c r="AFL53" s="50"/>
      <c r="AFM53" s="49"/>
      <c r="AFN53" s="50"/>
      <c r="AFO53" s="49"/>
      <c r="AFP53" s="50"/>
      <c r="AFQ53" s="49"/>
      <c r="AFR53" s="50"/>
      <c r="AFS53" s="49"/>
      <c r="AFT53" s="50"/>
      <c r="AFU53" s="49"/>
      <c r="AFV53" s="50"/>
      <c r="AFW53" s="49"/>
      <c r="AFX53" s="50"/>
      <c r="AFY53" s="49"/>
      <c r="AFZ53" s="50"/>
      <c r="AGA53" s="49"/>
      <c r="AGB53" s="50"/>
      <c r="AGC53" s="49"/>
      <c r="AGD53" s="50"/>
      <c r="AGE53" s="49"/>
      <c r="AGF53" s="50"/>
      <c r="AGG53" s="49"/>
      <c r="AGH53" s="50"/>
      <c r="AGI53" s="49"/>
      <c r="AGJ53" s="50"/>
      <c r="AGK53" s="49"/>
      <c r="AGL53" s="50"/>
      <c r="AGM53" s="49"/>
      <c r="AGN53" s="50"/>
      <c r="AGO53" s="49"/>
      <c r="AGP53" s="50"/>
      <c r="AGQ53" s="49"/>
      <c r="AGR53" s="50"/>
      <c r="AGS53" s="49"/>
      <c r="AGT53" s="50"/>
      <c r="AGU53" s="49"/>
      <c r="AGV53" s="50"/>
      <c r="AGW53" s="49"/>
      <c r="AGX53" s="50"/>
      <c r="AGY53" s="49"/>
      <c r="AGZ53" s="50"/>
      <c r="AHA53" s="49"/>
      <c r="AHB53" s="50"/>
      <c r="AHC53" s="49"/>
      <c r="AHD53" s="50"/>
      <c r="AHE53" s="49"/>
      <c r="AHF53" s="50"/>
      <c r="AHG53" s="49"/>
      <c r="AHH53" s="50"/>
      <c r="AHI53" s="49"/>
      <c r="AHJ53" s="50"/>
      <c r="AHK53" s="49"/>
      <c r="AHL53" s="50"/>
      <c r="AHM53" s="49"/>
      <c r="AHN53" s="50"/>
      <c r="AHO53" s="49"/>
      <c r="AHP53" s="50"/>
      <c r="AHQ53" s="49"/>
      <c r="AHR53" s="50"/>
      <c r="AHS53" s="49"/>
      <c r="AHT53" s="50"/>
      <c r="AHU53" s="49"/>
      <c r="AHV53" s="50"/>
      <c r="AHW53" s="49"/>
      <c r="AHX53" s="50"/>
      <c r="AHY53" s="49"/>
      <c r="AHZ53" s="50"/>
      <c r="AIA53" s="49"/>
      <c r="AIB53" s="50"/>
      <c r="AIC53" s="49"/>
      <c r="AID53" s="50"/>
      <c r="AIE53" s="49"/>
      <c r="AIF53" s="50"/>
      <c r="AIG53" s="49"/>
      <c r="AIH53" s="50"/>
      <c r="AII53" s="49"/>
      <c r="AIJ53" s="50"/>
      <c r="AIK53" s="49"/>
      <c r="AIL53" s="50"/>
      <c r="AIM53" s="49"/>
      <c r="AIN53" s="50"/>
      <c r="AIO53" s="49"/>
      <c r="AIP53" s="50"/>
      <c r="AIQ53" s="49"/>
      <c r="AIR53" s="50"/>
      <c r="AIS53" s="49"/>
      <c r="AIT53" s="50"/>
      <c r="AIU53" s="49"/>
      <c r="AIV53" s="50"/>
      <c r="AIW53" s="49"/>
      <c r="AIX53" s="50"/>
      <c r="AIY53" s="49"/>
      <c r="AIZ53" s="50"/>
      <c r="AJA53" s="49"/>
      <c r="AJB53" s="50"/>
      <c r="AJC53" s="49"/>
      <c r="AJD53" s="50"/>
      <c r="AJE53" s="49"/>
      <c r="AJF53" s="50"/>
      <c r="AJG53" s="49"/>
      <c r="AJH53" s="50"/>
      <c r="AJI53" s="49"/>
      <c r="AJJ53" s="50"/>
      <c r="AJK53" s="49"/>
      <c r="AJL53" s="50"/>
      <c r="AJM53" s="49"/>
      <c r="AJN53" s="50"/>
      <c r="AJO53" s="49"/>
      <c r="AJP53" s="50"/>
      <c r="AJQ53" s="49"/>
      <c r="AJR53" s="50"/>
      <c r="AJS53" s="49"/>
      <c r="AJT53" s="50"/>
      <c r="AJU53" s="49"/>
      <c r="AJV53" s="50"/>
      <c r="AJW53" s="49"/>
      <c r="AJX53" s="50"/>
      <c r="AJY53" s="49"/>
      <c r="AJZ53" s="50"/>
      <c r="AKA53" s="49"/>
      <c r="AKB53" s="50"/>
      <c r="AKC53" s="49"/>
      <c r="AKD53" s="50"/>
      <c r="AKE53" s="49"/>
      <c r="AKF53" s="50"/>
      <c r="AKG53" s="49"/>
      <c r="AKH53" s="50"/>
      <c r="AKI53" s="49"/>
      <c r="AKJ53" s="50"/>
      <c r="AKK53" s="49"/>
      <c r="AKL53" s="50"/>
      <c r="AKM53" s="49"/>
      <c r="AKN53" s="50"/>
      <c r="AKO53" s="49"/>
      <c r="AKP53" s="50"/>
      <c r="AKQ53" s="49"/>
      <c r="AKR53" s="50"/>
      <c r="AKS53" s="49"/>
      <c r="AKT53" s="50"/>
      <c r="AKU53" s="49"/>
      <c r="AKV53" s="50"/>
      <c r="AKW53" s="49"/>
      <c r="AKX53" s="50"/>
      <c r="AKY53" s="49"/>
      <c r="AKZ53" s="50"/>
      <c r="ALA53" s="49"/>
      <c r="ALB53" s="50"/>
      <c r="ALC53" s="49"/>
      <c r="ALD53" s="50"/>
      <c r="ALE53" s="49"/>
      <c r="ALF53" s="50"/>
      <c r="ALG53" s="49"/>
      <c r="ALH53" s="50"/>
      <c r="ALI53" s="49"/>
      <c r="ALJ53" s="50"/>
      <c r="ALK53" s="49"/>
      <c r="ALL53" s="50"/>
      <c r="ALM53" s="49"/>
      <c r="ALN53" s="50"/>
      <c r="ALO53" s="49"/>
      <c r="ALP53" s="50"/>
      <c r="ALQ53" s="49"/>
      <c r="ALR53" s="50"/>
      <c r="ALS53" s="49"/>
      <c r="ALT53" s="50"/>
      <c r="ALU53" s="49"/>
      <c r="ALV53" s="50"/>
      <c r="ALW53" s="49"/>
      <c r="ALX53" s="50"/>
      <c r="ALY53" s="49"/>
      <c r="ALZ53" s="50"/>
      <c r="AMA53" s="49"/>
      <c r="AMB53" s="50"/>
      <c r="AMC53" s="49"/>
      <c r="AMD53" s="50"/>
      <c r="AME53" s="49"/>
      <c r="AMF53" s="50"/>
      <c r="AMG53" s="49"/>
      <c r="AMH53" s="50"/>
      <c r="AMI53" s="49"/>
      <c r="AMJ53" s="50"/>
      <c r="AMK53" s="49"/>
      <c r="AML53" s="50"/>
      <c r="AMM53" s="49"/>
      <c r="AMN53" s="50"/>
      <c r="AMO53" s="49"/>
      <c r="AMP53" s="50"/>
      <c r="AMQ53" s="49"/>
      <c r="AMR53" s="50"/>
      <c r="AMS53" s="49"/>
      <c r="AMT53" s="50"/>
      <c r="AMU53" s="49"/>
      <c r="AMV53" s="50"/>
      <c r="AMW53" s="49"/>
      <c r="AMX53" s="50"/>
      <c r="AMY53" s="49"/>
      <c r="AMZ53" s="50"/>
      <c r="ANA53" s="49"/>
      <c r="ANB53" s="50"/>
      <c r="ANC53" s="49"/>
      <c r="AND53" s="50"/>
      <c r="ANE53" s="49"/>
      <c r="ANF53" s="50"/>
      <c r="ANG53" s="49"/>
      <c r="ANH53" s="50"/>
      <c r="ANI53" s="49"/>
      <c r="ANJ53" s="50"/>
      <c r="ANK53" s="49"/>
      <c r="ANL53" s="50"/>
      <c r="ANM53" s="49"/>
      <c r="ANN53" s="50"/>
      <c r="ANO53" s="49"/>
      <c r="ANP53" s="50"/>
      <c r="ANQ53" s="49"/>
      <c r="ANR53" s="50"/>
      <c r="ANS53" s="49"/>
      <c r="ANT53" s="50"/>
      <c r="ANU53" s="49"/>
      <c r="ANV53" s="50"/>
      <c r="ANW53" s="49"/>
      <c r="ANX53" s="50"/>
      <c r="ANY53" s="49"/>
      <c r="ANZ53" s="50"/>
      <c r="AOA53" s="49"/>
      <c r="AOB53" s="50"/>
      <c r="AOC53" s="49"/>
      <c r="AOD53" s="50"/>
      <c r="AOE53" s="49"/>
      <c r="AOF53" s="50"/>
      <c r="AOG53" s="49"/>
      <c r="AOH53" s="50"/>
      <c r="AOI53" s="49"/>
      <c r="AOJ53" s="50"/>
      <c r="AOK53" s="49"/>
      <c r="AOL53" s="50"/>
      <c r="AOM53" s="49"/>
      <c r="AON53" s="50"/>
      <c r="AOO53" s="49"/>
      <c r="AOP53" s="50"/>
      <c r="AOQ53" s="49"/>
      <c r="AOR53" s="50"/>
      <c r="AOS53" s="49"/>
      <c r="AOT53" s="50"/>
      <c r="AOU53" s="49"/>
      <c r="AOV53" s="50"/>
      <c r="AOW53" s="49"/>
      <c r="AOX53" s="50"/>
      <c r="AOY53" s="49"/>
      <c r="AOZ53" s="50"/>
      <c r="APA53" s="49"/>
      <c r="APB53" s="50"/>
      <c r="APC53" s="49"/>
      <c r="APD53" s="50"/>
      <c r="APE53" s="49"/>
      <c r="APF53" s="50"/>
      <c r="APG53" s="49"/>
      <c r="APH53" s="50"/>
      <c r="API53" s="49"/>
      <c r="APJ53" s="50"/>
      <c r="APK53" s="49"/>
      <c r="APL53" s="50"/>
      <c r="APM53" s="49"/>
      <c r="APN53" s="50"/>
      <c r="APO53" s="49"/>
      <c r="APP53" s="50"/>
      <c r="APQ53" s="49"/>
      <c r="APR53" s="50"/>
      <c r="APS53" s="49"/>
      <c r="APT53" s="50"/>
      <c r="APU53" s="49"/>
      <c r="APV53" s="50"/>
      <c r="APW53" s="49"/>
      <c r="APX53" s="50"/>
      <c r="APY53" s="49"/>
      <c r="APZ53" s="50"/>
      <c r="AQA53" s="49"/>
      <c r="AQB53" s="50"/>
      <c r="AQC53" s="49"/>
      <c r="AQD53" s="50"/>
      <c r="AQE53" s="49"/>
      <c r="AQF53" s="50"/>
      <c r="AQG53" s="49"/>
      <c r="AQH53" s="50"/>
      <c r="AQI53" s="49"/>
      <c r="AQJ53" s="50"/>
      <c r="AQK53" s="49"/>
      <c r="AQL53" s="50"/>
      <c r="AQM53" s="49"/>
      <c r="AQN53" s="50"/>
      <c r="AQO53" s="49"/>
      <c r="AQP53" s="50"/>
      <c r="AQQ53" s="49"/>
      <c r="AQR53" s="50"/>
      <c r="AQS53" s="49"/>
      <c r="AQT53" s="50"/>
      <c r="AQU53" s="49"/>
      <c r="AQV53" s="50"/>
      <c r="AQW53" s="49"/>
      <c r="AQX53" s="50"/>
      <c r="AQY53" s="49"/>
      <c r="AQZ53" s="50"/>
      <c r="ARA53" s="49"/>
      <c r="ARB53" s="50"/>
      <c r="ARC53" s="49"/>
      <c r="ARD53" s="50"/>
      <c r="ARE53" s="49"/>
      <c r="ARF53" s="50"/>
      <c r="ARG53" s="49"/>
      <c r="ARH53" s="50"/>
      <c r="ARI53" s="49"/>
      <c r="ARJ53" s="50"/>
      <c r="ARK53" s="49"/>
      <c r="ARL53" s="50"/>
      <c r="ARM53" s="49"/>
      <c r="ARN53" s="50"/>
      <c r="ARO53" s="49"/>
      <c r="ARP53" s="50"/>
      <c r="ARQ53" s="49"/>
      <c r="ARR53" s="50"/>
      <c r="ARS53" s="49"/>
      <c r="ART53" s="50"/>
      <c r="ARU53" s="49"/>
      <c r="ARV53" s="50"/>
      <c r="ARW53" s="49"/>
      <c r="ARX53" s="50"/>
      <c r="ARY53" s="49"/>
      <c r="ARZ53" s="50"/>
      <c r="ASA53" s="49"/>
      <c r="ASB53" s="50"/>
      <c r="ASC53" s="49"/>
      <c r="ASD53" s="50"/>
      <c r="ASE53" s="49"/>
      <c r="ASF53" s="50"/>
      <c r="ASG53" s="49"/>
      <c r="ASH53" s="50"/>
      <c r="ASI53" s="49"/>
      <c r="ASJ53" s="50"/>
      <c r="ASK53" s="49"/>
      <c r="ASL53" s="50"/>
      <c r="ASM53" s="49"/>
      <c r="ASN53" s="50"/>
      <c r="ASO53" s="49"/>
      <c r="ASP53" s="50"/>
      <c r="ASQ53" s="49"/>
      <c r="ASR53" s="50"/>
      <c r="ASS53" s="49"/>
      <c r="AST53" s="50"/>
      <c r="ASU53" s="49"/>
      <c r="ASV53" s="50"/>
      <c r="ASW53" s="49"/>
      <c r="ASX53" s="50"/>
      <c r="ASY53" s="49"/>
      <c r="ASZ53" s="50"/>
      <c r="ATA53" s="49"/>
      <c r="ATB53" s="50"/>
      <c r="ATC53" s="49"/>
      <c r="ATD53" s="50"/>
      <c r="ATE53" s="49"/>
      <c r="ATF53" s="50"/>
      <c r="ATG53" s="49"/>
      <c r="ATH53" s="50"/>
      <c r="ATI53" s="49"/>
      <c r="ATJ53" s="50"/>
      <c r="ATK53" s="49"/>
      <c r="ATL53" s="50"/>
      <c r="ATM53" s="49"/>
      <c r="ATN53" s="50"/>
      <c r="ATO53" s="49"/>
      <c r="ATP53" s="50"/>
      <c r="ATQ53" s="49"/>
      <c r="ATR53" s="50"/>
      <c r="ATS53" s="49"/>
      <c r="ATT53" s="50"/>
      <c r="ATU53" s="49"/>
      <c r="ATV53" s="50"/>
      <c r="ATW53" s="49"/>
      <c r="ATX53" s="50"/>
      <c r="ATY53" s="49"/>
      <c r="ATZ53" s="50"/>
      <c r="AUA53" s="49"/>
      <c r="AUB53" s="50"/>
      <c r="AUC53" s="49"/>
      <c r="AUD53" s="50"/>
      <c r="AUE53" s="49"/>
      <c r="AUF53" s="50"/>
      <c r="AUG53" s="49"/>
      <c r="AUH53" s="50"/>
      <c r="AUI53" s="49"/>
      <c r="AUJ53" s="50"/>
      <c r="AUK53" s="49"/>
      <c r="AUL53" s="50"/>
      <c r="AUM53" s="49"/>
      <c r="AUN53" s="50"/>
      <c r="AUO53" s="49"/>
      <c r="AUP53" s="50"/>
      <c r="AUQ53" s="49"/>
      <c r="AUR53" s="50"/>
      <c r="AUS53" s="49"/>
      <c r="AUT53" s="50"/>
      <c r="AUU53" s="49"/>
      <c r="AUV53" s="50"/>
      <c r="AUW53" s="49"/>
      <c r="AUX53" s="50"/>
      <c r="AUY53" s="49"/>
      <c r="AUZ53" s="50"/>
      <c r="AVA53" s="49"/>
      <c r="AVB53" s="50"/>
      <c r="AVC53" s="49"/>
      <c r="AVD53" s="50"/>
      <c r="AVE53" s="49"/>
      <c r="AVF53" s="50"/>
      <c r="AVG53" s="49"/>
      <c r="AVH53" s="50"/>
      <c r="AVI53" s="49"/>
      <c r="AVJ53" s="50"/>
      <c r="AVK53" s="49"/>
      <c r="AVL53" s="50"/>
      <c r="AVM53" s="49"/>
      <c r="AVN53" s="50"/>
      <c r="AVO53" s="49"/>
      <c r="AVP53" s="50"/>
      <c r="AVQ53" s="49"/>
      <c r="AVR53" s="50"/>
      <c r="AVS53" s="49"/>
      <c r="AVT53" s="50"/>
      <c r="AVU53" s="49"/>
      <c r="AVV53" s="50"/>
      <c r="AVW53" s="49"/>
      <c r="AVX53" s="50"/>
      <c r="AVY53" s="49"/>
      <c r="AVZ53" s="50"/>
      <c r="AWA53" s="49"/>
      <c r="AWB53" s="50"/>
      <c r="AWC53" s="49"/>
      <c r="AWD53" s="50"/>
      <c r="AWE53" s="49"/>
      <c r="AWF53" s="50"/>
      <c r="AWG53" s="49"/>
      <c r="AWH53" s="50"/>
      <c r="AWI53" s="49"/>
      <c r="AWJ53" s="50"/>
      <c r="AWK53" s="49"/>
      <c r="AWL53" s="50"/>
      <c r="AWM53" s="49"/>
      <c r="AWN53" s="50"/>
      <c r="AWO53" s="49"/>
      <c r="AWP53" s="50"/>
      <c r="AWQ53" s="49"/>
      <c r="AWR53" s="50"/>
      <c r="AWS53" s="49"/>
      <c r="AWT53" s="50"/>
      <c r="AWU53" s="49"/>
      <c r="AWV53" s="50"/>
      <c r="AWW53" s="49"/>
      <c r="AWX53" s="50"/>
      <c r="AWY53" s="49"/>
      <c r="AWZ53" s="50"/>
      <c r="AXA53" s="49"/>
      <c r="AXB53" s="50"/>
      <c r="AXC53" s="49"/>
      <c r="AXD53" s="50"/>
      <c r="AXE53" s="49"/>
      <c r="AXF53" s="50"/>
      <c r="AXG53" s="49"/>
      <c r="AXH53" s="50"/>
      <c r="AXI53" s="49"/>
      <c r="AXJ53" s="50"/>
      <c r="AXK53" s="49"/>
      <c r="AXL53" s="50"/>
      <c r="AXM53" s="49"/>
      <c r="AXN53" s="50"/>
      <c r="AXO53" s="49"/>
      <c r="AXP53" s="50"/>
      <c r="AXQ53" s="49"/>
      <c r="AXR53" s="50"/>
      <c r="AXS53" s="49"/>
      <c r="AXT53" s="50"/>
      <c r="AXU53" s="49"/>
      <c r="AXV53" s="50"/>
      <c r="AXW53" s="49"/>
      <c r="AXX53" s="50"/>
      <c r="AXY53" s="49"/>
      <c r="AXZ53" s="50"/>
      <c r="AYA53" s="49"/>
      <c r="AYB53" s="50"/>
      <c r="AYC53" s="49"/>
      <c r="AYD53" s="50"/>
      <c r="AYE53" s="49"/>
      <c r="AYF53" s="50"/>
      <c r="AYG53" s="49"/>
      <c r="AYH53" s="50"/>
      <c r="AYI53" s="49"/>
      <c r="AYJ53" s="50"/>
      <c r="AYK53" s="49"/>
      <c r="AYL53" s="50"/>
      <c r="AYM53" s="49"/>
      <c r="AYN53" s="50"/>
      <c r="AYO53" s="49"/>
      <c r="AYP53" s="50"/>
      <c r="AYQ53" s="49"/>
      <c r="AYR53" s="50"/>
      <c r="AYS53" s="49"/>
      <c r="AYT53" s="50"/>
      <c r="AYU53" s="49"/>
      <c r="AYV53" s="50"/>
      <c r="AYW53" s="49"/>
      <c r="AYX53" s="50"/>
      <c r="AYY53" s="49"/>
      <c r="AYZ53" s="50"/>
      <c r="AZA53" s="49"/>
      <c r="AZB53" s="50"/>
      <c r="AZC53" s="49"/>
      <c r="AZD53" s="50"/>
      <c r="AZE53" s="49"/>
      <c r="AZF53" s="50"/>
      <c r="AZG53" s="49"/>
      <c r="AZH53" s="50"/>
      <c r="AZI53" s="49"/>
      <c r="AZJ53" s="50"/>
      <c r="AZK53" s="49"/>
      <c r="AZL53" s="50"/>
      <c r="AZM53" s="49"/>
      <c r="AZN53" s="50"/>
      <c r="AZO53" s="49"/>
      <c r="AZP53" s="50"/>
      <c r="AZQ53" s="49"/>
      <c r="AZR53" s="50"/>
      <c r="AZS53" s="49"/>
      <c r="AZT53" s="50"/>
      <c r="AZU53" s="49"/>
      <c r="AZV53" s="50"/>
      <c r="AZW53" s="49"/>
      <c r="AZX53" s="50"/>
      <c r="AZY53" s="49"/>
      <c r="AZZ53" s="50"/>
      <c r="BAA53" s="49"/>
      <c r="BAB53" s="50"/>
      <c r="BAC53" s="49"/>
      <c r="BAD53" s="50"/>
      <c r="BAE53" s="49"/>
      <c r="BAF53" s="50"/>
      <c r="BAG53" s="49"/>
      <c r="BAH53" s="50"/>
      <c r="BAI53" s="49"/>
      <c r="BAJ53" s="50"/>
      <c r="BAK53" s="49"/>
      <c r="BAL53" s="50"/>
      <c r="BAM53" s="49"/>
      <c r="BAN53" s="50"/>
      <c r="BAO53" s="49"/>
      <c r="BAP53" s="50"/>
      <c r="BAQ53" s="49"/>
      <c r="BAR53" s="50"/>
      <c r="BAS53" s="49"/>
      <c r="BAT53" s="50"/>
      <c r="BAU53" s="49"/>
      <c r="BAV53" s="50"/>
      <c r="BAW53" s="49"/>
      <c r="BAX53" s="50"/>
      <c r="BAY53" s="49"/>
      <c r="BAZ53" s="50"/>
      <c r="BBA53" s="49"/>
      <c r="BBB53" s="50"/>
      <c r="BBC53" s="49"/>
      <c r="BBD53" s="50"/>
      <c r="BBE53" s="49"/>
      <c r="BBF53" s="50"/>
      <c r="BBG53" s="49"/>
      <c r="BBH53" s="50"/>
      <c r="BBI53" s="49"/>
      <c r="BBJ53" s="50"/>
      <c r="BBK53" s="49"/>
      <c r="BBL53" s="50"/>
      <c r="BBM53" s="49"/>
      <c r="BBN53" s="50"/>
      <c r="BBO53" s="49"/>
      <c r="BBP53" s="50"/>
      <c r="BBQ53" s="49"/>
      <c r="BBR53" s="50"/>
      <c r="BBS53" s="49"/>
      <c r="BBT53" s="50"/>
      <c r="BBU53" s="49"/>
      <c r="BBV53" s="50"/>
      <c r="BBW53" s="49"/>
      <c r="BBX53" s="50"/>
      <c r="BBY53" s="49"/>
      <c r="BBZ53" s="50"/>
      <c r="BCA53" s="49"/>
      <c r="BCB53" s="50"/>
      <c r="BCC53" s="49"/>
      <c r="BCD53" s="50"/>
      <c r="BCE53" s="49"/>
      <c r="BCF53" s="50"/>
      <c r="BCG53" s="49"/>
      <c r="BCH53" s="50"/>
      <c r="BCI53" s="49"/>
      <c r="BCJ53" s="50"/>
      <c r="BCK53" s="49"/>
      <c r="BCL53" s="50"/>
      <c r="BCM53" s="49"/>
      <c r="BCN53" s="50"/>
      <c r="BCO53" s="49"/>
      <c r="BCP53" s="50"/>
      <c r="BCQ53" s="49"/>
      <c r="BCR53" s="50"/>
      <c r="BCS53" s="49"/>
      <c r="BCT53" s="50"/>
      <c r="BCU53" s="49"/>
      <c r="BCV53" s="50"/>
      <c r="BCW53" s="49"/>
      <c r="BCX53" s="50"/>
      <c r="BCY53" s="49"/>
      <c r="BCZ53" s="50"/>
      <c r="BDA53" s="49"/>
      <c r="BDB53" s="50"/>
      <c r="BDC53" s="49"/>
      <c r="BDD53" s="50"/>
      <c r="BDE53" s="49"/>
      <c r="BDF53" s="50"/>
      <c r="BDG53" s="49"/>
      <c r="BDH53" s="50"/>
      <c r="BDI53" s="49"/>
      <c r="BDJ53" s="50"/>
      <c r="BDK53" s="49"/>
      <c r="BDL53" s="50"/>
      <c r="BDM53" s="49"/>
      <c r="BDN53" s="50"/>
      <c r="BDO53" s="49"/>
      <c r="BDP53" s="50"/>
      <c r="BDQ53" s="49"/>
      <c r="BDR53" s="50"/>
      <c r="BDS53" s="49"/>
      <c r="BDT53" s="50"/>
      <c r="BDU53" s="49"/>
      <c r="BDV53" s="50"/>
      <c r="BDW53" s="49"/>
      <c r="BDX53" s="50"/>
      <c r="BDY53" s="49"/>
      <c r="BDZ53" s="50"/>
      <c r="BEA53" s="49"/>
      <c r="BEB53" s="50"/>
      <c r="BEC53" s="49"/>
      <c r="BED53" s="50"/>
      <c r="BEE53" s="49"/>
      <c r="BEF53" s="50"/>
      <c r="BEG53" s="49"/>
      <c r="BEH53" s="50"/>
      <c r="BEI53" s="49"/>
      <c r="BEJ53" s="50"/>
      <c r="BEK53" s="49"/>
      <c r="BEL53" s="50"/>
      <c r="BEM53" s="49"/>
      <c r="BEN53" s="50"/>
      <c r="BEO53" s="49"/>
      <c r="BEP53" s="50"/>
      <c r="BEQ53" s="49"/>
      <c r="BER53" s="50"/>
      <c r="BES53" s="49"/>
      <c r="BET53" s="50"/>
      <c r="BEU53" s="49"/>
      <c r="BEV53" s="50"/>
      <c r="BEW53" s="49"/>
      <c r="BEX53" s="50"/>
      <c r="BEY53" s="49"/>
      <c r="BEZ53" s="50"/>
      <c r="BFA53" s="49"/>
      <c r="BFB53" s="50"/>
      <c r="BFC53" s="49"/>
      <c r="BFD53" s="50"/>
      <c r="BFE53" s="49"/>
      <c r="BFF53" s="50"/>
      <c r="BFG53" s="49"/>
      <c r="BFH53" s="50"/>
      <c r="BFI53" s="49"/>
      <c r="BFJ53" s="50"/>
      <c r="BFK53" s="49"/>
      <c r="BFL53" s="50"/>
      <c r="BFM53" s="49"/>
      <c r="BFN53" s="50"/>
      <c r="BFO53" s="49"/>
      <c r="BFP53" s="50"/>
      <c r="BFQ53" s="49"/>
      <c r="BFR53" s="50"/>
      <c r="BFS53" s="49"/>
      <c r="BFT53" s="50"/>
      <c r="BFU53" s="49"/>
      <c r="BFV53" s="50"/>
      <c r="BFW53" s="49"/>
      <c r="BFX53" s="50"/>
      <c r="BFY53" s="49"/>
      <c r="BFZ53" s="50"/>
      <c r="BGA53" s="49"/>
      <c r="BGB53" s="50"/>
      <c r="BGC53" s="49"/>
      <c r="BGD53" s="50"/>
      <c r="BGE53" s="49"/>
      <c r="BGF53" s="50"/>
      <c r="BGG53" s="49"/>
      <c r="BGH53" s="50"/>
      <c r="BGI53" s="49"/>
      <c r="BGJ53" s="50"/>
      <c r="BGK53" s="49"/>
      <c r="BGL53" s="50"/>
      <c r="BGM53" s="49"/>
      <c r="BGN53" s="50"/>
      <c r="BGO53" s="49"/>
      <c r="BGP53" s="50"/>
      <c r="BGQ53" s="49"/>
      <c r="BGR53" s="50"/>
      <c r="BGS53" s="49"/>
      <c r="BGT53" s="50"/>
      <c r="BGU53" s="49"/>
      <c r="BGV53" s="50"/>
      <c r="BGW53" s="49"/>
      <c r="BGX53" s="50"/>
      <c r="BGY53" s="49"/>
      <c r="BGZ53" s="50"/>
      <c r="BHA53" s="49"/>
      <c r="BHB53" s="50"/>
      <c r="BHC53" s="49"/>
      <c r="BHD53" s="50"/>
      <c r="BHE53" s="49"/>
      <c r="BHF53" s="50"/>
      <c r="BHG53" s="49"/>
      <c r="BHH53" s="50"/>
      <c r="BHI53" s="49"/>
      <c r="BHJ53" s="50"/>
      <c r="BHK53" s="49"/>
      <c r="BHL53" s="50"/>
      <c r="BHM53" s="49"/>
      <c r="BHN53" s="50"/>
      <c r="BHO53" s="49"/>
      <c r="BHP53" s="50"/>
      <c r="BHQ53" s="49"/>
      <c r="BHR53" s="50"/>
      <c r="BHS53" s="49"/>
      <c r="BHT53" s="50"/>
      <c r="BHU53" s="49"/>
      <c r="BHV53" s="50"/>
      <c r="BHW53" s="49"/>
      <c r="BHX53" s="50"/>
      <c r="BHY53" s="49"/>
      <c r="BHZ53" s="50"/>
      <c r="BIA53" s="49"/>
      <c r="BIB53" s="50"/>
      <c r="BIC53" s="49"/>
      <c r="BID53" s="50"/>
      <c r="BIE53" s="49"/>
      <c r="BIF53" s="50"/>
      <c r="BIG53" s="49"/>
      <c r="BIH53" s="50"/>
      <c r="BII53" s="49"/>
      <c r="BIJ53" s="50"/>
      <c r="BIK53" s="49"/>
      <c r="BIL53" s="50"/>
      <c r="BIM53" s="49"/>
      <c r="BIN53" s="50"/>
      <c r="BIO53" s="49"/>
      <c r="BIP53" s="50"/>
      <c r="BIQ53" s="49"/>
      <c r="BIR53" s="50"/>
      <c r="BIS53" s="49"/>
      <c r="BIT53" s="50"/>
      <c r="BIU53" s="49"/>
      <c r="BIV53" s="50"/>
      <c r="BIW53" s="49"/>
      <c r="BIX53" s="50"/>
      <c r="BIY53" s="49"/>
      <c r="BIZ53" s="50"/>
      <c r="BJA53" s="49"/>
      <c r="BJB53" s="50"/>
      <c r="BJC53" s="49"/>
      <c r="BJD53" s="50"/>
      <c r="BJE53" s="49"/>
      <c r="BJF53" s="50"/>
      <c r="BJG53" s="49"/>
      <c r="BJH53" s="50"/>
      <c r="BJI53" s="49"/>
      <c r="BJJ53" s="50"/>
      <c r="BJK53" s="49"/>
      <c r="BJL53" s="50"/>
      <c r="BJM53" s="49"/>
      <c r="BJN53" s="50"/>
      <c r="BJO53" s="49"/>
      <c r="BJP53" s="50"/>
      <c r="BJQ53" s="49"/>
      <c r="BJR53" s="50"/>
      <c r="BJS53" s="49"/>
      <c r="BJT53" s="50"/>
      <c r="BJU53" s="49"/>
      <c r="BJV53" s="50"/>
      <c r="BJW53" s="49"/>
      <c r="BJX53" s="50"/>
      <c r="BJY53" s="49"/>
      <c r="BJZ53" s="50"/>
      <c r="BKA53" s="49"/>
      <c r="BKB53" s="50"/>
      <c r="BKC53" s="49"/>
      <c r="BKD53" s="50"/>
      <c r="BKE53" s="49"/>
      <c r="BKF53" s="50"/>
      <c r="BKG53" s="49"/>
      <c r="BKH53" s="50"/>
      <c r="BKI53" s="49"/>
      <c r="BKJ53" s="50"/>
      <c r="BKK53" s="49"/>
      <c r="BKL53" s="50"/>
      <c r="BKM53" s="49"/>
      <c r="BKN53" s="50"/>
      <c r="BKO53" s="49"/>
      <c r="BKP53" s="50"/>
      <c r="BKQ53" s="49"/>
      <c r="BKR53" s="50"/>
      <c r="BKS53" s="49"/>
      <c r="BKT53" s="50"/>
      <c r="BKU53" s="49"/>
      <c r="BKV53" s="50"/>
      <c r="BKW53" s="49"/>
      <c r="BKX53" s="50"/>
      <c r="BKY53" s="49"/>
      <c r="BKZ53" s="50"/>
      <c r="BLA53" s="49"/>
      <c r="BLB53" s="50"/>
      <c r="BLC53" s="49"/>
      <c r="BLD53" s="50"/>
      <c r="BLE53" s="49"/>
      <c r="BLF53" s="50"/>
      <c r="BLG53" s="49"/>
      <c r="BLH53" s="50"/>
      <c r="BLI53" s="49"/>
      <c r="BLJ53" s="50"/>
      <c r="BLK53" s="49"/>
      <c r="BLL53" s="50"/>
      <c r="BLM53" s="49"/>
      <c r="BLN53" s="50"/>
      <c r="BLO53" s="49"/>
      <c r="BLP53" s="50"/>
      <c r="BLQ53" s="49"/>
      <c r="BLR53" s="50"/>
      <c r="BLS53" s="49"/>
      <c r="BLT53" s="50"/>
      <c r="BLU53" s="49"/>
      <c r="BLV53" s="50"/>
      <c r="BLW53" s="49"/>
      <c r="BLX53" s="50"/>
      <c r="BLY53" s="49"/>
      <c r="BLZ53" s="50"/>
      <c r="BMA53" s="49"/>
      <c r="BMB53" s="50"/>
      <c r="BMC53" s="49"/>
      <c r="BMD53" s="50"/>
      <c r="BME53" s="49"/>
      <c r="BMF53" s="50"/>
      <c r="BMG53" s="49"/>
      <c r="BMH53" s="50"/>
      <c r="BMI53" s="49"/>
      <c r="BMJ53" s="50"/>
      <c r="BMK53" s="49"/>
      <c r="BML53" s="50"/>
      <c r="BMM53" s="49"/>
      <c r="BMN53" s="50"/>
      <c r="BMO53" s="49"/>
      <c r="BMP53" s="50"/>
      <c r="BMQ53" s="49"/>
      <c r="BMR53" s="50"/>
      <c r="BMS53" s="49"/>
      <c r="BMT53" s="50"/>
      <c r="BMU53" s="49"/>
      <c r="BMV53" s="50"/>
      <c r="BMW53" s="49"/>
      <c r="BMX53" s="50"/>
      <c r="BMY53" s="49"/>
      <c r="BMZ53" s="50"/>
      <c r="BNA53" s="49"/>
      <c r="BNB53" s="50"/>
      <c r="BNC53" s="49"/>
      <c r="BND53" s="50"/>
      <c r="BNE53" s="49"/>
      <c r="BNF53" s="50"/>
      <c r="BNG53" s="49"/>
      <c r="BNH53" s="50"/>
      <c r="BNI53" s="49"/>
      <c r="BNJ53" s="50"/>
      <c r="BNK53" s="49"/>
      <c r="BNL53" s="50"/>
      <c r="BNM53" s="49"/>
      <c r="BNN53" s="50"/>
      <c r="BNO53" s="49"/>
      <c r="BNP53" s="50"/>
      <c r="BNQ53" s="49"/>
      <c r="BNR53" s="50"/>
      <c r="BNS53" s="49"/>
      <c r="BNT53" s="50"/>
      <c r="BNU53" s="49"/>
      <c r="BNV53" s="50"/>
      <c r="BNW53" s="49"/>
      <c r="BNX53" s="50"/>
      <c r="BNY53" s="49"/>
      <c r="BNZ53" s="50"/>
      <c r="BOA53" s="49"/>
      <c r="BOB53" s="50"/>
      <c r="BOC53" s="49"/>
      <c r="BOD53" s="50"/>
      <c r="BOE53" s="49"/>
      <c r="BOF53" s="50"/>
      <c r="BOG53" s="49"/>
      <c r="BOH53" s="50"/>
      <c r="BOI53" s="49"/>
      <c r="BOJ53" s="50"/>
      <c r="BOK53" s="49"/>
      <c r="BOL53" s="50"/>
      <c r="BOM53" s="49"/>
      <c r="BON53" s="50"/>
      <c r="BOO53" s="49"/>
      <c r="BOP53" s="50"/>
      <c r="BOQ53" s="49"/>
      <c r="BOR53" s="50"/>
      <c r="BOS53" s="49"/>
      <c r="BOT53" s="50"/>
      <c r="BOU53" s="49"/>
      <c r="BOV53" s="50"/>
      <c r="BOW53" s="49"/>
      <c r="BOX53" s="50"/>
      <c r="BOY53" s="49"/>
      <c r="BOZ53" s="50"/>
      <c r="BPA53" s="49"/>
      <c r="BPB53" s="50"/>
      <c r="BPC53" s="49"/>
      <c r="BPD53" s="50"/>
      <c r="BPE53" s="49"/>
      <c r="BPF53" s="50"/>
      <c r="BPG53" s="49"/>
      <c r="BPH53" s="50"/>
      <c r="BPI53" s="49"/>
      <c r="BPJ53" s="50"/>
      <c r="BPK53" s="49"/>
      <c r="BPL53" s="50"/>
      <c r="BPM53" s="49"/>
      <c r="BPN53" s="50"/>
      <c r="BPO53" s="49"/>
      <c r="BPP53" s="50"/>
      <c r="BPQ53" s="49"/>
      <c r="BPR53" s="50"/>
      <c r="BPS53" s="49"/>
      <c r="BPT53" s="50"/>
      <c r="BPU53" s="49"/>
      <c r="BPV53" s="50"/>
      <c r="BPW53" s="49"/>
      <c r="BPX53" s="50"/>
      <c r="BPY53" s="49"/>
      <c r="BPZ53" s="50"/>
      <c r="BQA53" s="49"/>
      <c r="BQB53" s="50"/>
      <c r="BQC53" s="49"/>
      <c r="BQD53" s="50"/>
      <c r="BQE53" s="49"/>
      <c r="BQF53" s="50"/>
      <c r="BQG53" s="49"/>
      <c r="BQH53" s="50"/>
      <c r="BQI53" s="49"/>
      <c r="BQJ53" s="50"/>
      <c r="BQK53" s="49"/>
      <c r="BQL53" s="50"/>
      <c r="BQM53" s="49"/>
      <c r="BQN53" s="50"/>
      <c r="BQO53" s="49"/>
      <c r="BQP53" s="50"/>
      <c r="BQQ53" s="49"/>
      <c r="BQR53" s="50"/>
      <c r="BQS53" s="49"/>
      <c r="BQT53" s="50"/>
      <c r="BQU53" s="49"/>
      <c r="BQV53" s="50"/>
      <c r="BQW53" s="49"/>
      <c r="BQX53" s="50"/>
      <c r="BQY53" s="49"/>
      <c r="BQZ53" s="50"/>
      <c r="BRA53" s="49"/>
      <c r="BRB53" s="50"/>
      <c r="BRC53" s="49"/>
      <c r="BRD53" s="50"/>
      <c r="BRE53" s="49"/>
      <c r="BRF53" s="50"/>
      <c r="BRG53" s="49"/>
      <c r="BRH53" s="50"/>
      <c r="BRI53" s="49"/>
      <c r="BRJ53" s="50"/>
      <c r="BRK53" s="49"/>
      <c r="BRL53" s="50"/>
      <c r="BRM53" s="49"/>
      <c r="BRN53" s="50"/>
      <c r="BRO53" s="49"/>
      <c r="BRP53" s="50"/>
      <c r="BRQ53" s="49"/>
      <c r="BRR53" s="50"/>
      <c r="BRS53" s="49"/>
      <c r="BRT53" s="50"/>
      <c r="BRU53" s="49"/>
      <c r="BRV53" s="50"/>
      <c r="BRW53" s="49"/>
      <c r="BRX53" s="50"/>
      <c r="BRY53" s="49"/>
      <c r="BRZ53" s="50"/>
      <c r="BSA53" s="49"/>
      <c r="BSB53" s="50"/>
      <c r="BSC53" s="49"/>
      <c r="BSD53" s="50"/>
      <c r="BSE53" s="49"/>
      <c r="BSF53" s="50"/>
      <c r="BSG53" s="49"/>
      <c r="BSH53" s="50"/>
      <c r="BSI53" s="49"/>
      <c r="BSJ53" s="50"/>
      <c r="BSK53" s="49"/>
      <c r="BSL53" s="50"/>
      <c r="BSM53" s="49"/>
      <c r="BSN53" s="50"/>
      <c r="BSO53" s="49"/>
      <c r="BSP53" s="50"/>
      <c r="BSQ53" s="49"/>
      <c r="BSR53" s="50"/>
      <c r="BSS53" s="49"/>
      <c r="BST53" s="50"/>
      <c r="BSU53" s="49"/>
      <c r="BSV53" s="50"/>
      <c r="BSW53" s="49"/>
      <c r="BSX53" s="50"/>
      <c r="BSY53" s="49"/>
      <c r="BSZ53" s="50"/>
      <c r="BTA53" s="49"/>
      <c r="BTB53" s="50"/>
      <c r="BTC53" s="49"/>
      <c r="BTD53" s="50"/>
      <c r="BTE53" s="49"/>
      <c r="BTF53" s="50"/>
      <c r="BTG53" s="49"/>
      <c r="BTH53" s="50"/>
      <c r="BTI53" s="49"/>
      <c r="BTJ53" s="50"/>
      <c r="BTK53" s="49"/>
      <c r="BTL53" s="50"/>
      <c r="BTM53" s="49"/>
      <c r="BTN53" s="50"/>
      <c r="BTO53" s="49"/>
      <c r="BTP53" s="50"/>
      <c r="BTQ53" s="49"/>
      <c r="BTR53" s="50"/>
      <c r="BTS53" s="49"/>
      <c r="BTT53" s="50"/>
      <c r="BTU53" s="49"/>
      <c r="BTV53" s="50"/>
      <c r="BTW53" s="49"/>
      <c r="BTX53" s="50"/>
      <c r="BTY53" s="49"/>
      <c r="BTZ53" s="50"/>
      <c r="BUA53" s="49"/>
      <c r="BUB53" s="50"/>
      <c r="BUC53" s="49"/>
      <c r="BUD53" s="50"/>
      <c r="BUE53" s="49"/>
      <c r="BUF53" s="50"/>
      <c r="BUG53" s="49"/>
      <c r="BUH53" s="50"/>
      <c r="BUI53" s="49"/>
      <c r="BUJ53" s="50"/>
      <c r="BUK53" s="49"/>
      <c r="BUL53" s="50"/>
      <c r="BUM53" s="49"/>
      <c r="BUN53" s="50"/>
      <c r="BUO53" s="49"/>
      <c r="BUP53" s="50"/>
      <c r="BUQ53" s="49"/>
      <c r="BUR53" s="50"/>
      <c r="BUS53" s="49"/>
      <c r="BUT53" s="50"/>
      <c r="BUU53" s="49"/>
      <c r="BUV53" s="50"/>
      <c r="BUW53" s="49"/>
      <c r="BUX53" s="50"/>
      <c r="BUY53" s="49"/>
      <c r="BUZ53" s="50"/>
      <c r="BVA53" s="49"/>
      <c r="BVB53" s="50"/>
      <c r="BVC53" s="49"/>
      <c r="BVD53" s="50"/>
      <c r="BVE53" s="49"/>
      <c r="BVF53" s="50"/>
      <c r="BVG53" s="49"/>
      <c r="BVH53" s="50"/>
      <c r="BVI53" s="49"/>
      <c r="BVJ53" s="50"/>
      <c r="BVK53" s="49"/>
      <c r="BVL53" s="50"/>
      <c r="BVM53" s="49"/>
      <c r="BVN53" s="50"/>
      <c r="BVO53" s="49"/>
      <c r="BVP53" s="50"/>
      <c r="BVQ53" s="49"/>
      <c r="BVR53" s="50"/>
      <c r="BVS53" s="49"/>
      <c r="BVT53" s="50"/>
      <c r="BVU53" s="49"/>
      <c r="BVV53" s="50"/>
      <c r="BVW53" s="49"/>
      <c r="BVX53" s="50"/>
      <c r="BVY53" s="49"/>
      <c r="BVZ53" s="50"/>
      <c r="BWA53" s="49"/>
      <c r="BWB53" s="50"/>
      <c r="BWC53" s="49"/>
      <c r="BWD53" s="50"/>
      <c r="BWE53" s="49"/>
      <c r="BWF53" s="50"/>
      <c r="BWG53" s="49"/>
      <c r="BWH53" s="50"/>
      <c r="BWI53" s="49"/>
      <c r="BWJ53" s="50"/>
      <c r="BWK53" s="49"/>
      <c r="BWL53" s="50"/>
      <c r="BWM53" s="49"/>
      <c r="BWN53" s="50"/>
      <c r="BWO53" s="49"/>
      <c r="BWP53" s="50"/>
      <c r="BWQ53" s="49"/>
      <c r="BWR53" s="50"/>
      <c r="BWS53" s="49"/>
      <c r="BWT53" s="50"/>
      <c r="BWU53" s="49"/>
      <c r="BWV53" s="50"/>
      <c r="BWW53" s="49"/>
      <c r="BWX53" s="50"/>
      <c r="BWY53" s="49"/>
      <c r="BWZ53" s="50"/>
      <c r="BXA53" s="49"/>
      <c r="BXB53" s="50"/>
      <c r="BXC53" s="49"/>
      <c r="BXD53" s="50"/>
      <c r="BXE53" s="49"/>
      <c r="BXF53" s="50"/>
      <c r="BXG53" s="49"/>
      <c r="BXH53" s="50"/>
      <c r="BXI53" s="49"/>
      <c r="BXJ53" s="50"/>
      <c r="BXK53" s="49"/>
      <c r="BXL53" s="50"/>
      <c r="BXM53" s="49"/>
      <c r="BXN53" s="50"/>
      <c r="BXO53" s="49"/>
      <c r="BXP53" s="50"/>
      <c r="BXQ53" s="49"/>
      <c r="BXR53" s="50"/>
      <c r="BXS53" s="49"/>
      <c r="BXT53" s="50"/>
      <c r="BXU53" s="49"/>
      <c r="BXV53" s="50"/>
      <c r="BXW53" s="49"/>
      <c r="BXX53" s="50"/>
      <c r="BXY53" s="49"/>
      <c r="BXZ53" s="50"/>
      <c r="BYA53" s="49"/>
      <c r="BYB53" s="50"/>
      <c r="BYC53" s="49"/>
      <c r="BYD53" s="50"/>
      <c r="BYE53" s="49"/>
      <c r="BYF53" s="50"/>
      <c r="BYG53" s="49"/>
      <c r="BYH53" s="50"/>
      <c r="BYI53" s="49"/>
      <c r="BYJ53" s="50"/>
      <c r="BYK53" s="49"/>
      <c r="BYL53" s="50"/>
      <c r="BYM53" s="49"/>
      <c r="BYN53" s="50"/>
      <c r="BYO53" s="49"/>
      <c r="BYP53" s="50"/>
      <c r="BYQ53" s="49"/>
      <c r="BYR53" s="50"/>
      <c r="BYS53" s="49"/>
      <c r="BYT53" s="50"/>
      <c r="BYU53" s="49"/>
      <c r="BYV53" s="50"/>
      <c r="BYW53" s="49"/>
      <c r="BYX53" s="50"/>
      <c r="BYY53" s="49"/>
      <c r="BYZ53" s="50"/>
      <c r="BZA53" s="49"/>
      <c r="BZB53" s="50"/>
      <c r="BZC53" s="49"/>
      <c r="BZD53" s="50"/>
      <c r="BZE53" s="49"/>
      <c r="BZF53" s="50"/>
      <c r="BZG53" s="49"/>
      <c r="BZH53" s="50"/>
      <c r="BZI53" s="49"/>
      <c r="BZJ53" s="50"/>
      <c r="BZK53" s="49"/>
      <c r="BZL53" s="50"/>
      <c r="BZM53" s="49"/>
      <c r="BZN53" s="50"/>
      <c r="BZO53" s="49"/>
      <c r="BZP53" s="50"/>
      <c r="BZQ53" s="49"/>
      <c r="BZR53" s="50"/>
      <c r="BZS53" s="49"/>
      <c r="BZT53" s="50"/>
      <c r="BZU53" s="49"/>
      <c r="BZV53" s="50"/>
      <c r="BZW53" s="49"/>
      <c r="BZX53" s="50"/>
      <c r="BZY53" s="49"/>
      <c r="BZZ53" s="50"/>
      <c r="CAA53" s="49"/>
      <c r="CAB53" s="50"/>
      <c r="CAC53" s="49"/>
      <c r="CAD53" s="50"/>
      <c r="CAE53" s="49"/>
      <c r="CAF53" s="50"/>
      <c r="CAG53" s="49"/>
      <c r="CAH53" s="50"/>
      <c r="CAI53" s="49"/>
      <c r="CAJ53" s="50"/>
      <c r="CAK53" s="49"/>
      <c r="CAL53" s="50"/>
      <c r="CAM53" s="49"/>
      <c r="CAN53" s="50"/>
      <c r="CAO53" s="49"/>
      <c r="CAP53" s="50"/>
      <c r="CAQ53" s="49"/>
      <c r="CAR53" s="50"/>
      <c r="CAS53" s="49"/>
      <c r="CAT53" s="50"/>
      <c r="CAU53" s="49"/>
      <c r="CAV53" s="50"/>
      <c r="CAW53" s="49"/>
      <c r="CAX53" s="50"/>
      <c r="CAY53" s="49"/>
      <c r="CAZ53" s="50"/>
      <c r="CBA53" s="49"/>
      <c r="CBB53" s="50"/>
      <c r="CBC53" s="49"/>
      <c r="CBD53" s="50"/>
      <c r="CBE53" s="49"/>
      <c r="CBF53" s="50"/>
      <c r="CBG53" s="49"/>
      <c r="CBH53" s="50"/>
      <c r="CBI53" s="49"/>
      <c r="CBJ53" s="50"/>
      <c r="CBK53" s="49"/>
      <c r="CBL53" s="50"/>
      <c r="CBM53" s="49"/>
      <c r="CBN53" s="50"/>
      <c r="CBO53" s="49"/>
      <c r="CBP53" s="50"/>
      <c r="CBQ53" s="49"/>
      <c r="CBR53" s="50"/>
      <c r="CBS53" s="49"/>
      <c r="CBT53" s="50"/>
      <c r="CBU53" s="49"/>
      <c r="CBV53" s="50"/>
      <c r="CBW53" s="49"/>
      <c r="CBX53" s="50"/>
      <c r="CBY53" s="49"/>
      <c r="CBZ53" s="50"/>
      <c r="CCA53" s="49"/>
      <c r="CCB53" s="50"/>
      <c r="CCC53" s="49"/>
      <c r="CCD53" s="50"/>
      <c r="CCE53" s="49"/>
      <c r="CCF53" s="50"/>
      <c r="CCG53" s="49"/>
      <c r="CCH53" s="50"/>
      <c r="CCI53" s="49"/>
      <c r="CCJ53" s="50"/>
      <c r="CCK53" s="49"/>
      <c r="CCL53" s="50"/>
      <c r="CCM53" s="49"/>
      <c r="CCN53" s="50"/>
      <c r="CCO53" s="49"/>
      <c r="CCP53" s="50"/>
      <c r="CCQ53" s="49"/>
      <c r="CCR53" s="50"/>
      <c r="CCS53" s="49"/>
      <c r="CCT53" s="50"/>
      <c r="CCU53" s="49"/>
      <c r="CCV53" s="50"/>
      <c r="CCW53" s="49"/>
      <c r="CCX53" s="50"/>
      <c r="CCY53" s="49"/>
      <c r="CCZ53" s="50"/>
      <c r="CDA53" s="49"/>
      <c r="CDB53" s="50"/>
      <c r="CDC53" s="49"/>
      <c r="CDD53" s="50"/>
      <c r="CDE53" s="49"/>
      <c r="CDF53" s="50"/>
      <c r="CDG53" s="49"/>
      <c r="CDH53" s="50"/>
      <c r="CDI53" s="49"/>
      <c r="CDJ53" s="50"/>
      <c r="CDK53" s="49"/>
      <c r="CDL53" s="50"/>
      <c r="CDM53" s="49"/>
      <c r="CDN53" s="50"/>
      <c r="CDO53" s="49"/>
      <c r="CDP53" s="50"/>
      <c r="CDQ53" s="49"/>
      <c r="CDR53" s="50"/>
      <c r="CDS53" s="49"/>
      <c r="CDT53" s="50"/>
      <c r="CDU53" s="49"/>
      <c r="CDV53" s="50"/>
      <c r="CDW53" s="49"/>
      <c r="CDX53" s="50"/>
      <c r="CDY53" s="49"/>
      <c r="CDZ53" s="50"/>
      <c r="CEA53" s="49"/>
      <c r="CEB53" s="50"/>
      <c r="CEC53" s="49"/>
      <c r="CED53" s="50"/>
      <c r="CEE53" s="49"/>
      <c r="CEF53" s="50"/>
      <c r="CEG53" s="49"/>
      <c r="CEH53" s="50"/>
      <c r="CEI53" s="49"/>
      <c r="CEJ53" s="50"/>
      <c r="CEK53" s="49"/>
      <c r="CEL53" s="50"/>
      <c r="CEM53" s="49"/>
      <c r="CEN53" s="50"/>
      <c r="CEO53" s="49"/>
      <c r="CEP53" s="50"/>
      <c r="CEQ53" s="49"/>
      <c r="CER53" s="50"/>
      <c r="CES53" s="49"/>
      <c r="CET53" s="50"/>
      <c r="CEU53" s="49"/>
      <c r="CEV53" s="50"/>
      <c r="CEW53" s="49"/>
      <c r="CEX53" s="50"/>
      <c r="CEY53" s="49"/>
      <c r="CEZ53" s="50"/>
      <c r="CFA53" s="49"/>
      <c r="CFB53" s="50"/>
      <c r="CFC53" s="49"/>
      <c r="CFD53" s="50"/>
      <c r="CFE53" s="49"/>
      <c r="CFF53" s="50"/>
      <c r="CFG53" s="49"/>
      <c r="CFH53" s="50"/>
      <c r="CFI53" s="49"/>
      <c r="CFJ53" s="50"/>
      <c r="CFK53" s="49"/>
      <c r="CFL53" s="50"/>
      <c r="CFM53" s="49"/>
      <c r="CFN53" s="50"/>
      <c r="CFO53" s="49"/>
      <c r="CFP53" s="50"/>
      <c r="CFQ53" s="49"/>
      <c r="CFR53" s="50"/>
      <c r="CFS53" s="49"/>
      <c r="CFT53" s="50"/>
      <c r="CFU53" s="49"/>
      <c r="CFV53" s="50"/>
      <c r="CFW53" s="49"/>
      <c r="CFX53" s="50"/>
      <c r="CFY53" s="49"/>
      <c r="CFZ53" s="50"/>
      <c r="CGA53" s="49"/>
      <c r="CGB53" s="50"/>
      <c r="CGC53" s="49"/>
      <c r="CGD53" s="50"/>
      <c r="CGE53" s="49"/>
      <c r="CGF53" s="50"/>
      <c r="CGG53" s="49"/>
      <c r="CGH53" s="50"/>
      <c r="CGI53" s="49"/>
      <c r="CGJ53" s="50"/>
      <c r="CGK53" s="49"/>
      <c r="CGL53" s="50"/>
      <c r="CGM53" s="49"/>
      <c r="CGN53" s="50"/>
      <c r="CGO53" s="49"/>
      <c r="CGP53" s="50"/>
      <c r="CGQ53" s="49"/>
      <c r="CGR53" s="50"/>
      <c r="CGS53" s="49"/>
      <c r="CGT53" s="50"/>
      <c r="CGU53" s="49"/>
      <c r="CGV53" s="50"/>
      <c r="CGW53" s="49"/>
      <c r="CGX53" s="50"/>
      <c r="CGY53" s="49"/>
      <c r="CGZ53" s="50"/>
      <c r="CHA53" s="49"/>
      <c r="CHB53" s="50"/>
      <c r="CHC53" s="49"/>
      <c r="CHD53" s="50"/>
      <c r="CHE53" s="49"/>
      <c r="CHF53" s="50"/>
      <c r="CHG53" s="49"/>
      <c r="CHH53" s="50"/>
      <c r="CHI53" s="49"/>
      <c r="CHJ53" s="50"/>
      <c r="CHK53" s="49"/>
      <c r="CHL53" s="50"/>
      <c r="CHM53" s="49"/>
      <c r="CHN53" s="50"/>
      <c r="CHO53" s="49"/>
      <c r="CHP53" s="50"/>
      <c r="CHQ53" s="49"/>
      <c r="CHR53" s="50"/>
      <c r="CHS53" s="49"/>
      <c r="CHT53" s="50"/>
      <c r="CHU53" s="49"/>
      <c r="CHV53" s="50"/>
      <c r="CHW53" s="49"/>
      <c r="CHX53" s="50"/>
      <c r="CHY53" s="49"/>
      <c r="CHZ53" s="50"/>
      <c r="CIA53" s="49"/>
      <c r="CIB53" s="50"/>
      <c r="CIC53" s="49"/>
      <c r="CID53" s="50"/>
      <c r="CIE53" s="49"/>
      <c r="CIF53" s="50"/>
      <c r="CIG53" s="49"/>
      <c r="CIH53" s="50"/>
      <c r="CII53" s="49"/>
      <c r="CIJ53" s="50"/>
      <c r="CIK53" s="49"/>
      <c r="CIL53" s="50"/>
      <c r="CIM53" s="49"/>
      <c r="CIN53" s="50"/>
      <c r="CIO53" s="49"/>
      <c r="CIP53" s="50"/>
      <c r="CIQ53" s="49"/>
      <c r="CIR53" s="50"/>
      <c r="CIS53" s="49"/>
      <c r="CIT53" s="50"/>
      <c r="CIU53" s="49"/>
      <c r="CIV53" s="50"/>
      <c r="CIW53" s="49"/>
      <c r="CIX53" s="50"/>
      <c r="CIY53" s="49"/>
      <c r="CIZ53" s="50"/>
      <c r="CJA53" s="49"/>
      <c r="CJB53" s="50"/>
      <c r="CJC53" s="49"/>
      <c r="CJD53" s="50"/>
      <c r="CJE53" s="49"/>
      <c r="CJF53" s="50"/>
      <c r="CJG53" s="49"/>
      <c r="CJH53" s="50"/>
      <c r="CJI53" s="49"/>
      <c r="CJJ53" s="50"/>
      <c r="CJK53" s="49"/>
      <c r="CJL53" s="50"/>
      <c r="CJM53" s="49"/>
      <c r="CJN53" s="50"/>
      <c r="CJO53" s="49"/>
      <c r="CJP53" s="50"/>
      <c r="CJQ53" s="49"/>
      <c r="CJR53" s="50"/>
      <c r="CJS53" s="49"/>
      <c r="CJT53" s="50"/>
      <c r="CJU53" s="49"/>
      <c r="CJV53" s="50"/>
      <c r="CJW53" s="49"/>
      <c r="CJX53" s="50"/>
      <c r="CJY53" s="49"/>
      <c r="CJZ53" s="50"/>
      <c r="CKA53" s="49"/>
      <c r="CKB53" s="50"/>
      <c r="CKC53" s="49"/>
      <c r="CKD53" s="50"/>
      <c r="CKE53" s="49"/>
      <c r="CKF53" s="50"/>
      <c r="CKG53" s="49"/>
      <c r="CKH53" s="50"/>
      <c r="CKI53" s="49"/>
      <c r="CKJ53" s="50"/>
      <c r="CKK53" s="49"/>
      <c r="CKL53" s="50"/>
      <c r="CKM53" s="49"/>
      <c r="CKN53" s="50"/>
      <c r="CKO53" s="49"/>
      <c r="CKP53" s="50"/>
      <c r="CKQ53" s="49"/>
      <c r="CKR53" s="50"/>
      <c r="CKS53" s="49"/>
      <c r="CKT53" s="50"/>
      <c r="CKU53" s="49"/>
      <c r="CKV53" s="50"/>
      <c r="CKW53" s="49"/>
      <c r="CKX53" s="50"/>
      <c r="CKY53" s="49"/>
      <c r="CKZ53" s="50"/>
      <c r="CLA53" s="49"/>
      <c r="CLB53" s="50"/>
      <c r="CLC53" s="49"/>
      <c r="CLD53" s="50"/>
      <c r="CLE53" s="49"/>
      <c r="CLF53" s="50"/>
      <c r="CLG53" s="49"/>
      <c r="CLH53" s="50"/>
      <c r="CLI53" s="49"/>
      <c r="CLJ53" s="50"/>
      <c r="CLK53" s="49"/>
      <c r="CLL53" s="50"/>
      <c r="CLM53" s="49"/>
      <c r="CLN53" s="50"/>
      <c r="CLO53" s="49"/>
      <c r="CLP53" s="50"/>
      <c r="CLQ53" s="49"/>
      <c r="CLR53" s="50"/>
      <c r="CLS53" s="49"/>
      <c r="CLT53" s="50"/>
      <c r="CLU53" s="49"/>
      <c r="CLV53" s="50"/>
      <c r="CLW53" s="49"/>
      <c r="CLX53" s="50"/>
      <c r="CLY53" s="49"/>
      <c r="CLZ53" s="50"/>
      <c r="CMA53" s="49"/>
      <c r="CMB53" s="50"/>
      <c r="CMC53" s="49"/>
      <c r="CMD53" s="50"/>
      <c r="CME53" s="49"/>
      <c r="CMF53" s="50"/>
      <c r="CMG53" s="49"/>
      <c r="CMH53" s="50"/>
      <c r="CMI53" s="49"/>
      <c r="CMJ53" s="50"/>
      <c r="CMK53" s="49"/>
      <c r="CML53" s="50"/>
      <c r="CMM53" s="49"/>
      <c r="CMN53" s="50"/>
      <c r="CMO53" s="49"/>
      <c r="CMP53" s="50"/>
      <c r="CMQ53" s="49"/>
      <c r="CMR53" s="50"/>
      <c r="CMS53" s="49"/>
      <c r="CMT53" s="50"/>
      <c r="CMU53" s="49"/>
      <c r="CMV53" s="50"/>
      <c r="CMW53" s="49"/>
      <c r="CMX53" s="50"/>
      <c r="CMY53" s="49"/>
      <c r="CMZ53" s="50"/>
      <c r="CNA53" s="49"/>
      <c r="CNB53" s="50"/>
      <c r="CNC53" s="49"/>
      <c r="CND53" s="50"/>
      <c r="CNE53" s="49"/>
      <c r="CNF53" s="50"/>
      <c r="CNG53" s="49"/>
      <c r="CNH53" s="50"/>
      <c r="CNI53" s="49"/>
      <c r="CNJ53" s="50"/>
      <c r="CNK53" s="49"/>
      <c r="CNL53" s="50"/>
      <c r="CNM53" s="49"/>
      <c r="CNN53" s="50"/>
      <c r="CNO53" s="49"/>
      <c r="CNP53" s="50"/>
      <c r="CNQ53" s="49"/>
      <c r="CNR53" s="50"/>
      <c r="CNS53" s="49"/>
      <c r="CNT53" s="50"/>
      <c r="CNU53" s="49"/>
      <c r="CNV53" s="50"/>
      <c r="CNW53" s="49"/>
      <c r="CNX53" s="50"/>
      <c r="CNY53" s="49"/>
      <c r="CNZ53" s="50"/>
      <c r="COA53" s="49"/>
      <c r="COB53" s="50"/>
      <c r="COC53" s="49"/>
      <c r="COD53" s="50"/>
      <c r="COE53" s="49"/>
      <c r="COF53" s="50"/>
      <c r="COG53" s="49"/>
      <c r="COH53" s="50"/>
      <c r="COI53" s="49"/>
      <c r="COJ53" s="50"/>
      <c r="COK53" s="49"/>
      <c r="COL53" s="50"/>
      <c r="COM53" s="49"/>
      <c r="CON53" s="50"/>
      <c r="COO53" s="49"/>
      <c r="COP53" s="50"/>
      <c r="COQ53" s="49"/>
      <c r="COR53" s="50"/>
      <c r="COS53" s="49"/>
      <c r="COT53" s="50"/>
      <c r="COU53" s="49"/>
      <c r="COV53" s="50"/>
      <c r="COW53" s="49"/>
      <c r="COX53" s="50"/>
      <c r="COY53" s="49"/>
      <c r="COZ53" s="50"/>
      <c r="CPA53" s="49"/>
      <c r="CPB53" s="50"/>
      <c r="CPC53" s="49"/>
      <c r="CPD53" s="50"/>
      <c r="CPE53" s="49"/>
      <c r="CPF53" s="50"/>
      <c r="CPG53" s="49"/>
      <c r="CPH53" s="50"/>
      <c r="CPI53" s="49"/>
      <c r="CPJ53" s="50"/>
      <c r="CPK53" s="49"/>
      <c r="CPL53" s="50"/>
      <c r="CPM53" s="49"/>
      <c r="CPN53" s="50"/>
      <c r="CPO53" s="49"/>
      <c r="CPP53" s="50"/>
      <c r="CPQ53" s="49"/>
      <c r="CPR53" s="50"/>
      <c r="CPS53" s="49"/>
      <c r="CPT53" s="50"/>
      <c r="CPU53" s="49"/>
      <c r="CPV53" s="50"/>
      <c r="CPW53" s="49"/>
      <c r="CPX53" s="50"/>
      <c r="CPY53" s="49"/>
      <c r="CPZ53" s="50"/>
      <c r="CQA53" s="49"/>
      <c r="CQB53" s="50"/>
      <c r="CQC53" s="49"/>
      <c r="CQD53" s="50"/>
      <c r="CQE53" s="49"/>
      <c r="CQF53" s="50"/>
      <c r="CQG53" s="49"/>
      <c r="CQH53" s="50"/>
      <c r="CQI53" s="49"/>
      <c r="CQJ53" s="50"/>
      <c r="CQK53" s="49"/>
      <c r="CQL53" s="50"/>
      <c r="CQM53" s="49"/>
      <c r="CQN53" s="50"/>
      <c r="CQO53" s="49"/>
      <c r="CQP53" s="50"/>
      <c r="CQQ53" s="49"/>
      <c r="CQR53" s="50"/>
      <c r="CQS53" s="49"/>
      <c r="CQT53" s="50"/>
      <c r="CQU53" s="49"/>
      <c r="CQV53" s="50"/>
      <c r="CQW53" s="49"/>
      <c r="CQX53" s="50"/>
      <c r="CQY53" s="49"/>
      <c r="CQZ53" s="50"/>
      <c r="CRA53" s="49"/>
      <c r="CRB53" s="50"/>
      <c r="CRC53" s="49"/>
      <c r="CRD53" s="50"/>
      <c r="CRE53" s="49"/>
      <c r="CRF53" s="50"/>
      <c r="CRG53" s="49"/>
      <c r="CRH53" s="50"/>
      <c r="CRI53" s="49"/>
      <c r="CRJ53" s="50"/>
      <c r="CRK53" s="49"/>
      <c r="CRL53" s="50"/>
      <c r="CRM53" s="49"/>
      <c r="CRN53" s="50"/>
      <c r="CRO53" s="49"/>
      <c r="CRP53" s="50"/>
      <c r="CRQ53" s="49"/>
      <c r="CRR53" s="50"/>
      <c r="CRS53" s="49"/>
      <c r="CRT53" s="50"/>
      <c r="CRU53" s="49"/>
      <c r="CRV53" s="50"/>
      <c r="CRW53" s="49"/>
      <c r="CRX53" s="50"/>
      <c r="CRY53" s="49"/>
      <c r="CRZ53" s="50"/>
      <c r="CSA53" s="49"/>
      <c r="CSB53" s="50"/>
      <c r="CSC53" s="49"/>
      <c r="CSD53" s="50"/>
      <c r="CSE53" s="49"/>
      <c r="CSF53" s="50"/>
      <c r="CSG53" s="49"/>
      <c r="CSH53" s="50"/>
      <c r="CSI53" s="49"/>
      <c r="CSJ53" s="50"/>
      <c r="CSK53" s="49"/>
      <c r="CSL53" s="50"/>
      <c r="CSM53" s="49"/>
      <c r="CSN53" s="50"/>
      <c r="CSO53" s="49"/>
      <c r="CSP53" s="50"/>
      <c r="CSQ53" s="49"/>
      <c r="CSR53" s="50"/>
      <c r="CSS53" s="49"/>
      <c r="CST53" s="50"/>
      <c r="CSU53" s="49"/>
      <c r="CSV53" s="50"/>
      <c r="CSW53" s="49"/>
      <c r="CSX53" s="50"/>
      <c r="CSY53" s="49"/>
      <c r="CSZ53" s="50"/>
      <c r="CTA53" s="49"/>
      <c r="CTB53" s="50"/>
      <c r="CTC53" s="49"/>
      <c r="CTD53" s="50"/>
      <c r="CTE53" s="49"/>
      <c r="CTF53" s="50"/>
      <c r="CTG53" s="49"/>
      <c r="CTH53" s="50"/>
      <c r="CTI53" s="49"/>
      <c r="CTJ53" s="50"/>
      <c r="CTK53" s="49"/>
      <c r="CTL53" s="50"/>
      <c r="CTM53" s="49"/>
      <c r="CTN53" s="50"/>
      <c r="CTO53" s="49"/>
      <c r="CTP53" s="50"/>
      <c r="CTQ53" s="49"/>
      <c r="CTR53" s="50"/>
      <c r="CTS53" s="49"/>
      <c r="CTT53" s="50"/>
      <c r="CTU53" s="49"/>
      <c r="CTV53" s="50"/>
      <c r="CTW53" s="49"/>
      <c r="CTX53" s="50"/>
      <c r="CTY53" s="49"/>
      <c r="CTZ53" s="50"/>
      <c r="CUA53" s="49"/>
      <c r="CUB53" s="50"/>
      <c r="CUC53" s="49"/>
      <c r="CUD53" s="50"/>
      <c r="CUE53" s="49"/>
      <c r="CUF53" s="50"/>
      <c r="CUG53" s="49"/>
      <c r="CUH53" s="50"/>
      <c r="CUI53" s="49"/>
      <c r="CUJ53" s="50"/>
      <c r="CUK53" s="49"/>
      <c r="CUL53" s="50"/>
      <c r="CUM53" s="49"/>
      <c r="CUN53" s="50"/>
      <c r="CUO53" s="49"/>
      <c r="CUP53" s="50"/>
      <c r="CUQ53" s="49"/>
      <c r="CUR53" s="50"/>
      <c r="CUS53" s="49"/>
      <c r="CUT53" s="50"/>
      <c r="CUU53" s="49"/>
      <c r="CUV53" s="50"/>
      <c r="CUW53" s="49"/>
      <c r="CUX53" s="50"/>
      <c r="CUY53" s="49"/>
      <c r="CUZ53" s="50"/>
      <c r="CVA53" s="49"/>
      <c r="CVB53" s="50"/>
      <c r="CVC53" s="49"/>
      <c r="CVD53" s="50"/>
      <c r="CVE53" s="49"/>
      <c r="CVF53" s="50"/>
      <c r="CVG53" s="49"/>
      <c r="CVH53" s="50"/>
      <c r="CVI53" s="49"/>
      <c r="CVJ53" s="50"/>
      <c r="CVK53" s="49"/>
      <c r="CVL53" s="50"/>
      <c r="CVM53" s="49"/>
      <c r="CVN53" s="50"/>
      <c r="CVO53" s="49"/>
      <c r="CVP53" s="50"/>
      <c r="CVQ53" s="49"/>
      <c r="CVR53" s="50"/>
      <c r="CVS53" s="49"/>
      <c r="CVT53" s="50"/>
      <c r="CVU53" s="49"/>
      <c r="CVV53" s="50"/>
      <c r="CVW53" s="49"/>
      <c r="CVX53" s="50"/>
      <c r="CVY53" s="49"/>
      <c r="CVZ53" s="50"/>
      <c r="CWA53" s="49"/>
      <c r="CWB53" s="50"/>
      <c r="CWC53" s="49"/>
      <c r="CWD53" s="50"/>
      <c r="CWE53" s="49"/>
      <c r="CWF53" s="50"/>
      <c r="CWG53" s="49"/>
      <c r="CWH53" s="50"/>
      <c r="CWI53" s="49"/>
      <c r="CWJ53" s="50"/>
      <c r="CWK53" s="49"/>
      <c r="CWL53" s="50"/>
      <c r="CWM53" s="49"/>
      <c r="CWN53" s="50"/>
      <c r="CWO53" s="49"/>
      <c r="CWP53" s="50"/>
      <c r="CWQ53" s="49"/>
      <c r="CWR53" s="50"/>
      <c r="CWS53" s="49"/>
      <c r="CWT53" s="50"/>
      <c r="CWU53" s="49"/>
      <c r="CWV53" s="50"/>
      <c r="CWW53" s="49"/>
      <c r="CWX53" s="50"/>
      <c r="CWY53" s="49"/>
      <c r="CWZ53" s="50"/>
      <c r="CXA53" s="49"/>
      <c r="CXB53" s="50"/>
      <c r="CXC53" s="49"/>
      <c r="CXD53" s="50"/>
      <c r="CXE53" s="49"/>
      <c r="CXF53" s="50"/>
      <c r="CXG53" s="49"/>
      <c r="CXH53" s="50"/>
      <c r="CXI53" s="49"/>
      <c r="CXJ53" s="50"/>
      <c r="CXK53" s="49"/>
      <c r="CXL53" s="50"/>
      <c r="CXM53" s="49"/>
      <c r="CXN53" s="50"/>
      <c r="CXO53" s="49"/>
      <c r="CXP53" s="50"/>
      <c r="CXQ53" s="49"/>
      <c r="CXR53" s="50"/>
      <c r="CXS53" s="49"/>
      <c r="CXT53" s="50"/>
      <c r="CXU53" s="49"/>
      <c r="CXV53" s="50"/>
      <c r="CXW53" s="49"/>
      <c r="CXX53" s="50"/>
      <c r="CXY53" s="49"/>
      <c r="CXZ53" s="50"/>
      <c r="CYA53" s="49"/>
      <c r="CYB53" s="50"/>
      <c r="CYC53" s="49"/>
      <c r="CYD53" s="50"/>
      <c r="CYE53" s="49"/>
      <c r="CYF53" s="50"/>
      <c r="CYG53" s="49"/>
      <c r="CYH53" s="50"/>
      <c r="CYI53" s="49"/>
      <c r="CYJ53" s="50"/>
      <c r="CYK53" s="49"/>
      <c r="CYL53" s="50"/>
      <c r="CYM53" s="49"/>
      <c r="CYN53" s="50"/>
      <c r="CYO53" s="49"/>
      <c r="CYP53" s="50"/>
      <c r="CYQ53" s="49"/>
      <c r="CYR53" s="50"/>
      <c r="CYS53" s="49"/>
      <c r="CYT53" s="50"/>
      <c r="CYU53" s="49"/>
      <c r="CYV53" s="50"/>
      <c r="CYW53" s="49"/>
      <c r="CYX53" s="50"/>
      <c r="CYY53" s="49"/>
      <c r="CYZ53" s="50"/>
      <c r="CZA53" s="49"/>
      <c r="CZB53" s="50"/>
      <c r="CZC53" s="49"/>
      <c r="CZD53" s="50"/>
      <c r="CZE53" s="49"/>
      <c r="CZF53" s="50"/>
      <c r="CZG53" s="49"/>
      <c r="CZH53" s="50"/>
      <c r="CZI53" s="49"/>
      <c r="CZJ53" s="50"/>
      <c r="CZK53" s="49"/>
      <c r="CZL53" s="50"/>
      <c r="CZM53" s="49"/>
      <c r="CZN53" s="50"/>
      <c r="CZO53" s="49"/>
      <c r="CZP53" s="50"/>
      <c r="CZQ53" s="49"/>
      <c r="CZR53" s="50"/>
      <c r="CZS53" s="49"/>
      <c r="CZT53" s="50"/>
      <c r="CZU53" s="49"/>
      <c r="CZV53" s="50"/>
      <c r="CZW53" s="49"/>
      <c r="CZX53" s="50"/>
      <c r="CZY53" s="49"/>
      <c r="CZZ53" s="50"/>
      <c r="DAA53" s="49"/>
      <c r="DAB53" s="50"/>
      <c r="DAC53" s="49"/>
      <c r="DAD53" s="50"/>
      <c r="DAE53" s="49"/>
      <c r="DAF53" s="50"/>
      <c r="DAG53" s="49"/>
      <c r="DAH53" s="50"/>
      <c r="DAI53" s="49"/>
      <c r="DAJ53" s="50"/>
      <c r="DAK53" s="49"/>
      <c r="DAL53" s="50"/>
      <c r="DAM53" s="49"/>
      <c r="DAN53" s="50"/>
      <c r="DAO53" s="49"/>
      <c r="DAP53" s="50"/>
      <c r="DAQ53" s="49"/>
      <c r="DAR53" s="50"/>
      <c r="DAS53" s="49"/>
      <c r="DAT53" s="50"/>
      <c r="DAU53" s="49"/>
      <c r="DAV53" s="50"/>
      <c r="DAW53" s="49"/>
      <c r="DAX53" s="50"/>
      <c r="DAY53" s="49"/>
      <c r="DAZ53" s="50"/>
      <c r="DBA53" s="49"/>
      <c r="DBB53" s="50"/>
      <c r="DBC53" s="49"/>
      <c r="DBD53" s="50"/>
      <c r="DBE53" s="49"/>
      <c r="DBF53" s="50"/>
      <c r="DBG53" s="49"/>
      <c r="DBH53" s="50"/>
      <c r="DBI53" s="49"/>
      <c r="DBJ53" s="50"/>
      <c r="DBK53" s="49"/>
      <c r="DBL53" s="50"/>
      <c r="DBM53" s="49"/>
      <c r="DBN53" s="50"/>
      <c r="DBO53" s="49"/>
      <c r="DBP53" s="50"/>
      <c r="DBQ53" s="49"/>
      <c r="DBR53" s="50"/>
      <c r="DBS53" s="49"/>
      <c r="DBT53" s="50"/>
      <c r="DBU53" s="49"/>
      <c r="DBV53" s="50"/>
      <c r="DBW53" s="49"/>
      <c r="DBX53" s="50"/>
      <c r="DBY53" s="49"/>
      <c r="DBZ53" s="50"/>
      <c r="DCA53" s="49"/>
      <c r="DCB53" s="50"/>
      <c r="DCC53" s="49"/>
      <c r="DCD53" s="50"/>
      <c r="DCE53" s="49"/>
      <c r="DCF53" s="50"/>
      <c r="DCG53" s="49"/>
      <c r="DCH53" s="50"/>
      <c r="DCI53" s="49"/>
      <c r="DCJ53" s="50"/>
      <c r="DCK53" s="49"/>
      <c r="DCL53" s="50"/>
      <c r="DCM53" s="49"/>
      <c r="DCN53" s="50"/>
      <c r="DCO53" s="49"/>
      <c r="DCP53" s="50"/>
      <c r="DCQ53" s="49"/>
      <c r="DCR53" s="50"/>
      <c r="DCS53" s="49"/>
      <c r="DCT53" s="50"/>
      <c r="DCU53" s="49"/>
      <c r="DCV53" s="50"/>
      <c r="DCW53" s="49"/>
      <c r="DCX53" s="50"/>
      <c r="DCY53" s="49"/>
      <c r="DCZ53" s="50"/>
      <c r="DDA53" s="49"/>
      <c r="DDB53" s="50"/>
      <c r="DDC53" s="49"/>
      <c r="DDD53" s="50"/>
      <c r="DDE53" s="49"/>
      <c r="DDF53" s="50"/>
      <c r="DDG53" s="49"/>
      <c r="DDH53" s="50"/>
      <c r="DDI53" s="49"/>
      <c r="DDJ53" s="50"/>
      <c r="DDK53" s="49"/>
      <c r="DDL53" s="50"/>
      <c r="DDM53" s="49"/>
      <c r="DDN53" s="50"/>
      <c r="DDO53" s="49"/>
      <c r="DDP53" s="50"/>
      <c r="DDQ53" s="49"/>
      <c r="DDR53" s="50"/>
      <c r="DDS53" s="49"/>
      <c r="DDT53" s="50"/>
      <c r="DDU53" s="49"/>
      <c r="DDV53" s="50"/>
      <c r="DDW53" s="49"/>
      <c r="DDX53" s="50"/>
      <c r="DDY53" s="49"/>
      <c r="DDZ53" s="50"/>
      <c r="DEA53" s="49"/>
      <c r="DEB53" s="50"/>
      <c r="DEC53" s="49"/>
      <c r="DED53" s="50"/>
      <c r="DEE53" s="49"/>
      <c r="DEF53" s="50"/>
      <c r="DEG53" s="49"/>
      <c r="DEH53" s="50"/>
      <c r="DEI53" s="49"/>
      <c r="DEJ53" s="50"/>
      <c r="DEK53" s="49"/>
      <c r="DEL53" s="50"/>
      <c r="DEM53" s="49"/>
      <c r="DEN53" s="50"/>
      <c r="DEO53" s="49"/>
      <c r="DEP53" s="50"/>
      <c r="DEQ53" s="49"/>
      <c r="DER53" s="50"/>
      <c r="DES53" s="49"/>
      <c r="DET53" s="50"/>
      <c r="DEU53" s="49"/>
      <c r="DEV53" s="50"/>
      <c r="DEW53" s="49"/>
      <c r="DEX53" s="50"/>
      <c r="DEY53" s="49"/>
      <c r="DEZ53" s="50"/>
      <c r="DFA53" s="49"/>
      <c r="DFB53" s="50"/>
      <c r="DFC53" s="49"/>
      <c r="DFD53" s="50"/>
      <c r="DFE53" s="49"/>
      <c r="DFF53" s="50"/>
      <c r="DFG53" s="49"/>
      <c r="DFH53" s="50"/>
      <c r="DFI53" s="49"/>
      <c r="DFJ53" s="50"/>
      <c r="DFK53" s="49"/>
      <c r="DFL53" s="50"/>
      <c r="DFM53" s="49"/>
      <c r="DFN53" s="50"/>
      <c r="DFO53" s="49"/>
      <c r="DFP53" s="50"/>
      <c r="DFQ53" s="49"/>
      <c r="DFR53" s="50"/>
      <c r="DFS53" s="49"/>
      <c r="DFT53" s="50"/>
      <c r="DFU53" s="49"/>
      <c r="DFV53" s="50"/>
      <c r="DFW53" s="49"/>
      <c r="DFX53" s="50"/>
      <c r="DFY53" s="49"/>
      <c r="DFZ53" s="50"/>
      <c r="DGA53" s="49"/>
      <c r="DGB53" s="50"/>
      <c r="DGC53" s="49"/>
      <c r="DGD53" s="50"/>
      <c r="DGE53" s="49"/>
      <c r="DGF53" s="50"/>
      <c r="DGG53" s="49"/>
      <c r="DGH53" s="50"/>
      <c r="DGI53" s="49"/>
      <c r="DGJ53" s="50"/>
      <c r="DGK53" s="49"/>
      <c r="DGL53" s="50"/>
      <c r="DGM53" s="49"/>
      <c r="DGN53" s="50"/>
      <c r="DGO53" s="49"/>
      <c r="DGP53" s="50"/>
      <c r="DGQ53" s="49"/>
      <c r="DGR53" s="50"/>
      <c r="DGS53" s="49"/>
      <c r="DGT53" s="50"/>
      <c r="DGU53" s="49"/>
      <c r="DGV53" s="50"/>
      <c r="DGW53" s="49"/>
      <c r="DGX53" s="50"/>
      <c r="DGY53" s="49"/>
      <c r="DGZ53" s="50"/>
      <c r="DHA53" s="49"/>
      <c r="DHB53" s="50"/>
      <c r="DHC53" s="49"/>
      <c r="DHD53" s="50"/>
      <c r="DHE53" s="49"/>
      <c r="DHF53" s="50"/>
      <c r="DHG53" s="49"/>
      <c r="DHH53" s="50"/>
      <c r="DHI53" s="49"/>
      <c r="DHJ53" s="50"/>
      <c r="DHK53" s="49"/>
      <c r="DHL53" s="50"/>
      <c r="DHM53" s="49"/>
      <c r="DHN53" s="50"/>
      <c r="DHO53" s="49"/>
      <c r="DHP53" s="50"/>
      <c r="DHQ53" s="49"/>
      <c r="DHR53" s="50"/>
      <c r="DHS53" s="49"/>
      <c r="DHT53" s="50"/>
      <c r="DHU53" s="49"/>
      <c r="DHV53" s="50"/>
      <c r="DHW53" s="49"/>
      <c r="DHX53" s="50"/>
      <c r="DHY53" s="49"/>
      <c r="DHZ53" s="50"/>
      <c r="DIA53" s="49"/>
      <c r="DIB53" s="50"/>
      <c r="DIC53" s="49"/>
      <c r="DID53" s="50"/>
      <c r="DIE53" s="49"/>
      <c r="DIF53" s="50"/>
      <c r="DIG53" s="49"/>
      <c r="DIH53" s="50"/>
      <c r="DII53" s="49"/>
      <c r="DIJ53" s="50"/>
      <c r="DIK53" s="49"/>
      <c r="DIL53" s="50"/>
      <c r="DIM53" s="49"/>
      <c r="DIN53" s="50"/>
      <c r="DIO53" s="49"/>
      <c r="DIP53" s="50"/>
      <c r="DIQ53" s="49"/>
      <c r="DIR53" s="50"/>
      <c r="DIS53" s="49"/>
      <c r="DIT53" s="50"/>
      <c r="DIU53" s="49"/>
      <c r="DIV53" s="50"/>
      <c r="DIW53" s="49"/>
      <c r="DIX53" s="50"/>
      <c r="DIY53" s="49"/>
      <c r="DIZ53" s="50"/>
      <c r="DJA53" s="49"/>
      <c r="DJB53" s="50"/>
      <c r="DJC53" s="49"/>
      <c r="DJD53" s="50"/>
      <c r="DJE53" s="49"/>
      <c r="DJF53" s="50"/>
      <c r="DJG53" s="49"/>
      <c r="DJH53" s="50"/>
      <c r="DJI53" s="49"/>
      <c r="DJJ53" s="50"/>
      <c r="DJK53" s="49"/>
      <c r="DJL53" s="50"/>
      <c r="DJM53" s="49"/>
      <c r="DJN53" s="50"/>
      <c r="DJO53" s="49"/>
      <c r="DJP53" s="50"/>
      <c r="DJQ53" s="49"/>
      <c r="DJR53" s="50"/>
      <c r="DJS53" s="49"/>
      <c r="DJT53" s="50"/>
      <c r="DJU53" s="49"/>
      <c r="DJV53" s="50"/>
      <c r="DJW53" s="49"/>
      <c r="DJX53" s="50"/>
      <c r="DJY53" s="49"/>
      <c r="DJZ53" s="50"/>
      <c r="DKA53" s="49"/>
      <c r="DKB53" s="50"/>
      <c r="DKC53" s="49"/>
      <c r="DKD53" s="50"/>
      <c r="DKE53" s="49"/>
      <c r="DKF53" s="50"/>
      <c r="DKG53" s="49"/>
      <c r="DKH53" s="50"/>
      <c r="DKI53" s="49"/>
      <c r="DKJ53" s="50"/>
      <c r="DKK53" s="49"/>
      <c r="DKL53" s="50"/>
      <c r="DKM53" s="49"/>
      <c r="DKN53" s="50"/>
      <c r="DKO53" s="49"/>
      <c r="DKP53" s="50"/>
      <c r="DKQ53" s="49"/>
      <c r="DKR53" s="50"/>
      <c r="DKS53" s="49"/>
      <c r="DKT53" s="50"/>
      <c r="DKU53" s="49"/>
      <c r="DKV53" s="50"/>
      <c r="DKW53" s="49"/>
      <c r="DKX53" s="50"/>
      <c r="DKY53" s="49"/>
      <c r="DKZ53" s="50"/>
      <c r="DLA53" s="49"/>
      <c r="DLB53" s="50"/>
      <c r="DLC53" s="49"/>
      <c r="DLD53" s="50"/>
      <c r="DLE53" s="49"/>
      <c r="DLF53" s="50"/>
      <c r="DLG53" s="49"/>
      <c r="DLH53" s="50"/>
      <c r="DLI53" s="49"/>
      <c r="DLJ53" s="50"/>
      <c r="DLK53" s="49"/>
      <c r="DLL53" s="50"/>
      <c r="DLM53" s="49"/>
      <c r="DLN53" s="50"/>
      <c r="DLO53" s="49"/>
      <c r="DLP53" s="50"/>
      <c r="DLQ53" s="49"/>
      <c r="DLR53" s="50"/>
      <c r="DLS53" s="49"/>
      <c r="DLT53" s="50"/>
      <c r="DLU53" s="49"/>
      <c r="DLV53" s="50"/>
      <c r="DLW53" s="49"/>
      <c r="DLX53" s="50"/>
      <c r="DLY53" s="49"/>
      <c r="DLZ53" s="50"/>
      <c r="DMA53" s="49"/>
      <c r="DMB53" s="50"/>
      <c r="DMC53" s="49"/>
      <c r="DMD53" s="50"/>
      <c r="DME53" s="49"/>
      <c r="DMF53" s="50"/>
      <c r="DMG53" s="49"/>
      <c r="DMH53" s="50"/>
      <c r="DMI53" s="49"/>
      <c r="DMJ53" s="50"/>
      <c r="DMK53" s="49"/>
      <c r="DML53" s="50"/>
      <c r="DMM53" s="49"/>
      <c r="DMN53" s="50"/>
      <c r="DMO53" s="49"/>
      <c r="DMP53" s="50"/>
      <c r="DMQ53" s="49"/>
      <c r="DMR53" s="50"/>
      <c r="DMS53" s="49"/>
      <c r="DMT53" s="50"/>
      <c r="DMU53" s="49"/>
      <c r="DMV53" s="50"/>
      <c r="DMW53" s="49"/>
      <c r="DMX53" s="50"/>
      <c r="DMY53" s="49"/>
      <c r="DMZ53" s="50"/>
      <c r="DNA53" s="49"/>
      <c r="DNB53" s="50"/>
      <c r="DNC53" s="49"/>
      <c r="DND53" s="50"/>
      <c r="DNE53" s="49"/>
      <c r="DNF53" s="50"/>
      <c r="DNG53" s="49"/>
      <c r="DNH53" s="50"/>
      <c r="DNI53" s="49"/>
      <c r="DNJ53" s="50"/>
      <c r="DNK53" s="49"/>
      <c r="DNL53" s="50"/>
      <c r="DNM53" s="49"/>
      <c r="DNN53" s="50"/>
      <c r="DNO53" s="49"/>
      <c r="DNP53" s="50"/>
      <c r="DNQ53" s="49"/>
      <c r="DNR53" s="50"/>
      <c r="DNS53" s="49"/>
      <c r="DNT53" s="50"/>
      <c r="DNU53" s="49"/>
      <c r="DNV53" s="50"/>
      <c r="DNW53" s="49"/>
      <c r="DNX53" s="50"/>
      <c r="DNY53" s="49"/>
      <c r="DNZ53" s="50"/>
      <c r="DOA53" s="49"/>
      <c r="DOB53" s="50"/>
      <c r="DOC53" s="49"/>
      <c r="DOD53" s="50"/>
      <c r="DOE53" s="49"/>
      <c r="DOF53" s="50"/>
      <c r="DOG53" s="49"/>
      <c r="DOH53" s="50"/>
      <c r="DOI53" s="49"/>
      <c r="DOJ53" s="50"/>
      <c r="DOK53" s="49"/>
      <c r="DOL53" s="50"/>
      <c r="DOM53" s="49"/>
      <c r="DON53" s="50"/>
      <c r="DOO53" s="49"/>
      <c r="DOP53" s="50"/>
      <c r="DOQ53" s="49"/>
      <c r="DOR53" s="50"/>
      <c r="DOS53" s="49"/>
      <c r="DOT53" s="50"/>
      <c r="DOU53" s="49"/>
      <c r="DOV53" s="50"/>
      <c r="DOW53" s="49"/>
      <c r="DOX53" s="50"/>
      <c r="DOY53" s="49"/>
      <c r="DOZ53" s="50"/>
      <c r="DPA53" s="49"/>
      <c r="DPB53" s="50"/>
      <c r="DPC53" s="49"/>
      <c r="DPD53" s="50"/>
      <c r="DPE53" s="49"/>
      <c r="DPF53" s="50"/>
      <c r="DPG53" s="49"/>
      <c r="DPH53" s="50"/>
      <c r="DPI53" s="49"/>
      <c r="DPJ53" s="50"/>
      <c r="DPK53" s="49"/>
      <c r="DPL53" s="50"/>
      <c r="DPM53" s="49"/>
      <c r="DPN53" s="50"/>
      <c r="DPO53" s="49"/>
      <c r="DPP53" s="50"/>
      <c r="DPQ53" s="49"/>
      <c r="DPR53" s="50"/>
      <c r="DPS53" s="49"/>
      <c r="DPT53" s="50"/>
      <c r="DPU53" s="49"/>
      <c r="DPV53" s="50"/>
      <c r="DPW53" s="49"/>
      <c r="DPX53" s="50"/>
      <c r="DPY53" s="49"/>
      <c r="DPZ53" s="50"/>
      <c r="DQA53" s="49"/>
      <c r="DQB53" s="50"/>
      <c r="DQC53" s="49"/>
      <c r="DQD53" s="50"/>
      <c r="DQE53" s="49"/>
      <c r="DQF53" s="50"/>
      <c r="DQG53" s="49"/>
      <c r="DQH53" s="50"/>
      <c r="DQI53" s="49"/>
      <c r="DQJ53" s="50"/>
      <c r="DQK53" s="49"/>
      <c r="DQL53" s="50"/>
      <c r="DQM53" s="49"/>
      <c r="DQN53" s="50"/>
      <c r="DQO53" s="49"/>
      <c r="DQP53" s="50"/>
      <c r="DQQ53" s="49"/>
      <c r="DQR53" s="50"/>
      <c r="DQS53" s="49"/>
      <c r="DQT53" s="50"/>
      <c r="DQU53" s="49"/>
      <c r="DQV53" s="50"/>
      <c r="DQW53" s="49"/>
      <c r="DQX53" s="50"/>
      <c r="DQY53" s="49"/>
      <c r="DQZ53" s="50"/>
      <c r="DRA53" s="49"/>
      <c r="DRB53" s="50"/>
      <c r="DRC53" s="49"/>
      <c r="DRD53" s="50"/>
      <c r="DRE53" s="49"/>
      <c r="DRF53" s="50"/>
      <c r="DRG53" s="49"/>
      <c r="DRH53" s="50"/>
      <c r="DRI53" s="49"/>
      <c r="DRJ53" s="50"/>
      <c r="DRK53" s="49"/>
      <c r="DRL53" s="50"/>
      <c r="DRM53" s="49"/>
      <c r="DRN53" s="50"/>
      <c r="DRO53" s="49"/>
      <c r="DRP53" s="50"/>
      <c r="DRQ53" s="49"/>
      <c r="DRR53" s="50"/>
      <c r="DRS53" s="49"/>
      <c r="DRT53" s="50"/>
      <c r="DRU53" s="49"/>
      <c r="DRV53" s="50"/>
      <c r="DRW53" s="49"/>
      <c r="DRX53" s="50"/>
      <c r="DRY53" s="49"/>
      <c r="DRZ53" s="50"/>
      <c r="DSA53" s="49"/>
      <c r="DSB53" s="50"/>
      <c r="DSC53" s="49"/>
      <c r="DSD53" s="50"/>
      <c r="DSE53" s="49"/>
      <c r="DSF53" s="50"/>
      <c r="DSG53" s="49"/>
      <c r="DSH53" s="50"/>
      <c r="DSI53" s="49"/>
      <c r="DSJ53" s="50"/>
      <c r="DSK53" s="49"/>
      <c r="DSL53" s="50"/>
      <c r="DSM53" s="49"/>
      <c r="DSN53" s="50"/>
      <c r="DSO53" s="49"/>
      <c r="DSP53" s="50"/>
      <c r="DSQ53" s="49"/>
      <c r="DSR53" s="50"/>
      <c r="DSS53" s="49"/>
      <c r="DST53" s="50"/>
      <c r="DSU53" s="49"/>
      <c r="DSV53" s="50"/>
      <c r="DSW53" s="49"/>
      <c r="DSX53" s="50"/>
      <c r="DSY53" s="49"/>
      <c r="DSZ53" s="50"/>
      <c r="DTA53" s="49"/>
      <c r="DTB53" s="50"/>
      <c r="DTC53" s="49"/>
      <c r="DTD53" s="50"/>
      <c r="DTE53" s="49"/>
      <c r="DTF53" s="50"/>
      <c r="DTG53" s="49"/>
      <c r="DTH53" s="50"/>
      <c r="DTI53" s="49"/>
      <c r="DTJ53" s="50"/>
      <c r="DTK53" s="49"/>
      <c r="DTL53" s="50"/>
      <c r="DTM53" s="49"/>
      <c r="DTN53" s="50"/>
      <c r="DTO53" s="49"/>
      <c r="DTP53" s="50"/>
      <c r="DTQ53" s="49"/>
      <c r="DTR53" s="50"/>
      <c r="DTS53" s="49"/>
      <c r="DTT53" s="50"/>
      <c r="DTU53" s="49"/>
      <c r="DTV53" s="50"/>
      <c r="DTW53" s="49"/>
      <c r="DTX53" s="50"/>
      <c r="DTY53" s="49"/>
      <c r="DTZ53" s="50"/>
      <c r="DUA53" s="49"/>
      <c r="DUB53" s="50"/>
      <c r="DUC53" s="49"/>
      <c r="DUD53" s="50"/>
      <c r="DUE53" s="49"/>
      <c r="DUF53" s="50"/>
      <c r="DUG53" s="49"/>
      <c r="DUH53" s="50"/>
      <c r="DUI53" s="49"/>
      <c r="DUJ53" s="50"/>
      <c r="DUK53" s="49"/>
      <c r="DUL53" s="50"/>
      <c r="DUM53" s="49"/>
      <c r="DUN53" s="50"/>
      <c r="DUO53" s="49"/>
      <c r="DUP53" s="50"/>
      <c r="DUQ53" s="49"/>
      <c r="DUR53" s="50"/>
      <c r="DUS53" s="49"/>
      <c r="DUT53" s="50"/>
      <c r="DUU53" s="49"/>
      <c r="DUV53" s="50"/>
      <c r="DUW53" s="49"/>
      <c r="DUX53" s="50"/>
      <c r="DUY53" s="49"/>
      <c r="DUZ53" s="50"/>
      <c r="DVA53" s="49"/>
      <c r="DVB53" s="50"/>
      <c r="DVC53" s="49"/>
      <c r="DVD53" s="50"/>
      <c r="DVE53" s="49"/>
      <c r="DVF53" s="50"/>
      <c r="DVG53" s="49"/>
      <c r="DVH53" s="50"/>
      <c r="DVI53" s="49"/>
      <c r="DVJ53" s="50"/>
      <c r="DVK53" s="49"/>
      <c r="DVL53" s="50"/>
      <c r="DVM53" s="49"/>
      <c r="DVN53" s="50"/>
      <c r="DVO53" s="49"/>
      <c r="DVP53" s="50"/>
      <c r="DVQ53" s="49"/>
      <c r="DVR53" s="50"/>
      <c r="DVS53" s="49"/>
      <c r="DVT53" s="50"/>
      <c r="DVU53" s="49"/>
      <c r="DVV53" s="50"/>
      <c r="DVW53" s="49"/>
      <c r="DVX53" s="50"/>
      <c r="DVY53" s="49"/>
      <c r="DVZ53" s="50"/>
      <c r="DWA53" s="49"/>
      <c r="DWB53" s="50"/>
      <c r="DWC53" s="49"/>
      <c r="DWD53" s="50"/>
      <c r="DWE53" s="49"/>
      <c r="DWF53" s="50"/>
      <c r="DWG53" s="49"/>
      <c r="DWH53" s="50"/>
      <c r="DWI53" s="49"/>
      <c r="DWJ53" s="50"/>
      <c r="DWK53" s="49"/>
      <c r="DWL53" s="50"/>
      <c r="DWM53" s="49"/>
      <c r="DWN53" s="50"/>
      <c r="DWO53" s="49"/>
      <c r="DWP53" s="50"/>
      <c r="DWQ53" s="49"/>
      <c r="DWR53" s="50"/>
      <c r="DWS53" s="49"/>
      <c r="DWT53" s="50"/>
      <c r="DWU53" s="49"/>
      <c r="DWV53" s="50"/>
      <c r="DWW53" s="49"/>
      <c r="DWX53" s="50"/>
      <c r="DWY53" s="49"/>
      <c r="DWZ53" s="50"/>
      <c r="DXA53" s="49"/>
      <c r="DXB53" s="50"/>
      <c r="DXC53" s="49"/>
      <c r="DXD53" s="50"/>
      <c r="DXE53" s="49"/>
      <c r="DXF53" s="50"/>
      <c r="DXG53" s="49"/>
      <c r="DXH53" s="50"/>
      <c r="DXI53" s="49"/>
      <c r="DXJ53" s="50"/>
      <c r="DXK53" s="49"/>
      <c r="DXL53" s="50"/>
      <c r="DXM53" s="49"/>
      <c r="DXN53" s="50"/>
      <c r="DXO53" s="49"/>
      <c r="DXP53" s="50"/>
      <c r="DXQ53" s="49"/>
      <c r="DXR53" s="50"/>
      <c r="DXS53" s="49"/>
      <c r="DXT53" s="50"/>
      <c r="DXU53" s="49"/>
      <c r="DXV53" s="50"/>
      <c r="DXW53" s="49"/>
      <c r="DXX53" s="50"/>
      <c r="DXY53" s="49"/>
      <c r="DXZ53" s="50"/>
      <c r="DYA53" s="49"/>
      <c r="DYB53" s="50"/>
      <c r="DYC53" s="49"/>
      <c r="DYD53" s="50"/>
      <c r="DYE53" s="49"/>
      <c r="DYF53" s="50"/>
      <c r="DYG53" s="49"/>
      <c r="DYH53" s="50"/>
      <c r="DYI53" s="49"/>
      <c r="DYJ53" s="50"/>
      <c r="DYK53" s="49"/>
      <c r="DYL53" s="50"/>
      <c r="DYM53" s="49"/>
      <c r="DYN53" s="50"/>
      <c r="DYO53" s="49"/>
      <c r="DYP53" s="50"/>
      <c r="DYQ53" s="49"/>
      <c r="DYR53" s="50"/>
      <c r="DYS53" s="49"/>
      <c r="DYT53" s="50"/>
      <c r="DYU53" s="49"/>
      <c r="DYV53" s="50"/>
      <c r="DYW53" s="49"/>
      <c r="DYX53" s="50"/>
      <c r="DYY53" s="49"/>
      <c r="DYZ53" s="50"/>
      <c r="DZA53" s="49"/>
      <c r="DZB53" s="50"/>
      <c r="DZC53" s="49"/>
      <c r="DZD53" s="50"/>
      <c r="DZE53" s="49"/>
      <c r="DZF53" s="50"/>
      <c r="DZG53" s="49"/>
      <c r="DZH53" s="50"/>
      <c r="DZI53" s="49"/>
      <c r="DZJ53" s="50"/>
      <c r="DZK53" s="49"/>
      <c r="DZL53" s="50"/>
      <c r="DZM53" s="49"/>
      <c r="DZN53" s="50"/>
      <c r="DZO53" s="49"/>
      <c r="DZP53" s="50"/>
      <c r="DZQ53" s="49"/>
      <c r="DZR53" s="50"/>
      <c r="DZS53" s="49"/>
      <c r="DZT53" s="50"/>
      <c r="DZU53" s="49"/>
      <c r="DZV53" s="50"/>
      <c r="DZW53" s="49"/>
      <c r="DZX53" s="50"/>
      <c r="DZY53" s="49"/>
      <c r="DZZ53" s="50"/>
      <c r="EAA53" s="49"/>
      <c r="EAB53" s="50"/>
      <c r="EAC53" s="49"/>
      <c r="EAD53" s="50"/>
      <c r="EAE53" s="49"/>
      <c r="EAF53" s="50"/>
      <c r="EAG53" s="49"/>
      <c r="EAH53" s="50"/>
      <c r="EAI53" s="49"/>
      <c r="EAJ53" s="50"/>
      <c r="EAK53" s="49"/>
      <c r="EAL53" s="50"/>
      <c r="EAM53" s="49"/>
      <c r="EAN53" s="50"/>
      <c r="EAO53" s="49"/>
      <c r="EAP53" s="50"/>
      <c r="EAQ53" s="49"/>
      <c r="EAR53" s="50"/>
      <c r="EAS53" s="49"/>
      <c r="EAT53" s="50"/>
      <c r="EAU53" s="49"/>
      <c r="EAV53" s="50"/>
      <c r="EAW53" s="49"/>
      <c r="EAX53" s="50"/>
      <c r="EAY53" s="49"/>
      <c r="EAZ53" s="50"/>
      <c r="EBA53" s="49"/>
      <c r="EBB53" s="50"/>
      <c r="EBC53" s="49"/>
      <c r="EBD53" s="50"/>
      <c r="EBE53" s="49"/>
      <c r="EBF53" s="50"/>
      <c r="EBG53" s="49"/>
      <c r="EBH53" s="50"/>
      <c r="EBI53" s="49"/>
      <c r="EBJ53" s="50"/>
      <c r="EBK53" s="49"/>
      <c r="EBL53" s="50"/>
      <c r="EBM53" s="49"/>
      <c r="EBN53" s="50"/>
      <c r="EBO53" s="49"/>
      <c r="EBP53" s="50"/>
      <c r="EBQ53" s="49"/>
      <c r="EBR53" s="50"/>
      <c r="EBS53" s="49"/>
      <c r="EBT53" s="50"/>
      <c r="EBU53" s="49"/>
      <c r="EBV53" s="50"/>
      <c r="EBW53" s="49"/>
      <c r="EBX53" s="50"/>
      <c r="EBY53" s="49"/>
      <c r="EBZ53" s="50"/>
      <c r="ECA53" s="49"/>
      <c r="ECB53" s="50"/>
      <c r="ECC53" s="49"/>
      <c r="ECD53" s="50"/>
      <c r="ECE53" s="49"/>
      <c r="ECF53" s="50"/>
      <c r="ECG53" s="49"/>
      <c r="ECH53" s="50"/>
      <c r="ECI53" s="49"/>
      <c r="ECJ53" s="50"/>
      <c r="ECK53" s="49"/>
      <c r="ECL53" s="50"/>
      <c r="ECM53" s="49"/>
      <c r="ECN53" s="50"/>
      <c r="ECO53" s="49"/>
      <c r="ECP53" s="50"/>
      <c r="ECQ53" s="49"/>
      <c r="ECR53" s="50"/>
      <c r="ECS53" s="49"/>
      <c r="ECT53" s="50"/>
      <c r="ECU53" s="49"/>
      <c r="ECV53" s="50"/>
      <c r="ECW53" s="49"/>
      <c r="ECX53" s="50"/>
      <c r="ECY53" s="49"/>
      <c r="ECZ53" s="50"/>
      <c r="EDA53" s="49"/>
      <c r="EDB53" s="50"/>
      <c r="EDC53" s="49"/>
      <c r="EDD53" s="50"/>
      <c r="EDE53" s="49"/>
      <c r="EDF53" s="50"/>
      <c r="EDG53" s="49"/>
      <c r="EDH53" s="50"/>
      <c r="EDI53" s="49"/>
      <c r="EDJ53" s="50"/>
      <c r="EDK53" s="49"/>
      <c r="EDL53" s="50"/>
      <c r="EDM53" s="49"/>
      <c r="EDN53" s="50"/>
      <c r="EDO53" s="49"/>
      <c r="EDP53" s="50"/>
      <c r="EDQ53" s="49"/>
      <c r="EDR53" s="50"/>
      <c r="EDS53" s="49"/>
      <c r="EDT53" s="50"/>
      <c r="EDU53" s="49"/>
      <c r="EDV53" s="50"/>
      <c r="EDW53" s="49"/>
      <c r="EDX53" s="50"/>
      <c r="EDY53" s="49"/>
      <c r="EDZ53" s="50"/>
      <c r="EEA53" s="49"/>
      <c r="EEB53" s="50"/>
      <c r="EEC53" s="49"/>
      <c r="EED53" s="50"/>
      <c r="EEE53" s="49"/>
      <c r="EEF53" s="50"/>
      <c r="EEG53" s="49"/>
      <c r="EEH53" s="50"/>
      <c r="EEI53" s="49"/>
      <c r="EEJ53" s="50"/>
      <c r="EEK53" s="49"/>
      <c r="EEL53" s="50"/>
      <c r="EEM53" s="49"/>
      <c r="EEN53" s="50"/>
      <c r="EEO53" s="49"/>
      <c r="EEP53" s="50"/>
      <c r="EEQ53" s="49"/>
      <c r="EER53" s="50"/>
      <c r="EES53" s="49"/>
      <c r="EET53" s="50"/>
      <c r="EEU53" s="49"/>
      <c r="EEV53" s="50"/>
      <c r="EEW53" s="49"/>
      <c r="EEX53" s="50"/>
      <c r="EEY53" s="49"/>
      <c r="EEZ53" s="50"/>
      <c r="EFA53" s="49"/>
      <c r="EFB53" s="50"/>
      <c r="EFC53" s="49"/>
      <c r="EFD53" s="50"/>
      <c r="EFE53" s="49"/>
      <c r="EFF53" s="50"/>
      <c r="EFG53" s="49"/>
      <c r="EFH53" s="50"/>
      <c r="EFI53" s="49"/>
      <c r="EFJ53" s="50"/>
      <c r="EFK53" s="49"/>
      <c r="EFL53" s="50"/>
      <c r="EFM53" s="49"/>
      <c r="EFN53" s="50"/>
      <c r="EFO53" s="49"/>
      <c r="EFP53" s="50"/>
      <c r="EFQ53" s="49"/>
      <c r="EFR53" s="50"/>
      <c r="EFS53" s="49"/>
      <c r="EFT53" s="50"/>
      <c r="EFU53" s="49"/>
      <c r="EFV53" s="50"/>
      <c r="EFW53" s="49"/>
      <c r="EFX53" s="50"/>
      <c r="EFY53" s="49"/>
      <c r="EFZ53" s="50"/>
      <c r="EGA53" s="49"/>
      <c r="EGB53" s="50"/>
      <c r="EGC53" s="49"/>
      <c r="EGD53" s="50"/>
      <c r="EGE53" s="49"/>
      <c r="EGF53" s="50"/>
      <c r="EGG53" s="49"/>
      <c r="EGH53" s="50"/>
      <c r="EGI53" s="49"/>
      <c r="EGJ53" s="50"/>
      <c r="EGK53" s="49"/>
      <c r="EGL53" s="50"/>
      <c r="EGM53" s="49"/>
      <c r="EGN53" s="50"/>
      <c r="EGO53" s="49"/>
      <c r="EGP53" s="50"/>
      <c r="EGQ53" s="49"/>
      <c r="EGR53" s="50"/>
      <c r="EGS53" s="49"/>
      <c r="EGT53" s="50"/>
      <c r="EGU53" s="49"/>
      <c r="EGV53" s="50"/>
      <c r="EGW53" s="49"/>
      <c r="EGX53" s="50"/>
      <c r="EGY53" s="49"/>
      <c r="EGZ53" s="50"/>
      <c r="EHA53" s="49"/>
      <c r="EHB53" s="50"/>
      <c r="EHC53" s="49"/>
      <c r="EHD53" s="50"/>
      <c r="EHE53" s="49"/>
      <c r="EHF53" s="50"/>
      <c r="EHG53" s="49"/>
      <c r="EHH53" s="50"/>
      <c r="EHI53" s="49"/>
      <c r="EHJ53" s="50"/>
      <c r="EHK53" s="49"/>
      <c r="EHL53" s="50"/>
      <c r="EHM53" s="49"/>
      <c r="EHN53" s="50"/>
      <c r="EHO53" s="49"/>
      <c r="EHP53" s="50"/>
      <c r="EHQ53" s="49"/>
      <c r="EHR53" s="50"/>
      <c r="EHS53" s="49"/>
      <c r="EHT53" s="50"/>
      <c r="EHU53" s="49"/>
      <c r="EHV53" s="50"/>
      <c r="EHW53" s="49"/>
      <c r="EHX53" s="50"/>
      <c r="EHY53" s="49"/>
      <c r="EHZ53" s="50"/>
      <c r="EIA53" s="49"/>
      <c r="EIB53" s="50"/>
      <c r="EIC53" s="49"/>
      <c r="EID53" s="50"/>
      <c r="EIE53" s="49"/>
      <c r="EIF53" s="50"/>
      <c r="EIG53" s="49"/>
      <c r="EIH53" s="50"/>
      <c r="EII53" s="49"/>
      <c r="EIJ53" s="50"/>
      <c r="EIK53" s="49"/>
      <c r="EIL53" s="50"/>
      <c r="EIM53" s="49"/>
      <c r="EIN53" s="50"/>
      <c r="EIO53" s="49"/>
      <c r="EIP53" s="50"/>
      <c r="EIQ53" s="49"/>
      <c r="EIR53" s="50"/>
      <c r="EIS53" s="49"/>
      <c r="EIT53" s="50"/>
      <c r="EIU53" s="49"/>
      <c r="EIV53" s="50"/>
      <c r="EIW53" s="49"/>
      <c r="EIX53" s="50"/>
      <c r="EIY53" s="49"/>
      <c r="EIZ53" s="50"/>
      <c r="EJA53" s="49"/>
      <c r="EJB53" s="50"/>
      <c r="EJC53" s="49"/>
      <c r="EJD53" s="50"/>
      <c r="EJE53" s="49"/>
      <c r="EJF53" s="50"/>
      <c r="EJG53" s="49"/>
      <c r="EJH53" s="50"/>
      <c r="EJI53" s="49"/>
      <c r="EJJ53" s="50"/>
      <c r="EJK53" s="49"/>
      <c r="EJL53" s="50"/>
      <c r="EJM53" s="49"/>
      <c r="EJN53" s="50"/>
      <c r="EJO53" s="49"/>
      <c r="EJP53" s="50"/>
      <c r="EJQ53" s="49"/>
      <c r="EJR53" s="50"/>
      <c r="EJS53" s="49"/>
      <c r="EJT53" s="50"/>
      <c r="EJU53" s="49"/>
      <c r="EJV53" s="50"/>
      <c r="EJW53" s="49"/>
      <c r="EJX53" s="50"/>
      <c r="EJY53" s="49"/>
      <c r="EJZ53" s="50"/>
      <c r="EKA53" s="49"/>
      <c r="EKB53" s="50"/>
      <c r="EKC53" s="49"/>
      <c r="EKD53" s="50"/>
      <c r="EKE53" s="49"/>
      <c r="EKF53" s="50"/>
      <c r="EKG53" s="49"/>
      <c r="EKH53" s="50"/>
      <c r="EKI53" s="49"/>
      <c r="EKJ53" s="50"/>
      <c r="EKK53" s="49"/>
      <c r="EKL53" s="50"/>
      <c r="EKM53" s="49"/>
      <c r="EKN53" s="50"/>
      <c r="EKO53" s="49"/>
      <c r="EKP53" s="50"/>
      <c r="EKQ53" s="49"/>
      <c r="EKR53" s="50"/>
      <c r="EKS53" s="49"/>
      <c r="EKT53" s="50"/>
      <c r="EKU53" s="49"/>
      <c r="EKV53" s="50"/>
      <c r="EKW53" s="49"/>
      <c r="EKX53" s="50"/>
      <c r="EKY53" s="49"/>
      <c r="EKZ53" s="50"/>
      <c r="ELA53" s="49"/>
      <c r="ELB53" s="50"/>
      <c r="ELC53" s="49"/>
      <c r="ELD53" s="50"/>
      <c r="ELE53" s="49"/>
      <c r="ELF53" s="50"/>
      <c r="ELG53" s="49"/>
      <c r="ELH53" s="50"/>
      <c r="ELI53" s="49"/>
      <c r="ELJ53" s="50"/>
      <c r="ELK53" s="49"/>
      <c r="ELL53" s="50"/>
      <c r="ELM53" s="49"/>
      <c r="ELN53" s="50"/>
      <c r="ELO53" s="49"/>
      <c r="ELP53" s="50"/>
      <c r="ELQ53" s="49"/>
      <c r="ELR53" s="50"/>
      <c r="ELS53" s="49"/>
      <c r="ELT53" s="50"/>
      <c r="ELU53" s="49"/>
      <c r="ELV53" s="50"/>
      <c r="ELW53" s="49"/>
      <c r="ELX53" s="50"/>
      <c r="ELY53" s="49"/>
      <c r="ELZ53" s="50"/>
      <c r="EMA53" s="49"/>
      <c r="EMB53" s="50"/>
      <c r="EMC53" s="49"/>
      <c r="EMD53" s="50"/>
      <c r="EME53" s="49"/>
      <c r="EMF53" s="50"/>
      <c r="EMG53" s="49"/>
      <c r="EMH53" s="50"/>
      <c r="EMI53" s="49"/>
      <c r="EMJ53" s="50"/>
      <c r="EMK53" s="49"/>
      <c r="EML53" s="50"/>
      <c r="EMM53" s="49"/>
      <c r="EMN53" s="50"/>
      <c r="EMO53" s="49"/>
      <c r="EMP53" s="50"/>
      <c r="EMQ53" s="49"/>
      <c r="EMR53" s="50"/>
      <c r="EMS53" s="49"/>
      <c r="EMT53" s="50"/>
      <c r="EMU53" s="49"/>
      <c r="EMV53" s="50"/>
      <c r="EMW53" s="49"/>
      <c r="EMX53" s="50"/>
      <c r="EMY53" s="49"/>
      <c r="EMZ53" s="50"/>
      <c r="ENA53" s="49"/>
      <c r="ENB53" s="50"/>
      <c r="ENC53" s="49"/>
      <c r="END53" s="50"/>
      <c r="ENE53" s="49"/>
      <c r="ENF53" s="50"/>
      <c r="ENG53" s="49"/>
      <c r="ENH53" s="50"/>
      <c r="ENI53" s="49"/>
      <c r="ENJ53" s="50"/>
      <c r="ENK53" s="49"/>
      <c r="ENL53" s="50"/>
      <c r="ENM53" s="49"/>
      <c r="ENN53" s="50"/>
      <c r="ENO53" s="49"/>
      <c r="ENP53" s="50"/>
      <c r="ENQ53" s="49"/>
      <c r="ENR53" s="50"/>
      <c r="ENS53" s="49"/>
      <c r="ENT53" s="50"/>
      <c r="ENU53" s="49"/>
      <c r="ENV53" s="50"/>
      <c r="ENW53" s="49"/>
      <c r="ENX53" s="50"/>
      <c r="ENY53" s="49"/>
      <c r="ENZ53" s="50"/>
      <c r="EOA53" s="49"/>
      <c r="EOB53" s="50"/>
      <c r="EOC53" s="49"/>
      <c r="EOD53" s="50"/>
      <c r="EOE53" s="49"/>
      <c r="EOF53" s="50"/>
      <c r="EOG53" s="49"/>
      <c r="EOH53" s="50"/>
      <c r="EOI53" s="49"/>
      <c r="EOJ53" s="50"/>
      <c r="EOK53" s="49"/>
      <c r="EOL53" s="50"/>
      <c r="EOM53" s="49"/>
      <c r="EON53" s="50"/>
      <c r="EOO53" s="49"/>
      <c r="EOP53" s="50"/>
      <c r="EOQ53" s="49"/>
      <c r="EOR53" s="50"/>
      <c r="EOS53" s="49"/>
      <c r="EOT53" s="50"/>
      <c r="EOU53" s="49"/>
      <c r="EOV53" s="50"/>
      <c r="EOW53" s="49"/>
      <c r="EOX53" s="50"/>
      <c r="EOY53" s="49"/>
      <c r="EOZ53" s="50"/>
      <c r="EPA53" s="49"/>
      <c r="EPB53" s="50"/>
      <c r="EPC53" s="49"/>
      <c r="EPD53" s="50"/>
      <c r="EPE53" s="49"/>
      <c r="EPF53" s="50"/>
      <c r="EPG53" s="49"/>
      <c r="EPH53" s="50"/>
      <c r="EPI53" s="49"/>
      <c r="EPJ53" s="50"/>
      <c r="EPK53" s="49"/>
      <c r="EPL53" s="50"/>
      <c r="EPM53" s="49"/>
      <c r="EPN53" s="50"/>
      <c r="EPO53" s="49"/>
      <c r="EPP53" s="50"/>
      <c r="EPQ53" s="49"/>
      <c r="EPR53" s="50"/>
      <c r="EPS53" s="49"/>
      <c r="EPT53" s="50"/>
      <c r="EPU53" s="49"/>
      <c r="EPV53" s="50"/>
      <c r="EPW53" s="49"/>
      <c r="EPX53" s="50"/>
      <c r="EPY53" s="49"/>
      <c r="EPZ53" s="50"/>
      <c r="EQA53" s="49"/>
      <c r="EQB53" s="50"/>
      <c r="EQC53" s="49"/>
      <c r="EQD53" s="50"/>
      <c r="EQE53" s="49"/>
      <c r="EQF53" s="50"/>
      <c r="EQG53" s="49"/>
      <c r="EQH53" s="50"/>
      <c r="EQI53" s="49"/>
      <c r="EQJ53" s="50"/>
      <c r="EQK53" s="49"/>
      <c r="EQL53" s="50"/>
      <c r="EQM53" s="49"/>
      <c r="EQN53" s="50"/>
      <c r="EQO53" s="49"/>
      <c r="EQP53" s="50"/>
      <c r="EQQ53" s="49"/>
      <c r="EQR53" s="50"/>
      <c r="EQS53" s="49"/>
      <c r="EQT53" s="50"/>
      <c r="EQU53" s="49"/>
      <c r="EQV53" s="50"/>
      <c r="EQW53" s="49"/>
      <c r="EQX53" s="50"/>
      <c r="EQY53" s="49"/>
      <c r="EQZ53" s="50"/>
      <c r="ERA53" s="49"/>
      <c r="ERB53" s="50"/>
      <c r="ERC53" s="49"/>
      <c r="ERD53" s="50"/>
      <c r="ERE53" s="49"/>
      <c r="ERF53" s="50"/>
      <c r="ERG53" s="49"/>
      <c r="ERH53" s="50"/>
      <c r="ERI53" s="49"/>
      <c r="ERJ53" s="50"/>
      <c r="ERK53" s="49"/>
      <c r="ERL53" s="50"/>
      <c r="ERM53" s="49"/>
      <c r="ERN53" s="50"/>
      <c r="ERO53" s="49"/>
      <c r="ERP53" s="50"/>
      <c r="ERQ53" s="49"/>
      <c r="ERR53" s="50"/>
      <c r="ERS53" s="49"/>
      <c r="ERT53" s="50"/>
      <c r="ERU53" s="49"/>
      <c r="ERV53" s="50"/>
      <c r="ERW53" s="49"/>
      <c r="ERX53" s="50"/>
      <c r="ERY53" s="49"/>
      <c r="ERZ53" s="50"/>
      <c r="ESA53" s="49"/>
      <c r="ESB53" s="50"/>
      <c r="ESC53" s="49"/>
      <c r="ESD53" s="50"/>
      <c r="ESE53" s="49"/>
      <c r="ESF53" s="50"/>
      <c r="ESG53" s="49"/>
      <c r="ESH53" s="50"/>
      <c r="ESI53" s="49"/>
      <c r="ESJ53" s="50"/>
      <c r="ESK53" s="49"/>
      <c r="ESL53" s="50"/>
      <c r="ESM53" s="49"/>
      <c r="ESN53" s="50"/>
      <c r="ESO53" s="49"/>
      <c r="ESP53" s="50"/>
      <c r="ESQ53" s="49"/>
      <c r="ESR53" s="50"/>
      <c r="ESS53" s="49"/>
      <c r="EST53" s="50"/>
      <c r="ESU53" s="49"/>
      <c r="ESV53" s="50"/>
      <c r="ESW53" s="49"/>
      <c r="ESX53" s="50"/>
      <c r="ESY53" s="49"/>
      <c r="ESZ53" s="50"/>
      <c r="ETA53" s="49"/>
      <c r="ETB53" s="50"/>
      <c r="ETC53" s="49"/>
      <c r="ETD53" s="50"/>
      <c r="ETE53" s="49"/>
      <c r="ETF53" s="50"/>
      <c r="ETG53" s="49"/>
      <c r="ETH53" s="50"/>
      <c r="ETI53" s="49"/>
      <c r="ETJ53" s="50"/>
      <c r="ETK53" s="49"/>
      <c r="ETL53" s="50"/>
      <c r="ETM53" s="49"/>
      <c r="ETN53" s="50"/>
      <c r="ETO53" s="49"/>
      <c r="ETP53" s="50"/>
      <c r="ETQ53" s="49"/>
      <c r="ETR53" s="50"/>
      <c r="ETS53" s="49"/>
      <c r="ETT53" s="50"/>
      <c r="ETU53" s="49"/>
      <c r="ETV53" s="50"/>
      <c r="ETW53" s="49"/>
      <c r="ETX53" s="50"/>
      <c r="ETY53" s="49"/>
      <c r="ETZ53" s="50"/>
      <c r="EUA53" s="49"/>
      <c r="EUB53" s="50"/>
      <c r="EUC53" s="49"/>
      <c r="EUD53" s="50"/>
      <c r="EUE53" s="49"/>
      <c r="EUF53" s="50"/>
      <c r="EUG53" s="49"/>
      <c r="EUH53" s="50"/>
      <c r="EUI53" s="49"/>
      <c r="EUJ53" s="50"/>
      <c r="EUK53" s="49"/>
      <c r="EUL53" s="50"/>
      <c r="EUM53" s="49"/>
      <c r="EUN53" s="50"/>
      <c r="EUO53" s="49"/>
      <c r="EUP53" s="50"/>
      <c r="EUQ53" s="49"/>
      <c r="EUR53" s="50"/>
      <c r="EUS53" s="49"/>
      <c r="EUT53" s="50"/>
      <c r="EUU53" s="49"/>
      <c r="EUV53" s="50"/>
      <c r="EUW53" s="49"/>
      <c r="EUX53" s="50"/>
      <c r="EUY53" s="49"/>
      <c r="EUZ53" s="50"/>
      <c r="EVA53" s="49"/>
      <c r="EVB53" s="50"/>
      <c r="EVC53" s="49"/>
      <c r="EVD53" s="50"/>
      <c r="EVE53" s="49"/>
      <c r="EVF53" s="50"/>
      <c r="EVG53" s="49"/>
      <c r="EVH53" s="50"/>
      <c r="EVI53" s="49"/>
      <c r="EVJ53" s="50"/>
      <c r="EVK53" s="49"/>
      <c r="EVL53" s="50"/>
      <c r="EVM53" s="49"/>
      <c r="EVN53" s="50"/>
      <c r="EVO53" s="49"/>
      <c r="EVP53" s="50"/>
      <c r="EVQ53" s="49"/>
      <c r="EVR53" s="50"/>
      <c r="EVS53" s="49"/>
      <c r="EVT53" s="50"/>
      <c r="EVU53" s="49"/>
      <c r="EVV53" s="50"/>
      <c r="EVW53" s="49"/>
      <c r="EVX53" s="50"/>
      <c r="EVY53" s="49"/>
      <c r="EVZ53" s="50"/>
      <c r="EWA53" s="49"/>
      <c r="EWB53" s="50"/>
      <c r="EWC53" s="49"/>
      <c r="EWD53" s="50"/>
      <c r="EWE53" s="49"/>
      <c r="EWF53" s="50"/>
      <c r="EWG53" s="49"/>
      <c r="EWH53" s="50"/>
      <c r="EWI53" s="49"/>
      <c r="EWJ53" s="50"/>
      <c r="EWK53" s="49"/>
      <c r="EWL53" s="50"/>
      <c r="EWM53" s="49"/>
      <c r="EWN53" s="50"/>
      <c r="EWO53" s="49"/>
      <c r="EWP53" s="50"/>
      <c r="EWQ53" s="49"/>
      <c r="EWR53" s="50"/>
      <c r="EWS53" s="49"/>
      <c r="EWT53" s="50"/>
      <c r="EWU53" s="49"/>
      <c r="EWV53" s="50"/>
      <c r="EWW53" s="49"/>
      <c r="EWX53" s="50"/>
      <c r="EWY53" s="49"/>
      <c r="EWZ53" s="50"/>
      <c r="EXA53" s="49"/>
      <c r="EXB53" s="50"/>
      <c r="EXC53" s="49"/>
      <c r="EXD53" s="50"/>
      <c r="EXE53" s="49"/>
      <c r="EXF53" s="50"/>
      <c r="EXG53" s="49"/>
      <c r="EXH53" s="50"/>
      <c r="EXI53" s="49"/>
      <c r="EXJ53" s="50"/>
      <c r="EXK53" s="49"/>
      <c r="EXL53" s="50"/>
      <c r="EXM53" s="49"/>
      <c r="EXN53" s="50"/>
      <c r="EXO53" s="49"/>
      <c r="EXP53" s="50"/>
      <c r="EXQ53" s="49"/>
      <c r="EXR53" s="50"/>
      <c r="EXS53" s="49"/>
      <c r="EXT53" s="50"/>
      <c r="EXU53" s="49"/>
      <c r="EXV53" s="50"/>
      <c r="EXW53" s="49"/>
      <c r="EXX53" s="50"/>
      <c r="EXY53" s="49"/>
      <c r="EXZ53" s="50"/>
      <c r="EYA53" s="49"/>
      <c r="EYB53" s="50"/>
      <c r="EYC53" s="49"/>
      <c r="EYD53" s="50"/>
      <c r="EYE53" s="49"/>
      <c r="EYF53" s="50"/>
      <c r="EYG53" s="49"/>
      <c r="EYH53" s="50"/>
      <c r="EYI53" s="49"/>
      <c r="EYJ53" s="50"/>
      <c r="EYK53" s="49"/>
      <c r="EYL53" s="50"/>
      <c r="EYM53" s="49"/>
      <c r="EYN53" s="50"/>
      <c r="EYO53" s="49"/>
      <c r="EYP53" s="50"/>
      <c r="EYQ53" s="49"/>
      <c r="EYR53" s="50"/>
      <c r="EYS53" s="49"/>
      <c r="EYT53" s="50"/>
      <c r="EYU53" s="49"/>
      <c r="EYV53" s="50"/>
      <c r="EYW53" s="49"/>
      <c r="EYX53" s="50"/>
      <c r="EYY53" s="49"/>
      <c r="EYZ53" s="50"/>
      <c r="EZA53" s="49"/>
      <c r="EZB53" s="50"/>
      <c r="EZC53" s="49"/>
      <c r="EZD53" s="50"/>
      <c r="EZE53" s="49"/>
      <c r="EZF53" s="50"/>
      <c r="EZG53" s="49"/>
      <c r="EZH53" s="50"/>
      <c r="EZI53" s="49"/>
      <c r="EZJ53" s="50"/>
      <c r="EZK53" s="49"/>
      <c r="EZL53" s="50"/>
      <c r="EZM53" s="49"/>
      <c r="EZN53" s="50"/>
      <c r="EZO53" s="49"/>
      <c r="EZP53" s="50"/>
      <c r="EZQ53" s="49"/>
      <c r="EZR53" s="50"/>
      <c r="EZS53" s="49"/>
      <c r="EZT53" s="50"/>
      <c r="EZU53" s="49"/>
      <c r="EZV53" s="50"/>
      <c r="EZW53" s="49"/>
      <c r="EZX53" s="50"/>
      <c r="EZY53" s="49"/>
      <c r="EZZ53" s="50"/>
      <c r="FAA53" s="49"/>
      <c r="FAB53" s="50"/>
      <c r="FAC53" s="49"/>
      <c r="FAD53" s="50"/>
      <c r="FAE53" s="49"/>
      <c r="FAF53" s="50"/>
      <c r="FAG53" s="49"/>
      <c r="FAH53" s="50"/>
      <c r="FAI53" s="49"/>
      <c r="FAJ53" s="50"/>
      <c r="FAK53" s="49"/>
      <c r="FAL53" s="50"/>
      <c r="FAM53" s="49"/>
      <c r="FAN53" s="50"/>
      <c r="FAO53" s="49"/>
      <c r="FAP53" s="50"/>
      <c r="FAQ53" s="49"/>
      <c r="FAR53" s="50"/>
      <c r="FAS53" s="49"/>
      <c r="FAT53" s="50"/>
      <c r="FAU53" s="49"/>
      <c r="FAV53" s="50"/>
      <c r="FAW53" s="49"/>
      <c r="FAX53" s="50"/>
      <c r="FAY53" s="49"/>
      <c r="FAZ53" s="50"/>
      <c r="FBA53" s="49"/>
      <c r="FBB53" s="50"/>
      <c r="FBC53" s="49"/>
      <c r="FBD53" s="50"/>
      <c r="FBE53" s="49"/>
      <c r="FBF53" s="50"/>
      <c r="FBG53" s="49"/>
      <c r="FBH53" s="50"/>
      <c r="FBI53" s="49"/>
      <c r="FBJ53" s="50"/>
      <c r="FBK53" s="49"/>
      <c r="FBL53" s="50"/>
      <c r="FBM53" s="49"/>
      <c r="FBN53" s="50"/>
      <c r="FBO53" s="49"/>
      <c r="FBP53" s="50"/>
      <c r="FBQ53" s="49"/>
      <c r="FBR53" s="50"/>
      <c r="FBS53" s="49"/>
      <c r="FBT53" s="50"/>
      <c r="FBU53" s="49"/>
      <c r="FBV53" s="50"/>
      <c r="FBW53" s="49"/>
      <c r="FBX53" s="50"/>
      <c r="FBY53" s="49"/>
      <c r="FBZ53" s="50"/>
      <c r="FCA53" s="49"/>
      <c r="FCB53" s="50"/>
      <c r="FCC53" s="49"/>
      <c r="FCD53" s="50"/>
      <c r="FCE53" s="49"/>
      <c r="FCF53" s="50"/>
      <c r="FCG53" s="49"/>
      <c r="FCH53" s="50"/>
      <c r="FCI53" s="49"/>
      <c r="FCJ53" s="50"/>
      <c r="FCK53" s="49"/>
      <c r="FCL53" s="50"/>
      <c r="FCM53" s="49"/>
      <c r="FCN53" s="50"/>
      <c r="FCO53" s="49"/>
      <c r="FCP53" s="50"/>
      <c r="FCQ53" s="49"/>
      <c r="FCR53" s="50"/>
      <c r="FCS53" s="49"/>
      <c r="FCT53" s="50"/>
      <c r="FCU53" s="49"/>
      <c r="FCV53" s="50"/>
      <c r="FCW53" s="49"/>
      <c r="FCX53" s="50"/>
      <c r="FCY53" s="49"/>
      <c r="FCZ53" s="50"/>
      <c r="FDA53" s="49"/>
      <c r="FDB53" s="50"/>
      <c r="FDC53" s="49"/>
      <c r="FDD53" s="50"/>
      <c r="FDE53" s="49"/>
      <c r="FDF53" s="50"/>
      <c r="FDG53" s="49"/>
      <c r="FDH53" s="50"/>
      <c r="FDI53" s="49"/>
      <c r="FDJ53" s="50"/>
      <c r="FDK53" s="49"/>
      <c r="FDL53" s="50"/>
      <c r="FDM53" s="49"/>
      <c r="FDN53" s="50"/>
      <c r="FDO53" s="49"/>
      <c r="FDP53" s="50"/>
      <c r="FDQ53" s="49"/>
      <c r="FDR53" s="50"/>
      <c r="FDS53" s="49"/>
      <c r="FDT53" s="50"/>
      <c r="FDU53" s="49"/>
      <c r="FDV53" s="50"/>
      <c r="FDW53" s="49"/>
      <c r="FDX53" s="50"/>
      <c r="FDY53" s="49"/>
      <c r="FDZ53" s="50"/>
      <c r="FEA53" s="49"/>
      <c r="FEB53" s="50"/>
      <c r="FEC53" s="49"/>
      <c r="FED53" s="50"/>
      <c r="FEE53" s="49"/>
      <c r="FEF53" s="50"/>
      <c r="FEG53" s="49"/>
      <c r="FEH53" s="50"/>
      <c r="FEI53" s="49"/>
      <c r="FEJ53" s="50"/>
      <c r="FEK53" s="49"/>
      <c r="FEL53" s="50"/>
      <c r="FEM53" s="49"/>
      <c r="FEN53" s="50"/>
      <c r="FEO53" s="49"/>
      <c r="FEP53" s="50"/>
      <c r="FEQ53" s="49"/>
      <c r="FER53" s="50"/>
      <c r="FES53" s="49"/>
      <c r="FET53" s="50"/>
      <c r="FEU53" s="49"/>
      <c r="FEV53" s="50"/>
      <c r="FEW53" s="49"/>
      <c r="FEX53" s="50"/>
      <c r="FEY53" s="49"/>
      <c r="FEZ53" s="50"/>
      <c r="FFA53" s="49"/>
      <c r="FFB53" s="50"/>
      <c r="FFC53" s="49"/>
      <c r="FFD53" s="50"/>
      <c r="FFE53" s="49"/>
      <c r="FFF53" s="50"/>
      <c r="FFG53" s="49"/>
      <c r="FFH53" s="50"/>
      <c r="FFI53" s="49"/>
      <c r="FFJ53" s="50"/>
      <c r="FFK53" s="49"/>
      <c r="FFL53" s="50"/>
      <c r="FFM53" s="49"/>
      <c r="FFN53" s="50"/>
      <c r="FFO53" s="49"/>
      <c r="FFP53" s="50"/>
      <c r="FFQ53" s="49"/>
      <c r="FFR53" s="50"/>
      <c r="FFS53" s="49"/>
      <c r="FFT53" s="50"/>
      <c r="FFU53" s="49"/>
      <c r="FFV53" s="50"/>
      <c r="FFW53" s="49"/>
      <c r="FFX53" s="50"/>
      <c r="FFY53" s="49"/>
      <c r="FFZ53" s="50"/>
      <c r="FGA53" s="49"/>
      <c r="FGB53" s="50"/>
      <c r="FGC53" s="49"/>
      <c r="FGD53" s="50"/>
      <c r="FGE53" s="49"/>
      <c r="FGF53" s="50"/>
      <c r="FGG53" s="49"/>
      <c r="FGH53" s="50"/>
      <c r="FGI53" s="49"/>
      <c r="FGJ53" s="50"/>
      <c r="FGK53" s="49"/>
      <c r="FGL53" s="50"/>
      <c r="FGM53" s="49"/>
      <c r="FGN53" s="50"/>
      <c r="FGO53" s="49"/>
      <c r="FGP53" s="50"/>
      <c r="FGQ53" s="49"/>
      <c r="FGR53" s="50"/>
      <c r="FGS53" s="49"/>
      <c r="FGT53" s="50"/>
      <c r="FGU53" s="49"/>
      <c r="FGV53" s="50"/>
      <c r="FGW53" s="49"/>
      <c r="FGX53" s="50"/>
      <c r="FGY53" s="49"/>
      <c r="FGZ53" s="50"/>
      <c r="FHA53" s="49"/>
      <c r="FHB53" s="50"/>
      <c r="FHC53" s="49"/>
      <c r="FHD53" s="50"/>
      <c r="FHE53" s="49"/>
      <c r="FHF53" s="50"/>
      <c r="FHG53" s="49"/>
      <c r="FHH53" s="50"/>
      <c r="FHI53" s="49"/>
      <c r="FHJ53" s="50"/>
      <c r="FHK53" s="49"/>
      <c r="FHL53" s="50"/>
      <c r="FHM53" s="49"/>
      <c r="FHN53" s="50"/>
      <c r="FHO53" s="49"/>
      <c r="FHP53" s="50"/>
      <c r="FHQ53" s="49"/>
      <c r="FHR53" s="50"/>
      <c r="FHS53" s="49"/>
      <c r="FHT53" s="50"/>
      <c r="FHU53" s="49"/>
      <c r="FHV53" s="50"/>
      <c r="FHW53" s="49"/>
      <c r="FHX53" s="50"/>
      <c r="FHY53" s="49"/>
      <c r="FHZ53" s="50"/>
      <c r="FIA53" s="49"/>
      <c r="FIB53" s="50"/>
      <c r="FIC53" s="49"/>
      <c r="FID53" s="50"/>
      <c r="FIE53" s="49"/>
      <c r="FIF53" s="50"/>
      <c r="FIG53" s="49"/>
      <c r="FIH53" s="50"/>
      <c r="FII53" s="49"/>
      <c r="FIJ53" s="50"/>
      <c r="FIK53" s="49"/>
      <c r="FIL53" s="50"/>
      <c r="FIM53" s="49"/>
      <c r="FIN53" s="50"/>
      <c r="FIO53" s="49"/>
      <c r="FIP53" s="50"/>
      <c r="FIQ53" s="49"/>
      <c r="FIR53" s="50"/>
      <c r="FIS53" s="49"/>
      <c r="FIT53" s="50"/>
      <c r="FIU53" s="49"/>
      <c r="FIV53" s="50"/>
      <c r="FIW53" s="49"/>
      <c r="FIX53" s="50"/>
      <c r="FIY53" s="49"/>
      <c r="FIZ53" s="50"/>
      <c r="FJA53" s="49"/>
      <c r="FJB53" s="50"/>
      <c r="FJC53" s="49"/>
      <c r="FJD53" s="50"/>
      <c r="FJE53" s="49"/>
      <c r="FJF53" s="50"/>
      <c r="FJG53" s="49"/>
      <c r="FJH53" s="50"/>
      <c r="FJI53" s="49"/>
      <c r="FJJ53" s="50"/>
      <c r="FJK53" s="49"/>
      <c r="FJL53" s="50"/>
      <c r="FJM53" s="49"/>
      <c r="FJN53" s="50"/>
      <c r="FJO53" s="49"/>
      <c r="FJP53" s="50"/>
      <c r="FJQ53" s="49"/>
      <c r="FJR53" s="50"/>
      <c r="FJS53" s="49"/>
      <c r="FJT53" s="50"/>
      <c r="FJU53" s="49"/>
      <c r="FJV53" s="50"/>
      <c r="FJW53" s="49"/>
      <c r="FJX53" s="50"/>
      <c r="FJY53" s="49"/>
      <c r="FJZ53" s="50"/>
      <c r="FKA53" s="49"/>
      <c r="FKB53" s="50"/>
      <c r="FKC53" s="49"/>
      <c r="FKD53" s="50"/>
      <c r="FKE53" s="49"/>
      <c r="FKF53" s="50"/>
      <c r="FKG53" s="49"/>
      <c r="FKH53" s="50"/>
      <c r="FKI53" s="49"/>
      <c r="FKJ53" s="50"/>
      <c r="FKK53" s="49"/>
      <c r="FKL53" s="50"/>
      <c r="FKM53" s="49"/>
      <c r="FKN53" s="50"/>
      <c r="FKO53" s="49"/>
      <c r="FKP53" s="50"/>
      <c r="FKQ53" s="49"/>
      <c r="FKR53" s="50"/>
      <c r="FKS53" s="49"/>
      <c r="FKT53" s="50"/>
      <c r="FKU53" s="49"/>
      <c r="FKV53" s="50"/>
      <c r="FKW53" s="49"/>
      <c r="FKX53" s="50"/>
      <c r="FKY53" s="49"/>
      <c r="FKZ53" s="50"/>
      <c r="FLA53" s="49"/>
      <c r="FLB53" s="50"/>
      <c r="FLC53" s="49"/>
      <c r="FLD53" s="50"/>
      <c r="FLE53" s="49"/>
      <c r="FLF53" s="50"/>
      <c r="FLG53" s="49"/>
      <c r="FLH53" s="50"/>
      <c r="FLI53" s="49"/>
      <c r="FLJ53" s="50"/>
      <c r="FLK53" s="49"/>
      <c r="FLL53" s="50"/>
      <c r="FLM53" s="49"/>
      <c r="FLN53" s="50"/>
      <c r="FLO53" s="49"/>
      <c r="FLP53" s="50"/>
      <c r="FLQ53" s="49"/>
      <c r="FLR53" s="50"/>
      <c r="FLS53" s="49"/>
      <c r="FLT53" s="50"/>
      <c r="FLU53" s="49"/>
      <c r="FLV53" s="50"/>
      <c r="FLW53" s="49"/>
      <c r="FLX53" s="50"/>
      <c r="FLY53" s="49"/>
      <c r="FLZ53" s="50"/>
      <c r="FMA53" s="49"/>
      <c r="FMB53" s="50"/>
      <c r="FMC53" s="49"/>
      <c r="FMD53" s="50"/>
      <c r="FME53" s="49"/>
      <c r="FMF53" s="50"/>
      <c r="FMG53" s="49"/>
      <c r="FMH53" s="50"/>
      <c r="FMI53" s="49"/>
      <c r="FMJ53" s="50"/>
      <c r="FMK53" s="49"/>
      <c r="FML53" s="50"/>
      <c r="FMM53" s="49"/>
      <c r="FMN53" s="50"/>
      <c r="FMO53" s="49"/>
      <c r="FMP53" s="50"/>
      <c r="FMQ53" s="49"/>
      <c r="FMR53" s="50"/>
      <c r="FMS53" s="49"/>
      <c r="FMT53" s="50"/>
      <c r="FMU53" s="49"/>
      <c r="FMV53" s="50"/>
      <c r="FMW53" s="49"/>
      <c r="FMX53" s="50"/>
      <c r="FMY53" s="49"/>
      <c r="FMZ53" s="50"/>
      <c r="FNA53" s="49"/>
      <c r="FNB53" s="50"/>
      <c r="FNC53" s="49"/>
      <c r="FND53" s="50"/>
      <c r="FNE53" s="49"/>
      <c r="FNF53" s="50"/>
      <c r="FNG53" s="49"/>
      <c r="FNH53" s="50"/>
      <c r="FNI53" s="49"/>
      <c r="FNJ53" s="50"/>
      <c r="FNK53" s="49"/>
      <c r="FNL53" s="50"/>
      <c r="FNM53" s="49"/>
      <c r="FNN53" s="50"/>
      <c r="FNO53" s="49"/>
      <c r="FNP53" s="50"/>
      <c r="FNQ53" s="49"/>
      <c r="FNR53" s="50"/>
      <c r="FNS53" s="49"/>
      <c r="FNT53" s="50"/>
      <c r="FNU53" s="49"/>
      <c r="FNV53" s="50"/>
      <c r="FNW53" s="49"/>
      <c r="FNX53" s="50"/>
      <c r="FNY53" s="49"/>
      <c r="FNZ53" s="50"/>
      <c r="FOA53" s="49"/>
      <c r="FOB53" s="50"/>
      <c r="FOC53" s="49"/>
      <c r="FOD53" s="50"/>
      <c r="FOE53" s="49"/>
      <c r="FOF53" s="50"/>
      <c r="FOG53" s="49"/>
      <c r="FOH53" s="50"/>
      <c r="FOI53" s="49"/>
      <c r="FOJ53" s="50"/>
      <c r="FOK53" s="49"/>
      <c r="FOL53" s="50"/>
      <c r="FOM53" s="49"/>
      <c r="FON53" s="50"/>
      <c r="FOO53" s="49"/>
      <c r="FOP53" s="50"/>
      <c r="FOQ53" s="49"/>
      <c r="FOR53" s="50"/>
      <c r="FOS53" s="49"/>
      <c r="FOT53" s="50"/>
      <c r="FOU53" s="49"/>
      <c r="FOV53" s="50"/>
      <c r="FOW53" s="49"/>
      <c r="FOX53" s="50"/>
      <c r="FOY53" s="49"/>
      <c r="FOZ53" s="50"/>
      <c r="FPA53" s="49"/>
      <c r="FPB53" s="50"/>
      <c r="FPC53" s="49"/>
      <c r="FPD53" s="50"/>
      <c r="FPE53" s="49"/>
      <c r="FPF53" s="50"/>
      <c r="FPG53" s="49"/>
      <c r="FPH53" s="50"/>
      <c r="FPI53" s="49"/>
      <c r="FPJ53" s="50"/>
      <c r="FPK53" s="49"/>
      <c r="FPL53" s="50"/>
      <c r="FPM53" s="49"/>
      <c r="FPN53" s="50"/>
      <c r="FPO53" s="49"/>
      <c r="FPP53" s="50"/>
      <c r="FPQ53" s="49"/>
      <c r="FPR53" s="50"/>
      <c r="FPS53" s="49"/>
      <c r="FPT53" s="50"/>
      <c r="FPU53" s="49"/>
      <c r="FPV53" s="50"/>
      <c r="FPW53" s="49"/>
      <c r="FPX53" s="50"/>
      <c r="FPY53" s="49"/>
      <c r="FPZ53" s="50"/>
      <c r="FQA53" s="49"/>
      <c r="FQB53" s="50"/>
      <c r="FQC53" s="49"/>
      <c r="FQD53" s="50"/>
      <c r="FQE53" s="49"/>
      <c r="FQF53" s="50"/>
      <c r="FQG53" s="49"/>
      <c r="FQH53" s="50"/>
      <c r="FQI53" s="49"/>
      <c r="FQJ53" s="50"/>
      <c r="FQK53" s="49"/>
      <c r="FQL53" s="50"/>
      <c r="FQM53" s="49"/>
      <c r="FQN53" s="50"/>
      <c r="FQO53" s="49"/>
      <c r="FQP53" s="50"/>
      <c r="FQQ53" s="49"/>
      <c r="FQR53" s="50"/>
      <c r="FQS53" s="49"/>
      <c r="FQT53" s="50"/>
      <c r="FQU53" s="49"/>
      <c r="FQV53" s="50"/>
      <c r="FQW53" s="49"/>
      <c r="FQX53" s="50"/>
      <c r="FQY53" s="49"/>
      <c r="FQZ53" s="50"/>
      <c r="FRA53" s="49"/>
      <c r="FRB53" s="50"/>
      <c r="FRC53" s="49"/>
      <c r="FRD53" s="50"/>
      <c r="FRE53" s="49"/>
      <c r="FRF53" s="50"/>
      <c r="FRG53" s="49"/>
      <c r="FRH53" s="50"/>
      <c r="FRI53" s="49"/>
      <c r="FRJ53" s="50"/>
      <c r="FRK53" s="49"/>
      <c r="FRL53" s="50"/>
      <c r="FRM53" s="49"/>
      <c r="FRN53" s="50"/>
      <c r="FRO53" s="49"/>
      <c r="FRP53" s="50"/>
      <c r="FRQ53" s="49"/>
      <c r="FRR53" s="50"/>
      <c r="FRS53" s="49"/>
      <c r="FRT53" s="50"/>
      <c r="FRU53" s="49"/>
      <c r="FRV53" s="50"/>
      <c r="FRW53" s="49"/>
      <c r="FRX53" s="50"/>
      <c r="FRY53" s="49"/>
      <c r="FRZ53" s="50"/>
      <c r="FSA53" s="49"/>
      <c r="FSB53" s="50"/>
      <c r="FSC53" s="49"/>
      <c r="FSD53" s="50"/>
      <c r="FSE53" s="49"/>
      <c r="FSF53" s="50"/>
      <c r="FSG53" s="49"/>
      <c r="FSH53" s="50"/>
      <c r="FSI53" s="49"/>
      <c r="FSJ53" s="50"/>
      <c r="FSK53" s="49"/>
      <c r="FSL53" s="50"/>
      <c r="FSM53" s="49"/>
      <c r="FSN53" s="50"/>
      <c r="FSO53" s="49"/>
      <c r="FSP53" s="50"/>
      <c r="FSQ53" s="49"/>
      <c r="FSR53" s="50"/>
      <c r="FSS53" s="49"/>
      <c r="FST53" s="50"/>
      <c r="FSU53" s="49"/>
      <c r="FSV53" s="50"/>
      <c r="FSW53" s="49"/>
      <c r="FSX53" s="50"/>
      <c r="FSY53" s="49"/>
      <c r="FSZ53" s="50"/>
      <c r="FTA53" s="49"/>
      <c r="FTB53" s="50"/>
      <c r="FTC53" s="49"/>
      <c r="FTD53" s="50"/>
      <c r="FTE53" s="49"/>
      <c r="FTF53" s="50"/>
      <c r="FTG53" s="49"/>
      <c r="FTH53" s="50"/>
      <c r="FTI53" s="49"/>
      <c r="FTJ53" s="50"/>
      <c r="FTK53" s="49"/>
      <c r="FTL53" s="50"/>
      <c r="FTM53" s="49"/>
      <c r="FTN53" s="50"/>
      <c r="FTO53" s="49"/>
      <c r="FTP53" s="50"/>
      <c r="FTQ53" s="49"/>
      <c r="FTR53" s="50"/>
      <c r="FTS53" s="49"/>
      <c r="FTT53" s="50"/>
      <c r="FTU53" s="49"/>
      <c r="FTV53" s="50"/>
      <c r="FTW53" s="49"/>
      <c r="FTX53" s="50"/>
      <c r="FTY53" s="49"/>
      <c r="FTZ53" s="50"/>
      <c r="FUA53" s="49"/>
      <c r="FUB53" s="50"/>
      <c r="FUC53" s="49"/>
      <c r="FUD53" s="50"/>
      <c r="FUE53" s="49"/>
      <c r="FUF53" s="50"/>
      <c r="FUG53" s="49"/>
      <c r="FUH53" s="50"/>
      <c r="FUI53" s="49"/>
      <c r="FUJ53" s="50"/>
      <c r="FUK53" s="49"/>
      <c r="FUL53" s="50"/>
      <c r="FUM53" s="49"/>
      <c r="FUN53" s="50"/>
      <c r="FUO53" s="49"/>
      <c r="FUP53" s="50"/>
      <c r="FUQ53" s="49"/>
      <c r="FUR53" s="50"/>
      <c r="FUS53" s="49"/>
      <c r="FUT53" s="50"/>
      <c r="FUU53" s="49"/>
      <c r="FUV53" s="50"/>
      <c r="FUW53" s="49"/>
      <c r="FUX53" s="50"/>
      <c r="FUY53" s="49"/>
      <c r="FUZ53" s="50"/>
      <c r="FVA53" s="49"/>
      <c r="FVB53" s="50"/>
      <c r="FVC53" s="49"/>
      <c r="FVD53" s="50"/>
      <c r="FVE53" s="49"/>
      <c r="FVF53" s="50"/>
      <c r="FVG53" s="49"/>
      <c r="FVH53" s="50"/>
      <c r="FVI53" s="49"/>
      <c r="FVJ53" s="50"/>
      <c r="FVK53" s="49"/>
      <c r="FVL53" s="50"/>
      <c r="FVM53" s="49"/>
      <c r="FVN53" s="50"/>
      <c r="FVO53" s="49"/>
      <c r="FVP53" s="50"/>
      <c r="FVQ53" s="49"/>
      <c r="FVR53" s="50"/>
      <c r="FVS53" s="49"/>
      <c r="FVT53" s="50"/>
      <c r="FVU53" s="49"/>
      <c r="FVV53" s="50"/>
      <c r="FVW53" s="49"/>
      <c r="FVX53" s="50"/>
      <c r="FVY53" s="49"/>
      <c r="FVZ53" s="50"/>
      <c r="FWA53" s="49"/>
      <c r="FWB53" s="50"/>
      <c r="FWC53" s="49"/>
      <c r="FWD53" s="50"/>
      <c r="FWE53" s="49"/>
      <c r="FWF53" s="50"/>
      <c r="FWG53" s="49"/>
      <c r="FWH53" s="50"/>
      <c r="FWI53" s="49"/>
      <c r="FWJ53" s="50"/>
      <c r="FWK53" s="49"/>
      <c r="FWL53" s="50"/>
      <c r="FWM53" s="49"/>
      <c r="FWN53" s="50"/>
      <c r="FWO53" s="49"/>
      <c r="FWP53" s="50"/>
      <c r="FWQ53" s="49"/>
      <c r="FWR53" s="50"/>
      <c r="FWS53" s="49"/>
      <c r="FWT53" s="50"/>
      <c r="FWU53" s="49"/>
      <c r="FWV53" s="50"/>
      <c r="FWW53" s="49"/>
      <c r="FWX53" s="50"/>
      <c r="FWY53" s="49"/>
      <c r="FWZ53" s="50"/>
      <c r="FXA53" s="49"/>
      <c r="FXB53" s="50"/>
      <c r="FXC53" s="49"/>
      <c r="FXD53" s="50"/>
      <c r="FXE53" s="49"/>
      <c r="FXF53" s="50"/>
      <c r="FXG53" s="49"/>
      <c r="FXH53" s="50"/>
      <c r="FXI53" s="49"/>
      <c r="FXJ53" s="50"/>
      <c r="FXK53" s="49"/>
      <c r="FXL53" s="50"/>
      <c r="FXM53" s="49"/>
      <c r="FXN53" s="50"/>
      <c r="FXO53" s="49"/>
      <c r="FXP53" s="50"/>
      <c r="FXQ53" s="49"/>
      <c r="FXR53" s="50"/>
      <c r="FXS53" s="49"/>
      <c r="FXT53" s="50"/>
      <c r="FXU53" s="49"/>
      <c r="FXV53" s="50"/>
      <c r="FXW53" s="49"/>
      <c r="FXX53" s="50"/>
      <c r="FXY53" s="49"/>
      <c r="FXZ53" s="50"/>
      <c r="FYA53" s="49"/>
      <c r="FYB53" s="50"/>
      <c r="FYC53" s="49"/>
      <c r="FYD53" s="50"/>
      <c r="FYE53" s="49"/>
      <c r="FYF53" s="50"/>
      <c r="FYG53" s="49"/>
      <c r="FYH53" s="50"/>
      <c r="FYI53" s="49"/>
      <c r="FYJ53" s="50"/>
      <c r="FYK53" s="49"/>
      <c r="FYL53" s="50"/>
      <c r="FYM53" s="49"/>
      <c r="FYN53" s="50"/>
      <c r="FYO53" s="49"/>
      <c r="FYP53" s="50"/>
      <c r="FYQ53" s="49"/>
      <c r="FYR53" s="50"/>
      <c r="FYS53" s="49"/>
      <c r="FYT53" s="50"/>
      <c r="FYU53" s="49"/>
      <c r="FYV53" s="50"/>
      <c r="FYW53" s="49"/>
      <c r="FYX53" s="50"/>
      <c r="FYY53" s="49"/>
      <c r="FYZ53" s="50"/>
      <c r="FZA53" s="49"/>
      <c r="FZB53" s="50"/>
      <c r="FZC53" s="49"/>
      <c r="FZD53" s="50"/>
      <c r="FZE53" s="49"/>
      <c r="FZF53" s="50"/>
      <c r="FZG53" s="49"/>
      <c r="FZH53" s="50"/>
      <c r="FZI53" s="49"/>
      <c r="FZJ53" s="50"/>
      <c r="FZK53" s="49"/>
      <c r="FZL53" s="50"/>
      <c r="FZM53" s="49"/>
      <c r="FZN53" s="50"/>
      <c r="FZO53" s="49"/>
      <c r="FZP53" s="50"/>
      <c r="FZQ53" s="49"/>
      <c r="FZR53" s="50"/>
      <c r="FZS53" s="49"/>
      <c r="FZT53" s="50"/>
      <c r="FZU53" s="49"/>
      <c r="FZV53" s="50"/>
      <c r="FZW53" s="49"/>
      <c r="FZX53" s="50"/>
      <c r="FZY53" s="49"/>
      <c r="FZZ53" s="50"/>
      <c r="GAA53" s="49"/>
      <c r="GAB53" s="50"/>
      <c r="GAC53" s="49"/>
      <c r="GAD53" s="50"/>
      <c r="GAE53" s="49"/>
      <c r="GAF53" s="50"/>
      <c r="GAG53" s="49"/>
      <c r="GAH53" s="50"/>
      <c r="GAI53" s="49"/>
      <c r="GAJ53" s="50"/>
      <c r="GAK53" s="49"/>
      <c r="GAL53" s="50"/>
      <c r="GAM53" s="49"/>
      <c r="GAN53" s="50"/>
      <c r="GAO53" s="49"/>
      <c r="GAP53" s="50"/>
      <c r="GAQ53" s="49"/>
      <c r="GAR53" s="50"/>
      <c r="GAS53" s="49"/>
      <c r="GAT53" s="50"/>
      <c r="GAU53" s="49"/>
      <c r="GAV53" s="50"/>
      <c r="GAW53" s="49"/>
      <c r="GAX53" s="50"/>
      <c r="GAY53" s="49"/>
      <c r="GAZ53" s="50"/>
      <c r="GBA53" s="49"/>
      <c r="GBB53" s="50"/>
      <c r="GBC53" s="49"/>
      <c r="GBD53" s="50"/>
      <c r="GBE53" s="49"/>
      <c r="GBF53" s="50"/>
      <c r="GBG53" s="49"/>
      <c r="GBH53" s="50"/>
      <c r="GBI53" s="49"/>
      <c r="GBJ53" s="50"/>
      <c r="GBK53" s="49"/>
      <c r="GBL53" s="50"/>
      <c r="GBM53" s="49"/>
      <c r="GBN53" s="50"/>
      <c r="GBO53" s="49"/>
      <c r="GBP53" s="50"/>
      <c r="GBQ53" s="49"/>
      <c r="GBR53" s="50"/>
      <c r="GBS53" s="49"/>
      <c r="GBT53" s="50"/>
      <c r="GBU53" s="49"/>
      <c r="GBV53" s="50"/>
      <c r="GBW53" s="49"/>
      <c r="GBX53" s="50"/>
      <c r="GBY53" s="49"/>
      <c r="GBZ53" s="50"/>
      <c r="GCA53" s="49"/>
      <c r="GCB53" s="50"/>
      <c r="GCC53" s="49"/>
      <c r="GCD53" s="50"/>
      <c r="GCE53" s="49"/>
      <c r="GCF53" s="50"/>
      <c r="GCG53" s="49"/>
      <c r="GCH53" s="50"/>
      <c r="GCI53" s="49"/>
      <c r="GCJ53" s="50"/>
      <c r="GCK53" s="49"/>
      <c r="GCL53" s="50"/>
      <c r="GCM53" s="49"/>
      <c r="GCN53" s="50"/>
      <c r="GCO53" s="49"/>
      <c r="GCP53" s="50"/>
      <c r="GCQ53" s="49"/>
      <c r="GCR53" s="50"/>
      <c r="GCS53" s="49"/>
      <c r="GCT53" s="50"/>
      <c r="GCU53" s="49"/>
      <c r="GCV53" s="50"/>
      <c r="GCW53" s="49"/>
      <c r="GCX53" s="50"/>
      <c r="GCY53" s="49"/>
      <c r="GCZ53" s="50"/>
      <c r="GDA53" s="49"/>
      <c r="GDB53" s="50"/>
      <c r="GDC53" s="49"/>
      <c r="GDD53" s="50"/>
      <c r="GDE53" s="49"/>
      <c r="GDF53" s="50"/>
      <c r="GDG53" s="49"/>
      <c r="GDH53" s="50"/>
      <c r="GDI53" s="49"/>
      <c r="GDJ53" s="50"/>
      <c r="GDK53" s="49"/>
      <c r="GDL53" s="50"/>
      <c r="GDM53" s="49"/>
      <c r="GDN53" s="50"/>
      <c r="GDO53" s="49"/>
      <c r="GDP53" s="50"/>
      <c r="GDQ53" s="49"/>
      <c r="GDR53" s="50"/>
      <c r="GDS53" s="49"/>
      <c r="GDT53" s="50"/>
      <c r="GDU53" s="49"/>
      <c r="GDV53" s="50"/>
      <c r="GDW53" s="49"/>
      <c r="GDX53" s="50"/>
      <c r="GDY53" s="49"/>
      <c r="GDZ53" s="50"/>
      <c r="GEA53" s="49"/>
      <c r="GEB53" s="50"/>
      <c r="GEC53" s="49"/>
      <c r="GED53" s="50"/>
      <c r="GEE53" s="49"/>
      <c r="GEF53" s="50"/>
      <c r="GEG53" s="49"/>
      <c r="GEH53" s="50"/>
      <c r="GEI53" s="49"/>
      <c r="GEJ53" s="50"/>
      <c r="GEK53" s="49"/>
      <c r="GEL53" s="50"/>
      <c r="GEM53" s="49"/>
      <c r="GEN53" s="50"/>
      <c r="GEO53" s="49"/>
      <c r="GEP53" s="50"/>
      <c r="GEQ53" s="49"/>
      <c r="GER53" s="50"/>
      <c r="GES53" s="49"/>
      <c r="GET53" s="50"/>
      <c r="GEU53" s="49"/>
      <c r="GEV53" s="50"/>
      <c r="GEW53" s="49"/>
      <c r="GEX53" s="50"/>
      <c r="GEY53" s="49"/>
      <c r="GEZ53" s="50"/>
      <c r="GFA53" s="49"/>
      <c r="GFB53" s="50"/>
      <c r="GFC53" s="49"/>
      <c r="GFD53" s="50"/>
      <c r="GFE53" s="49"/>
      <c r="GFF53" s="50"/>
      <c r="GFG53" s="49"/>
      <c r="GFH53" s="50"/>
      <c r="GFI53" s="49"/>
      <c r="GFJ53" s="50"/>
      <c r="GFK53" s="49"/>
      <c r="GFL53" s="50"/>
      <c r="GFM53" s="49"/>
      <c r="GFN53" s="50"/>
      <c r="GFO53" s="49"/>
      <c r="GFP53" s="50"/>
      <c r="GFQ53" s="49"/>
      <c r="GFR53" s="50"/>
      <c r="GFS53" s="49"/>
      <c r="GFT53" s="50"/>
      <c r="GFU53" s="49"/>
      <c r="GFV53" s="50"/>
      <c r="GFW53" s="49"/>
      <c r="GFX53" s="50"/>
      <c r="GFY53" s="49"/>
      <c r="GFZ53" s="50"/>
      <c r="GGA53" s="49"/>
      <c r="GGB53" s="50"/>
      <c r="GGC53" s="49"/>
      <c r="GGD53" s="50"/>
      <c r="GGE53" s="49"/>
      <c r="GGF53" s="50"/>
      <c r="GGG53" s="49"/>
      <c r="GGH53" s="50"/>
      <c r="GGI53" s="49"/>
      <c r="GGJ53" s="50"/>
      <c r="GGK53" s="49"/>
      <c r="GGL53" s="50"/>
      <c r="GGM53" s="49"/>
      <c r="GGN53" s="50"/>
      <c r="GGO53" s="49"/>
      <c r="GGP53" s="50"/>
      <c r="GGQ53" s="49"/>
      <c r="GGR53" s="50"/>
      <c r="GGS53" s="49"/>
      <c r="GGT53" s="50"/>
      <c r="GGU53" s="49"/>
      <c r="GGV53" s="50"/>
      <c r="GGW53" s="49"/>
      <c r="GGX53" s="50"/>
      <c r="GGY53" s="49"/>
      <c r="GGZ53" s="50"/>
      <c r="GHA53" s="49"/>
      <c r="GHB53" s="50"/>
      <c r="GHC53" s="49"/>
      <c r="GHD53" s="50"/>
      <c r="GHE53" s="49"/>
      <c r="GHF53" s="50"/>
      <c r="GHG53" s="49"/>
      <c r="GHH53" s="50"/>
      <c r="GHI53" s="49"/>
      <c r="GHJ53" s="50"/>
      <c r="GHK53" s="49"/>
      <c r="GHL53" s="50"/>
      <c r="GHM53" s="49"/>
      <c r="GHN53" s="50"/>
      <c r="GHO53" s="49"/>
      <c r="GHP53" s="50"/>
      <c r="GHQ53" s="49"/>
      <c r="GHR53" s="50"/>
      <c r="GHS53" s="49"/>
      <c r="GHT53" s="50"/>
      <c r="GHU53" s="49"/>
      <c r="GHV53" s="50"/>
      <c r="GHW53" s="49"/>
      <c r="GHX53" s="50"/>
      <c r="GHY53" s="49"/>
      <c r="GHZ53" s="50"/>
      <c r="GIA53" s="49"/>
      <c r="GIB53" s="50"/>
      <c r="GIC53" s="49"/>
      <c r="GID53" s="50"/>
      <c r="GIE53" s="49"/>
      <c r="GIF53" s="50"/>
      <c r="GIG53" s="49"/>
      <c r="GIH53" s="50"/>
      <c r="GII53" s="49"/>
      <c r="GIJ53" s="50"/>
      <c r="GIK53" s="49"/>
      <c r="GIL53" s="50"/>
      <c r="GIM53" s="49"/>
      <c r="GIN53" s="50"/>
      <c r="GIO53" s="49"/>
      <c r="GIP53" s="50"/>
      <c r="GIQ53" s="49"/>
      <c r="GIR53" s="50"/>
      <c r="GIS53" s="49"/>
      <c r="GIT53" s="50"/>
      <c r="GIU53" s="49"/>
      <c r="GIV53" s="50"/>
      <c r="GIW53" s="49"/>
      <c r="GIX53" s="50"/>
      <c r="GIY53" s="49"/>
      <c r="GIZ53" s="50"/>
      <c r="GJA53" s="49"/>
      <c r="GJB53" s="50"/>
      <c r="GJC53" s="49"/>
      <c r="GJD53" s="50"/>
      <c r="GJE53" s="49"/>
      <c r="GJF53" s="50"/>
      <c r="GJG53" s="49"/>
      <c r="GJH53" s="50"/>
      <c r="GJI53" s="49"/>
      <c r="GJJ53" s="50"/>
      <c r="GJK53" s="49"/>
      <c r="GJL53" s="50"/>
      <c r="GJM53" s="49"/>
      <c r="GJN53" s="50"/>
      <c r="GJO53" s="49"/>
      <c r="GJP53" s="50"/>
      <c r="GJQ53" s="49"/>
      <c r="GJR53" s="50"/>
      <c r="GJS53" s="49"/>
      <c r="GJT53" s="50"/>
      <c r="GJU53" s="49"/>
      <c r="GJV53" s="50"/>
      <c r="GJW53" s="49"/>
      <c r="GJX53" s="50"/>
      <c r="GJY53" s="49"/>
      <c r="GJZ53" s="50"/>
      <c r="GKA53" s="49"/>
      <c r="GKB53" s="50"/>
      <c r="GKC53" s="49"/>
      <c r="GKD53" s="50"/>
      <c r="GKE53" s="49"/>
      <c r="GKF53" s="50"/>
      <c r="GKG53" s="49"/>
      <c r="GKH53" s="50"/>
      <c r="GKI53" s="49"/>
      <c r="GKJ53" s="50"/>
      <c r="GKK53" s="49"/>
      <c r="GKL53" s="50"/>
      <c r="GKM53" s="49"/>
      <c r="GKN53" s="50"/>
      <c r="GKO53" s="49"/>
      <c r="GKP53" s="50"/>
      <c r="GKQ53" s="49"/>
      <c r="GKR53" s="50"/>
      <c r="GKS53" s="49"/>
      <c r="GKT53" s="50"/>
      <c r="GKU53" s="49"/>
      <c r="GKV53" s="50"/>
      <c r="GKW53" s="49"/>
      <c r="GKX53" s="50"/>
      <c r="GKY53" s="49"/>
      <c r="GKZ53" s="50"/>
      <c r="GLA53" s="49"/>
      <c r="GLB53" s="50"/>
      <c r="GLC53" s="49"/>
      <c r="GLD53" s="50"/>
      <c r="GLE53" s="49"/>
      <c r="GLF53" s="50"/>
      <c r="GLG53" s="49"/>
      <c r="GLH53" s="50"/>
      <c r="GLI53" s="49"/>
      <c r="GLJ53" s="50"/>
      <c r="GLK53" s="49"/>
      <c r="GLL53" s="50"/>
      <c r="GLM53" s="49"/>
      <c r="GLN53" s="50"/>
      <c r="GLO53" s="49"/>
      <c r="GLP53" s="50"/>
      <c r="GLQ53" s="49"/>
      <c r="GLR53" s="50"/>
      <c r="GLS53" s="49"/>
      <c r="GLT53" s="50"/>
      <c r="GLU53" s="49"/>
      <c r="GLV53" s="50"/>
      <c r="GLW53" s="49"/>
      <c r="GLX53" s="50"/>
      <c r="GLY53" s="49"/>
      <c r="GLZ53" s="50"/>
      <c r="GMA53" s="49"/>
      <c r="GMB53" s="50"/>
      <c r="GMC53" s="49"/>
      <c r="GMD53" s="50"/>
      <c r="GME53" s="49"/>
      <c r="GMF53" s="50"/>
      <c r="GMG53" s="49"/>
      <c r="GMH53" s="50"/>
      <c r="GMI53" s="49"/>
      <c r="GMJ53" s="50"/>
      <c r="GMK53" s="49"/>
      <c r="GML53" s="50"/>
      <c r="GMM53" s="49"/>
      <c r="GMN53" s="50"/>
      <c r="GMO53" s="49"/>
      <c r="GMP53" s="50"/>
      <c r="GMQ53" s="49"/>
      <c r="GMR53" s="50"/>
      <c r="GMS53" s="49"/>
      <c r="GMT53" s="50"/>
      <c r="GMU53" s="49"/>
      <c r="GMV53" s="50"/>
      <c r="GMW53" s="49"/>
      <c r="GMX53" s="50"/>
      <c r="GMY53" s="49"/>
      <c r="GMZ53" s="50"/>
      <c r="GNA53" s="49"/>
      <c r="GNB53" s="50"/>
      <c r="GNC53" s="49"/>
      <c r="GND53" s="50"/>
      <c r="GNE53" s="49"/>
      <c r="GNF53" s="50"/>
      <c r="GNG53" s="49"/>
      <c r="GNH53" s="50"/>
      <c r="GNI53" s="49"/>
      <c r="GNJ53" s="50"/>
      <c r="GNK53" s="49"/>
      <c r="GNL53" s="50"/>
      <c r="GNM53" s="49"/>
      <c r="GNN53" s="50"/>
      <c r="GNO53" s="49"/>
      <c r="GNP53" s="50"/>
      <c r="GNQ53" s="49"/>
      <c r="GNR53" s="50"/>
      <c r="GNS53" s="49"/>
      <c r="GNT53" s="50"/>
      <c r="GNU53" s="49"/>
      <c r="GNV53" s="50"/>
      <c r="GNW53" s="49"/>
      <c r="GNX53" s="50"/>
      <c r="GNY53" s="49"/>
      <c r="GNZ53" s="50"/>
      <c r="GOA53" s="49"/>
      <c r="GOB53" s="50"/>
      <c r="GOC53" s="49"/>
      <c r="GOD53" s="50"/>
      <c r="GOE53" s="49"/>
      <c r="GOF53" s="50"/>
      <c r="GOG53" s="49"/>
      <c r="GOH53" s="50"/>
      <c r="GOI53" s="49"/>
      <c r="GOJ53" s="50"/>
      <c r="GOK53" s="49"/>
      <c r="GOL53" s="50"/>
      <c r="GOM53" s="49"/>
      <c r="GON53" s="50"/>
      <c r="GOO53" s="49"/>
      <c r="GOP53" s="50"/>
      <c r="GOQ53" s="49"/>
      <c r="GOR53" s="50"/>
      <c r="GOS53" s="49"/>
      <c r="GOT53" s="50"/>
      <c r="GOU53" s="49"/>
      <c r="GOV53" s="50"/>
      <c r="GOW53" s="49"/>
      <c r="GOX53" s="50"/>
      <c r="GOY53" s="49"/>
      <c r="GOZ53" s="50"/>
      <c r="GPA53" s="49"/>
      <c r="GPB53" s="50"/>
      <c r="GPC53" s="49"/>
      <c r="GPD53" s="50"/>
      <c r="GPE53" s="49"/>
      <c r="GPF53" s="50"/>
      <c r="GPG53" s="49"/>
      <c r="GPH53" s="50"/>
      <c r="GPI53" s="49"/>
      <c r="GPJ53" s="50"/>
      <c r="GPK53" s="49"/>
      <c r="GPL53" s="50"/>
      <c r="GPM53" s="49"/>
      <c r="GPN53" s="50"/>
      <c r="GPO53" s="49"/>
      <c r="GPP53" s="50"/>
      <c r="GPQ53" s="49"/>
      <c r="GPR53" s="50"/>
      <c r="GPS53" s="49"/>
      <c r="GPT53" s="50"/>
      <c r="GPU53" s="49"/>
      <c r="GPV53" s="50"/>
      <c r="GPW53" s="49"/>
      <c r="GPX53" s="50"/>
      <c r="GPY53" s="49"/>
      <c r="GPZ53" s="50"/>
      <c r="GQA53" s="49"/>
      <c r="GQB53" s="50"/>
      <c r="GQC53" s="49"/>
      <c r="GQD53" s="50"/>
      <c r="GQE53" s="49"/>
      <c r="GQF53" s="50"/>
      <c r="GQG53" s="49"/>
      <c r="GQH53" s="50"/>
      <c r="GQI53" s="49"/>
      <c r="GQJ53" s="50"/>
      <c r="GQK53" s="49"/>
      <c r="GQL53" s="50"/>
      <c r="GQM53" s="49"/>
      <c r="GQN53" s="50"/>
      <c r="GQO53" s="49"/>
      <c r="GQP53" s="50"/>
      <c r="GQQ53" s="49"/>
      <c r="GQR53" s="50"/>
      <c r="GQS53" s="49"/>
      <c r="GQT53" s="50"/>
      <c r="GQU53" s="49"/>
      <c r="GQV53" s="50"/>
      <c r="GQW53" s="49"/>
      <c r="GQX53" s="50"/>
      <c r="GQY53" s="49"/>
      <c r="GQZ53" s="50"/>
      <c r="GRA53" s="49"/>
      <c r="GRB53" s="50"/>
      <c r="GRC53" s="49"/>
      <c r="GRD53" s="50"/>
      <c r="GRE53" s="49"/>
      <c r="GRF53" s="50"/>
      <c r="GRG53" s="49"/>
      <c r="GRH53" s="50"/>
      <c r="GRI53" s="49"/>
      <c r="GRJ53" s="50"/>
      <c r="GRK53" s="49"/>
      <c r="GRL53" s="50"/>
      <c r="GRM53" s="49"/>
      <c r="GRN53" s="50"/>
      <c r="GRO53" s="49"/>
      <c r="GRP53" s="50"/>
      <c r="GRQ53" s="49"/>
      <c r="GRR53" s="50"/>
      <c r="GRS53" s="49"/>
      <c r="GRT53" s="50"/>
      <c r="GRU53" s="49"/>
      <c r="GRV53" s="50"/>
      <c r="GRW53" s="49"/>
      <c r="GRX53" s="50"/>
      <c r="GRY53" s="49"/>
      <c r="GRZ53" s="50"/>
      <c r="GSA53" s="49"/>
      <c r="GSB53" s="50"/>
      <c r="GSC53" s="49"/>
      <c r="GSD53" s="50"/>
      <c r="GSE53" s="49"/>
      <c r="GSF53" s="50"/>
      <c r="GSG53" s="49"/>
      <c r="GSH53" s="50"/>
      <c r="GSI53" s="49"/>
      <c r="GSJ53" s="50"/>
      <c r="GSK53" s="49"/>
      <c r="GSL53" s="50"/>
      <c r="GSM53" s="49"/>
      <c r="GSN53" s="50"/>
      <c r="GSO53" s="49"/>
      <c r="GSP53" s="50"/>
      <c r="GSQ53" s="49"/>
      <c r="GSR53" s="50"/>
      <c r="GSS53" s="49"/>
      <c r="GST53" s="50"/>
      <c r="GSU53" s="49"/>
      <c r="GSV53" s="50"/>
      <c r="GSW53" s="49"/>
      <c r="GSX53" s="50"/>
      <c r="GSY53" s="49"/>
      <c r="GSZ53" s="50"/>
      <c r="GTA53" s="49"/>
      <c r="GTB53" s="50"/>
      <c r="GTC53" s="49"/>
      <c r="GTD53" s="50"/>
      <c r="GTE53" s="49"/>
      <c r="GTF53" s="50"/>
      <c r="GTG53" s="49"/>
      <c r="GTH53" s="50"/>
      <c r="GTI53" s="49"/>
      <c r="GTJ53" s="50"/>
      <c r="GTK53" s="49"/>
      <c r="GTL53" s="50"/>
      <c r="GTM53" s="49"/>
      <c r="GTN53" s="50"/>
      <c r="GTO53" s="49"/>
      <c r="GTP53" s="50"/>
      <c r="GTQ53" s="49"/>
      <c r="GTR53" s="50"/>
      <c r="GTS53" s="49"/>
      <c r="GTT53" s="50"/>
      <c r="GTU53" s="49"/>
      <c r="GTV53" s="50"/>
      <c r="GTW53" s="49"/>
      <c r="GTX53" s="50"/>
      <c r="GTY53" s="49"/>
      <c r="GTZ53" s="50"/>
      <c r="GUA53" s="49"/>
      <c r="GUB53" s="50"/>
      <c r="GUC53" s="49"/>
      <c r="GUD53" s="50"/>
      <c r="GUE53" s="49"/>
      <c r="GUF53" s="50"/>
      <c r="GUG53" s="49"/>
      <c r="GUH53" s="50"/>
      <c r="GUI53" s="49"/>
      <c r="GUJ53" s="50"/>
      <c r="GUK53" s="49"/>
      <c r="GUL53" s="50"/>
      <c r="GUM53" s="49"/>
      <c r="GUN53" s="50"/>
      <c r="GUO53" s="49"/>
      <c r="GUP53" s="50"/>
      <c r="GUQ53" s="49"/>
      <c r="GUR53" s="50"/>
      <c r="GUS53" s="49"/>
      <c r="GUT53" s="50"/>
      <c r="GUU53" s="49"/>
      <c r="GUV53" s="50"/>
      <c r="GUW53" s="49"/>
      <c r="GUX53" s="50"/>
      <c r="GUY53" s="49"/>
      <c r="GUZ53" s="50"/>
      <c r="GVA53" s="49"/>
      <c r="GVB53" s="50"/>
      <c r="GVC53" s="49"/>
      <c r="GVD53" s="50"/>
      <c r="GVE53" s="49"/>
      <c r="GVF53" s="50"/>
      <c r="GVG53" s="49"/>
      <c r="GVH53" s="50"/>
      <c r="GVI53" s="49"/>
      <c r="GVJ53" s="50"/>
      <c r="GVK53" s="49"/>
      <c r="GVL53" s="50"/>
      <c r="GVM53" s="49"/>
      <c r="GVN53" s="50"/>
      <c r="GVO53" s="49"/>
      <c r="GVP53" s="50"/>
      <c r="GVQ53" s="49"/>
      <c r="GVR53" s="50"/>
      <c r="GVS53" s="49"/>
      <c r="GVT53" s="50"/>
      <c r="GVU53" s="49"/>
      <c r="GVV53" s="50"/>
      <c r="GVW53" s="49"/>
      <c r="GVX53" s="50"/>
      <c r="GVY53" s="49"/>
      <c r="GVZ53" s="50"/>
      <c r="GWA53" s="49"/>
      <c r="GWB53" s="50"/>
      <c r="GWC53" s="49"/>
      <c r="GWD53" s="50"/>
      <c r="GWE53" s="49"/>
      <c r="GWF53" s="50"/>
      <c r="GWG53" s="49"/>
      <c r="GWH53" s="50"/>
      <c r="GWI53" s="49"/>
      <c r="GWJ53" s="50"/>
      <c r="GWK53" s="49"/>
      <c r="GWL53" s="50"/>
      <c r="GWM53" s="49"/>
      <c r="GWN53" s="50"/>
      <c r="GWO53" s="49"/>
      <c r="GWP53" s="50"/>
      <c r="GWQ53" s="49"/>
      <c r="GWR53" s="50"/>
      <c r="GWS53" s="49"/>
      <c r="GWT53" s="50"/>
      <c r="GWU53" s="49"/>
      <c r="GWV53" s="50"/>
      <c r="GWW53" s="49"/>
      <c r="GWX53" s="50"/>
      <c r="GWY53" s="49"/>
      <c r="GWZ53" s="50"/>
      <c r="GXA53" s="49"/>
      <c r="GXB53" s="50"/>
      <c r="GXC53" s="49"/>
      <c r="GXD53" s="50"/>
      <c r="GXE53" s="49"/>
      <c r="GXF53" s="50"/>
      <c r="GXG53" s="49"/>
      <c r="GXH53" s="50"/>
      <c r="GXI53" s="49"/>
      <c r="GXJ53" s="50"/>
      <c r="GXK53" s="49"/>
      <c r="GXL53" s="50"/>
      <c r="GXM53" s="49"/>
      <c r="GXN53" s="50"/>
      <c r="GXO53" s="49"/>
      <c r="GXP53" s="50"/>
      <c r="GXQ53" s="49"/>
      <c r="GXR53" s="50"/>
      <c r="GXS53" s="49"/>
      <c r="GXT53" s="50"/>
      <c r="GXU53" s="49"/>
      <c r="GXV53" s="50"/>
      <c r="GXW53" s="49"/>
      <c r="GXX53" s="50"/>
      <c r="GXY53" s="49"/>
      <c r="GXZ53" s="50"/>
      <c r="GYA53" s="49"/>
      <c r="GYB53" s="50"/>
      <c r="GYC53" s="49"/>
      <c r="GYD53" s="50"/>
      <c r="GYE53" s="49"/>
      <c r="GYF53" s="50"/>
      <c r="GYG53" s="49"/>
      <c r="GYH53" s="50"/>
      <c r="GYI53" s="49"/>
      <c r="GYJ53" s="50"/>
      <c r="GYK53" s="49"/>
      <c r="GYL53" s="50"/>
      <c r="GYM53" s="49"/>
      <c r="GYN53" s="50"/>
      <c r="GYO53" s="49"/>
      <c r="GYP53" s="50"/>
      <c r="GYQ53" s="49"/>
      <c r="GYR53" s="50"/>
      <c r="GYS53" s="49"/>
      <c r="GYT53" s="50"/>
      <c r="GYU53" s="49"/>
      <c r="GYV53" s="50"/>
      <c r="GYW53" s="49"/>
      <c r="GYX53" s="50"/>
      <c r="GYY53" s="49"/>
      <c r="GYZ53" s="50"/>
      <c r="GZA53" s="49"/>
      <c r="GZB53" s="50"/>
      <c r="GZC53" s="49"/>
      <c r="GZD53" s="50"/>
      <c r="GZE53" s="49"/>
      <c r="GZF53" s="50"/>
      <c r="GZG53" s="49"/>
      <c r="GZH53" s="50"/>
      <c r="GZI53" s="49"/>
      <c r="GZJ53" s="50"/>
      <c r="GZK53" s="49"/>
      <c r="GZL53" s="50"/>
      <c r="GZM53" s="49"/>
      <c r="GZN53" s="50"/>
      <c r="GZO53" s="49"/>
      <c r="GZP53" s="50"/>
      <c r="GZQ53" s="49"/>
      <c r="GZR53" s="50"/>
      <c r="GZS53" s="49"/>
      <c r="GZT53" s="50"/>
      <c r="GZU53" s="49"/>
      <c r="GZV53" s="50"/>
      <c r="GZW53" s="49"/>
      <c r="GZX53" s="50"/>
      <c r="GZY53" s="49"/>
      <c r="GZZ53" s="50"/>
      <c r="HAA53" s="49"/>
      <c r="HAB53" s="50"/>
      <c r="HAC53" s="49"/>
      <c r="HAD53" s="50"/>
      <c r="HAE53" s="49"/>
      <c r="HAF53" s="50"/>
      <c r="HAG53" s="49"/>
      <c r="HAH53" s="50"/>
      <c r="HAI53" s="49"/>
      <c r="HAJ53" s="50"/>
      <c r="HAK53" s="49"/>
      <c r="HAL53" s="50"/>
      <c r="HAM53" s="49"/>
      <c r="HAN53" s="50"/>
      <c r="HAO53" s="49"/>
      <c r="HAP53" s="50"/>
      <c r="HAQ53" s="49"/>
      <c r="HAR53" s="50"/>
      <c r="HAS53" s="49"/>
      <c r="HAT53" s="50"/>
      <c r="HAU53" s="49"/>
      <c r="HAV53" s="50"/>
      <c r="HAW53" s="49"/>
      <c r="HAX53" s="50"/>
      <c r="HAY53" s="49"/>
      <c r="HAZ53" s="50"/>
      <c r="HBA53" s="49"/>
      <c r="HBB53" s="50"/>
      <c r="HBC53" s="49"/>
      <c r="HBD53" s="50"/>
      <c r="HBE53" s="49"/>
      <c r="HBF53" s="50"/>
      <c r="HBG53" s="49"/>
      <c r="HBH53" s="50"/>
      <c r="HBI53" s="49"/>
      <c r="HBJ53" s="50"/>
      <c r="HBK53" s="49"/>
      <c r="HBL53" s="50"/>
      <c r="HBM53" s="49"/>
      <c r="HBN53" s="50"/>
      <c r="HBO53" s="49"/>
      <c r="HBP53" s="50"/>
      <c r="HBQ53" s="49"/>
      <c r="HBR53" s="50"/>
      <c r="HBS53" s="49"/>
      <c r="HBT53" s="50"/>
      <c r="HBU53" s="49"/>
      <c r="HBV53" s="50"/>
      <c r="HBW53" s="49"/>
      <c r="HBX53" s="50"/>
      <c r="HBY53" s="49"/>
      <c r="HBZ53" s="50"/>
      <c r="HCA53" s="49"/>
      <c r="HCB53" s="50"/>
      <c r="HCC53" s="49"/>
      <c r="HCD53" s="50"/>
      <c r="HCE53" s="49"/>
      <c r="HCF53" s="50"/>
      <c r="HCG53" s="49"/>
      <c r="HCH53" s="50"/>
      <c r="HCI53" s="49"/>
      <c r="HCJ53" s="50"/>
      <c r="HCK53" s="49"/>
      <c r="HCL53" s="50"/>
      <c r="HCM53" s="49"/>
      <c r="HCN53" s="50"/>
      <c r="HCO53" s="49"/>
      <c r="HCP53" s="50"/>
      <c r="HCQ53" s="49"/>
      <c r="HCR53" s="50"/>
      <c r="HCS53" s="49"/>
      <c r="HCT53" s="50"/>
      <c r="HCU53" s="49"/>
      <c r="HCV53" s="50"/>
      <c r="HCW53" s="49"/>
      <c r="HCX53" s="50"/>
      <c r="HCY53" s="49"/>
      <c r="HCZ53" s="50"/>
      <c r="HDA53" s="49"/>
      <c r="HDB53" s="50"/>
      <c r="HDC53" s="49"/>
      <c r="HDD53" s="50"/>
      <c r="HDE53" s="49"/>
      <c r="HDF53" s="50"/>
      <c r="HDG53" s="49"/>
      <c r="HDH53" s="50"/>
      <c r="HDI53" s="49"/>
      <c r="HDJ53" s="50"/>
      <c r="HDK53" s="49"/>
      <c r="HDL53" s="50"/>
      <c r="HDM53" s="49"/>
      <c r="HDN53" s="50"/>
      <c r="HDO53" s="49"/>
      <c r="HDP53" s="50"/>
      <c r="HDQ53" s="49"/>
      <c r="HDR53" s="50"/>
      <c r="HDS53" s="49"/>
      <c r="HDT53" s="50"/>
      <c r="HDU53" s="49"/>
      <c r="HDV53" s="50"/>
      <c r="HDW53" s="49"/>
      <c r="HDX53" s="50"/>
      <c r="HDY53" s="49"/>
      <c r="HDZ53" s="50"/>
      <c r="HEA53" s="49"/>
      <c r="HEB53" s="50"/>
      <c r="HEC53" s="49"/>
      <c r="HED53" s="50"/>
      <c r="HEE53" s="49"/>
      <c r="HEF53" s="50"/>
      <c r="HEG53" s="49"/>
      <c r="HEH53" s="50"/>
      <c r="HEI53" s="49"/>
      <c r="HEJ53" s="50"/>
      <c r="HEK53" s="49"/>
      <c r="HEL53" s="50"/>
      <c r="HEM53" s="49"/>
      <c r="HEN53" s="50"/>
      <c r="HEO53" s="49"/>
      <c r="HEP53" s="50"/>
      <c r="HEQ53" s="49"/>
      <c r="HER53" s="50"/>
      <c r="HES53" s="49"/>
      <c r="HET53" s="50"/>
      <c r="HEU53" s="49"/>
      <c r="HEV53" s="50"/>
      <c r="HEW53" s="49"/>
      <c r="HEX53" s="50"/>
      <c r="HEY53" s="49"/>
      <c r="HEZ53" s="50"/>
      <c r="HFA53" s="49"/>
      <c r="HFB53" s="50"/>
      <c r="HFC53" s="49"/>
      <c r="HFD53" s="50"/>
      <c r="HFE53" s="49"/>
      <c r="HFF53" s="50"/>
      <c r="HFG53" s="49"/>
      <c r="HFH53" s="50"/>
      <c r="HFI53" s="49"/>
      <c r="HFJ53" s="50"/>
      <c r="HFK53" s="49"/>
      <c r="HFL53" s="50"/>
      <c r="HFM53" s="49"/>
      <c r="HFN53" s="50"/>
      <c r="HFO53" s="49"/>
      <c r="HFP53" s="50"/>
      <c r="HFQ53" s="49"/>
      <c r="HFR53" s="50"/>
      <c r="HFS53" s="49"/>
      <c r="HFT53" s="50"/>
      <c r="HFU53" s="49"/>
      <c r="HFV53" s="50"/>
      <c r="HFW53" s="49"/>
      <c r="HFX53" s="50"/>
      <c r="HFY53" s="49"/>
      <c r="HFZ53" s="50"/>
      <c r="HGA53" s="49"/>
      <c r="HGB53" s="50"/>
      <c r="HGC53" s="49"/>
      <c r="HGD53" s="50"/>
      <c r="HGE53" s="49"/>
      <c r="HGF53" s="50"/>
      <c r="HGG53" s="49"/>
      <c r="HGH53" s="50"/>
      <c r="HGI53" s="49"/>
      <c r="HGJ53" s="50"/>
      <c r="HGK53" s="49"/>
      <c r="HGL53" s="50"/>
      <c r="HGM53" s="49"/>
      <c r="HGN53" s="50"/>
      <c r="HGO53" s="49"/>
      <c r="HGP53" s="50"/>
      <c r="HGQ53" s="49"/>
      <c r="HGR53" s="50"/>
      <c r="HGS53" s="49"/>
      <c r="HGT53" s="50"/>
      <c r="HGU53" s="49"/>
      <c r="HGV53" s="50"/>
      <c r="HGW53" s="49"/>
      <c r="HGX53" s="50"/>
      <c r="HGY53" s="49"/>
      <c r="HGZ53" s="50"/>
      <c r="HHA53" s="49"/>
      <c r="HHB53" s="50"/>
      <c r="HHC53" s="49"/>
      <c r="HHD53" s="50"/>
      <c r="HHE53" s="49"/>
      <c r="HHF53" s="50"/>
      <c r="HHG53" s="49"/>
      <c r="HHH53" s="50"/>
      <c r="HHI53" s="49"/>
      <c r="HHJ53" s="50"/>
      <c r="HHK53" s="49"/>
      <c r="HHL53" s="50"/>
      <c r="HHM53" s="49"/>
      <c r="HHN53" s="50"/>
      <c r="HHO53" s="49"/>
      <c r="HHP53" s="50"/>
      <c r="HHQ53" s="49"/>
      <c r="HHR53" s="50"/>
      <c r="HHS53" s="49"/>
      <c r="HHT53" s="50"/>
      <c r="HHU53" s="49"/>
      <c r="HHV53" s="50"/>
      <c r="HHW53" s="49"/>
      <c r="HHX53" s="50"/>
      <c r="HHY53" s="49"/>
      <c r="HHZ53" s="50"/>
      <c r="HIA53" s="49"/>
      <c r="HIB53" s="50"/>
      <c r="HIC53" s="49"/>
      <c r="HID53" s="50"/>
      <c r="HIE53" s="49"/>
      <c r="HIF53" s="50"/>
      <c r="HIG53" s="49"/>
      <c r="HIH53" s="50"/>
      <c r="HII53" s="49"/>
      <c r="HIJ53" s="50"/>
      <c r="HIK53" s="49"/>
      <c r="HIL53" s="50"/>
      <c r="HIM53" s="49"/>
      <c r="HIN53" s="50"/>
      <c r="HIO53" s="49"/>
      <c r="HIP53" s="50"/>
      <c r="HIQ53" s="49"/>
      <c r="HIR53" s="50"/>
      <c r="HIS53" s="49"/>
      <c r="HIT53" s="50"/>
      <c r="HIU53" s="49"/>
      <c r="HIV53" s="50"/>
      <c r="HIW53" s="49"/>
      <c r="HIX53" s="50"/>
      <c r="HIY53" s="49"/>
      <c r="HIZ53" s="50"/>
      <c r="HJA53" s="49"/>
      <c r="HJB53" s="50"/>
      <c r="HJC53" s="49"/>
      <c r="HJD53" s="50"/>
      <c r="HJE53" s="49"/>
      <c r="HJF53" s="50"/>
      <c r="HJG53" s="49"/>
      <c r="HJH53" s="50"/>
      <c r="HJI53" s="49"/>
      <c r="HJJ53" s="50"/>
      <c r="HJK53" s="49"/>
      <c r="HJL53" s="50"/>
      <c r="HJM53" s="49"/>
      <c r="HJN53" s="50"/>
      <c r="HJO53" s="49"/>
      <c r="HJP53" s="50"/>
      <c r="HJQ53" s="49"/>
      <c r="HJR53" s="50"/>
      <c r="HJS53" s="49"/>
      <c r="HJT53" s="50"/>
      <c r="HJU53" s="49"/>
      <c r="HJV53" s="50"/>
      <c r="HJW53" s="49"/>
      <c r="HJX53" s="50"/>
      <c r="HJY53" s="49"/>
      <c r="HJZ53" s="50"/>
      <c r="HKA53" s="49"/>
      <c r="HKB53" s="50"/>
      <c r="HKC53" s="49"/>
      <c r="HKD53" s="50"/>
      <c r="HKE53" s="49"/>
      <c r="HKF53" s="50"/>
      <c r="HKG53" s="49"/>
      <c r="HKH53" s="50"/>
      <c r="HKI53" s="49"/>
      <c r="HKJ53" s="50"/>
      <c r="HKK53" s="49"/>
      <c r="HKL53" s="50"/>
      <c r="HKM53" s="49"/>
      <c r="HKN53" s="50"/>
      <c r="HKO53" s="49"/>
      <c r="HKP53" s="50"/>
      <c r="HKQ53" s="49"/>
      <c r="HKR53" s="50"/>
      <c r="HKS53" s="49"/>
      <c r="HKT53" s="50"/>
      <c r="HKU53" s="49"/>
      <c r="HKV53" s="50"/>
      <c r="HKW53" s="49"/>
      <c r="HKX53" s="50"/>
      <c r="HKY53" s="49"/>
      <c r="HKZ53" s="50"/>
      <c r="HLA53" s="49"/>
      <c r="HLB53" s="50"/>
      <c r="HLC53" s="49"/>
      <c r="HLD53" s="50"/>
      <c r="HLE53" s="49"/>
      <c r="HLF53" s="50"/>
      <c r="HLG53" s="49"/>
      <c r="HLH53" s="50"/>
      <c r="HLI53" s="49"/>
      <c r="HLJ53" s="50"/>
      <c r="HLK53" s="49"/>
      <c r="HLL53" s="50"/>
      <c r="HLM53" s="49"/>
      <c r="HLN53" s="50"/>
      <c r="HLO53" s="49"/>
      <c r="HLP53" s="50"/>
      <c r="HLQ53" s="49"/>
      <c r="HLR53" s="50"/>
      <c r="HLS53" s="49"/>
      <c r="HLT53" s="50"/>
      <c r="HLU53" s="49"/>
      <c r="HLV53" s="50"/>
      <c r="HLW53" s="49"/>
      <c r="HLX53" s="50"/>
      <c r="HLY53" s="49"/>
      <c r="HLZ53" s="50"/>
      <c r="HMA53" s="49"/>
      <c r="HMB53" s="50"/>
      <c r="HMC53" s="49"/>
      <c r="HMD53" s="50"/>
      <c r="HME53" s="49"/>
      <c r="HMF53" s="50"/>
      <c r="HMG53" s="49"/>
      <c r="HMH53" s="50"/>
      <c r="HMI53" s="49"/>
      <c r="HMJ53" s="50"/>
      <c r="HMK53" s="49"/>
      <c r="HML53" s="50"/>
      <c r="HMM53" s="49"/>
      <c r="HMN53" s="50"/>
      <c r="HMO53" s="49"/>
      <c r="HMP53" s="50"/>
      <c r="HMQ53" s="49"/>
      <c r="HMR53" s="50"/>
      <c r="HMS53" s="49"/>
      <c r="HMT53" s="50"/>
      <c r="HMU53" s="49"/>
      <c r="HMV53" s="50"/>
      <c r="HMW53" s="49"/>
      <c r="HMX53" s="50"/>
      <c r="HMY53" s="49"/>
      <c r="HMZ53" s="50"/>
      <c r="HNA53" s="49"/>
      <c r="HNB53" s="50"/>
      <c r="HNC53" s="49"/>
      <c r="HND53" s="50"/>
      <c r="HNE53" s="49"/>
      <c r="HNF53" s="50"/>
      <c r="HNG53" s="49"/>
      <c r="HNH53" s="50"/>
      <c r="HNI53" s="49"/>
      <c r="HNJ53" s="50"/>
      <c r="HNK53" s="49"/>
      <c r="HNL53" s="50"/>
      <c r="HNM53" s="49"/>
      <c r="HNN53" s="50"/>
      <c r="HNO53" s="49"/>
      <c r="HNP53" s="50"/>
      <c r="HNQ53" s="49"/>
      <c r="HNR53" s="50"/>
      <c r="HNS53" s="49"/>
      <c r="HNT53" s="50"/>
      <c r="HNU53" s="49"/>
      <c r="HNV53" s="50"/>
      <c r="HNW53" s="49"/>
      <c r="HNX53" s="50"/>
      <c r="HNY53" s="49"/>
      <c r="HNZ53" s="50"/>
      <c r="HOA53" s="49"/>
      <c r="HOB53" s="50"/>
      <c r="HOC53" s="49"/>
      <c r="HOD53" s="50"/>
      <c r="HOE53" s="49"/>
      <c r="HOF53" s="50"/>
      <c r="HOG53" s="49"/>
      <c r="HOH53" s="50"/>
      <c r="HOI53" s="49"/>
      <c r="HOJ53" s="50"/>
      <c r="HOK53" s="49"/>
      <c r="HOL53" s="50"/>
      <c r="HOM53" s="49"/>
      <c r="HON53" s="50"/>
      <c r="HOO53" s="49"/>
      <c r="HOP53" s="50"/>
      <c r="HOQ53" s="49"/>
      <c r="HOR53" s="50"/>
      <c r="HOS53" s="49"/>
      <c r="HOT53" s="50"/>
      <c r="HOU53" s="49"/>
      <c r="HOV53" s="50"/>
      <c r="HOW53" s="49"/>
      <c r="HOX53" s="50"/>
      <c r="HOY53" s="49"/>
      <c r="HOZ53" s="50"/>
      <c r="HPA53" s="49"/>
      <c r="HPB53" s="50"/>
      <c r="HPC53" s="49"/>
      <c r="HPD53" s="50"/>
      <c r="HPE53" s="49"/>
      <c r="HPF53" s="50"/>
      <c r="HPG53" s="49"/>
      <c r="HPH53" s="50"/>
      <c r="HPI53" s="49"/>
      <c r="HPJ53" s="50"/>
      <c r="HPK53" s="49"/>
      <c r="HPL53" s="50"/>
      <c r="HPM53" s="49"/>
      <c r="HPN53" s="50"/>
      <c r="HPO53" s="49"/>
      <c r="HPP53" s="50"/>
      <c r="HPQ53" s="49"/>
      <c r="HPR53" s="50"/>
      <c r="HPS53" s="49"/>
      <c r="HPT53" s="50"/>
      <c r="HPU53" s="49"/>
      <c r="HPV53" s="50"/>
      <c r="HPW53" s="49"/>
      <c r="HPX53" s="50"/>
      <c r="HPY53" s="49"/>
      <c r="HPZ53" s="50"/>
      <c r="HQA53" s="49"/>
      <c r="HQB53" s="50"/>
      <c r="HQC53" s="49"/>
      <c r="HQD53" s="50"/>
      <c r="HQE53" s="49"/>
      <c r="HQF53" s="50"/>
      <c r="HQG53" s="49"/>
      <c r="HQH53" s="50"/>
      <c r="HQI53" s="49"/>
      <c r="HQJ53" s="50"/>
      <c r="HQK53" s="49"/>
      <c r="HQL53" s="50"/>
      <c r="HQM53" s="49"/>
      <c r="HQN53" s="50"/>
      <c r="HQO53" s="49"/>
      <c r="HQP53" s="50"/>
      <c r="HQQ53" s="49"/>
      <c r="HQR53" s="50"/>
      <c r="HQS53" s="49"/>
      <c r="HQT53" s="50"/>
      <c r="HQU53" s="49"/>
      <c r="HQV53" s="50"/>
      <c r="HQW53" s="49"/>
      <c r="HQX53" s="50"/>
      <c r="HQY53" s="49"/>
      <c r="HQZ53" s="50"/>
      <c r="HRA53" s="49"/>
      <c r="HRB53" s="50"/>
      <c r="HRC53" s="49"/>
      <c r="HRD53" s="50"/>
      <c r="HRE53" s="49"/>
      <c r="HRF53" s="50"/>
      <c r="HRG53" s="49"/>
      <c r="HRH53" s="50"/>
      <c r="HRI53" s="49"/>
      <c r="HRJ53" s="50"/>
      <c r="HRK53" s="49"/>
      <c r="HRL53" s="50"/>
      <c r="HRM53" s="49"/>
      <c r="HRN53" s="50"/>
      <c r="HRO53" s="49"/>
      <c r="HRP53" s="50"/>
      <c r="HRQ53" s="49"/>
      <c r="HRR53" s="50"/>
      <c r="HRS53" s="49"/>
      <c r="HRT53" s="50"/>
      <c r="HRU53" s="49"/>
      <c r="HRV53" s="50"/>
      <c r="HRW53" s="49"/>
      <c r="HRX53" s="50"/>
      <c r="HRY53" s="49"/>
      <c r="HRZ53" s="50"/>
      <c r="HSA53" s="49"/>
      <c r="HSB53" s="50"/>
      <c r="HSC53" s="49"/>
      <c r="HSD53" s="50"/>
      <c r="HSE53" s="49"/>
      <c r="HSF53" s="50"/>
      <c r="HSG53" s="49"/>
      <c r="HSH53" s="50"/>
      <c r="HSI53" s="49"/>
      <c r="HSJ53" s="50"/>
      <c r="HSK53" s="49"/>
      <c r="HSL53" s="50"/>
      <c r="HSM53" s="49"/>
      <c r="HSN53" s="50"/>
      <c r="HSO53" s="49"/>
      <c r="HSP53" s="50"/>
      <c r="HSQ53" s="49"/>
      <c r="HSR53" s="50"/>
      <c r="HSS53" s="49"/>
      <c r="HST53" s="50"/>
      <c r="HSU53" s="49"/>
      <c r="HSV53" s="50"/>
      <c r="HSW53" s="49"/>
      <c r="HSX53" s="50"/>
      <c r="HSY53" s="49"/>
      <c r="HSZ53" s="50"/>
      <c r="HTA53" s="49"/>
      <c r="HTB53" s="50"/>
      <c r="HTC53" s="49"/>
      <c r="HTD53" s="50"/>
      <c r="HTE53" s="49"/>
      <c r="HTF53" s="50"/>
      <c r="HTG53" s="49"/>
      <c r="HTH53" s="50"/>
      <c r="HTI53" s="49"/>
      <c r="HTJ53" s="50"/>
      <c r="HTK53" s="49"/>
      <c r="HTL53" s="50"/>
      <c r="HTM53" s="49"/>
      <c r="HTN53" s="50"/>
      <c r="HTO53" s="49"/>
      <c r="HTP53" s="50"/>
      <c r="HTQ53" s="49"/>
      <c r="HTR53" s="50"/>
      <c r="HTS53" s="49"/>
      <c r="HTT53" s="50"/>
      <c r="HTU53" s="49"/>
      <c r="HTV53" s="50"/>
      <c r="HTW53" s="49"/>
      <c r="HTX53" s="50"/>
      <c r="HTY53" s="49"/>
      <c r="HTZ53" s="50"/>
      <c r="HUA53" s="49"/>
      <c r="HUB53" s="50"/>
      <c r="HUC53" s="49"/>
      <c r="HUD53" s="50"/>
      <c r="HUE53" s="49"/>
      <c r="HUF53" s="50"/>
      <c r="HUG53" s="49"/>
      <c r="HUH53" s="50"/>
      <c r="HUI53" s="49"/>
      <c r="HUJ53" s="50"/>
      <c r="HUK53" s="49"/>
      <c r="HUL53" s="50"/>
      <c r="HUM53" s="49"/>
      <c r="HUN53" s="50"/>
      <c r="HUO53" s="49"/>
      <c r="HUP53" s="50"/>
      <c r="HUQ53" s="49"/>
      <c r="HUR53" s="50"/>
      <c r="HUS53" s="49"/>
      <c r="HUT53" s="50"/>
      <c r="HUU53" s="49"/>
      <c r="HUV53" s="50"/>
      <c r="HUW53" s="49"/>
      <c r="HUX53" s="50"/>
      <c r="HUY53" s="49"/>
      <c r="HUZ53" s="50"/>
      <c r="HVA53" s="49"/>
      <c r="HVB53" s="50"/>
      <c r="HVC53" s="49"/>
      <c r="HVD53" s="50"/>
      <c r="HVE53" s="49"/>
      <c r="HVF53" s="50"/>
      <c r="HVG53" s="49"/>
      <c r="HVH53" s="50"/>
      <c r="HVI53" s="49"/>
      <c r="HVJ53" s="50"/>
      <c r="HVK53" s="49"/>
      <c r="HVL53" s="50"/>
      <c r="HVM53" s="49"/>
      <c r="HVN53" s="50"/>
      <c r="HVO53" s="49"/>
      <c r="HVP53" s="50"/>
      <c r="HVQ53" s="49"/>
      <c r="HVR53" s="50"/>
      <c r="HVS53" s="49"/>
      <c r="HVT53" s="50"/>
      <c r="HVU53" s="49"/>
      <c r="HVV53" s="50"/>
      <c r="HVW53" s="49"/>
      <c r="HVX53" s="50"/>
      <c r="HVY53" s="49"/>
      <c r="HVZ53" s="50"/>
      <c r="HWA53" s="49"/>
      <c r="HWB53" s="50"/>
      <c r="HWC53" s="49"/>
      <c r="HWD53" s="50"/>
      <c r="HWE53" s="49"/>
      <c r="HWF53" s="50"/>
      <c r="HWG53" s="49"/>
      <c r="HWH53" s="50"/>
      <c r="HWI53" s="49"/>
      <c r="HWJ53" s="50"/>
      <c r="HWK53" s="49"/>
      <c r="HWL53" s="50"/>
      <c r="HWM53" s="49"/>
      <c r="HWN53" s="50"/>
      <c r="HWO53" s="49"/>
      <c r="HWP53" s="50"/>
      <c r="HWQ53" s="49"/>
      <c r="HWR53" s="50"/>
      <c r="HWS53" s="49"/>
      <c r="HWT53" s="50"/>
      <c r="HWU53" s="49"/>
      <c r="HWV53" s="50"/>
      <c r="HWW53" s="49"/>
      <c r="HWX53" s="50"/>
      <c r="HWY53" s="49"/>
      <c r="HWZ53" s="50"/>
      <c r="HXA53" s="49"/>
      <c r="HXB53" s="50"/>
      <c r="HXC53" s="49"/>
      <c r="HXD53" s="50"/>
      <c r="HXE53" s="49"/>
      <c r="HXF53" s="50"/>
      <c r="HXG53" s="49"/>
      <c r="HXH53" s="50"/>
      <c r="HXI53" s="49"/>
      <c r="HXJ53" s="50"/>
      <c r="HXK53" s="49"/>
      <c r="HXL53" s="50"/>
      <c r="HXM53" s="49"/>
      <c r="HXN53" s="50"/>
      <c r="HXO53" s="49"/>
      <c r="HXP53" s="50"/>
      <c r="HXQ53" s="49"/>
      <c r="HXR53" s="50"/>
      <c r="HXS53" s="49"/>
      <c r="HXT53" s="50"/>
      <c r="HXU53" s="49"/>
      <c r="HXV53" s="50"/>
      <c r="HXW53" s="49"/>
      <c r="HXX53" s="50"/>
      <c r="HXY53" s="49"/>
      <c r="HXZ53" s="50"/>
      <c r="HYA53" s="49"/>
      <c r="HYB53" s="50"/>
      <c r="HYC53" s="49"/>
      <c r="HYD53" s="50"/>
      <c r="HYE53" s="49"/>
      <c r="HYF53" s="50"/>
      <c r="HYG53" s="49"/>
      <c r="HYH53" s="50"/>
      <c r="HYI53" s="49"/>
      <c r="HYJ53" s="50"/>
      <c r="HYK53" s="49"/>
      <c r="HYL53" s="50"/>
      <c r="HYM53" s="49"/>
      <c r="HYN53" s="50"/>
      <c r="HYO53" s="49"/>
      <c r="HYP53" s="50"/>
      <c r="HYQ53" s="49"/>
      <c r="HYR53" s="50"/>
      <c r="HYS53" s="49"/>
      <c r="HYT53" s="50"/>
      <c r="HYU53" s="49"/>
      <c r="HYV53" s="50"/>
      <c r="HYW53" s="49"/>
      <c r="HYX53" s="50"/>
      <c r="HYY53" s="49"/>
      <c r="HYZ53" s="50"/>
      <c r="HZA53" s="49"/>
      <c r="HZB53" s="50"/>
      <c r="HZC53" s="49"/>
      <c r="HZD53" s="50"/>
      <c r="HZE53" s="49"/>
      <c r="HZF53" s="50"/>
      <c r="HZG53" s="49"/>
      <c r="HZH53" s="50"/>
      <c r="HZI53" s="49"/>
      <c r="HZJ53" s="50"/>
      <c r="HZK53" s="49"/>
      <c r="HZL53" s="50"/>
      <c r="HZM53" s="49"/>
      <c r="HZN53" s="50"/>
      <c r="HZO53" s="49"/>
      <c r="HZP53" s="50"/>
      <c r="HZQ53" s="49"/>
      <c r="HZR53" s="50"/>
      <c r="HZS53" s="49"/>
      <c r="HZT53" s="50"/>
      <c r="HZU53" s="49"/>
      <c r="HZV53" s="50"/>
      <c r="HZW53" s="49"/>
      <c r="HZX53" s="50"/>
      <c r="HZY53" s="49"/>
      <c r="HZZ53" s="50"/>
      <c r="IAA53" s="49"/>
      <c r="IAB53" s="50"/>
      <c r="IAC53" s="49"/>
      <c r="IAD53" s="50"/>
      <c r="IAE53" s="49"/>
      <c r="IAF53" s="50"/>
      <c r="IAG53" s="49"/>
      <c r="IAH53" s="50"/>
      <c r="IAI53" s="49"/>
      <c r="IAJ53" s="50"/>
      <c r="IAK53" s="49"/>
      <c r="IAL53" s="50"/>
      <c r="IAM53" s="49"/>
      <c r="IAN53" s="50"/>
      <c r="IAO53" s="49"/>
      <c r="IAP53" s="50"/>
      <c r="IAQ53" s="49"/>
      <c r="IAR53" s="50"/>
      <c r="IAS53" s="49"/>
      <c r="IAT53" s="50"/>
      <c r="IAU53" s="49"/>
      <c r="IAV53" s="50"/>
      <c r="IAW53" s="49"/>
      <c r="IAX53" s="50"/>
      <c r="IAY53" s="49"/>
      <c r="IAZ53" s="50"/>
      <c r="IBA53" s="49"/>
      <c r="IBB53" s="50"/>
      <c r="IBC53" s="49"/>
      <c r="IBD53" s="50"/>
      <c r="IBE53" s="49"/>
      <c r="IBF53" s="50"/>
      <c r="IBG53" s="49"/>
      <c r="IBH53" s="50"/>
      <c r="IBI53" s="49"/>
      <c r="IBJ53" s="50"/>
      <c r="IBK53" s="49"/>
      <c r="IBL53" s="50"/>
      <c r="IBM53" s="49"/>
      <c r="IBN53" s="50"/>
      <c r="IBO53" s="49"/>
      <c r="IBP53" s="50"/>
      <c r="IBQ53" s="49"/>
      <c r="IBR53" s="50"/>
      <c r="IBS53" s="49"/>
      <c r="IBT53" s="50"/>
      <c r="IBU53" s="49"/>
      <c r="IBV53" s="50"/>
      <c r="IBW53" s="49"/>
      <c r="IBX53" s="50"/>
      <c r="IBY53" s="49"/>
      <c r="IBZ53" s="50"/>
      <c r="ICA53" s="49"/>
      <c r="ICB53" s="50"/>
      <c r="ICC53" s="49"/>
      <c r="ICD53" s="50"/>
      <c r="ICE53" s="49"/>
      <c r="ICF53" s="50"/>
      <c r="ICG53" s="49"/>
      <c r="ICH53" s="50"/>
      <c r="ICI53" s="49"/>
      <c r="ICJ53" s="50"/>
      <c r="ICK53" s="49"/>
      <c r="ICL53" s="50"/>
      <c r="ICM53" s="49"/>
      <c r="ICN53" s="50"/>
      <c r="ICO53" s="49"/>
      <c r="ICP53" s="50"/>
      <c r="ICQ53" s="49"/>
      <c r="ICR53" s="50"/>
      <c r="ICS53" s="49"/>
      <c r="ICT53" s="50"/>
      <c r="ICU53" s="49"/>
      <c r="ICV53" s="50"/>
      <c r="ICW53" s="49"/>
      <c r="ICX53" s="50"/>
      <c r="ICY53" s="49"/>
      <c r="ICZ53" s="50"/>
      <c r="IDA53" s="49"/>
      <c r="IDB53" s="50"/>
      <c r="IDC53" s="49"/>
      <c r="IDD53" s="50"/>
      <c r="IDE53" s="49"/>
      <c r="IDF53" s="50"/>
      <c r="IDG53" s="49"/>
      <c r="IDH53" s="50"/>
      <c r="IDI53" s="49"/>
      <c r="IDJ53" s="50"/>
      <c r="IDK53" s="49"/>
      <c r="IDL53" s="50"/>
      <c r="IDM53" s="49"/>
      <c r="IDN53" s="50"/>
      <c r="IDO53" s="49"/>
      <c r="IDP53" s="50"/>
      <c r="IDQ53" s="49"/>
      <c r="IDR53" s="50"/>
      <c r="IDS53" s="49"/>
      <c r="IDT53" s="50"/>
      <c r="IDU53" s="49"/>
      <c r="IDV53" s="50"/>
      <c r="IDW53" s="49"/>
      <c r="IDX53" s="50"/>
      <c r="IDY53" s="49"/>
      <c r="IDZ53" s="50"/>
      <c r="IEA53" s="49"/>
      <c r="IEB53" s="50"/>
      <c r="IEC53" s="49"/>
      <c r="IED53" s="50"/>
      <c r="IEE53" s="49"/>
      <c r="IEF53" s="50"/>
      <c r="IEG53" s="49"/>
      <c r="IEH53" s="50"/>
      <c r="IEI53" s="49"/>
      <c r="IEJ53" s="50"/>
      <c r="IEK53" s="49"/>
      <c r="IEL53" s="50"/>
      <c r="IEM53" s="49"/>
      <c r="IEN53" s="50"/>
      <c r="IEO53" s="49"/>
      <c r="IEP53" s="50"/>
      <c r="IEQ53" s="49"/>
      <c r="IER53" s="50"/>
      <c r="IES53" s="49"/>
      <c r="IET53" s="50"/>
      <c r="IEU53" s="49"/>
      <c r="IEV53" s="50"/>
      <c r="IEW53" s="49"/>
      <c r="IEX53" s="50"/>
      <c r="IEY53" s="49"/>
      <c r="IEZ53" s="50"/>
      <c r="IFA53" s="49"/>
      <c r="IFB53" s="50"/>
      <c r="IFC53" s="49"/>
      <c r="IFD53" s="50"/>
      <c r="IFE53" s="49"/>
      <c r="IFF53" s="50"/>
      <c r="IFG53" s="49"/>
      <c r="IFH53" s="50"/>
      <c r="IFI53" s="49"/>
      <c r="IFJ53" s="50"/>
      <c r="IFK53" s="49"/>
      <c r="IFL53" s="50"/>
      <c r="IFM53" s="49"/>
      <c r="IFN53" s="50"/>
      <c r="IFO53" s="49"/>
      <c r="IFP53" s="50"/>
      <c r="IFQ53" s="49"/>
      <c r="IFR53" s="50"/>
      <c r="IFS53" s="49"/>
      <c r="IFT53" s="50"/>
      <c r="IFU53" s="49"/>
      <c r="IFV53" s="50"/>
      <c r="IFW53" s="49"/>
      <c r="IFX53" s="50"/>
      <c r="IFY53" s="49"/>
      <c r="IFZ53" s="50"/>
      <c r="IGA53" s="49"/>
      <c r="IGB53" s="50"/>
      <c r="IGC53" s="49"/>
      <c r="IGD53" s="50"/>
      <c r="IGE53" s="49"/>
      <c r="IGF53" s="50"/>
      <c r="IGG53" s="49"/>
      <c r="IGH53" s="50"/>
      <c r="IGI53" s="49"/>
      <c r="IGJ53" s="50"/>
      <c r="IGK53" s="49"/>
      <c r="IGL53" s="50"/>
      <c r="IGM53" s="49"/>
      <c r="IGN53" s="50"/>
      <c r="IGO53" s="49"/>
      <c r="IGP53" s="50"/>
      <c r="IGQ53" s="49"/>
      <c r="IGR53" s="50"/>
      <c r="IGS53" s="49"/>
      <c r="IGT53" s="50"/>
      <c r="IGU53" s="49"/>
      <c r="IGV53" s="50"/>
      <c r="IGW53" s="49"/>
      <c r="IGX53" s="50"/>
      <c r="IGY53" s="49"/>
      <c r="IGZ53" s="50"/>
      <c r="IHA53" s="49"/>
      <c r="IHB53" s="50"/>
      <c r="IHC53" s="49"/>
      <c r="IHD53" s="50"/>
      <c r="IHE53" s="49"/>
      <c r="IHF53" s="50"/>
      <c r="IHG53" s="49"/>
      <c r="IHH53" s="50"/>
      <c r="IHI53" s="49"/>
      <c r="IHJ53" s="50"/>
      <c r="IHK53" s="49"/>
      <c r="IHL53" s="50"/>
      <c r="IHM53" s="49"/>
      <c r="IHN53" s="50"/>
      <c r="IHO53" s="49"/>
      <c r="IHP53" s="50"/>
      <c r="IHQ53" s="49"/>
      <c r="IHR53" s="50"/>
      <c r="IHS53" s="49"/>
      <c r="IHT53" s="50"/>
      <c r="IHU53" s="49"/>
      <c r="IHV53" s="50"/>
      <c r="IHW53" s="49"/>
      <c r="IHX53" s="50"/>
      <c r="IHY53" s="49"/>
      <c r="IHZ53" s="50"/>
      <c r="IIA53" s="49"/>
      <c r="IIB53" s="50"/>
      <c r="IIC53" s="49"/>
      <c r="IID53" s="50"/>
      <c r="IIE53" s="49"/>
      <c r="IIF53" s="50"/>
      <c r="IIG53" s="49"/>
      <c r="IIH53" s="50"/>
      <c r="III53" s="49"/>
      <c r="IIJ53" s="50"/>
      <c r="IIK53" s="49"/>
      <c r="IIL53" s="50"/>
      <c r="IIM53" s="49"/>
      <c r="IIN53" s="50"/>
      <c r="IIO53" s="49"/>
      <c r="IIP53" s="50"/>
      <c r="IIQ53" s="49"/>
      <c r="IIR53" s="50"/>
      <c r="IIS53" s="49"/>
      <c r="IIT53" s="50"/>
      <c r="IIU53" s="49"/>
      <c r="IIV53" s="50"/>
      <c r="IIW53" s="49"/>
      <c r="IIX53" s="50"/>
      <c r="IIY53" s="49"/>
      <c r="IIZ53" s="50"/>
      <c r="IJA53" s="49"/>
      <c r="IJB53" s="50"/>
      <c r="IJC53" s="49"/>
      <c r="IJD53" s="50"/>
      <c r="IJE53" s="49"/>
      <c r="IJF53" s="50"/>
      <c r="IJG53" s="49"/>
      <c r="IJH53" s="50"/>
      <c r="IJI53" s="49"/>
      <c r="IJJ53" s="50"/>
      <c r="IJK53" s="49"/>
      <c r="IJL53" s="50"/>
      <c r="IJM53" s="49"/>
      <c r="IJN53" s="50"/>
      <c r="IJO53" s="49"/>
      <c r="IJP53" s="50"/>
      <c r="IJQ53" s="49"/>
      <c r="IJR53" s="50"/>
      <c r="IJS53" s="49"/>
      <c r="IJT53" s="50"/>
      <c r="IJU53" s="49"/>
      <c r="IJV53" s="50"/>
      <c r="IJW53" s="49"/>
      <c r="IJX53" s="50"/>
      <c r="IJY53" s="49"/>
      <c r="IJZ53" s="50"/>
      <c r="IKA53" s="49"/>
      <c r="IKB53" s="50"/>
      <c r="IKC53" s="49"/>
      <c r="IKD53" s="50"/>
      <c r="IKE53" s="49"/>
      <c r="IKF53" s="50"/>
      <c r="IKG53" s="49"/>
      <c r="IKH53" s="50"/>
      <c r="IKI53" s="49"/>
      <c r="IKJ53" s="50"/>
      <c r="IKK53" s="49"/>
      <c r="IKL53" s="50"/>
      <c r="IKM53" s="49"/>
      <c r="IKN53" s="50"/>
      <c r="IKO53" s="49"/>
      <c r="IKP53" s="50"/>
      <c r="IKQ53" s="49"/>
      <c r="IKR53" s="50"/>
      <c r="IKS53" s="49"/>
      <c r="IKT53" s="50"/>
      <c r="IKU53" s="49"/>
      <c r="IKV53" s="50"/>
      <c r="IKW53" s="49"/>
      <c r="IKX53" s="50"/>
      <c r="IKY53" s="49"/>
      <c r="IKZ53" s="50"/>
      <c r="ILA53" s="49"/>
      <c r="ILB53" s="50"/>
      <c r="ILC53" s="49"/>
      <c r="ILD53" s="50"/>
      <c r="ILE53" s="49"/>
      <c r="ILF53" s="50"/>
      <c r="ILG53" s="49"/>
      <c r="ILH53" s="50"/>
      <c r="ILI53" s="49"/>
      <c r="ILJ53" s="50"/>
      <c r="ILK53" s="49"/>
      <c r="ILL53" s="50"/>
      <c r="ILM53" s="49"/>
      <c r="ILN53" s="50"/>
      <c r="ILO53" s="49"/>
      <c r="ILP53" s="50"/>
      <c r="ILQ53" s="49"/>
      <c r="ILR53" s="50"/>
      <c r="ILS53" s="49"/>
      <c r="ILT53" s="50"/>
      <c r="ILU53" s="49"/>
      <c r="ILV53" s="50"/>
      <c r="ILW53" s="49"/>
      <c r="ILX53" s="50"/>
      <c r="ILY53" s="49"/>
      <c r="ILZ53" s="50"/>
      <c r="IMA53" s="49"/>
      <c r="IMB53" s="50"/>
      <c r="IMC53" s="49"/>
      <c r="IMD53" s="50"/>
      <c r="IME53" s="49"/>
      <c r="IMF53" s="50"/>
      <c r="IMG53" s="49"/>
      <c r="IMH53" s="50"/>
      <c r="IMI53" s="49"/>
      <c r="IMJ53" s="50"/>
      <c r="IMK53" s="49"/>
      <c r="IML53" s="50"/>
      <c r="IMM53" s="49"/>
      <c r="IMN53" s="50"/>
      <c r="IMO53" s="49"/>
      <c r="IMP53" s="50"/>
      <c r="IMQ53" s="49"/>
      <c r="IMR53" s="50"/>
      <c r="IMS53" s="49"/>
      <c r="IMT53" s="50"/>
      <c r="IMU53" s="49"/>
      <c r="IMV53" s="50"/>
      <c r="IMW53" s="49"/>
      <c r="IMX53" s="50"/>
      <c r="IMY53" s="49"/>
      <c r="IMZ53" s="50"/>
      <c r="INA53" s="49"/>
      <c r="INB53" s="50"/>
      <c r="INC53" s="49"/>
      <c r="IND53" s="50"/>
      <c r="INE53" s="49"/>
      <c r="INF53" s="50"/>
      <c r="ING53" s="49"/>
      <c r="INH53" s="50"/>
      <c r="INI53" s="49"/>
      <c r="INJ53" s="50"/>
      <c r="INK53" s="49"/>
      <c r="INL53" s="50"/>
      <c r="INM53" s="49"/>
      <c r="INN53" s="50"/>
      <c r="INO53" s="49"/>
      <c r="INP53" s="50"/>
      <c r="INQ53" s="49"/>
      <c r="INR53" s="50"/>
      <c r="INS53" s="49"/>
      <c r="INT53" s="50"/>
      <c r="INU53" s="49"/>
      <c r="INV53" s="50"/>
      <c r="INW53" s="49"/>
      <c r="INX53" s="50"/>
      <c r="INY53" s="49"/>
      <c r="INZ53" s="50"/>
      <c r="IOA53" s="49"/>
      <c r="IOB53" s="50"/>
      <c r="IOC53" s="49"/>
      <c r="IOD53" s="50"/>
      <c r="IOE53" s="49"/>
      <c r="IOF53" s="50"/>
      <c r="IOG53" s="49"/>
      <c r="IOH53" s="50"/>
      <c r="IOI53" s="49"/>
      <c r="IOJ53" s="50"/>
      <c r="IOK53" s="49"/>
      <c r="IOL53" s="50"/>
      <c r="IOM53" s="49"/>
      <c r="ION53" s="50"/>
      <c r="IOO53" s="49"/>
      <c r="IOP53" s="50"/>
      <c r="IOQ53" s="49"/>
      <c r="IOR53" s="50"/>
      <c r="IOS53" s="49"/>
      <c r="IOT53" s="50"/>
      <c r="IOU53" s="49"/>
      <c r="IOV53" s="50"/>
      <c r="IOW53" s="49"/>
      <c r="IOX53" s="50"/>
      <c r="IOY53" s="49"/>
      <c r="IOZ53" s="50"/>
      <c r="IPA53" s="49"/>
      <c r="IPB53" s="50"/>
      <c r="IPC53" s="49"/>
      <c r="IPD53" s="50"/>
      <c r="IPE53" s="49"/>
      <c r="IPF53" s="50"/>
      <c r="IPG53" s="49"/>
      <c r="IPH53" s="50"/>
      <c r="IPI53" s="49"/>
      <c r="IPJ53" s="50"/>
      <c r="IPK53" s="49"/>
      <c r="IPL53" s="50"/>
      <c r="IPM53" s="49"/>
      <c r="IPN53" s="50"/>
      <c r="IPO53" s="49"/>
      <c r="IPP53" s="50"/>
      <c r="IPQ53" s="49"/>
      <c r="IPR53" s="50"/>
      <c r="IPS53" s="49"/>
      <c r="IPT53" s="50"/>
      <c r="IPU53" s="49"/>
      <c r="IPV53" s="50"/>
      <c r="IPW53" s="49"/>
      <c r="IPX53" s="50"/>
      <c r="IPY53" s="49"/>
      <c r="IPZ53" s="50"/>
      <c r="IQA53" s="49"/>
      <c r="IQB53" s="50"/>
      <c r="IQC53" s="49"/>
      <c r="IQD53" s="50"/>
      <c r="IQE53" s="49"/>
      <c r="IQF53" s="50"/>
      <c r="IQG53" s="49"/>
      <c r="IQH53" s="50"/>
      <c r="IQI53" s="49"/>
      <c r="IQJ53" s="50"/>
      <c r="IQK53" s="49"/>
      <c r="IQL53" s="50"/>
      <c r="IQM53" s="49"/>
      <c r="IQN53" s="50"/>
      <c r="IQO53" s="49"/>
      <c r="IQP53" s="50"/>
      <c r="IQQ53" s="49"/>
      <c r="IQR53" s="50"/>
      <c r="IQS53" s="49"/>
      <c r="IQT53" s="50"/>
      <c r="IQU53" s="49"/>
      <c r="IQV53" s="50"/>
      <c r="IQW53" s="49"/>
      <c r="IQX53" s="50"/>
      <c r="IQY53" s="49"/>
      <c r="IQZ53" s="50"/>
      <c r="IRA53" s="49"/>
      <c r="IRB53" s="50"/>
      <c r="IRC53" s="49"/>
      <c r="IRD53" s="50"/>
      <c r="IRE53" s="49"/>
      <c r="IRF53" s="50"/>
      <c r="IRG53" s="49"/>
      <c r="IRH53" s="50"/>
      <c r="IRI53" s="49"/>
      <c r="IRJ53" s="50"/>
      <c r="IRK53" s="49"/>
      <c r="IRL53" s="50"/>
      <c r="IRM53" s="49"/>
      <c r="IRN53" s="50"/>
      <c r="IRO53" s="49"/>
      <c r="IRP53" s="50"/>
      <c r="IRQ53" s="49"/>
      <c r="IRR53" s="50"/>
      <c r="IRS53" s="49"/>
      <c r="IRT53" s="50"/>
      <c r="IRU53" s="49"/>
      <c r="IRV53" s="50"/>
      <c r="IRW53" s="49"/>
      <c r="IRX53" s="50"/>
      <c r="IRY53" s="49"/>
      <c r="IRZ53" s="50"/>
      <c r="ISA53" s="49"/>
      <c r="ISB53" s="50"/>
      <c r="ISC53" s="49"/>
      <c r="ISD53" s="50"/>
      <c r="ISE53" s="49"/>
      <c r="ISF53" s="50"/>
      <c r="ISG53" s="49"/>
      <c r="ISH53" s="50"/>
      <c r="ISI53" s="49"/>
      <c r="ISJ53" s="50"/>
      <c r="ISK53" s="49"/>
      <c r="ISL53" s="50"/>
      <c r="ISM53" s="49"/>
      <c r="ISN53" s="50"/>
      <c r="ISO53" s="49"/>
      <c r="ISP53" s="50"/>
      <c r="ISQ53" s="49"/>
      <c r="ISR53" s="50"/>
      <c r="ISS53" s="49"/>
      <c r="IST53" s="50"/>
      <c r="ISU53" s="49"/>
      <c r="ISV53" s="50"/>
      <c r="ISW53" s="49"/>
      <c r="ISX53" s="50"/>
      <c r="ISY53" s="49"/>
      <c r="ISZ53" s="50"/>
      <c r="ITA53" s="49"/>
      <c r="ITB53" s="50"/>
      <c r="ITC53" s="49"/>
      <c r="ITD53" s="50"/>
      <c r="ITE53" s="49"/>
      <c r="ITF53" s="50"/>
      <c r="ITG53" s="49"/>
      <c r="ITH53" s="50"/>
      <c r="ITI53" s="49"/>
      <c r="ITJ53" s="50"/>
      <c r="ITK53" s="49"/>
      <c r="ITL53" s="50"/>
      <c r="ITM53" s="49"/>
      <c r="ITN53" s="50"/>
      <c r="ITO53" s="49"/>
      <c r="ITP53" s="50"/>
      <c r="ITQ53" s="49"/>
      <c r="ITR53" s="50"/>
      <c r="ITS53" s="49"/>
      <c r="ITT53" s="50"/>
      <c r="ITU53" s="49"/>
      <c r="ITV53" s="50"/>
      <c r="ITW53" s="49"/>
      <c r="ITX53" s="50"/>
      <c r="ITY53" s="49"/>
      <c r="ITZ53" s="50"/>
      <c r="IUA53" s="49"/>
      <c r="IUB53" s="50"/>
      <c r="IUC53" s="49"/>
      <c r="IUD53" s="50"/>
      <c r="IUE53" s="49"/>
      <c r="IUF53" s="50"/>
      <c r="IUG53" s="49"/>
      <c r="IUH53" s="50"/>
      <c r="IUI53" s="49"/>
      <c r="IUJ53" s="50"/>
      <c r="IUK53" s="49"/>
      <c r="IUL53" s="50"/>
      <c r="IUM53" s="49"/>
      <c r="IUN53" s="50"/>
      <c r="IUO53" s="49"/>
      <c r="IUP53" s="50"/>
      <c r="IUQ53" s="49"/>
      <c r="IUR53" s="50"/>
      <c r="IUS53" s="49"/>
      <c r="IUT53" s="50"/>
      <c r="IUU53" s="49"/>
      <c r="IUV53" s="50"/>
      <c r="IUW53" s="49"/>
      <c r="IUX53" s="50"/>
      <c r="IUY53" s="49"/>
      <c r="IUZ53" s="50"/>
      <c r="IVA53" s="49"/>
      <c r="IVB53" s="50"/>
      <c r="IVC53" s="49"/>
      <c r="IVD53" s="50"/>
      <c r="IVE53" s="49"/>
      <c r="IVF53" s="50"/>
      <c r="IVG53" s="49"/>
      <c r="IVH53" s="50"/>
      <c r="IVI53" s="49"/>
      <c r="IVJ53" s="50"/>
      <c r="IVK53" s="49"/>
      <c r="IVL53" s="50"/>
      <c r="IVM53" s="49"/>
      <c r="IVN53" s="50"/>
      <c r="IVO53" s="49"/>
      <c r="IVP53" s="50"/>
      <c r="IVQ53" s="49"/>
      <c r="IVR53" s="50"/>
      <c r="IVS53" s="49"/>
      <c r="IVT53" s="50"/>
      <c r="IVU53" s="49"/>
      <c r="IVV53" s="50"/>
      <c r="IVW53" s="49"/>
      <c r="IVX53" s="50"/>
      <c r="IVY53" s="49"/>
      <c r="IVZ53" s="50"/>
      <c r="IWA53" s="49"/>
      <c r="IWB53" s="50"/>
      <c r="IWC53" s="49"/>
      <c r="IWD53" s="50"/>
      <c r="IWE53" s="49"/>
      <c r="IWF53" s="50"/>
      <c r="IWG53" s="49"/>
      <c r="IWH53" s="50"/>
      <c r="IWI53" s="49"/>
      <c r="IWJ53" s="50"/>
      <c r="IWK53" s="49"/>
      <c r="IWL53" s="50"/>
      <c r="IWM53" s="49"/>
      <c r="IWN53" s="50"/>
      <c r="IWO53" s="49"/>
      <c r="IWP53" s="50"/>
      <c r="IWQ53" s="49"/>
      <c r="IWR53" s="50"/>
      <c r="IWS53" s="49"/>
      <c r="IWT53" s="50"/>
      <c r="IWU53" s="49"/>
      <c r="IWV53" s="50"/>
      <c r="IWW53" s="49"/>
      <c r="IWX53" s="50"/>
      <c r="IWY53" s="49"/>
      <c r="IWZ53" s="50"/>
      <c r="IXA53" s="49"/>
      <c r="IXB53" s="50"/>
      <c r="IXC53" s="49"/>
      <c r="IXD53" s="50"/>
      <c r="IXE53" s="49"/>
      <c r="IXF53" s="50"/>
      <c r="IXG53" s="49"/>
      <c r="IXH53" s="50"/>
      <c r="IXI53" s="49"/>
      <c r="IXJ53" s="50"/>
      <c r="IXK53" s="49"/>
      <c r="IXL53" s="50"/>
      <c r="IXM53" s="49"/>
      <c r="IXN53" s="50"/>
      <c r="IXO53" s="49"/>
      <c r="IXP53" s="50"/>
      <c r="IXQ53" s="49"/>
      <c r="IXR53" s="50"/>
      <c r="IXS53" s="49"/>
      <c r="IXT53" s="50"/>
      <c r="IXU53" s="49"/>
      <c r="IXV53" s="50"/>
      <c r="IXW53" s="49"/>
      <c r="IXX53" s="50"/>
      <c r="IXY53" s="49"/>
      <c r="IXZ53" s="50"/>
      <c r="IYA53" s="49"/>
      <c r="IYB53" s="50"/>
      <c r="IYC53" s="49"/>
      <c r="IYD53" s="50"/>
      <c r="IYE53" s="49"/>
      <c r="IYF53" s="50"/>
      <c r="IYG53" s="49"/>
      <c r="IYH53" s="50"/>
      <c r="IYI53" s="49"/>
      <c r="IYJ53" s="50"/>
      <c r="IYK53" s="49"/>
      <c r="IYL53" s="50"/>
      <c r="IYM53" s="49"/>
      <c r="IYN53" s="50"/>
      <c r="IYO53" s="49"/>
      <c r="IYP53" s="50"/>
      <c r="IYQ53" s="49"/>
      <c r="IYR53" s="50"/>
      <c r="IYS53" s="49"/>
      <c r="IYT53" s="50"/>
      <c r="IYU53" s="49"/>
      <c r="IYV53" s="50"/>
      <c r="IYW53" s="49"/>
      <c r="IYX53" s="50"/>
      <c r="IYY53" s="49"/>
      <c r="IYZ53" s="50"/>
      <c r="IZA53" s="49"/>
      <c r="IZB53" s="50"/>
      <c r="IZC53" s="49"/>
      <c r="IZD53" s="50"/>
      <c r="IZE53" s="49"/>
      <c r="IZF53" s="50"/>
      <c r="IZG53" s="49"/>
      <c r="IZH53" s="50"/>
      <c r="IZI53" s="49"/>
      <c r="IZJ53" s="50"/>
      <c r="IZK53" s="49"/>
      <c r="IZL53" s="50"/>
      <c r="IZM53" s="49"/>
      <c r="IZN53" s="50"/>
      <c r="IZO53" s="49"/>
      <c r="IZP53" s="50"/>
      <c r="IZQ53" s="49"/>
      <c r="IZR53" s="50"/>
      <c r="IZS53" s="49"/>
      <c r="IZT53" s="50"/>
      <c r="IZU53" s="49"/>
      <c r="IZV53" s="50"/>
      <c r="IZW53" s="49"/>
      <c r="IZX53" s="50"/>
      <c r="IZY53" s="49"/>
      <c r="IZZ53" s="50"/>
      <c r="JAA53" s="49"/>
      <c r="JAB53" s="50"/>
      <c r="JAC53" s="49"/>
      <c r="JAD53" s="50"/>
      <c r="JAE53" s="49"/>
      <c r="JAF53" s="50"/>
      <c r="JAG53" s="49"/>
      <c r="JAH53" s="50"/>
      <c r="JAI53" s="49"/>
      <c r="JAJ53" s="50"/>
      <c r="JAK53" s="49"/>
      <c r="JAL53" s="50"/>
      <c r="JAM53" s="49"/>
      <c r="JAN53" s="50"/>
      <c r="JAO53" s="49"/>
      <c r="JAP53" s="50"/>
      <c r="JAQ53" s="49"/>
      <c r="JAR53" s="50"/>
      <c r="JAS53" s="49"/>
      <c r="JAT53" s="50"/>
      <c r="JAU53" s="49"/>
      <c r="JAV53" s="50"/>
      <c r="JAW53" s="49"/>
      <c r="JAX53" s="50"/>
      <c r="JAY53" s="49"/>
      <c r="JAZ53" s="50"/>
      <c r="JBA53" s="49"/>
      <c r="JBB53" s="50"/>
      <c r="JBC53" s="49"/>
      <c r="JBD53" s="50"/>
      <c r="JBE53" s="49"/>
      <c r="JBF53" s="50"/>
      <c r="JBG53" s="49"/>
      <c r="JBH53" s="50"/>
      <c r="JBI53" s="49"/>
      <c r="JBJ53" s="50"/>
      <c r="JBK53" s="49"/>
      <c r="JBL53" s="50"/>
      <c r="JBM53" s="49"/>
      <c r="JBN53" s="50"/>
      <c r="JBO53" s="49"/>
      <c r="JBP53" s="50"/>
      <c r="JBQ53" s="49"/>
      <c r="JBR53" s="50"/>
      <c r="JBS53" s="49"/>
      <c r="JBT53" s="50"/>
      <c r="JBU53" s="49"/>
      <c r="JBV53" s="50"/>
      <c r="JBW53" s="49"/>
      <c r="JBX53" s="50"/>
      <c r="JBY53" s="49"/>
      <c r="JBZ53" s="50"/>
      <c r="JCA53" s="49"/>
      <c r="JCB53" s="50"/>
      <c r="JCC53" s="49"/>
      <c r="JCD53" s="50"/>
      <c r="JCE53" s="49"/>
      <c r="JCF53" s="50"/>
      <c r="JCG53" s="49"/>
      <c r="JCH53" s="50"/>
      <c r="JCI53" s="49"/>
      <c r="JCJ53" s="50"/>
      <c r="JCK53" s="49"/>
      <c r="JCL53" s="50"/>
      <c r="JCM53" s="49"/>
      <c r="JCN53" s="50"/>
      <c r="JCO53" s="49"/>
      <c r="JCP53" s="50"/>
      <c r="JCQ53" s="49"/>
      <c r="JCR53" s="50"/>
      <c r="JCS53" s="49"/>
      <c r="JCT53" s="50"/>
      <c r="JCU53" s="49"/>
      <c r="JCV53" s="50"/>
      <c r="JCW53" s="49"/>
      <c r="JCX53" s="50"/>
      <c r="JCY53" s="49"/>
      <c r="JCZ53" s="50"/>
      <c r="JDA53" s="49"/>
      <c r="JDB53" s="50"/>
      <c r="JDC53" s="49"/>
      <c r="JDD53" s="50"/>
      <c r="JDE53" s="49"/>
      <c r="JDF53" s="50"/>
      <c r="JDG53" s="49"/>
      <c r="JDH53" s="50"/>
      <c r="JDI53" s="49"/>
      <c r="JDJ53" s="50"/>
      <c r="JDK53" s="49"/>
      <c r="JDL53" s="50"/>
      <c r="JDM53" s="49"/>
      <c r="JDN53" s="50"/>
      <c r="JDO53" s="49"/>
      <c r="JDP53" s="50"/>
      <c r="JDQ53" s="49"/>
      <c r="JDR53" s="50"/>
      <c r="JDS53" s="49"/>
      <c r="JDT53" s="50"/>
      <c r="JDU53" s="49"/>
      <c r="JDV53" s="50"/>
      <c r="JDW53" s="49"/>
      <c r="JDX53" s="50"/>
      <c r="JDY53" s="49"/>
      <c r="JDZ53" s="50"/>
      <c r="JEA53" s="49"/>
      <c r="JEB53" s="50"/>
      <c r="JEC53" s="49"/>
      <c r="JED53" s="50"/>
      <c r="JEE53" s="49"/>
      <c r="JEF53" s="50"/>
      <c r="JEG53" s="49"/>
      <c r="JEH53" s="50"/>
      <c r="JEI53" s="49"/>
      <c r="JEJ53" s="50"/>
      <c r="JEK53" s="49"/>
      <c r="JEL53" s="50"/>
      <c r="JEM53" s="49"/>
      <c r="JEN53" s="50"/>
      <c r="JEO53" s="49"/>
      <c r="JEP53" s="50"/>
      <c r="JEQ53" s="49"/>
      <c r="JER53" s="50"/>
      <c r="JES53" s="49"/>
      <c r="JET53" s="50"/>
      <c r="JEU53" s="49"/>
      <c r="JEV53" s="50"/>
      <c r="JEW53" s="49"/>
      <c r="JEX53" s="50"/>
      <c r="JEY53" s="49"/>
      <c r="JEZ53" s="50"/>
      <c r="JFA53" s="49"/>
      <c r="JFB53" s="50"/>
      <c r="JFC53" s="49"/>
      <c r="JFD53" s="50"/>
      <c r="JFE53" s="49"/>
      <c r="JFF53" s="50"/>
      <c r="JFG53" s="49"/>
      <c r="JFH53" s="50"/>
      <c r="JFI53" s="49"/>
      <c r="JFJ53" s="50"/>
      <c r="JFK53" s="49"/>
      <c r="JFL53" s="50"/>
      <c r="JFM53" s="49"/>
      <c r="JFN53" s="50"/>
      <c r="JFO53" s="49"/>
      <c r="JFP53" s="50"/>
      <c r="JFQ53" s="49"/>
      <c r="JFR53" s="50"/>
      <c r="JFS53" s="49"/>
      <c r="JFT53" s="50"/>
      <c r="JFU53" s="49"/>
      <c r="JFV53" s="50"/>
      <c r="JFW53" s="49"/>
      <c r="JFX53" s="50"/>
      <c r="JFY53" s="49"/>
      <c r="JFZ53" s="50"/>
      <c r="JGA53" s="49"/>
      <c r="JGB53" s="50"/>
      <c r="JGC53" s="49"/>
      <c r="JGD53" s="50"/>
      <c r="JGE53" s="49"/>
      <c r="JGF53" s="50"/>
      <c r="JGG53" s="49"/>
      <c r="JGH53" s="50"/>
      <c r="JGI53" s="49"/>
      <c r="JGJ53" s="50"/>
      <c r="JGK53" s="49"/>
      <c r="JGL53" s="50"/>
      <c r="JGM53" s="49"/>
      <c r="JGN53" s="50"/>
      <c r="JGO53" s="49"/>
      <c r="JGP53" s="50"/>
      <c r="JGQ53" s="49"/>
      <c r="JGR53" s="50"/>
      <c r="JGS53" s="49"/>
      <c r="JGT53" s="50"/>
      <c r="JGU53" s="49"/>
      <c r="JGV53" s="50"/>
      <c r="JGW53" s="49"/>
      <c r="JGX53" s="50"/>
      <c r="JGY53" s="49"/>
      <c r="JGZ53" s="50"/>
      <c r="JHA53" s="49"/>
      <c r="JHB53" s="50"/>
      <c r="JHC53" s="49"/>
      <c r="JHD53" s="50"/>
      <c r="JHE53" s="49"/>
      <c r="JHF53" s="50"/>
      <c r="JHG53" s="49"/>
      <c r="JHH53" s="50"/>
      <c r="JHI53" s="49"/>
      <c r="JHJ53" s="50"/>
      <c r="JHK53" s="49"/>
      <c r="JHL53" s="50"/>
      <c r="JHM53" s="49"/>
      <c r="JHN53" s="50"/>
      <c r="JHO53" s="49"/>
      <c r="JHP53" s="50"/>
      <c r="JHQ53" s="49"/>
      <c r="JHR53" s="50"/>
      <c r="JHS53" s="49"/>
      <c r="JHT53" s="50"/>
      <c r="JHU53" s="49"/>
      <c r="JHV53" s="50"/>
      <c r="JHW53" s="49"/>
      <c r="JHX53" s="50"/>
      <c r="JHY53" s="49"/>
      <c r="JHZ53" s="50"/>
      <c r="JIA53" s="49"/>
      <c r="JIB53" s="50"/>
      <c r="JIC53" s="49"/>
      <c r="JID53" s="50"/>
      <c r="JIE53" s="49"/>
      <c r="JIF53" s="50"/>
      <c r="JIG53" s="49"/>
      <c r="JIH53" s="50"/>
      <c r="JII53" s="49"/>
      <c r="JIJ53" s="50"/>
      <c r="JIK53" s="49"/>
      <c r="JIL53" s="50"/>
      <c r="JIM53" s="49"/>
      <c r="JIN53" s="50"/>
      <c r="JIO53" s="49"/>
      <c r="JIP53" s="50"/>
      <c r="JIQ53" s="49"/>
      <c r="JIR53" s="50"/>
      <c r="JIS53" s="49"/>
      <c r="JIT53" s="50"/>
      <c r="JIU53" s="49"/>
      <c r="JIV53" s="50"/>
      <c r="JIW53" s="49"/>
      <c r="JIX53" s="50"/>
      <c r="JIY53" s="49"/>
      <c r="JIZ53" s="50"/>
      <c r="JJA53" s="49"/>
      <c r="JJB53" s="50"/>
      <c r="JJC53" s="49"/>
      <c r="JJD53" s="50"/>
      <c r="JJE53" s="49"/>
      <c r="JJF53" s="50"/>
      <c r="JJG53" s="49"/>
      <c r="JJH53" s="50"/>
      <c r="JJI53" s="49"/>
      <c r="JJJ53" s="50"/>
      <c r="JJK53" s="49"/>
      <c r="JJL53" s="50"/>
      <c r="JJM53" s="49"/>
      <c r="JJN53" s="50"/>
      <c r="JJO53" s="49"/>
      <c r="JJP53" s="50"/>
      <c r="JJQ53" s="49"/>
      <c r="JJR53" s="50"/>
      <c r="JJS53" s="49"/>
      <c r="JJT53" s="50"/>
      <c r="JJU53" s="49"/>
      <c r="JJV53" s="50"/>
      <c r="JJW53" s="49"/>
      <c r="JJX53" s="50"/>
      <c r="JJY53" s="49"/>
      <c r="JJZ53" s="50"/>
      <c r="JKA53" s="49"/>
      <c r="JKB53" s="50"/>
      <c r="JKC53" s="49"/>
      <c r="JKD53" s="50"/>
      <c r="JKE53" s="49"/>
      <c r="JKF53" s="50"/>
      <c r="JKG53" s="49"/>
      <c r="JKH53" s="50"/>
      <c r="JKI53" s="49"/>
      <c r="JKJ53" s="50"/>
      <c r="JKK53" s="49"/>
      <c r="JKL53" s="50"/>
      <c r="JKM53" s="49"/>
      <c r="JKN53" s="50"/>
      <c r="JKO53" s="49"/>
      <c r="JKP53" s="50"/>
      <c r="JKQ53" s="49"/>
      <c r="JKR53" s="50"/>
      <c r="JKS53" s="49"/>
      <c r="JKT53" s="50"/>
      <c r="JKU53" s="49"/>
      <c r="JKV53" s="50"/>
      <c r="JKW53" s="49"/>
      <c r="JKX53" s="50"/>
      <c r="JKY53" s="49"/>
      <c r="JKZ53" s="50"/>
      <c r="JLA53" s="49"/>
      <c r="JLB53" s="50"/>
      <c r="JLC53" s="49"/>
      <c r="JLD53" s="50"/>
      <c r="JLE53" s="49"/>
      <c r="JLF53" s="50"/>
      <c r="JLG53" s="49"/>
      <c r="JLH53" s="50"/>
      <c r="JLI53" s="49"/>
      <c r="JLJ53" s="50"/>
      <c r="JLK53" s="49"/>
      <c r="JLL53" s="50"/>
      <c r="JLM53" s="49"/>
      <c r="JLN53" s="50"/>
      <c r="JLO53" s="49"/>
      <c r="JLP53" s="50"/>
      <c r="JLQ53" s="49"/>
      <c r="JLR53" s="50"/>
      <c r="JLS53" s="49"/>
      <c r="JLT53" s="50"/>
      <c r="JLU53" s="49"/>
      <c r="JLV53" s="50"/>
      <c r="JLW53" s="49"/>
      <c r="JLX53" s="50"/>
      <c r="JLY53" s="49"/>
      <c r="JLZ53" s="50"/>
      <c r="JMA53" s="49"/>
      <c r="JMB53" s="50"/>
      <c r="JMC53" s="49"/>
      <c r="JMD53" s="50"/>
      <c r="JME53" s="49"/>
      <c r="JMF53" s="50"/>
      <c r="JMG53" s="49"/>
      <c r="JMH53" s="50"/>
      <c r="JMI53" s="49"/>
      <c r="JMJ53" s="50"/>
      <c r="JMK53" s="49"/>
      <c r="JML53" s="50"/>
      <c r="JMM53" s="49"/>
      <c r="JMN53" s="50"/>
      <c r="JMO53" s="49"/>
      <c r="JMP53" s="50"/>
      <c r="JMQ53" s="49"/>
      <c r="JMR53" s="50"/>
      <c r="JMS53" s="49"/>
      <c r="JMT53" s="50"/>
      <c r="JMU53" s="49"/>
      <c r="JMV53" s="50"/>
      <c r="JMW53" s="49"/>
      <c r="JMX53" s="50"/>
      <c r="JMY53" s="49"/>
      <c r="JMZ53" s="50"/>
      <c r="JNA53" s="49"/>
      <c r="JNB53" s="50"/>
      <c r="JNC53" s="49"/>
      <c r="JND53" s="50"/>
      <c r="JNE53" s="49"/>
      <c r="JNF53" s="50"/>
      <c r="JNG53" s="49"/>
      <c r="JNH53" s="50"/>
      <c r="JNI53" s="49"/>
      <c r="JNJ53" s="50"/>
      <c r="JNK53" s="49"/>
      <c r="JNL53" s="50"/>
      <c r="JNM53" s="49"/>
      <c r="JNN53" s="50"/>
      <c r="JNO53" s="49"/>
      <c r="JNP53" s="50"/>
      <c r="JNQ53" s="49"/>
      <c r="JNR53" s="50"/>
      <c r="JNS53" s="49"/>
      <c r="JNT53" s="50"/>
      <c r="JNU53" s="49"/>
      <c r="JNV53" s="50"/>
      <c r="JNW53" s="49"/>
      <c r="JNX53" s="50"/>
      <c r="JNY53" s="49"/>
      <c r="JNZ53" s="50"/>
      <c r="JOA53" s="49"/>
      <c r="JOB53" s="50"/>
      <c r="JOC53" s="49"/>
      <c r="JOD53" s="50"/>
      <c r="JOE53" s="49"/>
      <c r="JOF53" s="50"/>
      <c r="JOG53" s="49"/>
      <c r="JOH53" s="50"/>
      <c r="JOI53" s="49"/>
      <c r="JOJ53" s="50"/>
      <c r="JOK53" s="49"/>
      <c r="JOL53" s="50"/>
      <c r="JOM53" s="49"/>
      <c r="JON53" s="50"/>
      <c r="JOO53" s="49"/>
      <c r="JOP53" s="50"/>
      <c r="JOQ53" s="49"/>
      <c r="JOR53" s="50"/>
      <c r="JOS53" s="49"/>
      <c r="JOT53" s="50"/>
      <c r="JOU53" s="49"/>
      <c r="JOV53" s="50"/>
      <c r="JOW53" s="49"/>
      <c r="JOX53" s="50"/>
      <c r="JOY53" s="49"/>
      <c r="JOZ53" s="50"/>
      <c r="JPA53" s="49"/>
      <c r="JPB53" s="50"/>
      <c r="JPC53" s="49"/>
      <c r="JPD53" s="50"/>
      <c r="JPE53" s="49"/>
      <c r="JPF53" s="50"/>
      <c r="JPG53" s="49"/>
      <c r="JPH53" s="50"/>
      <c r="JPI53" s="49"/>
      <c r="JPJ53" s="50"/>
      <c r="JPK53" s="49"/>
      <c r="JPL53" s="50"/>
      <c r="JPM53" s="49"/>
      <c r="JPN53" s="50"/>
      <c r="JPO53" s="49"/>
      <c r="JPP53" s="50"/>
      <c r="JPQ53" s="49"/>
      <c r="JPR53" s="50"/>
      <c r="JPS53" s="49"/>
      <c r="JPT53" s="50"/>
      <c r="JPU53" s="49"/>
      <c r="JPV53" s="50"/>
      <c r="JPW53" s="49"/>
      <c r="JPX53" s="50"/>
      <c r="JPY53" s="49"/>
      <c r="JPZ53" s="50"/>
      <c r="JQA53" s="49"/>
      <c r="JQB53" s="50"/>
      <c r="JQC53" s="49"/>
      <c r="JQD53" s="50"/>
      <c r="JQE53" s="49"/>
      <c r="JQF53" s="50"/>
      <c r="JQG53" s="49"/>
      <c r="JQH53" s="50"/>
      <c r="JQI53" s="49"/>
      <c r="JQJ53" s="50"/>
      <c r="JQK53" s="49"/>
      <c r="JQL53" s="50"/>
      <c r="JQM53" s="49"/>
      <c r="JQN53" s="50"/>
      <c r="JQO53" s="49"/>
      <c r="JQP53" s="50"/>
      <c r="JQQ53" s="49"/>
      <c r="JQR53" s="50"/>
      <c r="JQS53" s="49"/>
      <c r="JQT53" s="50"/>
      <c r="JQU53" s="49"/>
      <c r="JQV53" s="50"/>
      <c r="JQW53" s="49"/>
      <c r="JQX53" s="50"/>
      <c r="JQY53" s="49"/>
      <c r="JQZ53" s="50"/>
      <c r="JRA53" s="49"/>
      <c r="JRB53" s="50"/>
      <c r="JRC53" s="49"/>
      <c r="JRD53" s="50"/>
      <c r="JRE53" s="49"/>
      <c r="JRF53" s="50"/>
      <c r="JRG53" s="49"/>
      <c r="JRH53" s="50"/>
      <c r="JRI53" s="49"/>
      <c r="JRJ53" s="50"/>
      <c r="JRK53" s="49"/>
      <c r="JRL53" s="50"/>
      <c r="JRM53" s="49"/>
      <c r="JRN53" s="50"/>
      <c r="JRO53" s="49"/>
      <c r="JRP53" s="50"/>
      <c r="JRQ53" s="49"/>
      <c r="JRR53" s="50"/>
      <c r="JRS53" s="49"/>
      <c r="JRT53" s="50"/>
      <c r="JRU53" s="49"/>
      <c r="JRV53" s="50"/>
      <c r="JRW53" s="49"/>
      <c r="JRX53" s="50"/>
      <c r="JRY53" s="49"/>
      <c r="JRZ53" s="50"/>
      <c r="JSA53" s="49"/>
      <c r="JSB53" s="50"/>
      <c r="JSC53" s="49"/>
      <c r="JSD53" s="50"/>
      <c r="JSE53" s="49"/>
      <c r="JSF53" s="50"/>
      <c r="JSG53" s="49"/>
      <c r="JSH53" s="50"/>
      <c r="JSI53" s="49"/>
      <c r="JSJ53" s="50"/>
      <c r="JSK53" s="49"/>
      <c r="JSL53" s="50"/>
      <c r="JSM53" s="49"/>
      <c r="JSN53" s="50"/>
      <c r="JSO53" s="49"/>
      <c r="JSP53" s="50"/>
      <c r="JSQ53" s="49"/>
      <c r="JSR53" s="50"/>
      <c r="JSS53" s="49"/>
      <c r="JST53" s="50"/>
      <c r="JSU53" s="49"/>
      <c r="JSV53" s="50"/>
      <c r="JSW53" s="49"/>
      <c r="JSX53" s="50"/>
      <c r="JSY53" s="49"/>
      <c r="JSZ53" s="50"/>
      <c r="JTA53" s="49"/>
      <c r="JTB53" s="50"/>
      <c r="JTC53" s="49"/>
      <c r="JTD53" s="50"/>
      <c r="JTE53" s="49"/>
      <c r="JTF53" s="50"/>
      <c r="JTG53" s="49"/>
      <c r="JTH53" s="50"/>
      <c r="JTI53" s="49"/>
      <c r="JTJ53" s="50"/>
      <c r="JTK53" s="49"/>
      <c r="JTL53" s="50"/>
      <c r="JTM53" s="49"/>
      <c r="JTN53" s="50"/>
      <c r="JTO53" s="49"/>
      <c r="JTP53" s="50"/>
      <c r="JTQ53" s="49"/>
      <c r="JTR53" s="50"/>
      <c r="JTS53" s="49"/>
      <c r="JTT53" s="50"/>
      <c r="JTU53" s="49"/>
      <c r="JTV53" s="50"/>
      <c r="JTW53" s="49"/>
      <c r="JTX53" s="50"/>
      <c r="JTY53" s="49"/>
      <c r="JTZ53" s="50"/>
      <c r="JUA53" s="49"/>
      <c r="JUB53" s="50"/>
      <c r="JUC53" s="49"/>
      <c r="JUD53" s="50"/>
      <c r="JUE53" s="49"/>
      <c r="JUF53" s="50"/>
      <c r="JUG53" s="49"/>
      <c r="JUH53" s="50"/>
      <c r="JUI53" s="49"/>
      <c r="JUJ53" s="50"/>
      <c r="JUK53" s="49"/>
      <c r="JUL53" s="50"/>
      <c r="JUM53" s="49"/>
      <c r="JUN53" s="50"/>
      <c r="JUO53" s="49"/>
      <c r="JUP53" s="50"/>
      <c r="JUQ53" s="49"/>
      <c r="JUR53" s="50"/>
      <c r="JUS53" s="49"/>
      <c r="JUT53" s="50"/>
      <c r="JUU53" s="49"/>
      <c r="JUV53" s="50"/>
      <c r="JUW53" s="49"/>
      <c r="JUX53" s="50"/>
      <c r="JUY53" s="49"/>
      <c r="JUZ53" s="50"/>
      <c r="JVA53" s="49"/>
      <c r="JVB53" s="50"/>
      <c r="JVC53" s="49"/>
      <c r="JVD53" s="50"/>
      <c r="JVE53" s="49"/>
      <c r="JVF53" s="50"/>
      <c r="JVG53" s="49"/>
      <c r="JVH53" s="50"/>
      <c r="JVI53" s="49"/>
      <c r="JVJ53" s="50"/>
      <c r="JVK53" s="49"/>
      <c r="JVL53" s="50"/>
      <c r="JVM53" s="49"/>
      <c r="JVN53" s="50"/>
      <c r="JVO53" s="49"/>
      <c r="JVP53" s="50"/>
      <c r="JVQ53" s="49"/>
      <c r="JVR53" s="50"/>
      <c r="JVS53" s="49"/>
      <c r="JVT53" s="50"/>
      <c r="JVU53" s="49"/>
      <c r="JVV53" s="50"/>
      <c r="JVW53" s="49"/>
      <c r="JVX53" s="50"/>
      <c r="JVY53" s="49"/>
      <c r="JVZ53" s="50"/>
      <c r="JWA53" s="49"/>
      <c r="JWB53" s="50"/>
      <c r="JWC53" s="49"/>
      <c r="JWD53" s="50"/>
      <c r="JWE53" s="49"/>
      <c r="JWF53" s="50"/>
      <c r="JWG53" s="49"/>
      <c r="JWH53" s="50"/>
      <c r="JWI53" s="49"/>
      <c r="JWJ53" s="50"/>
      <c r="JWK53" s="49"/>
      <c r="JWL53" s="50"/>
      <c r="JWM53" s="49"/>
      <c r="JWN53" s="50"/>
      <c r="JWO53" s="49"/>
      <c r="JWP53" s="50"/>
      <c r="JWQ53" s="49"/>
      <c r="JWR53" s="50"/>
      <c r="JWS53" s="49"/>
      <c r="JWT53" s="50"/>
      <c r="JWU53" s="49"/>
      <c r="JWV53" s="50"/>
      <c r="JWW53" s="49"/>
      <c r="JWX53" s="50"/>
      <c r="JWY53" s="49"/>
      <c r="JWZ53" s="50"/>
      <c r="JXA53" s="49"/>
      <c r="JXB53" s="50"/>
      <c r="JXC53" s="49"/>
      <c r="JXD53" s="50"/>
      <c r="JXE53" s="49"/>
      <c r="JXF53" s="50"/>
      <c r="JXG53" s="49"/>
      <c r="JXH53" s="50"/>
      <c r="JXI53" s="49"/>
      <c r="JXJ53" s="50"/>
      <c r="JXK53" s="49"/>
      <c r="JXL53" s="50"/>
      <c r="JXM53" s="49"/>
      <c r="JXN53" s="50"/>
      <c r="JXO53" s="49"/>
      <c r="JXP53" s="50"/>
      <c r="JXQ53" s="49"/>
      <c r="JXR53" s="50"/>
      <c r="JXS53" s="49"/>
      <c r="JXT53" s="50"/>
      <c r="JXU53" s="49"/>
      <c r="JXV53" s="50"/>
      <c r="JXW53" s="49"/>
      <c r="JXX53" s="50"/>
      <c r="JXY53" s="49"/>
      <c r="JXZ53" s="50"/>
      <c r="JYA53" s="49"/>
      <c r="JYB53" s="50"/>
      <c r="JYC53" s="49"/>
      <c r="JYD53" s="50"/>
      <c r="JYE53" s="49"/>
      <c r="JYF53" s="50"/>
      <c r="JYG53" s="49"/>
      <c r="JYH53" s="50"/>
      <c r="JYI53" s="49"/>
      <c r="JYJ53" s="50"/>
      <c r="JYK53" s="49"/>
      <c r="JYL53" s="50"/>
      <c r="JYM53" s="49"/>
      <c r="JYN53" s="50"/>
      <c r="JYO53" s="49"/>
      <c r="JYP53" s="50"/>
      <c r="JYQ53" s="49"/>
      <c r="JYR53" s="50"/>
      <c r="JYS53" s="49"/>
      <c r="JYT53" s="50"/>
      <c r="JYU53" s="49"/>
      <c r="JYV53" s="50"/>
      <c r="JYW53" s="49"/>
      <c r="JYX53" s="50"/>
      <c r="JYY53" s="49"/>
      <c r="JYZ53" s="50"/>
      <c r="JZA53" s="49"/>
      <c r="JZB53" s="50"/>
      <c r="JZC53" s="49"/>
      <c r="JZD53" s="50"/>
      <c r="JZE53" s="49"/>
      <c r="JZF53" s="50"/>
      <c r="JZG53" s="49"/>
      <c r="JZH53" s="50"/>
      <c r="JZI53" s="49"/>
      <c r="JZJ53" s="50"/>
      <c r="JZK53" s="49"/>
      <c r="JZL53" s="50"/>
      <c r="JZM53" s="49"/>
      <c r="JZN53" s="50"/>
      <c r="JZO53" s="49"/>
      <c r="JZP53" s="50"/>
      <c r="JZQ53" s="49"/>
      <c r="JZR53" s="50"/>
      <c r="JZS53" s="49"/>
      <c r="JZT53" s="50"/>
      <c r="JZU53" s="49"/>
      <c r="JZV53" s="50"/>
      <c r="JZW53" s="49"/>
      <c r="JZX53" s="50"/>
      <c r="JZY53" s="49"/>
      <c r="JZZ53" s="50"/>
      <c r="KAA53" s="49"/>
      <c r="KAB53" s="50"/>
      <c r="KAC53" s="49"/>
      <c r="KAD53" s="50"/>
      <c r="KAE53" s="49"/>
      <c r="KAF53" s="50"/>
      <c r="KAG53" s="49"/>
      <c r="KAH53" s="50"/>
      <c r="KAI53" s="49"/>
      <c r="KAJ53" s="50"/>
      <c r="KAK53" s="49"/>
      <c r="KAL53" s="50"/>
      <c r="KAM53" s="49"/>
      <c r="KAN53" s="50"/>
      <c r="KAO53" s="49"/>
      <c r="KAP53" s="50"/>
      <c r="KAQ53" s="49"/>
      <c r="KAR53" s="50"/>
      <c r="KAS53" s="49"/>
      <c r="KAT53" s="50"/>
      <c r="KAU53" s="49"/>
      <c r="KAV53" s="50"/>
      <c r="KAW53" s="49"/>
      <c r="KAX53" s="50"/>
      <c r="KAY53" s="49"/>
      <c r="KAZ53" s="50"/>
      <c r="KBA53" s="49"/>
      <c r="KBB53" s="50"/>
      <c r="KBC53" s="49"/>
      <c r="KBD53" s="50"/>
      <c r="KBE53" s="49"/>
      <c r="KBF53" s="50"/>
      <c r="KBG53" s="49"/>
      <c r="KBH53" s="50"/>
      <c r="KBI53" s="49"/>
      <c r="KBJ53" s="50"/>
      <c r="KBK53" s="49"/>
      <c r="KBL53" s="50"/>
      <c r="KBM53" s="49"/>
      <c r="KBN53" s="50"/>
      <c r="KBO53" s="49"/>
      <c r="KBP53" s="50"/>
      <c r="KBQ53" s="49"/>
      <c r="KBR53" s="50"/>
      <c r="KBS53" s="49"/>
      <c r="KBT53" s="50"/>
      <c r="KBU53" s="49"/>
      <c r="KBV53" s="50"/>
      <c r="KBW53" s="49"/>
      <c r="KBX53" s="50"/>
      <c r="KBY53" s="49"/>
      <c r="KBZ53" s="50"/>
      <c r="KCA53" s="49"/>
      <c r="KCB53" s="50"/>
      <c r="KCC53" s="49"/>
      <c r="KCD53" s="50"/>
      <c r="KCE53" s="49"/>
      <c r="KCF53" s="50"/>
      <c r="KCG53" s="49"/>
      <c r="KCH53" s="50"/>
      <c r="KCI53" s="49"/>
      <c r="KCJ53" s="50"/>
      <c r="KCK53" s="49"/>
      <c r="KCL53" s="50"/>
      <c r="KCM53" s="49"/>
      <c r="KCN53" s="50"/>
      <c r="KCO53" s="49"/>
      <c r="KCP53" s="50"/>
      <c r="KCQ53" s="49"/>
      <c r="KCR53" s="50"/>
      <c r="KCS53" s="49"/>
      <c r="KCT53" s="50"/>
      <c r="KCU53" s="49"/>
      <c r="KCV53" s="50"/>
      <c r="KCW53" s="49"/>
      <c r="KCX53" s="50"/>
      <c r="KCY53" s="49"/>
      <c r="KCZ53" s="50"/>
      <c r="KDA53" s="49"/>
      <c r="KDB53" s="50"/>
      <c r="KDC53" s="49"/>
      <c r="KDD53" s="50"/>
      <c r="KDE53" s="49"/>
      <c r="KDF53" s="50"/>
      <c r="KDG53" s="49"/>
      <c r="KDH53" s="50"/>
      <c r="KDI53" s="49"/>
      <c r="KDJ53" s="50"/>
      <c r="KDK53" s="49"/>
      <c r="KDL53" s="50"/>
      <c r="KDM53" s="49"/>
      <c r="KDN53" s="50"/>
      <c r="KDO53" s="49"/>
      <c r="KDP53" s="50"/>
      <c r="KDQ53" s="49"/>
      <c r="KDR53" s="50"/>
      <c r="KDS53" s="49"/>
      <c r="KDT53" s="50"/>
      <c r="KDU53" s="49"/>
      <c r="KDV53" s="50"/>
      <c r="KDW53" s="49"/>
      <c r="KDX53" s="50"/>
      <c r="KDY53" s="49"/>
      <c r="KDZ53" s="50"/>
      <c r="KEA53" s="49"/>
      <c r="KEB53" s="50"/>
      <c r="KEC53" s="49"/>
      <c r="KED53" s="50"/>
      <c r="KEE53" s="49"/>
      <c r="KEF53" s="50"/>
      <c r="KEG53" s="49"/>
      <c r="KEH53" s="50"/>
      <c r="KEI53" s="49"/>
      <c r="KEJ53" s="50"/>
      <c r="KEK53" s="49"/>
      <c r="KEL53" s="50"/>
      <c r="KEM53" s="49"/>
      <c r="KEN53" s="50"/>
      <c r="KEO53" s="49"/>
      <c r="KEP53" s="50"/>
      <c r="KEQ53" s="49"/>
      <c r="KER53" s="50"/>
      <c r="KES53" s="49"/>
      <c r="KET53" s="50"/>
      <c r="KEU53" s="49"/>
      <c r="KEV53" s="50"/>
      <c r="KEW53" s="49"/>
      <c r="KEX53" s="50"/>
      <c r="KEY53" s="49"/>
      <c r="KEZ53" s="50"/>
      <c r="KFA53" s="49"/>
      <c r="KFB53" s="50"/>
      <c r="KFC53" s="49"/>
      <c r="KFD53" s="50"/>
      <c r="KFE53" s="49"/>
      <c r="KFF53" s="50"/>
      <c r="KFG53" s="49"/>
      <c r="KFH53" s="50"/>
      <c r="KFI53" s="49"/>
      <c r="KFJ53" s="50"/>
      <c r="KFK53" s="49"/>
      <c r="KFL53" s="50"/>
      <c r="KFM53" s="49"/>
      <c r="KFN53" s="50"/>
      <c r="KFO53" s="49"/>
      <c r="KFP53" s="50"/>
      <c r="KFQ53" s="49"/>
      <c r="KFR53" s="50"/>
      <c r="KFS53" s="49"/>
      <c r="KFT53" s="50"/>
      <c r="KFU53" s="49"/>
      <c r="KFV53" s="50"/>
      <c r="KFW53" s="49"/>
      <c r="KFX53" s="50"/>
      <c r="KFY53" s="49"/>
      <c r="KFZ53" s="50"/>
      <c r="KGA53" s="49"/>
      <c r="KGB53" s="50"/>
      <c r="KGC53" s="49"/>
      <c r="KGD53" s="50"/>
      <c r="KGE53" s="49"/>
      <c r="KGF53" s="50"/>
      <c r="KGG53" s="49"/>
      <c r="KGH53" s="50"/>
      <c r="KGI53" s="49"/>
      <c r="KGJ53" s="50"/>
      <c r="KGK53" s="49"/>
      <c r="KGL53" s="50"/>
      <c r="KGM53" s="49"/>
      <c r="KGN53" s="50"/>
      <c r="KGO53" s="49"/>
      <c r="KGP53" s="50"/>
      <c r="KGQ53" s="49"/>
      <c r="KGR53" s="50"/>
      <c r="KGS53" s="49"/>
      <c r="KGT53" s="50"/>
      <c r="KGU53" s="49"/>
      <c r="KGV53" s="50"/>
      <c r="KGW53" s="49"/>
      <c r="KGX53" s="50"/>
      <c r="KGY53" s="49"/>
      <c r="KGZ53" s="50"/>
      <c r="KHA53" s="49"/>
      <c r="KHB53" s="50"/>
      <c r="KHC53" s="49"/>
      <c r="KHD53" s="50"/>
      <c r="KHE53" s="49"/>
      <c r="KHF53" s="50"/>
      <c r="KHG53" s="49"/>
      <c r="KHH53" s="50"/>
      <c r="KHI53" s="49"/>
      <c r="KHJ53" s="50"/>
      <c r="KHK53" s="49"/>
      <c r="KHL53" s="50"/>
      <c r="KHM53" s="49"/>
      <c r="KHN53" s="50"/>
      <c r="KHO53" s="49"/>
      <c r="KHP53" s="50"/>
      <c r="KHQ53" s="49"/>
      <c r="KHR53" s="50"/>
      <c r="KHS53" s="49"/>
      <c r="KHT53" s="50"/>
      <c r="KHU53" s="49"/>
      <c r="KHV53" s="50"/>
      <c r="KHW53" s="49"/>
      <c r="KHX53" s="50"/>
      <c r="KHY53" s="49"/>
      <c r="KHZ53" s="50"/>
      <c r="KIA53" s="49"/>
      <c r="KIB53" s="50"/>
      <c r="KIC53" s="49"/>
      <c r="KID53" s="50"/>
      <c r="KIE53" s="49"/>
      <c r="KIF53" s="50"/>
      <c r="KIG53" s="49"/>
      <c r="KIH53" s="50"/>
      <c r="KII53" s="49"/>
      <c r="KIJ53" s="50"/>
      <c r="KIK53" s="49"/>
      <c r="KIL53" s="50"/>
      <c r="KIM53" s="49"/>
      <c r="KIN53" s="50"/>
      <c r="KIO53" s="49"/>
      <c r="KIP53" s="50"/>
      <c r="KIQ53" s="49"/>
      <c r="KIR53" s="50"/>
      <c r="KIS53" s="49"/>
      <c r="KIT53" s="50"/>
      <c r="KIU53" s="49"/>
      <c r="KIV53" s="50"/>
      <c r="KIW53" s="49"/>
      <c r="KIX53" s="50"/>
      <c r="KIY53" s="49"/>
      <c r="KIZ53" s="50"/>
      <c r="KJA53" s="49"/>
      <c r="KJB53" s="50"/>
      <c r="KJC53" s="49"/>
      <c r="KJD53" s="50"/>
      <c r="KJE53" s="49"/>
      <c r="KJF53" s="50"/>
      <c r="KJG53" s="49"/>
      <c r="KJH53" s="50"/>
      <c r="KJI53" s="49"/>
      <c r="KJJ53" s="50"/>
      <c r="KJK53" s="49"/>
      <c r="KJL53" s="50"/>
      <c r="KJM53" s="49"/>
      <c r="KJN53" s="50"/>
      <c r="KJO53" s="49"/>
      <c r="KJP53" s="50"/>
      <c r="KJQ53" s="49"/>
      <c r="KJR53" s="50"/>
      <c r="KJS53" s="49"/>
      <c r="KJT53" s="50"/>
      <c r="KJU53" s="49"/>
      <c r="KJV53" s="50"/>
      <c r="KJW53" s="49"/>
      <c r="KJX53" s="50"/>
      <c r="KJY53" s="49"/>
      <c r="KJZ53" s="50"/>
      <c r="KKA53" s="49"/>
      <c r="KKB53" s="50"/>
      <c r="KKC53" s="49"/>
      <c r="KKD53" s="50"/>
      <c r="KKE53" s="49"/>
      <c r="KKF53" s="50"/>
      <c r="KKG53" s="49"/>
      <c r="KKH53" s="50"/>
      <c r="KKI53" s="49"/>
      <c r="KKJ53" s="50"/>
      <c r="KKK53" s="49"/>
      <c r="KKL53" s="50"/>
      <c r="KKM53" s="49"/>
      <c r="KKN53" s="50"/>
      <c r="KKO53" s="49"/>
      <c r="KKP53" s="50"/>
      <c r="KKQ53" s="49"/>
      <c r="KKR53" s="50"/>
      <c r="KKS53" s="49"/>
      <c r="KKT53" s="50"/>
      <c r="KKU53" s="49"/>
      <c r="KKV53" s="50"/>
      <c r="KKW53" s="49"/>
      <c r="KKX53" s="50"/>
      <c r="KKY53" s="49"/>
      <c r="KKZ53" s="50"/>
      <c r="KLA53" s="49"/>
      <c r="KLB53" s="50"/>
      <c r="KLC53" s="49"/>
      <c r="KLD53" s="50"/>
      <c r="KLE53" s="49"/>
      <c r="KLF53" s="50"/>
      <c r="KLG53" s="49"/>
      <c r="KLH53" s="50"/>
      <c r="KLI53" s="49"/>
      <c r="KLJ53" s="50"/>
      <c r="KLK53" s="49"/>
      <c r="KLL53" s="50"/>
      <c r="KLM53" s="49"/>
      <c r="KLN53" s="50"/>
      <c r="KLO53" s="49"/>
      <c r="KLP53" s="50"/>
      <c r="KLQ53" s="49"/>
      <c r="KLR53" s="50"/>
      <c r="KLS53" s="49"/>
      <c r="KLT53" s="50"/>
      <c r="KLU53" s="49"/>
      <c r="KLV53" s="50"/>
      <c r="KLW53" s="49"/>
      <c r="KLX53" s="50"/>
      <c r="KLY53" s="49"/>
      <c r="KLZ53" s="50"/>
      <c r="KMA53" s="49"/>
      <c r="KMB53" s="50"/>
      <c r="KMC53" s="49"/>
      <c r="KMD53" s="50"/>
      <c r="KME53" s="49"/>
      <c r="KMF53" s="50"/>
      <c r="KMG53" s="49"/>
      <c r="KMH53" s="50"/>
      <c r="KMI53" s="49"/>
      <c r="KMJ53" s="50"/>
      <c r="KMK53" s="49"/>
      <c r="KML53" s="50"/>
      <c r="KMM53" s="49"/>
      <c r="KMN53" s="50"/>
      <c r="KMO53" s="49"/>
      <c r="KMP53" s="50"/>
      <c r="KMQ53" s="49"/>
      <c r="KMR53" s="50"/>
      <c r="KMS53" s="49"/>
      <c r="KMT53" s="50"/>
      <c r="KMU53" s="49"/>
      <c r="KMV53" s="50"/>
      <c r="KMW53" s="49"/>
      <c r="KMX53" s="50"/>
      <c r="KMY53" s="49"/>
      <c r="KMZ53" s="50"/>
      <c r="KNA53" s="49"/>
      <c r="KNB53" s="50"/>
      <c r="KNC53" s="49"/>
      <c r="KND53" s="50"/>
      <c r="KNE53" s="49"/>
      <c r="KNF53" s="50"/>
      <c r="KNG53" s="49"/>
      <c r="KNH53" s="50"/>
      <c r="KNI53" s="49"/>
      <c r="KNJ53" s="50"/>
      <c r="KNK53" s="49"/>
      <c r="KNL53" s="50"/>
      <c r="KNM53" s="49"/>
      <c r="KNN53" s="50"/>
      <c r="KNO53" s="49"/>
      <c r="KNP53" s="50"/>
      <c r="KNQ53" s="49"/>
      <c r="KNR53" s="50"/>
      <c r="KNS53" s="49"/>
      <c r="KNT53" s="50"/>
      <c r="KNU53" s="49"/>
      <c r="KNV53" s="50"/>
      <c r="KNW53" s="49"/>
      <c r="KNX53" s="50"/>
      <c r="KNY53" s="49"/>
      <c r="KNZ53" s="50"/>
      <c r="KOA53" s="49"/>
      <c r="KOB53" s="50"/>
      <c r="KOC53" s="49"/>
      <c r="KOD53" s="50"/>
      <c r="KOE53" s="49"/>
      <c r="KOF53" s="50"/>
      <c r="KOG53" s="49"/>
      <c r="KOH53" s="50"/>
      <c r="KOI53" s="49"/>
      <c r="KOJ53" s="50"/>
      <c r="KOK53" s="49"/>
      <c r="KOL53" s="50"/>
      <c r="KOM53" s="49"/>
      <c r="KON53" s="50"/>
      <c r="KOO53" s="49"/>
      <c r="KOP53" s="50"/>
      <c r="KOQ53" s="49"/>
      <c r="KOR53" s="50"/>
      <c r="KOS53" s="49"/>
      <c r="KOT53" s="50"/>
      <c r="KOU53" s="49"/>
      <c r="KOV53" s="50"/>
      <c r="KOW53" s="49"/>
      <c r="KOX53" s="50"/>
      <c r="KOY53" s="49"/>
      <c r="KOZ53" s="50"/>
      <c r="KPA53" s="49"/>
      <c r="KPB53" s="50"/>
      <c r="KPC53" s="49"/>
      <c r="KPD53" s="50"/>
      <c r="KPE53" s="49"/>
      <c r="KPF53" s="50"/>
      <c r="KPG53" s="49"/>
      <c r="KPH53" s="50"/>
      <c r="KPI53" s="49"/>
      <c r="KPJ53" s="50"/>
      <c r="KPK53" s="49"/>
      <c r="KPL53" s="50"/>
      <c r="KPM53" s="49"/>
      <c r="KPN53" s="50"/>
      <c r="KPO53" s="49"/>
      <c r="KPP53" s="50"/>
      <c r="KPQ53" s="49"/>
      <c r="KPR53" s="50"/>
      <c r="KPS53" s="49"/>
      <c r="KPT53" s="50"/>
      <c r="KPU53" s="49"/>
      <c r="KPV53" s="50"/>
      <c r="KPW53" s="49"/>
      <c r="KPX53" s="50"/>
      <c r="KPY53" s="49"/>
      <c r="KPZ53" s="50"/>
      <c r="KQA53" s="49"/>
      <c r="KQB53" s="50"/>
      <c r="KQC53" s="49"/>
      <c r="KQD53" s="50"/>
      <c r="KQE53" s="49"/>
      <c r="KQF53" s="50"/>
      <c r="KQG53" s="49"/>
      <c r="KQH53" s="50"/>
      <c r="KQI53" s="49"/>
      <c r="KQJ53" s="50"/>
      <c r="KQK53" s="49"/>
      <c r="KQL53" s="50"/>
      <c r="KQM53" s="49"/>
      <c r="KQN53" s="50"/>
      <c r="KQO53" s="49"/>
      <c r="KQP53" s="50"/>
      <c r="KQQ53" s="49"/>
      <c r="KQR53" s="50"/>
      <c r="KQS53" s="49"/>
      <c r="KQT53" s="50"/>
      <c r="KQU53" s="49"/>
      <c r="KQV53" s="50"/>
      <c r="KQW53" s="49"/>
      <c r="KQX53" s="50"/>
      <c r="KQY53" s="49"/>
      <c r="KQZ53" s="50"/>
      <c r="KRA53" s="49"/>
      <c r="KRB53" s="50"/>
      <c r="KRC53" s="49"/>
      <c r="KRD53" s="50"/>
      <c r="KRE53" s="49"/>
      <c r="KRF53" s="50"/>
      <c r="KRG53" s="49"/>
      <c r="KRH53" s="50"/>
      <c r="KRI53" s="49"/>
      <c r="KRJ53" s="50"/>
      <c r="KRK53" s="49"/>
      <c r="KRL53" s="50"/>
      <c r="KRM53" s="49"/>
      <c r="KRN53" s="50"/>
      <c r="KRO53" s="49"/>
      <c r="KRP53" s="50"/>
      <c r="KRQ53" s="49"/>
      <c r="KRR53" s="50"/>
      <c r="KRS53" s="49"/>
      <c r="KRT53" s="50"/>
      <c r="KRU53" s="49"/>
      <c r="KRV53" s="50"/>
      <c r="KRW53" s="49"/>
      <c r="KRX53" s="50"/>
      <c r="KRY53" s="49"/>
      <c r="KRZ53" s="50"/>
      <c r="KSA53" s="49"/>
      <c r="KSB53" s="50"/>
      <c r="KSC53" s="49"/>
      <c r="KSD53" s="50"/>
      <c r="KSE53" s="49"/>
      <c r="KSF53" s="50"/>
      <c r="KSG53" s="49"/>
      <c r="KSH53" s="50"/>
      <c r="KSI53" s="49"/>
      <c r="KSJ53" s="50"/>
      <c r="KSK53" s="49"/>
      <c r="KSL53" s="50"/>
      <c r="KSM53" s="49"/>
      <c r="KSN53" s="50"/>
      <c r="KSO53" s="49"/>
      <c r="KSP53" s="50"/>
      <c r="KSQ53" s="49"/>
      <c r="KSR53" s="50"/>
      <c r="KSS53" s="49"/>
      <c r="KST53" s="50"/>
      <c r="KSU53" s="49"/>
      <c r="KSV53" s="50"/>
      <c r="KSW53" s="49"/>
      <c r="KSX53" s="50"/>
      <c r="KSY53" s="49"/>
      <c r="KSZ53" s="50"/>
      <c r="KTA53" s="49"/>
      <c r="KTB53" s="50"/>
      <c r="KTC53" s="49"/>
      <c r="KTD53" s="50"/>
      <c r="KTE53" s="49"/>
      <c r="KTF53" s="50"/>
      <c r="KTG53" s="49"/>
      <c r="KTH53" s="50"/>
      <c r="KTI53" s="49"/>
      <c r="KTJ53" s="50"/>
      <c r="KTK53" s="49"/>
      <c r="KTL53" s="50"/>
      <c r="KTM53" s="49"/>
      <c r="KTN53" s="50"/>
      <c r="KTO53" s="49"/>
      <c r="KTP53" s="50"/>
      <c r="KTQ53" s="49"/>
      <c r="KTR53" s="50"/>
      <c r="KTS53" s="49"/>
      <c r="KTT53" s="50"/>
      <c r="KTU53" s="49"/>
      <c r="KTV53" s="50"/>
      <c r="KTW53" s="49"/>
      <c r="KTX53" s="50"/>
      <c r="KTY53" s="49"/>
      <c r="KTZ53" s="50"/>
      <c r="KUA53" s="49"/>
      <c r="KUB53" s="50"/>
      <c r="KUC53" s="49"/>
      <c r="KUD53" s="50"/>
      <c r="KUE53" s="49"/>
      <c r="KUF53" s="50"/>
      <c r="KUG53" s="49"/>
      <c r="KUH53" s="50"/>
      <c r="KUI53" s="49"/>
      <c r="KUJ53" s="50"/>
      <c r="KUK53" s="49"/>
      <c r="KUL53" s="50"/>
      <c r="KUM53" s="49"/>
      <c r="KUN53" s="50"/>
      <c r="KUO53" s="49"/>
      <c r="KUP53" s="50"/>
      <c r="KUQ53" s="49"/>
      <c r="KUR53" s="50"/>
      <c r="KUS53" s="49"/>
      <c r="KUT53" s="50"/>
      <c r="KUU53" s="49"/>
      <c r="KUV53" s="50"/>
      <c r="KUW53" s="49"/>
      <c r="KUX53" s="50"/>
      <c r="KUY53" s="49"/>
      <c r="KUZ53" s="50"/>
      <c r="KVA53" s="49"/>
      <c r="KVB53" s="50"/>
      <c r="KVC53" s="49"/>
      <c r="KVD53" s="50"/>
      <c r="KVE53" s="49"/>
      <c r="KVF53" s="50"/>
      <c r="KVG53" s="49"/>
      <c r="KVH53" s="50"/>
      <c r="KVI53" s="49"/>
      <c r="KVJ53" s="50"/>
      <c r="KVK53" s="49"/>
      <c r="KVL53" s="50"/>
      <c r="KVM53" s="49"/>
      <c r="KVN53" s="50"/>
      <c r="KVO53" s="49"/>
      <c r="KVP53" s="50"/>
      <c r="KVQ53" s="49"/>
      <c r="KVR53" s="50"/>
      <c r="KVS53" s="49"/>
      <c r="KVT53" s="50"/>
      <c r="KVU53" s="49"/>
      <c r="KVV53" s="50"/>
      <c r="KVW53" s="49"/>
      <c r="KVX53" s="50"/>
      <c r="KVY53" s="49"/>
      <c r="KVZ53" s="50"/>
      <c r="KWA53" s="49"/>
      <c r="KWB53" s="50"/>
      <c r="KWC53" s="49"/>
      <c r="KWD53" s="50"/>
      <c r="KWE53" s="49"/>
      <c r="KWF53" s="50"/>
      <c r="KWG53" s="49"/>
      <c r="KWH53" s="50"/>
      <c r="KWI53" s="49"/>
      <c r="KWJ53" s="50"/>
      <c r="KWK53" s="49"/>
      <c r="KWL53" s="50"/>
      <c r="KWM53" s="49"/>
      <c r="KWN53" s="50"/>
      <c r="KWO53" s="49"/>
      <c r="KWP53" s="50"/>
      <c r="KWQ53" s="49"/>
      <c r="KWR53" s="50"/>
      <c r="KWS53" s="49"/>
      <c r="KWT53" s="50"/>
      <c r="KWU53" s="49"/>
      <c r="KWV53" s="50"/>
      <c r="KWW53" s="49"/>
      <c r="KWX53" s="50"/>
      <c r="KWY53" s="49"/>
      <c r="KWZ53" s="50"/>
      <c r="KXA53" s="49"/>
      <c r="KXB53" s="50"/>
      <c r="KXC53" s="49"/>
      <c r="KXD53" s="50"/>
      <c r="KXE53" s="49"/>
      <c r="KXF53" s="50"/>
      <c r="KXG53" s="49"/>
      <c r="KXH53" s="50"/>
      <c r="KXI53" s="49"/>
      <c r="KXJ53" s="50"/>
      <c r="KXK53" s="49"/>
      <c r="KXL53" s="50"/>
      <c r="KXM53" s="49"/>
      <c r="KXN53" s="50"/>
      <c r="KXO53" s="49"/>
      <c r="KXP53" s="50"/>
      <c r="KXQ53" s="49"/>
      <c r="KXR53" s="50"/>
      <c r="KXS53" s="49"/>
      <c r="KXT53" s="50"/>
      <c r="KXU53" s="49"/>
      <c r="KXV53" s="50"/>
      <c r="KXW53" s="49"/>
      <c r="KXX53" s="50"/>
      <c r="KXY53" s="49"/>
      <c r="KXZ53" s="50"/>
      <c r="KYA53" s="49"/>
      <c r="KYB53" s="50"/>
      <c r="KYC53" s="49"/>
      <c r="KYD53" s="50"/>
      <c r="KYE53" s="49"/>
      <c r="KYF53" s="50"/>
      <c r="KYG53" s="49"/>
      <c r="KYH53" s="50"/>
      <c r="KYI53" s="49"/>
      <c r="KYJ53" s="50"/>
      <c r="KYK53" s="49"/>
      <c r="KYL53" s="50"/>
      <c r="KYM53" s="49"/>
      <c r="KYN53" s="50"/>
      <c r="KYO53" s="49"/>
      <c r="KYP53" s="50"/>
      <c r="KYQ53" s="49"/>
      <c r="KYR53" s="50"/>
      <c r="KYS53" s="49"/>
      <c r="KYT53" s="50"/>
      <c r="KYU53" s="49"/>
      <c r="KYV53" s="50"/>
      <c r="KYW53" s="49"/>
      <c r="KYX53" s="50"/>
      <c r="KYY53" s="49"/>
      <c r="KYZ53" s="50"/>
      <c r="KZA53" s="49"/>
      <c r="KZB53" s="50"/>
      <c r="KZC53" s="49"/>
      <c r="KZD53" s="50"/>
      <c r="KZE53" s="49"/>
      <c r="KZF53" s="50"/>
      <c r="KZG53" s="49"/>
      <c r="KZH53" s="50"/>
      <c r="KZI53" s="49"/>
      <c r="KZJ53" s="50"/>
      <c r="KZK53" s="49"/>
      <c r="KZL53" s="50"/>
      <c r="KZM53" s="49"/>
      <c r="KZN53" s="50"/>
      <c r="KZO53" s="49"/>
      <c r="KZP53" s="50"/>
      <c r="KZQ53" s="49"/>
      <c r="KZR53" s="50"/>
      <c r="KZS53" s="49"/>
      <c r="KZT53" s="50"/>
      <c r="KZU53" s="49"/>
      <c r="KZV53" s="50"/>
      <c r="KZW53" s="49"/>
      <c r="KZX53" s="50"/>
      <c r="KZY53" s="49"/>
      <c r="KZZ53" s="50"/>
      <c r="LAA53" s="49"/>
      <c r="LAB53" s="50"/>
      <c r="LAC53" s="49"/>
      <c r="LAD53" s="50"/>
      <c r="LAE53" s="49"/>
      <c r="LAF53" s="50"/>
      <c r="LAG53" s="49"/>
      <c r="LAH53" s="50"/>
      <c r="LAI53" s="49"/>
      <c r="LAJ53" s="50"/>
      <c r="LAK53" s="49"/>
      <c r="LAL53" s="50"/>
      <c r="LAM53" s="49"/>
      <c r="LAN53" s="50"/>
      <c r="LAO53" s="49"/>
      <c r="LAP53" s="50"/>
      <c r="LAQ53" s="49"/>
      <c r="LAR53" s="50"/>
      <c r="LAS53" s="49"/>
      <c r="LAT53" s="50"/>
      <c r="LAU53" s="49"/>
      <c r="LAV53" s="50"/>
      <c r="LAW53" s="49"/>
      <c r="LAX53" s="50"/>
      <c r="LAY53" s="49"/>
      <c r="LAZ53" s="50"/>
      <c r="LBA53" s="49"/>
      <c r="LBB53" s="50"/>
      <c r="LBC53" s="49"/>
      <c r="LBD53" s="50"/>
      <c r="LBE53" s="49"/>
      <c r="LBF53" s="50"/>
      <c r="LBG53" s="49"/>
      <c r="LBH53" s="50"/>
      <c r="LBI53" s="49"/>
      <c r="LBJ53" s="50"/>
      <c r="LBK53" s="49"/>
      <c r="LBL53" s="50"/>
      <c r="LBM53" s="49"/>
      <c r="LBN53" s="50"/>
      <c r="LBO53" s="49"/>
      <c r="LBP53" s="50"/>
      <c r="LBQ53" s="49"/>
      <c r="LBR53" s="50"/>
      <c r="LBS53" s="49"/>
      <c r="LBT53" s="50"/>
      <c r="LBU53" s="49"/>
      <c r="LBV53" s="50"/>
      <c r="LBW53" s="49"/>
      <c r="LBX53" s="50"/>
      <c r="LBY53" s="49"/>
      <c r="LBZ53" s="50"/>
      <c r="LCA53" s="49"/>
      <c r="LCB53" s="50"/>
      <c r="LCC53" s="49"/>
      <c r="LCD53" s="50"/>
      <c r="LCE53" s="49"/>
      <c r="LCF53" s="50"/>
      <c r="LCG53" s="49"/>
      <c r="LCH53" s="50"/>
      <c r="LCI53" s="49"/>
      <c r="LCJ53" s="50"/>
      <c r="LCK53" s="49"/>
      <c r="LCL53" s="50"/>
      <c r="LCM53" s="49"/>
      <c r="LCN53" s="50"/>
      <c r="LCO53" s="49"/>
      <c r="LCP53" s="50"/>
      <c r="LCQ53" s="49"/>
      <c r="LCR53" s="50"/>
      <c r="LCS53" s="49"/>
      <c r="LCT53" s="50"/>
      <c r="LCU53" s="49"/>
      <c r="LCV53" s="50"/>
      <c r="LCW53" s="49"/>
      <c r="LCX53" s="50"/>
      <c r="LCY53" s="49"/>
      <c r="LCZ53" s="50"/>
      <c r="LDA53" s="49"/>
      <c r="LDB53" s="50"/>
      <c r="LDC53" s="49"/>
      <c r="LDD53" s="50"/>
      <c r="LDE53" s="49"/>
      <c r="LDF53" s="50"/>
      <c r="LDG53" s="49"/>
      <c r="LDH53" s="50"/>
      <c r="LDI53" s="49"/>
      <c r="LDJ53" s="50"/>
      <c r="LDK53" s="49"/>
      <c r="LDL53" s="50"/>
      <c r="LDM53" s="49"/>
      <c r="LDN53" s="50"/>
      <c r="LDO53" s="49"/>
      <c r="LDP53" s="50"/>
      <c r="LDQ53" s="49"/>
      <c r="LDR53" s="50"/>
      <c r="LDS53" s="49"/>
      <c r="LDT53" s="50"/>
      <c r="LDU53" s="49"/>
      <c r="LDV53" s="50"/>
      <c r="LDW53" s="49"/>
      <c r="LDX53" s="50"/>
      <c r="LDY53" s="49"/>
      <c r="LDZ53" s="50"/>
      <c r="LEA53" s="49"/>
      <c r="LEB53" s="50"/>
      <c r="LEC53" s="49"/>
      <c r="LED53" s="50"/>
      <c r="LEE53" s="49"/>
      <c r="LEF53" s="50"/>
      <c r="LEG53" s="49"/>
      <c r="LEH53" s="50"/>
      <c r="LEI53" s="49"/>
      <c r="LEJ53" s="50"/>
      <c r="LEK53" s="49"/>
      <c r="LEL53" s="50"/>
      <c r="LEM53" s="49"/>
      <c r="LEN53" s="50"/>
      <c r="LEO53" s="49"/>
      <c r="LEP53" s="50"/>
      <c r="LEQ53" s="49"/>
      <c r="LER53" s="50"/>
      <c r="LES53" s="49"/>
      <c r="LET53" s="50"/>
      <c r="LEU53" s="49"/>
      <c r="LEV53" s="50"/>
      <c r="LEW53" s="49"/>
      <c r="LEX53" s="50"/>
      <c r="LEY53" s="49"/>
      <c r="LEZ53" s="50"/>
      <c r="LFA53" s="49"/>
      <c r="LFB53" s="50"/>
      <c r="LFC53" s="49"/>
      <c r="LFD53" s="50"/>
      <c r="LFE53" s="49"/>
      <c r="LFF53" s="50"/>
      <c r="LFG53" s="49"/>
      <c r="LFH53" s="50"/>
      <c r="LFI53" s="49"/>
      <c r="LFJ53" s="50"/>
      <c r="LFK53" s="49"/>
      <c r="LFL53" s="50"/>
      <c r="LFM53" s="49"/>
      <c r="LFN53" s="50"/>
      <c r="LFO53" s="49"/>
      <c r="LFP53" s="50"/>
      <c r="LFQ53" s="49"/>
      <c r="LFR53" s="50"/>
      <c r="LFS53" s="49"/>
      <c r="LFT53" s="50"/>
      <c r="LFU53" s="49"/>
      <c r="LFV53" s="50"/>
      <c r="LFW53" s="49"/>
      <c r="LFX53" s="50"/>
      <c r="LFY53" s="49"/>
      <c r="LFZ53" s="50"/>
      <c r="LGA53" s="49"/>
      <c r="LGB53" s="50"/>
      <c r="LGC53" s="49"/>
      <c r="LGD53" s="50"/>
      <c r="LGE53" s="49"/>
      <c r="LGF53" s="50"/>
      <c r="LGG53" s="49"/>
      <c r="LGH53" s="50"/>
      <c r="LGI53" s="49"/>
      <c r="LGJ53" s="50"/>
      <c r="LGK53" s="49"/>
      <c r="LGL53" s="50"/>
      <c r="LGM53" s="49"/>
      <c r="LGN53" s="50"/>
      <c r="LGO53" s="49"/>
      <c r="LGP53" s="50"/>
      <c r="LGQ53" s="49"/>
      <c r="LGR53" s="50"/>
      <c r="LGS53" s="49"/>
      <c r="LGT53" s="50"/>
      <c r="LGU53" s="49"/>
      <c r="LGV53" s="50"/>
      <c r="LGW53" s="49"/>
      <c r="LGX53" s="50"/>
      <c r="LGY53" s="49"/>
      <c r="LGZ53" s="50"/>
      <c r="LHA53" s="49"/>
      <c r="LHB53" s="50"/>
      <c r="LHC53" s="49"/>
      <c r="LHD53" s="50"/>
      <c r="LHE53" s="49"/>
      <c r="LHF53" s="50"/>
      <c r="LHG53" s="49"/>
      <c r="LHH53" s="50"/>
      <c r="LHI53" s="49"/>
      <c r="LHJ53" s="50"/>
      <c r="LHK53" s="49"/>
      <c r="LHL53" s="50"/>
      <c r="LHM53" s="49"/>
      <c r="LHN53" s="50"/>
      <c r="LHO53" s="49"/>
      <c r="LHP53" s="50"/>
      <c r="LHQ53" s="49"/>
      <c r="LHR53" s="50"/>
      <c r="LHS53" s="49"/>
      <c r="LHT53" s="50"/>
      <c r="LHU53" s="49"/>
      <c r="LHV53" s="50"/>
      <c r="LHW53" s="49"/>
      <c r="LHX53" s="50"/>
      <c r="LHY53" s="49"/>
      <c r="LHZ53" s="50"/>
      <c r="LIA53" s="49"/>
      <c r="LIB53" s="50"/>
      <c r="LIC53" s="49"/>
      <c r="LID53" s="50"/>
      <c r="LIE53" s="49"/>
      <c r="LIF53" s="50"/>
      <c r="LIG53" s="49"/>
      <c r="LIH53" s="50"/>
      <c r="LII53" s="49"/>
      <c r="LIJ53" s="50"/>
      <c r="LIK53" s="49"/>
      <c r="LIL53" s="50"/>
      <c r="LIM53" s="49"/>
      <c r="LIN53" s="50"/>
      <c r="LIO53" s="49"/>
      <c r="LIP53" s="50"/>
      <c r="LIQ53" s="49"/>
      <c r="LIR53" s="50"/>
      <c r="LIS53" s="49"/>
      <c r="LIT53" s="50"/>
      <c r="LIU53" s="49"/>
      <c r="LIV53" s="50"/>
      <c r="LIW53" s="49"/>
      <c r="LIX53" s="50"/>
      <c r="LIY53" s="49"/>
      <c r="LIZ53" s="50"/>
      <c r="LJA53" s="49"/>
      <c r="LJB53" s="50"/>
      <c r="LJC53" s="49"/>
      <c r="LJD53" s="50"/>
      <c r="LJE53" s="49"/>
      <c r="LJF53" s="50"/>
      <c r="LJG53" s="49"/>
      <c r="LJH53" s="50"/>
      <c r="LJI53" s="49"/>
      <c r="LJJ53" s="50"/>
      <c r="LJK53" s="49"/>
      <c r="LJL53" s="50"/>
      <c r="LJM53" s="49"/>
      <c r="LJN53" s="50"/>
      <c r="LJO53" s="49"/>
      <c r="LJP53" s="50"/>
      <c r="LJQ53" s="49"/>
      <c r="LJR53" s="50"/>
      <c r="LJS53" s="49"/>
      <c r="LJT53" s="50"/>
      <c r="LJU53" s="49"/>
      <c r="LJV53" s="50"/>
      <c r="LJW53" s="49"/>
      <c r="LJX53" s="50"/>
      <c r="LJY53" s="49"/>
      <c r="LJZ53" s="50"/>
      <c r="LKA53" s="49"/>
      <c r="LKB53" s="50"/>
      <c r="LKC53" s="49"/>
      <c r="LKD53" s="50"/>
      <c r="LKE53" s="49"/>
      <c r="LKF53" s="50"/>
      <c r="LKG53" s="49"/>
      <c r="LKH53" s="50"/>
      <c r="LKI53" s="49"/>
      <c r="LKJ53" s="50"/>
      <c r="LKK53" s="49"/>
      <c r="LKL53" s="50"/>
      <c r="LKM53" s="49"/>
      <c r="LKN53" s="50"/>
      <c r="LKO53" s="49"/>
      <c r="LKP53" s="50"/>
      <c r="LKQ53" s="49"/>
      <c r="LKR53" s="50"/>
      <c r="LKS53" s="49"/>
      <c r="LKT53" s="50"/>
      <c r="LKU53" s="49"/>
      <c r="LKV53" s="50"/>
      <c r="LKW53" s="49"/>
      <c r="LKX53" s="50"/>
      <c r="LKY53" s="49"/>
      <c r="LKZ53" s="50"/>
      <c r="LLA53" s="49"/>
      <c r="LLB53" s="50"/>
      <c r="LLC53" s="49"/>
      <c r="LLD53" s="50"/>
      <c r="LLE53" s="49"/>
      <c r="LLF53" s="50"/>
      <c r="LLG53" s="49"/>
      <c r="LLH53" s="50"/>
      <c r="LLI53" s="49"/>
      <c r="LLJ53" s="50"/>
      <c r="LLK53" s="49"/>
      <c r="LLL53" s="50"/>
      <c r="LLM53" s="49"/>
      <c r="LLN53" s="50"/>
      <c r="LLO53" s="49"/>
      <c r="LLP53" s="50"/>
      <c r="LLQ53" s="49"/>
      <c r="LLR53" s="50"/>
      <c r="LLS53" s="49"/>
      <c r="LLT53" s="50"/>
      <c r="LLU53" s="49"/>
      <c r="LLV53" s="50"/>
      <c r="LLW53" s="49"/>
      <c r="LLX53" s="50"/>
      <c r="LLY53" s="49"/>
      <c r="LLZ53" s="50"/>
      <c r="LMA53" s="49"/>
      <c r="LMB53" s="50"/>
      <c r="LMC53" s="49"/>
      <c r="LMD53" s="50"/>
      <c r="LME53" s="49"/>
      <c r="LMF53" s="50"/>
      <c r="LMG53" s="49"/>
      <c r="LMH53" s="50"/>
      <c r="LMI53" s="49"/>
      <c r="LMJ53" s="50"/>
      <c r="LMK53" s="49"/>
      <c r="LML53" s="50"/>
      <c r="LMM53" s="49"/>
      <c r="LMN53" s="50"/>
      <c r="LMO53" s="49"/>
      <c r="LMP53" s="50"/>
      <c r="LMQ53" s="49"/>
      <c r="LMR53" s="50"/>
      <c r="LMS53" s="49"/>
      <c r="LMT53" s="50"/>
      <c r="LMU53" s="49"/>
      <c r="LMV53" s="50"/>
      <c r="LMW53" s="49"/>
      <c r="LMX53" s="50"/>
      <c r="LMY53" s="49"/>
      <c r="LMZ53" s="50"/>
      <c r="LNA53" s="49"/>
      <c r="LNB53" s="50"/>
      <c r="LNC53" s="49"/>
      <c r="LND53" s="50"/>
      <c r="LNE53" s="49"/>
      <c r="LNF53" s="50"/>
      <c r="LNG53" s="49"/>
      <c r="LNH53" s="50"/>
      <c r="LNI53" s="49"/>
      <c r="LNJ53" s="50"/>
      <c r="LNK53" s="49"/>
      <c r="LNL53" s="50"/>
      <c r="LNM53" s="49"/>
      <c r="LNN53" s="50"/>
      <c r="LNO53" s="49"/>
      <c r="LNP53" s="50"/>
      <c r="LNQ53" s="49"/>
      <c r="LNR53" s="50"/>
      <c r="LNS53" s="49"/>
      <c r="LNT53" s="50"/>
      <c r="LNU53" s="49"/>
      <c r="LNV53" s="50"/>
      <c r="LNW53" s="49"/>
      <c r="LNX53" s="50"/>
      <c r="LNY53" s="49"/>
      <c r="LNZ53" s="50"/>
      <c r="LOA53" s="49"/>
      <c r="LOB53" s="50"/>
      <c r="LOC53" s="49"/>
      <c r="LOD53" s="50"/>
      <c r="LOE53" s="49"/>
      <c r="LOF53" s="50"/>
      <c r="LOG53" s="49"/>
      <c r="LOH53" s="50"/>
      <c r="LOI53" s="49"/>
      <c r="LOJ53" s="50"/>
      <c r="LOK53" s="49"/>
      <c r="LOL53" s="50"/>
      <c r="LOM53" s="49"/>
      <c r="LON53" s="50"/>
      <c r="LOO53" s="49"/>
      <c r="LOP53" s="50"/>
      <c r="LOQ53" s="49"/>
      <c r="LOR53" s="50"/>
      <c r="LOS53" s="49"/>
      <c r="LOT53" s="50"/>
      <c r="LOU53" s="49"/>
      <c r="LOV53" s="50"/>
      <c r="LOW53" s="49"/>
      <c r="LOX53" s="50"/>
      <c r="LOY53" s="49"/>
      <c r="LOZ53" s="50"/>
      <c r="LPA53" s="49"/>
      <c r="LPB53" s="50"/>
      <c r="LPC53" s="49"/>
      <c r="LPD53" s="50"/>
      <c r="LPE53" s="49"/>
      <c r="LPF53" s="50"/>
      <c r="LPG53" s="49"/>
      <c r="LPH53" s="50"/>
      <c r="LPI53" s="49"/>
      <c r="LPJ53" s="50"/>
      <c r="LPK53" s="49"/>
      <c r="LPL53" s="50"/>
      <c r="LPM53" s="49"/>
      <c r="LPN53" s="50"/>
      <c r="LPO53" s="49"/>
      <c r="LPP53" s="50"/>
      <c r="LPQ53" s="49"/>
      <c r="LPR53" s="50"/>
      <c r="LPS53" s="49"/>
      <c r="LPT53" s="50"/>
      <c r="LPU53" s="49"/>
      <c r="LPV53" s="50"/>
      <c r="LPW53" s="49"/>
      <c r="LPX53" s="50"/>
      <c r="LPY53" s="49"/>
      <c r="LPZ53" s="50"/>
      <c r="LQA53" s="49"/>
      <c r="LQB53" s="50"/>
      <c r="LQC53" s="49"/>
      <c r="LQD53" s="50"/>
      <c r="LQE53" s="49"/>
      <c r="LQF53" s="50"/>
      <c r="LQG53" s="49"/>
      <c r="LQH53" s="50"/>
      <c r="LQI53" s="49"/>
      <c r="LQJ53" s="50"/>
      <c r="LQK53" s="49"/>
      <c r="LQL53" s="50"/>
      <c r="LQM53" s="49"/>
      <c r="LQN53" s="50"/>
      <c r="LQO53" s="49"/>
      <c r="LQP53" s="50"/>
      <c r="LQQ53" s="49"/>
      <c r="LQR53" s="50"/>
      <c r="LQS53" s="49"/>
      <c r="LQT53" s="50"/>
      <c r="LQU53" s="49"/>
      <c r="LQV53" s="50"/>
      <c r="LQW53" s="49"/>
      <c r="LQX53" s="50"/>
      <c r="LQY53" s="49"/>
      <c r="LQZ53" s="50"/>
      <c r="LRA53" s="49"/>
      <c r="LRB53" s="50"/>
      <c r="LRC53" s="49"/>
      <c r="LRD53" s="50"/>
      <c r="LRE53" s="49"/>
      <c r="LRF53" s="50"/>
      <c r="LRG53" s="49"/>
      <c r="LRH53" s="50"/>
      <c r="LRI53" s="49"/>
      <c r="LRJ53" s="50"/>
      <c r="LRK53" s="49"/>
      <c r="LRL53" s="50"/>
      <c r="LRM53" s="49"/>
      <c r="LRN53" s="50"/>
      <c r="LRO53" s="49"/>
      <c r="LRP53" s="50"/>
      <c r="LRQ53" s="49"/>
      <c r="LRR53" s="50"/>
      <c r="LRS53" s="49"/>
      <c r="LRT53" s="50"/>
      <c r="LRU53" s="49"/>
      <c r="LRV53" s="50"/>
      <c r="LRW53" s="49"/>
      <c r="LRX53" s="50"/>
      <c r="LRY53" s="49"/>
      <c r="LRZ53" s="50"/>
      <c r="LSA53" s="49"/>
      <c r="LSB53" s="50"/>
      <c r="LSC53" s="49"/>
      <c r="LSD53" s="50"/>
      <c r="LSE53" s="49"/>
      <c r="LSF53" s="50"/>
      <c r="LSG53" s="49"/>
      <c r="LSH53" s="50"/>
      <c r="LSI53" s="49"/>
      <c r="LSJ53" s="50"/>
      <c r="LSK53" s="49"/>
      <c r="LSL53" s="50"/>
      <c r="LSM53" s="49"/>
      <c r="LSN53" s="50"/>
      <c r="LSO53" s="49"/>
      <c r="LSP53" s="50"/>
      <c r="LSQ53" s="49"/>
      <c r="LSR53" s="50"/>
      <c r="LSS53" s="49"/>
      <c r="LST53" s="50"/>
      <c r="LSU53" s="49"/>
      <c r="LSV53" s="50"/>
      <c r="LSW53" s="49"/>
      <c r="LSX53" s="50"/>
      <c r="LSY53" s="49"/>
      <c r="LSZ53" s="50"/>
      <c r="LTA53" s="49"/>
      <c r="LTB53" s="50"/>
      <c r="LTC53" s="49"/>
      <c r="LTD53" s="50"/>
      <c r="LTE53" s="49"/>
      <c r="LTF53" s="50"/>
      <c r="LTG53" s="49"/>
      <c r="LTH53" s="50"/>
      <c r="LTI53" s="49"/>
      <c r="LTJ53" s="50"/>
      <c r="LTK53" s="49"/>
      <c r="LTL53" s="50"/>
      <c r="LTM53" s="49"/>
      <c r="LTN53" s="50"/>
      <c r="LTO53" s="49"/>
      <c r="LTP53" s="50"/>
      <c r="LTQ53" s="49"/>
      <c r="LTR53" s="50"/>
      <c r="LTS53" s="49"/>
      <c r="LTT53" s="50"/>
      <c r="LTU53" s="49"/>
      <c r="LTV53" s="50"/>
      <c r="LTW53" s="49"/>
      <c r="LTX53" s="50"/>
      <c r="LTY53" s="49"/>
      <c r="LTZ53" s="50"/>
      <c r="LUA53" s="49"/>
      <c r="LUB53" s="50"/>
      <c r="LUC53" s="49"/>
      <c r="LUD53" s="50"/>
      <c r="LUE53" s="49"/>
      <c r="LUF53" s="50"/>
      <c r="LUG53" s="49"/>
      <c r="LUH53" s="50"/>
      <c r="LUI53" s="49"/>
      <c r="LUJ53" s="50"/>
      <c r="LUK53" s="49"/>
      <c r="LUL53" s="50"/>
      <c r="LUM53" s="49"/>
      <c r="LUN53" s="50"/>
      <c r="LUO53" s="49"/>
      <c r="LUP53" s="50"/>
      <c r="LUQ53" s="49"/>
      <c r="LUR53" s="50"/>
      <c r="LUS53" s="49"/>
      <c r="LUT53" s="50"/>
      <c r="LUU53" s="49"/>
      <c r="LUV53" s="50"/>
      <c r="LUW53" s="49"/>
      <c r="LUX53" s="50"/>
      <c r="LUY53" s="49"/>
      <c r="LUZ53" s="50"/>
      <c r="LVA53" s="49"/>
      <c r="LVB53" s="50"/>
      <c r="LVC53" s="49"/>
      <c r="LVD53" s="50"/>
      <c r="LVE53" s="49"/>
      <c r="LVF53" s="50"/>
      <c r="LVG53" s="49"/>
      <c r="LVH53" s="50"/>
      <c r="LVI53" s="49"/>
      <c r="LVJ53" s="50"/>
      <c r="LVK53" s="49"/>
      <c r="LVL53" s="50"/>
      <c r="LVM53" s="49"/>
      <c r="LVN53" s="50"/>
      <c r="LVO53" s="49"/>
      <c r="LVP53" s="50"/>
      <c r="LVQ53" s="49"/>
      <c r="LVR53" s="50"/>
      <c r="LVS53" s="49"/>
      <c r="LVT53" s="50"/>
      <c r="LVU53" s="49"/>
      <c r="LVV53" s="50"/>
      <c r="LVW53" s="49"/>
      <c r="LVX53" s="50"/>
      <c r="LVY53" s="49"/>
      <c r="LVZ53" s="50"/>
      <c r="LWA53" s="49"/>
      <c r="LWB53" s="50"/>
      <c r="LWC53" s="49"/>
      <c r="LWD53" s="50"/>
      <c r="LWE53" s="49"/>
      <c r="LWF53" s="50"/>
      <c r="LWG53" s="49"/>
      <c r="LWH53" s="50"/>
      <c r="LWI53" s="49"/>
      <c r="LWJ53" s="50"/>
      <c r="LWK53" s="49"/>
      <c r="LWL53" s="50"/>
      <c r="LWM53" s="49"/>
      <c r="LWN53" s="50"/>
      <c r="LWO53" s="49"/>
      <c r="LWP53" s="50"/>
      <c r="LWQ53" s="49"/>
      <c r="LWR53" s="50"/>
      <c r="LWS53" s="49"/>
      <c r="LWT53" s="50"/>
      <c r="LWU53" s="49"/>
      <c r="LWV53" s="50"/>
      <c r="LWW53" s="49"/>
      <c r="LWX53" s="50"/>
      <c r="LWY53" s="49"/>
      <c r="LWZ53" s="50"/>
      <c r="LXA53" s="49"/>
      <c r="LXB53" s="50"/>
      <c r="LXC53" s="49"/>
      <c r="LXD53" s="50"/>
      <c r="LXE53" s="49"/>
      <c r="LXF53" s="50"/>
      <c r="LXG53" s="49"/>
      <c r="LXH53" s="50"/>
      <c r="LXI53" s="49"/>
      <c r="LXJ53" s="50"/>
      <c r="LXK53" s="49"/>
      <c r="LXL53" s="50"/>
      <c r="LXM53" s="49"/>
      <c r="LXN53" s="50"/>
      <c r="LXO53" s="49"/>
      <c r="LXP53" s="50"/>
      <c r="LXQ53" s="49"/>
      <c r="LXR53" s="50"/>
      <c r="LXS53" s="49"/>
      <c r="LXT53" s="50"/>
      <c r="LXU53" s="49"/>
      <c r="LXV53" s="50"/>
      <c r="LXW53" s="49"/>
      <c r="LXX53" s="50"/>
      <c r="LXY53" s="49"/>
      <c r="LXZ53" s="50"/>
      <c r="LYA53" s="49"/>
      <c r="LYB53" s="50"/>
      <c r="LYC53" s="49"/>
      <c r="LYD53" s="50"/>
      <c r="LYE53" s="49"/>
      <c r="LYF53" s="50"/>
      <c r="LYG53" s="49"/>
      <c r="LYH53" s="50"/>
      <c r="LYI53" s="49"/>
      <c r="LYJ53" s="50"/>
      <c r="LYK53" s="49"/>
      <c r="LYL53" s="50"/>
      <c r="LYM53" s="49"/>
      <c r="LYN53" s="50"/>
      <c r="LYO53" s="49"/>
      <c r="LYP53" s="50"/>
      <c r="LYQ53" s="49"/>
      <c r="LYR53" s="50"/>
      <c r="LYS53" s="49"/>
      <c r="LYT53" s="50"/>
      <c r="LYU53" s="49"/>
      <c r="LYV53" s="50"/>
      <c r="LYW53" s="49"/>
      <c r="LYX53" s="50"/>
      <c r="LYY53" s="49"/>
      <c r="LYZ53" s="50"/>
      <c r="LZA53" s="49"/>
      <c r="LZB53" s="50"/>
      <c r="LZC53" s="49"/>
      <c r="LZD53" s="50"/>
      <c r="LZE53" s="49"/>
      <c r="LZF53" s="50"/>
      <c r="LZG53" s="49"/>
      <c r="LZH53" s="50"/>
      <c r="LZI53" s="49"/>
      <c r="LZJ53" s="50"/>
      <c r="LZK53" s="49"/>
      <c r="LZL53" s="50"/>
      <c r="LZM53" s="49"/>
      <c r="LZN53" s="50"/>
      <c r="LZO53" s="49"/>
      <c r="LZP53" s="50"/>
      <c r="LZQ53" s="49"/>
      <c r="LZR53" s="50"/>
      <c r="LZS53" s="49"/>
      <c r="LZT53" s="50"/>
      <c r="LZU53" s="49"/>
      <c r="LZV53" s="50"/>
      <c r="LZW53" s="49"/>
      <c r="LZX53" s="50"/>
      <c r="LZY53" s="49"/>
      <c r="LZZ53" s="50"/>
      <c r="MAA53" s="49"/>
      <c r="MAB53" s="50"/>
      <c r="MAC53" s="49"/>
      <c r="MAD53" s="50"/>
      <c r="MAE53" s="49"/>
      <c r="MAF53" s="50"/>
      <c r="MAG53" s="49"/>
      <c r="MAH53" s="50"/>
      <c r="MAI53" s="49"/>
      <c r="MAJ53" s="50"/>
      <c r="MAK53" s="49"/>
      <c r="MAL53" s="50"/>
      <c r="MAM53" s="49"/>
      <c r="MAN53" s="50"/>
      <c r="MAO53" s="49"/>
      <c r="MAP53" s="50"/>
      <c r="MAQ53" s="49"/>
      <c r="MAR53" s="50"/>
      <c r="MAS53" s="49"/>
      <c r="MAT53" s="50"/>
      <c r="MAU53" s="49"/>
      <c r="MAV53" s="50"/>
      <c r="MAW53" s="49"/>
      <c r="MAX53" s="50"/>
      <c r="MAY53" s="49"/>
      <c r="MAZ53" s="50"/>
      <c r="MBA53" s="49"/>
      <c r="MBB53" s="50"/>
      <c r="MBC53" s="49"/>
      <c r="MBD53" s="50"/>
      <c r="MBE53" s="49"/>
      <c r="MBF53" s="50"/>
      <c r="MBG53" s="49"/>
      <c r="MBH53" s="50"/>
      <c r="MBI53" s="49"/>
      <c r="MBJ53" s="50"/>
      <c r="MBK53" s="49"/>
      <c r="MBL53" s="50"/>
      <c r="MBM53" s="49"/>
      <c r="MBN53" s="50"/>
      <c r="MBO53" s="49"/>
      <c r="MBP53" s="50"/>
      <c r="MBQ53" s="49"/>
      <c r="MBR53" s="50"/>
      <c r="MBS53" s="49"/>
      <c r="MBT53" s="50"/>
      <c r="MBU53" s="49"/>
      <c r="MBV53" s="50"/>
      <c r="MBW53" s="49"/>
      <c r="MBX53" s="50"/>
      <c r="MBY53" s="49"/>
      <c r="MBZ53" s="50"/>
      <c r="MCA53" s="49"/>
      <c r="MCB53" s="50"/>
      <c r="MCC53" s="49"/>
      <c r="MCD53" s="50"/>
      <c r="MCE53" s="49"/>
      <c r="MCF53" s="50"/>
      <c r="MCG53" s="49"/>
      <c r="MCH53" s="50"/>
      <c r="MCI53" s="49"/>
      <c r="MCJ53" s="50"/>
      <c r="MCK53" s="49"/>
      <c r="MCL53" s="50"/>
      <c r="MCM53" s="49"/>
      <c r="MCN53" s="50"/>
      <c r="MCO53" s="49"/>
      <c r="MCP53" s="50"/>
      <c r="MCQ53" s="49"/>
      <c r="MCR53" s="50"/>
      <c r="MCS53" s="49"/>
      <c r="MCT53" s="50"/>
      <c r="MCU53" s="49"/>
      <c r="MCV53" s="50"/>
      <c r="MCW53" s="49"/>
      <c r="MCX53" s="50"/>
      <c r="MCY53" s="49"/>
      <c r="MCZ53" s="50"/>
      <c r="MDA53" s="49"/>
      <c r="MDB53" s="50"/>
      <c r="MDC53" s="49"/>
      <c r="MDD53" s="50"/>
      <c r="MDE53" s="49"/>
      <c r="MDF53" s="50"/>
      <c r="MDG53" s="49"/>
      <c r="MDH53" s="50"/>
      <c r="MDI53" s="49"/>
      <c r="MDJ53" s="50"/>
      <c r="MDK53" s="49"/>
      <c r="MDL53" s="50"/>
      <c r="MDM53" s="49"/>
      <c r="MDN53" s="50"/>
      <c r="MDO53" s="49"/>
      <c r="MDP53" s="50"/>
      <c r="MDQ53" s="49"/>
      <c r="MDR53" s="50"/>
      <c r="MDS53" s="49"/>
      <c r="MDT53" s="50"/>
      <c r="MDU53" s="49"/>
      <c r="MDV53" s="50"/>
      <c r="MDW53" s="49"/>
      <c r="MDX53" s="50"/>
      <c r="MDY53" s="49"/>
      <c r="MDZ53" s="50"/>
      <c r="MEA53" s="49"/>
      <c r="MEB53" s="50"/>
      <c r="MEC53" s="49"/>
      <c r="MED53" s="50"/>
      <c r="MEE53" s="49"/>
      <c r="MEF53" s="50"/>
      <c r="MEG53" s="49"/>
      <c r="MEH53" s="50"/>
      <c r="MEI53" s="49"/>
      <c r="MEJ53" s="50"/>
      <c r="MEK53" s="49"/>
      <c r="MEL53" s="50"/>
      <c r="MEM53" s="49"/>
      <c r="MEN53" s="50"/>
      <c r="MEO53" s="49"/>
      <c r="MEP53" s="50"/>
      <c r="MEQ53" s="49"/>
      <c r="MER53" s="50"/>
      <c r="MES53" s="49"/>
      <c r="MET53" s="50"/>
      <c r="MEU53" s="49"/>
      <c r="MEV53" s="50"/>
      <c r="MEW53" s="49"/>
      <c r="MEX53" s="50"/>
      <c r="MEY53" s="49"/>
      <c r="MEZ53" s="50"/>
      <c r="MFA53" s="49"/>
      <c r="MFB53" s="50"/>
      <c r="MFC53" s="49"/>
      <c r="MFD53" s="50"/>
      <c r="MFE53" s="49"/>
      <c r="MFF53" s="50"/>
      <c r="MFG53" s="49"/>
      <c r="MFH53" s="50"/>
      <c r="MFI53" s="49"/>
      <c r="MFJ53" s="50"/>
      <c r="MFK53" s="49"/>
      <c r="MFL53" s="50"/>
      <c r="MFM53" s="49"/>
      <c r="MFN53" s="50"/>
      <c r="MFO53" s="49"/>
      <c r="MFP53" s="50"/>
      <c r="MFQ53" s="49"/>
      <c r="MFR53" s="50"/>
      <c r="MFS53" s="49"/>
      <c r="MFT53" s="50"/>
      <c r="MFU53" s="49"/>
      <c r="MFV53" s="50"/>
      <c r="MFW53" s="49"/>
      <c r="MFX53" s="50"/>
      <c r="MFY53" s="49"/>
      <c r="MFZ53" s="50"/>
      <c r="MGA53" s="49"/>
      <c r="MGB53" s="50"/>
      <c r="MGC53" s="49"/>
      <c r="MGD53" s="50"/>
      <c r="MGE53" s="49"/>
      <c r="MGF53" s="50"/>
      <c r="MGG53" s="49"/>
      <c r="MGH53" s="50"/>
      <c r="MGI53" s="49"/>
      <c r="MGJ53" s="50"/>
      <c r="MGK53" s="49"/>
      <c r="MGL53" s="50"/>
      <c r="MGM53" s="49"/>
      <c r="MGN53" s="50"/>
      <c r="MGO53" s="49"/>
      <c r="MGP53" s="50"/>
      <c r="MGQ53" s="49"/>
      <c r="MGR53" s="50"/>
      <c r="MGS53" s="49"/>
      <c r="MGT53" s="50"/>
      <c r="MGU53" s="49"/>
      <c r="MGV53" s="50"/>
      <c r="MGW53" s="49"/>
      <c r="MGX53" s="50"/>
      <c r="MGY53" s="49"/>
      <c r="MGZ53" s="50"/>
      <c r="MHA53" s="49"/>
      <c r="MHB53" s="50"/>
      <c r="MHC53" s="49"/>
      <c r="MHD53" s="50"/>
      <c r="MHE53" s="49"/>
      <c r="MHF53" s="50"/>
      <c r="MHG53" s="49"/>
      <c r="MHH53" s="50"/>
      <c r="MHI53" s="49"/>
      <c r="MHJ53" s="50"/>
      <c r="MHK53" s="49"/>
      <c r="MHL53" s="50"/>
      <c r="MHM53" s="49"/>
      <c r="MHN53" s="50"/>
      <c r="MHO53" s="49"/>
      <c r="MHP53" s="50"/>
      <c r="MHQ53" s="49"/>
      <c r="MHR53" s="50"/>
      <c r="MHS53" s="49"/>
      <c r="MHT53" s="50"/>
      <c r="MHU53" s="49"/>
      <c r="MHV53" s="50"/>
      <c r="MHW53" s="49"/>
      <c r="MHX53" s="50"/>
      <c r="MHY53" s="49"/>
      <c r="MHZ53" s="50"/>
      <c r="MIA53" s="49"/>
      <c r="MIB53" s="50"/>
      <c r="MIC53" s="49"/>
      <c r="MID53" s="50"/>
      <c r="MIE53" s="49"/>
      <c r="MIF53" s="50"/>
      <c r="MIG53" s="49"/>
      <c r="MIH53" s="50"/>
      <c r="MII53" s="49"/>
      <c r="MIJ53" s="50"/>
      <c r="MIK53" s="49"/>
      <c r="MIL53" s="50"/>
      <c r="MIM53" s="49"/>
      <c r="MIN53" s="50"/>
      <c r="MIO53" s="49"/>
      <c r="MIP53" s="50"/>
      <c r="MIQ53" s="49"/>
      <c r="MIR53" s="50"/>
      <c r="MIS53" s="49"/>
      <c r="MIT53" s="50"/>
      <c r="MIU53" s="49"/>
      <c r="MIV53" s="50"/>
      <c r="MIW53" s="49"/>
      <c r="MIX53" s="50"/>
      <c r="MIY53" s="49"/>
      <c r="MIZ53" s="50"/>
      <c r="MJA53" s="49"/>
      <c r="MJB53" s="50"/>
      <c r="MJC53" s="49"/>
      <c r="MJD53" s="50"/>
      <c r="MJE53" s="49"/>
      <c r="MJF53" s="50"/>
      <c r="MJG53" s="49"/>
      <c r="MJH53" s="50"/>
      <c r="MJI53" s="49"/>
      <c r="MJJ53" s="50"/>
      <c r="MJK53" s="49"/>
      <c r="MJL53" s="50"/>
      <c r="MJM53" s="49"/>
      <c r="MJN53" s="50"/>
      <c r="MJO53" s="49"/>
      <c r="MJP53" s="50"/>
      <c r="MJQ53" s="49"/>
      <c r="MJR53" s="50"/>
      <c r="MJS53" s="49"/>
      <c r="MJT53" s="50"/>
      <c r="MJU53" s="49"/>
      <c r="MJV53" s="50"/>
      <c r="MJW53" s="49"/>
      <c r="MJX53" s="50"/>
      <c r="MJY53" s="49"/>
      <c r="MJZ53" s="50"/>
      <c r="MKA53" s="49"/>
      <c r="MKB53" s="50"/>
      <c r="MKC53" s="49"/>
      <c r="MKD53" s="50"/>
      <c r="MKE53" s="49"/>
      <c r="MKF53" s="50"/>
      <c r="MKG53" s="49"/>
      <c r="MKH53" s="50"/>
      <c r="MKI53" s="49"/>
      <c r="MKJ53" s="50"/>
      <c r="MKK53" s="49"/>
      <c r="MKL53" s="50"/>
      <c r="MKM53" s="49"/>
      <c r="MKN53" s="50"/>
      <c r="MKO53" s="49"/>
      <c r="MKP53" s="50"/>
      <c r="MKQ53" s="49"/>
      <c r="MKR53" s="50"/>
      <c r="MKS53" s="49"/>
      <c r="MKT53" s="50"/>
      <c r="MKU53" s="49"/>
      <c r="MKV53" s="50"/>
      <c r="MKW53" s="49"/>
      <c r="MKX53" s="50"/>
      <c r="MKY53" s="49"/>
      <c r="MKZ53" s="50"/>
      <c r="MLA53" s="49"/>
      <c r="MLB53" s="50"/>
      <c r="MLC53" s="49"/>
      <c r="MLD53" s="50"/>
      <c r="MLE53" s="49"/>
      <c r="MLF53" s="50"/>
      <c r="MLG53" s="49"/>
      <c r="MLH53" s="50"/>
      <c r="MLI53" s="49"/>
      <c r="MLJ53" s="50"/>
      <c r="MLK53" s="49"/>
      <c r="MLL53" s="50"/>
      <c r="MLM53" s="49"/>
      <c r="MLN53" s="50"/>
      <c r="MLO53" s="49"/>
      <c r="MLP53" s="50"/>
      <c r="MLQ53" s="49"/>
      <c r="MLR53" s="50"/>
      <c r="MLS53" s="49"/>
      <c r="MLT53" s="50"/>
      <c r="MLU53" s="49"/>
      <c r="MLV53" s="50"/>
      <c r="MLW53" s="49"/>
      <c r="MLX53" s="50"/>
      <c r="MLY53" s="49"/>
      <c r="MLZ53" s="50"/>
      <c r="MMA53" s="49"/>
      <c r="MMB53" s="50"/>
      <c r="MMC53" s="49"/>
      <c r="MMD53" s="50"/>
      <c r="MME53" s="49"/>
      <c r="MMF53" s="50"/>
      <c r="MMG53" s="49"/>
      <c r="MMH53" s="50"/>
      <c r="MMI53" s="49"/>
      <c r="MMJ53" s="50"/>
      <c r="MMK53" s="49"/>
      <c r="MML53" s="50"/>
      <c r="MMM53" s="49"/>
      <c r="MMN53" s="50"/>
      <c r="MMO53" s="49"/>
      <c r="MMP53" s="50"/>
      <c r="MMQ53" s="49"/>
      <c r="MMR53" s="50"/>
      <c r="MMS53" s="49"/>
      <c r="MMT53" s="50"/>
      <c r="MMU53" s="49"/>
      <c r="MMV53" s="50"/>
      <c r="MMW53" s="49"/>
      <c r="MMX53" s="50"/>
      <c r="MMY53" s="49"/>
      <c r="MMZ53" s="50"/>
      <c r="MNA53" s="49"/>
      <c r="MNB53" s="50"/>
      <c r="MNC53" s="49"/>
      <c r="MND53" s="50"/>
      <c r="MNE53" s="49"/>
      <c r="MNF53" s="50"/>
      <c r="MNG53" s="49"/>
      <c r="MNH53" s="50"/>
      <c r="MNI53" s="49"/>
      <c r="MNJ53" s="50"/>
      <c r="MNK53" s="49"/>
      <c r="MNL53" s="50"/>
      <c r="MNM53" s="49"/>
      <c r="MNN53" s="50"/>
      <c r="MNO53" s="49"/>
      <c r="MNP53" s="50"/>
      <c r="MNQ53" s="49"/>
      <c r="MNR53" s="50"/>
      <c r="MNS53" s="49"/>
      <c r="MNT53" s="50"/>
      <c r="MNU53" s="49"/>
      <c r="MNV53" s="50"/>
      <c r="MNW53" s="49"/>
      <c r="MNX53" s="50"/>
      <c r="MNY53" s="49"/>
      <c r="MNZ53" s="50"/>
      <c r="MOA53" s="49"/>
      <c r="MOB53" s="50"/>
      <c r="MOC53" s="49"/>
      <c r="MOD53" s="50"/>
      <c r="MOE53" s="49"/>
      <c r="MOF53" s="50"/>
      <c r="MOG53" s="49"/>
      <c r="MOH53" s="50"/>
      <c r="MOI53" s="49"/>
      <c r="MOJ53" s="50"/>
      <c r="MOK53" s="49"/>
      <c r="MOL53" s="50"/>
      <c r="MOM53" s="49"/>
      <c r="MON53" s="50"/>
      <c r="MOO53" s="49"/>
      <c r="MOP53" s="50"/>
      <c r="MOQ53" s="49"/>
      <c r="MOR53" s="50"/>
      <c r="MOS53" s="49"/>
      <c r="MOT53" s="50"/>
      <c r="MOU53" s="49"/>
      <c r="MOV53" s="50"/>
      <c r="MOW53" s="49"/>
      <c r="MOX53" s="50"/>
      <c r="MOY53" s="49"/>
      <c r="MOZ53" s="50"/>
      <c r="MPA53" s="49"/>
      <c r="MPB53" s="50"/>
      <c r="MPC53" s="49"/>
      <c r="MPD53" s="50"/>
      <c r="MPE53" s="49"/>
      <c r="MPF53" s="50"/>
      <c r="MPG53" s="49"/>
      <c r="MPH53" s="50"/>
      <c r="MPI53" s="49"/>
      <c r="MPJ53" s="50"/>
      <c r="MPK53" s="49"/>
      <c r="MPL53" s="50"/>
      <c r="MPM53" s="49"/>
      <c r="MPN53" s="50"/>
      <c r="MPO53" s="49"/>
      <c r="MPP53" s="50"/>
      <c r="MPQ53" s="49"/>
      <c r="MPR53" s="50"/>
      <c r="MPS53" s="49"/>
      <c r="MPT53" s="50"/>
      <c r="MPU53" s="49"/>
      <c r="MPV53" s="50"/>
      <c r="MPW53" s="49"/>
      <c r="MPX53" s="50"/>
      <c r="MPY53" s="49"/>
      <c r="MPZ53" s="50"/>
      <c r="MQA53" s="49"/>
      <c r="MQB53" s="50"/>
      <c r="MQC53" s="49"/>
      <c r="MQD53" s="50"/>
      <c r="MQE53" s="49"/>
      <c r="MQF53" s="50"/>
      <c r="MQG53" s="49"/>
      <c r="MQH53" s="50"/>
      <c r="MQI53" s="49"/>
      <c r="MQJ53" s="50"/>
      <c r="MQK53" s="49"/>
      <c r="MQL53" s="50"/>
      <c r="MQM53" s="49"/>
      <c r="MQN53" s="50"/>
      <c r="MQO53" s="49"/>
      <c r="MQP53" s="50"/>
      <c r="MQQ53" s="49"/>
      <c r="MQR53" s="50"/>
      <c r="MQS53" s="49"/>
      <c r="MQT53" s="50"/>
      <c r="MQU53" s="49"/>
      <c r="MQV53" s="50"/>
      <c r="MQW53" s="49"/>
      <c r="MQX53" s="50"/>
      <c r="MQY53" s="49"/>
      <c r="MQZ53" s="50"/>
      <c r="MRA53" s="49"/>
      <c r="MRB53" s="50"/>
      <c r="MRC53" s="49"/>
      <c r="MRD53" s="50"/>
      <c r="MRE53" s="49"/>
      <c r="MRF53" s="50"/>
      <c r="MRG53" s="49"/>
      <c r="MRH53" s="50"/>
      <c r="MRI53" s="49"/>
      <c r="MRJ53" s="50"/>
      <c r="MRK53" s="49"/>
      <c r="MRL53" s="50"/>
      <c r="MRM53" s="49"/>
      <c r="MRN53" s="50"/>
      <c r="MRO53" s="49"/>
      <c r="MRP53" s="50"/>
      <c r="MRQ53" s="49"/>
      <c r="MRR53" s="50"/>
      <c r="MRS53" s="49"/>
      <c r="MRT53" s="50"/>
      <c r="MRU53" s="49"/>
      <c r="MRV53" s="50"/>
      <c r="MRW53" s="49"/>
      <c r="MRX53" s="50"/>
      <c r="MRY53" s="49"/>
      <c r="MRZ53" s="50"/>
      <c r="MSA53" s="49"/>
      <c r="MSB53" s="50"/>
      <c r="MSC53" s="49"/>
      <c r="MSD53" s="50"/>
      <c r="MSE53" s="49"/>
      <c r="MSF53" s="50"/>
      <c r="MSG53" s="49"/>
      <c r="MSH53" s="50"/>
      <c r="MSI53" s="49"/>
      <c r="MSJ53" s="50"/>
      <c r="MSK53" s="49"/>
      <c r="MSL53" s="50"/>
      <c r="MSM53" s="49"/>
      <c r="MSN53" s="50"/>
      <c r="MSO53" s="49"/>
      <c r="MSP53" s="50"/>
      <c r="MSQ53" s="49"/>
      <c r="MSR53" s="50"/>
      <c r="MSS53" s="49"/>
      <c r="MST53" s="50"/>
      <c r="MSU53" s="49"/>
      <c r="MSV53" s="50"/>
      <c r="MSW53" s="49"/>
      <c r="MSX53" s="50"/>
      <c r="MSY53" s="49"/>
      <c r="MSZ53" s="50"/>
      <c r="MTA53" s="49"/>
      <c r="MTB53" s="50"/>
      <c r="MTC53" s="49"/>
      <c r="MTD53" s="50"/>
      <c r="MTE53" s="49"/>
      <c r="MTF53" s="50"/>
      <c r="MTG53" s="49"/>
      <c r="MTH53" s="50"/>
      <c r="MTI53" s="49"/>
      <c r="MTJ53" s="50"/>
      <c r="MTK53" s="49"/>
      <c r="MTL53" s="50"/>
      <c r="MTM53" s="49"/>
      <c r="MTN53" s="50"/>
      <c r="MTO53" s="49"/>
      <c r="MTP53" s="50"/>
      <c r="MTQ53" s="49"/>
      <c r="MTR53" s="50"/>
      <c r="MTS53" s="49"/>
      <c r="MTT53" s="50"/>
      <c r="MTU53" s="49"/>
      <c r="MTV53" s="50"/>
      <c r="MTW53" s="49"/>
      <c r="MTX53" s="50"/>
      <c r="MTY53" s="49"/>
      <c r="MTZ53" s="50"/>
      <c r="MUA53" s="49"/>
      <c r="MUB53" s="50"/>
      <c r="MUC53" s="49"/>
      <c r="MUD53" s="50"/>
      <c r="MUE53" s="49"/>
      <c r="MUF53" s="50"/>
      <c r="MUG53" s="49"/>
      <c r="MUH53" s="50"/>
      <c r="MUI53" s="49"/>
      <c r="MUJ53" s="50"/>
      <c r="MUK53" s="49"/>
      <c r="MUL53" s="50"/>
      <c r="MUM53" s="49"/>
      <c r="MUN53" s="50"/>
      <c r="MUO53" s="49"/>
      <c r="MUP53" s="50"/>
      <c r="MUQ53" s="49"/>
      <c r="MUR53" s="50"/>
      <c r="MUS53" s="49"/>
      <c r="MUT53" s="50"/>
      <c r="MUU53" s="49"/>
      <c r="MUV53" s="50"/>
      <c r="MUW53" s="49"/>
      <c r="MUX53" s="50"/>
      <c r="MUY53" s="49"/>
      <c r="MUZ53" s="50"/>
      <c r="MVA53" s="49"/>
      <c r="MVB53" s="50"/>
      <c r="MVC53" s="49"/>
      <c r="MVD53" s="50"/>
      <c r="MVE53" s="49"/>
      <c r="MVF53" s="50"/>
      <c r="MVG53" s="49"/>
      <c r="MVH53" s="50"/>
      <c r="MVI53" s="49"/>
      <c r="MVJ53" s="50"/>
      <c r="MVK53" s="49"/>
      <c r="MVL53" s="50"/>
      <c r="MVM53" s="49"/>
      <c r="MVN53" s="50"/>
      <c r="MVO53" s="49"/>
      <c r="MVP53" s="50"/>
      <c r="MVQ53" s="49"/>
      <c r="MVR53" s="50"/>
      <c r="MVS53" s="49"/>
      <c r="MVT53" s="50"/>
      <c r="MVU53" s="49"/>
      <c r="MVV53" s="50"/>
      <c r="MVW53" s="49"/>
      <c r="MVX53" s="50"/>
      <c r="MVY53" s="49"/>
      <c r="MVZ53" s="50"/>
      <c r="MWA53" s="49"/>
      <c r="MWB53" s="50"/>
      <c r="MWC53" s="49"/>
      <c r="MWD53" s="50"/>
      <c r="MWE53" s="49"/>
      <c r="MWF53" s="50"/>
      <c r="MWG53" s="49"/>
      <c r="MWH53" s="50"/>
      <c r="MWI53" s="49"/>
      <c r="MWJ53" s="50"/>
      <c r="MWK53" s="49"/>
      <c r="MWL53" s="50"/>
      <c r="MWM53" s="49"/>
      <c r="MWN53" s="50"/>
      <c r="MWO53" s="49"/>
      <c r="MWP53" s="50"/>
      <c r="MWQ53" s="49"/>
      <c r="MWR53" s="50"/>
      <c r="MWS53" s="49"/>
      <c r="MWT53" s="50"/>
      <c r="MWU53" s="49"/>
      <c r="MWV53" s="50"/>
      <c r="MWW53" s="49"/>
      <c r="MWX53" s="50"/>
      <c r="MWY53" s="49"/>
      <c r="MWZ53" s="50"/>
      <c r="MXA53" s="49"/>
      <c r="MXB53" s="50"/>
      <c r="MXC53" s="49"/>
      <c r="MXD53" s="50"/>
      <c r="MXE53" s="49"/>
      <c r="MXF53" s="50"/>
      <c r="MXG53" s="49"/>
      <c r="MXH53" s="50"/>
      <c r="MXI53" s="49"/>
      <c r="MXJ53" s="50"/>
      <c r="MXK53" s="49"/>
      <c r="MXL53" s="50"/>
      <c r="MXM53" s="49"/>
      <c r="MXN53" s="50"/>
      <c r="MXO53" s="49"/>
      <c r="MXP53" s="50"/>
      <c r="MXQ53" s="49"/>
      <c r="MXR53" s="50"/>
      <c r="MXS53" s="49"/>
      <c r="MXT53" s="50"/>
      <c r="MXU53" s="49"/>
      <c r="MXV53" s="50"/>
      <c r="MXW53" s="49"/>
      <c r="MXX53" s="50"/>
      <c r="MXY53" s="49"/>
      <c r="MXZ53" s="50"/>
      <c r="MYA53" s="49"/>
      <c r="MYB53" s="50"/>
      <c r="MYC53" s="49"/>
      <c r="MYD53" s="50"/>
      <c r="MYE53" s="49"/>
      <c r="MYF53" s="50"/>
      <c r="MYG53" s="49"/>
      <c r="MYH53" s="50"/>
      <c r="MYI53" s="49"/>
      <c r="MYJ53" s="50"/>
      <c r="MYK53" s="49"/>
      <c r="MYL53" s="50"/>
      <c r="MYM53" s="49"/>
      <c r="MYN53" s="50"/>
      <c r="MYO53" s="49"/>
      <c r="MYP53" s="50"/>
      <c r="MYQ53" s="49"/>
      <c r="MYR53" s="50"/>
      <c r="MYS53" s="49"/>
      <c r="MYT53" s="50"/>
      <c r="MYU53" s="49"/>
      <c r="MYV53" s="50"/>
      <c r="MYW53" s="49"/>
      <c r="MYX53" s="50"/>
      <c r="MYY53" s="49"/>
      <c r="MYZ53" s="50"/>
      <c r="MZA53" s="49"/>
      <c r="MZB53" s="50"/>
      <c r="MZC53" s="49"/>
      <c r="MZD53" s="50"/>
      <c r="MZE53" s="49"/>
      <c r="MZF53" s="50"/>
      <c r="MZG53" s="49"/>
      <c r="MZH53" s="50"/>
      <c r="MZI53" s="49"/>
      <c r="MZJ53" s="50"/>
      <c r="MZK53" s="49"/>
      <c r="MZL53" s="50"/>
      <c r="MZM53" s="49"/>
      <c r="MZN53" s="50"/>
      <c r="MZO53" s="49"/>
      <c r="MZP53" s="50"/>
      <c r="MZQ53" s="49"/>
      <c r="MZR53" s="50"/>
      <c r="MZS53" s="49"/>
      <c r="MZT53" s="50"/>
      <c r="MZU53" s="49"/>
      <c r="MZV53" s="50"/>
      <c r="MZW53" s="49"/>
      <c r="MZX53" s="50"/>
      <c r="MZY53" s="49"/>
      <c r="MZZ53" s="50"/>
      <c r="NAA53" s="49"/>
      <c r="NAB53" s="50"/>
      <c r="NAC53" s="49"/>
      <c r="NAD53" s="50"/>
      <c r="NAE53" s="49"/>
      <c r="NAF53" s="50"/>
      <c r="NAG53" s="49"/>
      <c r="NAH53" s="50"/>
      <c r="NAI53" s="49"/>
      <c r="NAJ53" s="50"/>
      <c r="NAK53" s="49"/>
      <c r="NAL53" s="50"/>
      <c r="NAM53" s="49"/>
      <c r="NAN53" s="50"/>
      <c r="NAO53" s="49"/>
      <c r="NAP53" s="50"/>
      <c r="NAQ53" s="49"/>
      <c r="NAR53" s="50"/>
      <c r="NAS53" s="49"/>
      <c r="NAT53" s="50"/>
      <c r="NAU53" s="49"/>
      <c r="NAV53" s="50"/>
      <c r="NAW53" s="49"/>
      <c r="NAX53" s="50"/>
      <c r="NAY53" s="49"/>
      <c r="NAZ53" s="50"/>
      <c r="NBA53" s="49"/>
      <c r="NBB53" s="50"/>
      <c r="NBC53" s="49"/>
      <c r="NBD53" s="50"/>
      <c r="NBE53" s="49"/>
      <c r="NBF53" s="50"/>
      <c r="NBG53" s="49"/>
      <c r="NBH53" s="50"/>
      <c r="NBI53" s="49"/>
      <c r="NBJ53" s="50"/>
      <c r="NBK53" s="49"/>
      <c r="NBL53" s="50"/>
      <c r="NBM53" s="49"/>
      <c r="NBN53" s="50"/>
      <c r="NBO53" s="49"/>
      <c r="NBP53" s="50"/>
      <c r="NBQ53" s="49"/>
      <c r="NBR53" s="50"/>
      <c r="NBS53" s="49"/>
      <c r="NBT53" s="50"/>
      <c r="NBU53" s="49"/>
      <c r="NBV53" s="50"/>
      <c r="NBW53" s="49"/>
      <c r="NBX53" s="50"/>
      <c r="NBY53" s="49"/>
      <c r="NBZ53" s="50"/>
      <c r="NCA53" s="49"/>
      <c r="NCB53" s="50"/>
      <c r="NCC53" s="49"/>
      <c r="NCD53" s="50"/>
      <c r="NCE53" s="49"/>
      <c r="NCF53" s="50"/>
      <c r="NCG53" s="49"/>
      <c r="NCH53" s="50"/>
      <c r="NCI53" s="49"/>
      <c r="NCJ53" s="50"/>
      <c r="NCK53" s="49"/>
      <c r="NCL53" s="50"/>
      <c r="NCM53" s="49"/>
      <c r="NCN53" s="50"/>
      <c r="NCO53" s="49"/>
      <c r="NCP53" s="50"/>
      <c r="NCQ53" s="49"/>
      <c r="NCR53" s="50"/>
      <c r="NCS53" s="49"/>
      <c r="NCT53" s="50"/>
      <c r="NCU53" s="49"/>
      <c r="NCV53" s="50"/>
      <c r="NCW53" s="49"/>
      <c r="NCX53" s="50"/>
      <c r="NCY53" s="49"/>
      <c r="NCZ53" s="50"/>
      <c r="NDA53" s="49"/>
      <c r="NDB53" s="50"/>
      <c r="NDC53" s="49"/>
      <c r="NDD53" s="50"/>
      <c r="NDE53" s="49"/>
      <c r="NDF53" s="50"/>
      <c r="NDG53" s="49"/>
      <c r="NDH53" s="50"/>
      <c r="NDI53" s="49"/>
      <c r="NDJ53" s="50"/>
      <c r="NDK53" s="49"/>
      <c r="NDL53" s="50"/>
      <c r="NDM53" s="49"/>
      <c r="NDN53" s="50"/>
      <c r="NDO53" s="49"/>
      <c r="NDP53" s="50"/>
      <c r="NDQ53" s="49"/>
      <c r="NDR53" s="50"/>
      <c r="NDS53" s="49"/>
      <c r="NDT53" s="50"/>
      <c r="NDU53" s="49"/>
      <c r="NDV53" s="50"/>
      <c r="NDW53" s="49"/>
      <c r="NDX53" s="50"/>
      <c r="NDY53" s="49"/>
      <c r="NDZ53" s="50"/>
      <c r="NEA53" s="49"/>
      <c r="NEB53" s="50"/>
      <c r="NEC53" s="49"/>
      <c r="NED53" s="50"/>
      <c r="NEE53" s="49"/>
      <c r="NEF53" s="50"/>
      <c r="NEG53" s="49"/>
      <c r="NEH53" s="50"/>
      <c r="NEI53" s="49"/>
      <c r="NEJ53" s="50"/>
      <c r="NEK53" s="49"/>
      <c r="NEL53" s="50"/>
      <c r="NEM53" s="49"/>
      <c r="NEN53" s="50"/>
      <c r="NEO53" s="49"/>
      <c r="NEP53" s="50"/>
      <c r="NEQ53" s="49"/>
      <c r="NER53" s="50"/>
      <c r="NES53" s="49"/>
      <c r="NET53" s="50"/>
      <c r="NEU53" s="49"/>
      <c r="NEV53" s="50"/>
      <c r="NEW53" s="49"/>
      <c r="NEX53" s="50"/>
      <c r="NEY53" s="49"/>
      <c r="NEZ53" s="50"/>
      <c r="NFA53" s="49"/>
      <c r="NFB53" s="50"/>
      <c r="NFC53" s="49"/>
      <c r="NFD53" s="50"/>
      <c r="NFE53" s="49"/>
      <c r="NFF53" s="50"/>
      <c r="NFG53" s="49"/>
      <c r="NFH53" s="50"/>
      <c r="NFI53" s="49"/>
      <c r="NFJ53" s="50"/>
      <c r="NFK53" s="49"/>
      <c r="NFL53" s="50"/>
      <c r="NFM53" s="49"/>
      <c r="NFN53" s="50"/>
      <c r="NFO53" s="49"/>
      <c r="NFP53" s="50"/>
      <c r="NFQ53" s="49"/>
      <c r="NFR53" s="50"/>
      <c r="NFS53" s="49"/>
      <c r="NFT53" s="50"/>
      <c r="NFU53" s="49"/>
      <c r="NFV53" s="50"/>
      <c r="NFW53" s="49"/>
      <c r="NFX53" s="50"/>
      <c r="NFY53" s="49"/>
      <c r="NFZ53" s="50"/>
      <c r="NGA53" s="49"/>
      <c r="NGB53" s="50"/>
      <c r="NGC53" s="49"/>
      <c r="NGD53" s="50"/>
      <c r="NGE53" s="49"/>
      <c r="NGF53" s="50"/>
      <c r="NGG53" s="49"/>
      <c r="NGH53" s="50"/>
      <c r="NGI53" s="49"/>
      <c r="NGJ53" s="50"/>
      <c r="NGK53" s="49"/>
      <c r="NGL53" s="50"/>
      <c r="NGM53" s="49"/>
      <c r="NGN53" s="50"/>
      <c r="NGO53" s="49"/>
      <c r="NGP53" s="50"/>
      <c r="NGQ53" s="49"/>
      <c r="NGR53" s="50"/>
      <c r="NGS53" s="49"/>
      <c r="NGT53" s="50"/>
      <c r="NGU53" s="49"/>
      <c r="NGV53" s="50"/>
      <c r="NGW53" s="49"/>
      <c r="NGX53" s="50"/>
      <c r="NGY53" s="49"/>
      <c r="NGZ53" s="50"/>
      <c r="NHA53" s="49"/>
      <c r="NHB53" s="50"/>
      <c r="NHC53" s="49"/>
      <c r="NHD53" s="50"/>
      <c r="NHE53" s="49"/>
      <c r="NHF53" s="50"/>
      <c r="NHG53" s="49"/>
      <c r="NHH53" s="50"/>
      <c r="NHI53" s="49"/>
      <c r="NHJ53" s="50"/>
      <c r="NHK53" s="49"/>
      <c r="NHL53" s="50"/>
      <c r="NHM53" s="49"/>
      <c r="NHN53" s="50"/>
      <c r="NHO53" s="49"/>
      <c r="NHP53" s="50"/>
      <c r="NHQ53" s="49"/>
      <c r="NHR53" s="50"/>
      <c r="NHS53" s="49"/>
      <c r="NHT53" s="50"/>
      <c r="NHU53" s="49"/>
      <c r="NHV53" s="50"/>
      <c r="NHW53" s="49"/>
      <c r="NHX53" s="50"/>
      <c r="NHY53" s="49"/>
      <c r="NHZ53" s="50"/>
      <c r="NIA53" s="49"/>
      <c r="NIB53" s="50"/>
      <c r="NIC53" s="49"/>
      <c r="NID53" s="50"/>
      <c r="NIE53" s="49"/>
      <c r="NIF53" s="50"/>
      <c r="NIG53" s="49"/>
      <c r="NIH53" s="50"/>
      <c r="NII53" s="49"/>
      <c r="NIJ53" s="50"/>
      <c r="NIK53" s="49"/>
      <c r="NIL53" s="50"/>
      <c r="NIM53" s="49"/>
      <c r="NIN53" s="50"/>
      <c r="NIO53" s="49"/>
      <c r="NIP53" s="50"/>
      <c r="NIQ53" s="49"/>
      <c r="NIR53" s="50"/>
      <c r="NIS53" s="49"/>
      <c r="NIT53" s="50"/>
      <c r="NIU53" s="49"/>
      <c r="NIV53" s="50"/>
      <c r="NIW53" s="49"/>
      <c r="NIX53" s="50"/>
      <c r="NIY53" s="49"/>
      <c r="NIZ53" s="50"/>
      <c r="NJA53" s="49"/>
      <c r="NJB53" s="50"/>
      <c r="NJC53" s="49"/>
      <c r="NJD53" s="50"/>
      <c r="NJE53" s="49"/>
      <c r="NJF53" s="50"/>
      <c r="NJG53" s="49"/>
      <c r="NJH53" s="50"/>
      <c r="NJI53" s="49"/>
      <c r="NJJ53" s="50"/>
      <c r="NJK53" s="49"/>
      <c r="NJL53" s="50"/>
      <c r="NJM53" s="49"/>
      <c r="NJN53" s="50"/>
      <c r="NJO53" s="49"/>
      <c r="NJP53" s="50"/>
      <c r="NJQ53" s="49"/>
      <c r="NJR53" s="50"/>
      <c r="NJS53" s="49"/>
      <c r="NJT53" s="50"/>
      <c r="NJU53" s="49"/>
      <c r="NJV53" s="50"/>
      <c r="NJW53" s="49"/>
      <c r="NJX53" s="50"/>
      <c r="NJY53" s="49"/>
      <c r="NJZ53" s="50"/>
      <c r="NKA53" s="49"/>
      <c r="NKB53" s="50"/>
      <c r="NKC53" s="49"/>
      <c r="NKD53" s="50"/>
      <c r="NKE53" s="49"/>
      <c r="NKF53" s="50"/>
      <c r="NKG53" s="49"/>
      <c r="NKH53" s="50"/>
      <c r="NKI53" s="49"/>
      <c r="NKJ53" s="50"/>
      <c r="NKK53" s="49"/>
      <c r="NKL53" s="50"/>
      <c r="NKM53" s="49"/>
      <c r="NKN53" s="50"/>
      <c r="NKO53" s="49"/>
      <c r="NKP53" s="50"/>
      <c r="NKQ53" s="49"/>
      <c r="NKR53" s="50"/>
      <c r="NKS53" s="49"/>
      <c r="NKT53" s="50"/>
      <c r="NKU53" s="49"/>
      <c r="NKV53" s="50"/>
      <c r="NKW53" s="49"/>
      <c r="NKX53" s="50"/>
      <c r="NKY53" s="49"/>
      <c r="NKZ53" s="50"/>
      <c r="NLA53" s="49"/>
      <c r="NLB53" s="50"/>
      <c r="NLC53" s="49"/>
      <c r="NLD53" s="50"/>
      <c r="NLE53" s="49"/>
      <c r="NLF53" s="50"/>
      <c r="NLG53" s="49"/>
      <c r="NLH53" s="50"/>
      <c r="NLI53" s="49"/>
      <c r="NLJ53" s="50"/>
      <c r="NLK53" s="49"/>
      <c r="NLL53" s="50"/>
      <c r="NLM53" s="49"/>
      <c r="NLN53" s="50"/>
      <c r="NLO53" s="49"/>
      <c r="NLP53" s="50"/>
      <c r="NLQ53" s="49"/>
      <c r="NLR53" s="50"/>
      <c r="NLS53" s="49"/>
      <c r="NLT53" s="50"/>
      <c r="NLU53" s="49"/>
      <c r="NLV53" s="50"/>
      <c r="NLW53" s="49"/>
      <c r="NLX53" s="50"/>
      <c r="NLY53" s="49"/>
      <c r="NLZ53" s="50"/>
      <c r="NMA53" s="49"/>
      <c r="NMB53" s="50"/>
      <c r="NMC53" s="49"/>
      <c r="NMD53" s="50"/>
      <c r="NME53" s="49"/>
      <c r="NMF53" s="50"/>
      <c r="NMG53" s="49"/>
      <c r="NMH53" s="50"/>
      <c r="NMI53" s="49"/>
      <c r="NMJ53" s="50"/>
      <c r="NMK53" s="49"/>
      <c r="NML53" s="50"/>
      <c r="NMM53" s="49"/>
      <c r="NMN53" s="50"/>
      <c r="NMO53" s="49"/>
      <c r="NMP53" s="50"/>
      <c r="NMQ53" s="49"/>
      <c r="NMR53" s="50"/>
      <c r="NMS53" s="49"/>
      <c r="NMT53" s="50"/>
      <c r="NMU53" s="49"/>
      <c r="NMV53" s="50"/>
      <c r="NMW53" s="49"/>
      <c r="NMX53" s="50"/>
      <c r="NMY53" s="49"/>
      <c r="NMZ53" s="50"/>
      <c r="NNA53" s="49"/>
      <c r="NNB53" s="50"/>
      <c r="NNC53" s="49"/>
      <c r="NND53" s="50"/>
      <c r="NNE53" s="49"/>
      <c r="NNF53" s="50"/>
      <c r="NNG53" s="49"/>
      <c r="NNH53" s="50"/>
      <c r="NNI53" s="49"/>
      <c r="NNJ53" s="50"/>
      <c r="NNK53" s="49"/>
      <c r="NNL53" s="50"/>
      <c r="NNM53" s="49"/>
      <c r="NNN53" s="50"/>
      <c r="NNO53" s="49"/>
      <c r="NNP53" s="50"/>
      <c r="NNQ53" s="49"/>
      <c r="NNR53" s="50"/>
      <c r="NNS53" s="49"/>
      <c r="NNT53" s="50"/>
      <c r="NNU53" s="49"/>
      <c r="NNV53" s="50"/>
      <c r="NNW53" s="49"/>
      <c r="NNX53" s="50"/>
      <c r="NNY53" s="49"/>
      <c r="NNZ53" s="50"/>
      <c r="NOA53" s="49"/>
      <c r="NOB53" s="50"/>
      <c r="NOC53" s="49"/>
      <c r="NOD53" s="50"/>
      <c r="NOE53" s="49"/>
      <c r="NOF53" s="50"/>
      <c r="NOG53" s="49"/>
      <c r="NOH53" s="50"/>
      <c r="NOI53" s="49"/>
      <c r="NOJ53" s="50"/>
      <c r="NOK53" s="49"/>
      <c r="NOL53" s="50"/>
      <c r="NOM53" s="49"/>
      <c r="NON53" s="50"/>
      <c r="NOO53" s="49"/>
      <c r="NOP53" s="50"/>
      <c r="NOQ53" s="49"/>
      <c r="NOR53" s="50"/>
      <c r="NOS53" s="49"/>
      <c r="NOT53" s="50"/>
      <c r="NOU53" s="49"/>
      <c r="NOV53" s="50"/>
      <c r="NOW53" s="49"/>
      <c r="NOX53" s="50"/>
      <c r="NOY53" s="49"/>
      <c r="NOZ53" s="50"/>
      <c r="NPA53" s="49"/>
      <c r="NPB53" s="50"/>
      <c r="NPC53" s="49"/>
      <c r="NPD53" s="50"/>
      <c r="NPE53" s="49"/>
      <c r="NPF53" s="50"/>
      <c r="NPG53" s="49"/>
      <c r="NPH53" s="50"/>
      <c r="NPI53" s="49"/>
      <c r="NPJ53" s="50"/>
      <c r="NPK53" s="49"/>
      <c r="NPL53" s="50"/>
      <c r="NPM53" s="49"/>
      <c r="NPN53" s="50"/>
      <c r="NPO53" s="49"/>
      <c r="NPP53" s="50"/>
      <c r="NPQ53" s="49"/>
      <c r="NPR53" s="50"/>
      <c r="NPS53" s="49"/>
      <c r="NPT53" s="50"/>
      <c r="NPU53" s="49"/>
      <c r="NPV53" s="50"/>
      <c r="NPW53" s="49"/>
      <c r="NPX53" s="50"/>
      <c r="NPY53" s="49"/>
      <c r="NPZ53" s="50"/>
      <c r="NQA53" s="49"/>
      <c r="NQB53" s="50"/>
      <c r="NQC53" s="49"/>
      <c r="NQD53" s="50"/>
      <c r="NQE53" s="49"/>
      <c r="NQF53" s="50"/>
      <c r="NQG53" s="49"/>
      <c r="NQH53" s="50"/>
      <c r="NQI53" s="49"/>
      <c r="NQJ53" s="50"/>
      <c r="NQK53" s="49"/>
      <c r="NQL53" s="50"/>
      <c r="NQM53" s="49"/>
      <c r="NQN53" s="50"/>
      <c r="NQO53" s="49"/>
      <c r="NQP53" s="50"/>
      <c r="NQQ53" s="49"/>
      <c r="NQR53" s="50"/>
      <c r="NQS53" s="49"/>
      <c r="NQT53" s="50"/>
      <c r="NQU53" s="49"/>
      <c r="NQV53" s="50"/>
      <c r="NQW53" s="49"/>
      <c r="NQX53" s="50"/>
      <c r="NQY53" s="49"/>
      <c r="NQZ53" s="50"/>
      <c r="NRA53" s="49"/>
      <c r="NRB53" s="50"/>
      <c r="NRC53" s="49"/>
      <c r="NRD53" s="50"/>
      <c r="NRE53" s="49"/>
      <c r="NRF53" s="50"/>
      <c r="NRG53" s="49"/>
      <c r="NRH53" s="50"/>
      <c r="NRI53" s="49"/>
      <c r="NRJ53" s="50"/>
      <c r="NRK53" s="49"/>
      <c r="NRL53" s="50"/>
      <c r="NRM53" s="49"/>
      <c r="NRN53" s="50"/>
      <c r="NRO53" s="49"/>
      <c r="NRP53" s="50"/>
      <c r="NRQ53" s="49"/>
      <c r="NRR53" s="50"/>
      <c r="NRS53" s="49"/>
      <c r="NRT53" s="50"/>
      <c r="NRU53" s="49"/>
      <c r="NRV53" s="50"/>
      <c r="NRW53" s="49"/>
      <c r="NRX53" s="50"/>
      <c r="NRY53" s="49"/>
      <c r="NRZ53" s="50"/>
      <c r="NSA53" s="49"/>
      <c r="NSB53" s="50"/>
      <c r="NSC53" s="49"/>
      <c r="NSD53" s="50"/>
      <c r="NSE53" s="49"/>
      <c r="NSF53" s="50"/>
      <c r="NSG53" s="49"/>
      <c r="NSH53" s="50"/>
      <c r="NSI53" s="49"/>
      <c r="NSJ53" s="50"/>
      <c r="NSK53" s="49"/>
      <c r="NSL53" s="50"/>
      <c r="NSM53" s="49"/>
      <c r="NSN53" s="50"/>
      <c r="NSO53" s="49"/>
      <c r="NSP53" s="50"/>
      <c r="NSQ53" s="49"/>
      <c r="NSR53" s="50"/>
      <c r="NSS53" s="49"/>
      <c r="NST53" s="50"/>
      <c r="NSU53" s="49"/>
      <c r="NSV53" s="50"/>
      <c r="NSW53" s="49"/>
      <c r="NSX53" s="50"/>
      <c r="NSY53" s="49"/>
      <c r="NSZ53" s="50"/>
      <c r="NTA53" s="49"/>
      <c r="NTB53" s="50"/>
      <c r="NTC53" s="49"/>
      <c r="NTD53" s="50"/>
      <c r="NTE53" s="49"/>
      <c r="NTF53" s="50"/>
      <c r="NTG53" s="49"/>
      <c r="NTH53" s="50"/>
      <c r="NTI53" s="49"/>
      <c r="NTJ53" s="50"/>
      <c r="NTK53" s="49"/>
      <c r="NTL53" s="50"/>
      <c r="NTM53" s="49"/>
      <c r="NTN53" s="50"/>
      <c r="NTO53" s="49"/>
      <c r="NTP53" s="50"/>
      <c r="NTQ53" s="49"/>
      <c r="NTR53" s="50"/>
      <c r="NTS53" s="49"/>
      <c r="NTT53" s="50"/>
      <c r="NTU53" s="49"/>
      <c r="NTV53" s="50"/>
      <c r="NTW53" s="49"/>
      <c r="NTX53" s="50"/>
      <c r="NTY53" s="49"/>
      <c r="NTZ53" s="50"/>
      <c r="NUA53" s="49"/>
      <c r="NUB53" s="50"/>
      <c r="NUC53" s="49"/>
      <c r="NUD53" s="50"/>
      <c r="NUE53" s="49"/>
      <c r="NUF53" s="50"/>
      <c r="NUG53" s="49"/>
      <c r="NUH53" s="50"/>
      <c r="NUI53" s="49"/>
      <c r="NUJ53" s="50"/>
      <c r="NUK53" s="49"/>
      <c r="NUL53" s="50"/>
      <c r="NUM53" s="49"/>
      <c r="NUN53" s="50"/>
      <c r="NUO53" s="49"/>
      <c r="NUP53" s="50"/>
      <c r="NUQ53" s="49"/>
      <c r="NUR53" s="50"/>
      <c r="NUS53" s="49"/>
      <c r="NUT53" s="50"/>
      <c r="NUU53" s="49"/>
      <c r="NUV53" s="50"/>
      <c r="NUW53" s="49"/>
      <c r="NUX53" s="50"/>
      <c r="NUY53" s="49"/>
      <c r="NUZ53" s="50"/>
      <c r="NVA53" s="49"/>
      <c r="NVB53" s="50"/>
      <c r="NVC53" s="49"/>
      <c r="NVD53" s="50"/>
      <c r="NVE53" s="49"/>
      <c r="NVF53" s="50"/>
      <c r="NVG53" s="49"/>
      <c r="NVH53" s="50"/>
      <c r="NVI53" s="49"/>
      <c r="NVJ53" s="50"/>
      <c r="NVK53" s="49"/>
      <c r="NVL53" s="50"/>
      <c r="NVM53" s="49"/>
      <c r="NVN53" s="50"/>
      <c r="NVO53" s="49"/>
      <c r="NVP53" s="50"/>
      <c r="NVQ53" s="49"/>
      <c r="NVR53" s="50"/>
      <c r="NVS53" s="49"/>
      <c r="NVT53" s="50"/>
      <c r="NVU53" s="49"/>
      <c r="NVV53" s="50"/>
      <c r="NVW53" s="49"/>
      <c r="NVX53" s="50"/>
      <c r="NVY53" s="49"/>
      <c r="NVZ53" s="50"/>
      <c r="NWA53" s="49"/>
      <c r="NWB53" s="50"/>
      <c r="NWC53" s="49"/>
      <c r="NWD53" s="50"/>
      <c r="NWE53" s="49"/>
      <c r="NWF53" s="50"/>
      <c r="NWG53" s="49"/>
      <c r="NWH53" s="50"/>
      <c r="NWI53" s="49"/>
      <c r="NWJ53" s="50"/>
      <c r="NWK53" s="49"/>
      <c r="NWL53" s="50"/>
      <c r="NWM53" s="49"/>
      <c r="NWN53" s="50"/>
      <c r="NWO53" s="49"/>
      <c r="NWP53" s="50"/>
      <c r="NWQ53" s="49"/>
      <c r="NWR53" s="50"/>
      <c r="NWS53" s="49"/>
      <c r="NWT53" s="50"/>
      <c r="NWU53" s="49"/>
      <c r="NWV53" s="50"/>
      <c r="NWW53" s="49"/>
      <c r="NWX53" s="50"/>
      <c r="NWY53" s="49"/>
      <c r="NWZ53" s="50"/>
      <c r="NXA53" s="49"/>
      <c r="NXB53" s="50"/>
      <c r="NXC53" s="49"/>
      <c r="NXD53" s="50"/>
      <c r="NXE53" s="49"/>
      <c r="NXF53" s="50"/>
      <c r="NXG53" s="49"/>
      <c r="NXH53" s="50"/>
      <c r="NXI53" s="49"/>
      <c r="NXJ53" s="50"/>
      <c r="NXK53" s="49"/>
      <c r="NXL53" s="50"/>
      <c r="NXM53" s="49"/>
      <c r="NXN53" s="50"/>
      <c r="NXO53" s="49"/>
      <c r="NXP53" s="50"/>
      <c r="NXQ53" s="49"/>
      <c r="NXR53" s="50"/>
      <c r="NXS53" s="49"/>
      <c r="NXT53" s="50"/>
      <c r="NXU53" s="49"/>
      <c r="NXV53" s="50"/>
      <c r="NXW53" s="49"/>
      <c r="NXX53" s="50"/>
      <c r="NXY53" s="49"/>
      <c r="NXZ53" s="50"/>
      <c r="NYA53" s="49"/>
      <c r="NYB53" s="50"/>
      <c r="NYC53" s="49"/>
      <c r="NYD53" s="50"/>
      <c r="NYE53" s="49"/>
      <c r="NYF53" s="50"/>
      <c r="NYG53" s="49"/>
      <c r="NYH53" s="50"/>
      <c r="NYI53" s="49"/>
      <c r="NYJ53" s="50"/>
      <c r="NYK53" s="49"/>
      <c r="NYL53" s="50"/>
      <c r="NYM53" s="49"/>
      <c r="NYN53" s="50"/>
      <c r="NYO53" s="49"/>
      <c r="NYP53" s="50"/>
      <c r="NYQ53" s="49"/>
      <c r="NYR53" s="50"/>
      <c r="NYS53" s="49"/>
      <c r="NYT53" s="50"/>
      <c r="NYU53" s="49"/>
      <c r="NYV53" s="50"/>
      <c r="NYW53" s="49"/>
      <c r="NYX53" s="50"/>
      <c r="NYY53" s="49"/>
      <c r="NYZ53" s="50"/>
      <c r="NZA53" s="49"/>
      <c r="NZB53" s="50"/>
      <c r="NZC53" s="49"/>
      <c r="NZD53" s="50"/>
      <c r="NZE53" s="49"/>
      <c r="NZF53" s="50"/>
      <c r="NZG53" s="49"/>
      <c r="NZH53" s="50"/>
      <c r="NZI53" s="49"/>
      <c r="NZJ53" s="50"/>
      <c r="NZK53" s="49"/>
      <c r="NZL53" s="50"/>
      <c r="NZM53" s="49"/>
      <c r="NZN53" s="50"/>
      <c r="NZO53" s="49"/>
      <c r="NZP53" s="50"/>
      <c r="NZQ53" s="49"/>
      <c r="NZR53" s="50"/>
      <c r="NZS53" s="49"/>
      <c r="NZT53" s="50"/>
      <c r="NZU53" s="49"/>
      <c r="NZV53" s="50"/>
      <c r="NZW53" s="49"/>
      <c r="NZX53" s="50"/>
      <c r="NZY53" s="49"/>
      <c r="NZZ53" s="50"/>
      <c r="OAA53" s="49"/>
      <c r="OAB53" s="50"/>
      <c r="OAC53" s="49"/>
      <c r="OAD53" s="50"/>
      <c r="OAE53" s="49"/>
      <c r="OAF53" s="50"/>
      <c r="OAG53" s="49"/>
      <c r="OAH53" s="50"/>
      <c r="OAI53" s="49"/>
      <c r="OAJ53" s="50"/>
      <c r="OAK53" s="49"/>
      <c r="OAL53" s="50"/>
      <c r="OAM53" s="49"/>
      <c r="OAN53" s="50"/>
      <c r="OAO53" s="49"/>
      <c r="OAP53" s="50"/>
      <c r="OAQ53" s="49"/>
      <c r="OAR53" s="50"/>
      <c r="OAS53" s="49"/>
      <c r="OAT53" s="50"/>
      <c r="OAU53" s="49"/>
      <c r="OAV53" s="50"/>
      <c r="OAW53" s="49"/>
      <c r="OAX53" s="50"/>
      <c r="OAY53" s="49"/>
      <c r="OAZ53" s="50"/>
      <c r="OBA53" s="49"/>
      <c r="OBB53" s="50"/>
      <c r="OBC53" s="49"/>
      <c r="OBD53" s="50"/>
      <c r="OBE53" s="49"/>
      <c r="OBF53" s="50"/>
      <c r="OBG53" s="49"/>
      <c r="OBH53" s="50"/>
      <c r="OBI53" s="49"/>
      <c r="OBJ53" s="50"/>
      <c r="OBK53" s="49"/>
      <c r="OBL53" s="50"/>
      <c r="OBM53" s="49"/>
      <c r="OBN53" s="50"/>
      <c r="OBO53" s="49"/>
      <c r="OBP53" s="50"/>
      <c r="OBQ53" s="49"/>
      <c r="OBR53" s="50"/>
      <c r="OBS53" s="49"/>
      <c r="OBT53" s="50"/>
      <c r="OBU53" s="49"/>
      <c r="OBV53" s="50"/>
      <c r="OBW53" s="49"/>
      <c r="OBX53" s="50"/>
      <c r="OBY53" s="49"/>
      <c r="OBZ53" s="50"/>
      <c r="OCA53" s="49"/>
      <c r="OCB53" s="50"/>
      <c r="OCC53" s="49"/>
      <c r="OCD53" s="50"/>
      <c r="OCE53" s="49"/>
      <c r="OCF53" s="50"/>
      <c r="OCG53" s="49"/>
      <c r="OCH53" s="50"/>
      <c r="OCI53" s="49"/>
      <c r="OCJ53" s="50"/>
      <c r="OCK53" s="49"/>
      <c r="OCL53" s="50"/>
      <c r="OCM53" s="49"/>
      <c r="OCN53" s="50"/>
      <c r="OCO53" s="49"/>
      <c r="OCP53" s="50"/>
      <c r="OCQ53" s="49"/>
      <c r="OCR53" s="50"/>
      <c r="OCS53" s="49"/>
      <c r="OCT53" s="50"/>
      <c r="OCU53" s="49"/>
      <c r="OCV53" s="50"/>
      <c r="OCW53" s="49"/>
      <c r="OCX53" s="50"/>
      <c r="OCY53" s="49"/>
      <c r="OCZ53" s="50"/>
      <c r="ODA53" s="49"/>
      <c r="ODB53" s="50"/>
      <c r="ODC53" s="49"/>
      <c r="ODD53" s="50"/>
      <c r="ODE53" s="49"/>
      <c r="ODF53" s="50"/>
      <c r="ODG53" s="49"/>
      <c r="ODH53" s="50"/>
      <c r="ODI53" s="49"/>
      <c r="ODJ53" s="50"/>
      <c r="ODK53" s="49"/>
      <c r="ODL53" s="50"/>
      <c r="ODM53" s="49"/>
      <c r="ODN53" s="50"/>
      <c r="ODO53" s="49"/>
      <c r="ODP53" s="50"/>
      <c r="ODQ53" s="49"/>
      <c r="ODR53" s="50"/>
      <c r="ODS53" s="49"/>
      <c r="ODT53" s="50"/>
      <c r="ODU53" s="49"/>
      <c r="ODV53" s="50"/>
      <c r="ODW53" s="49"/>
      <c r="ODX53" s="50"/>
      <c r="ODY53" s="49"/>
      <c r="ODZ53" s="50"/>
      <c r="OEA53" s="49"/>
      <c r="OEB53" s="50"/>
      <c r="OEC53" s="49"/>
      <c r="OED53" s="50"/>
      <c r="OEE53" s="49"/>
      <c r="OEF53" s="50"/>
      <c r="OEG53" s="49"/>
      <c r="OEH53" s="50"/>
      <c r="OEI53" s="49"/>
      <c r="OEJ53" s="50"/>
      <c r="OEK53" s="49"/>
      <c r="OEL53" s="50"/>
      <c r="OEM53" s="49"/>
      <c r="OEN53" s="50"/>
      <c r="OEO53" s="49"/>
      <c r="OEP53" s="50"/>
      <c r="OEQ53" s="49"/>
      <c r="OER53" s="50"/>
      <c r="OES53" s="49"/>
      <c r="OET53" s="50"/>
      <c r="OEU53" s="49"/>
      <c r="OEV53" s="50"/>
      <c r="OEW53" s="49"/>
      <c r="OEX53" s="50"/>
      <c r="OEY53" s="49"/>
      <c r="OEZ53" s="50"/>
      <c r="OFA53" s="49"/>
      <c r="OFB53" s="50"/>
      <c r="OFC53" s="49"/>
      <c r="OFD53" s="50"/>
      <c r="OFE53" s="49"/>
      <c r="OFF53" s="50"/>
      <c r="OFG53" s="49"/>
      <c r="OFH53" s="50"/>
      <c r="OFI53" s="49"/>
      <c r="OFJ53" s="50"/>
      <c r="OFK53" s="49"/>
      <c r="OFL53" s="50"/>
      <c r="OFM53" s="49"/>
      <c r="OFN53" s="50"/>
      <c r="OFO53" s="49"/>
      <c r="OFP53" s="50"/>
      <c r="OFQ53" s="49"/>
      <c r="OFR53" s="50"/>
      <c r="OFS53" s="49"/>
      <c r="OFT53" s="50"/>
      <c r="OFU53" s="49"/>
      <c r="OFV53" s="50"/>
      <c r="OFW53" s="49"/>
      <c r="OFX53" s="50"/>
      <c r="OFY53" s="49"/>
      <c r="OFZ53" s="50"/>
      <c r="OGA53" s="49"/>
      <c r="OGB53" s="50"/>
      <c r="OGC53" s="49"/>
      <c r="OGD53" s="50"/>
      <c r="OGE53" s="49"/>
      <c r="OGF53" s="50"/>
      <c r="OGG53" s="49"/>
      <c r="OGH53" s="50"/>
      <c r="OGI53" s="49"/>
      <c r="OGJ53" s="50"/>
      <c r="OGK53" s="49"/>
      <c r="OGL53" s="50"/>
      <c r="OGM53" s="49"/>
      <c r="OGN53" s="50"/>
      <c r="OGO53" s="49"/>
      <c r="OGP53" s="50"/>
      <c r="OGQ53" s="49"/>
      <c r="OGR53" s="50"/>
      <c r="OGS53" s="49"/>
      <c r="OGT53" s="50"/>
      <c r="OGU53" s="49"/>
      <c r="OGV53" s="50"/>
      <c r="OGW53" s="49"/>
      <c r="OGX53" s="50"/>
      <c r="OGY53" s="49"/>
      <c r="OGZ53" s="50"/>
      <c r="OHA53" s="49"/>
      <c r="OHB53" s="50"/>
      <c r="OHC53" s="49"/>
      <c r="OHD53" s="50"/>
      <c r="OHE53" s="49"/>
      <c r="OHF53" s="50"/>
      <c r="OHG53" s="49"/>
      <c r="OHH53" s="50"/>
      <c r="OHI53" s="49"/>
      <c r="OHJ53" s="50"/>
      <c r="OHK53" s="49"/>
      <c r="OHL53" s="50"/>
      <c r="OHM53" s="49"/>
      <c r="OHN53" s="50"/>
      <c r="OHO53" s="49"/>
      <c r="OHP53" s="50"/>
      <c r="OHQ53" s="49"/>
      <c r="OHR53" s="50"/>
      <c r="OHS53" s="49"/>
      <c r="OHT53" s="50"/>
      <c r="OHU53" s="49"/>
      <c r="OHV53" s="50"/>
      <c r="OHW53" s="49"/>
      <c r="OHX53" s="50"/>
      <c r="OHY53" s="49"/>
      <c r="OHZ53" s="50"/>
      <c r="OIA53" s="49"/>
      <c r="OIB53" s="50"/>
      <c r="OIC53" s="49"/>
      <c r="OID53" s="50"/>
      <c r="OIE53" s="49"/>
      <c r="OIF53" s="50"/>
      <c r="OIG53" s="49"/>
      <c r="OIH53" s="50"/>
      <c r="OII53" s="49"/>
      <c r="OIJ53" s="50"/>
      <c r="OIK53" s="49"/>
      <c r="OIL53" s="50"/>
      <c r="OIM53" s="49"/>
      <c r="OIN53" s="50"/>
      <c r="OIO53" s="49"/>
      <c r="OIP53" s="50"/>
      <c r="OIQ53" s="49"/>
      <c r="OIR53" s="50"/>
      <c r="OIS53" s="49"/>
      <c r="OIT53" s="50"/>
      <c r="OIU53" s="49"/>
      <c r="OIV53" s="50"/>
      <c r="OIW53" s="49"/>
      <c r="OIX53" s="50"/>
      <c r="OIY53" s="49"/>
      <c r="OIZ53" s="50"/>
      <c r="OJA53" s="49"/>
      <c r="OJB53" s="50"/>
      <c r="OJC53" s="49"/>
      <c r="OJD53" s="50"/>
      <c r="OJE53" s="49"/>
      <c r="OJF53" s="50"/>
      <c r="OJG53" s="49"/>
      <c r="OJH53" s="50"/>
      <c r="OJI53" s="49"/>
      <c r="OJJ53" s="50"/>
      <c r="OJK53" s="49"/>
      <c r="OJL53" s="50"/>
      <c r="OJM53" s="49"/>
      <c r="OJN53" s="50"/>
      <c r="OJO53" s="49"/>
      <c r="OJP53" s="50"/>
      <c r="OJQ53" s="49"/>
      <c r="OJR53" s="50"/>
      <c r="OJS53" s="49"/>
      <c r="OJT53" s="50"/>
      <c r="OJU53" s="49"/>
      <c r="OJV53" s="50"/>
      <c r="OJW53" s="49"/>
      <c r="OJX53" s="50"/>
      <c r="OJY53" s="49"/>
      <c r="OJZ53" s="50"/>
      <c r="OKA53" s="49"/>
      <c r="OKB53" s="50"/>
      <c r="OKC53" s="49"/>
      <c r="OKD53" s="50"/>
      <c r="OKE53" s="49"/>
      <c r="OKF53" s="50"/>
      <c r="OKG53" s="49"/>
      <c r="OKH53" s="50"/>
      <c r="OKI53" s="49"/>
      <c r="OKJ53" s="50"/>
      <c r="OKK53" s="49"/>
      <c r="OKL53" s="50"/>
      <c r="OKM53" s="49"/>
      <c r="OKN53" s="50"/>
      <c r="OKO53" s="49"/>
      <c r="OKP53" s="50"/>
      <c r="OKQ53" s="49"/>
      <c r="OKR53" s="50"/>
      <c r="OKS53" s="49"/>
      <c r="OKT53" s="50"/>
      <c r="OKU53" s="49"/>
      <c r="OKV53" s="50"/>
      <c r="OKW53" s="49"/>
      <c r="OKX53" s="50"/>
      <c r="OKY53" s="49"/>
      <c r="OKZ53" s="50"/>
      <c r="OLA53" s="49"/>
      <c r="OLB53" s="50"/>
      <c r="OLC53" s="49"/>
      <c r="OLD53" s="50"/>
      <c r="OLE53" s="49"/>
      <c r="OLF53" s="50"/>
      <c r="OLG53" s="49"/>
      <c r="OLH53" s="50"/>
      <c r="OLI53" s="49"/>
      <c r="OLJ53" s="50"/>
      <c r="OLK53" s="49"/>
      <c r="OLL53" s="50"/>
      <c r="OLM53" s="49"/>
      <c r="OLN53" s="50"/>
      <c r="OLO53" s="49"/>
      <c r="OLP53" s="50"/>
      <c r="OLQ53" s="49"/>
      <c r="OLR53" s="50"/>
      <c r="OLS53" s="49"/>
      <c r="OLT53" s="50"/>
      <c r="OLU53" s="49"/>
      <c r="OLV53" s="50"/>
      <c r="OLW53" s="49"/>
      <c r="OLX53" s="50"/>
      <c r="OLY53" s="49"/>
      <c r="OLZ53" s="50"/>
      <c r="OMA53" s="49"/>
      <c r="OMB53" s="50"/>
      <c r="OMC53" s="49"/>
      <c r="OMD53" s="50"/>
      <c r="OME53" s="49"/>
      <c r="OMF53" s="50"/>
      <c r="OMG53" s="49"/>
      <c r="OMH53" s="50"/>
      <c r="OMI53" s="49"/>
      <c r="OMJ53" s="50"/>
      <c r="OMK53" s="49"/>
      <c r="OML53" s="50"/>
      <c r="OMM53" s="49"/>
      <c r="OMN53" s="50"/>
      <c r="OMO53" s="49"/>
      <c r="OMP53" s="50"/>
      <c r="OMQ53" s="49"/>
      <c r="OMR53" s="50"/>
      <c r="OMS53" s="49"/>
      <c r="OMT53" s="50"/>
      <c r="OMU53" s="49"/>
      <c r="OMV53" s="50"/>
      <c r="OMW53" s="49"/>
      <c r="OMX53" s="50"/>
      <c r="OMY53" s="49"/>
      <c r="OMZ53" s="50"/>
      <c r="ONA53" s="49"/>
      <c r="ONB53" s="50"/>
      <c r="ONC53" s="49"/>
      <c r="OND53" s="50"/>
      <c r="ONE53" s="49"/>
      <c r="ONF53" s="50"/>
      <c r="ONG53" s="49"/>
      <c r="ONH53" s="50"/>
      <c r="ONI53" s="49"/>
      <c r="ONJ53" s="50"/>
      <c r="ONK53" s="49"/>
      <c r="ONL53" s="50"/>
      <c r="ONM53" s="49"/>
      <c r="ONN53" s="50"/>
      <c r="ONO53" s="49"/>
      <c r="ONP53" s="50"/>
      <c r="ONQ53" s="49"/>
      <c r="ONR53" s="50"/>
      <c r="ONS53" s="49"/>
      <c r="ONT53" s="50"/>
      <c r="ONU53" s="49"/>
      <c r="ONV53" s="50"/>
      <c r="ONW53" s="49"/>
      <c r="ONX53" s="50"/>
      <c r="ONY53" s="49"/>
      <c r="ONZ53" s="50"/>
      <c r="OOA53" s="49"/>
      <c r="OOB53" s="50"/>
      <c r="OOC53" s="49"/>
      <c r="OOD53" s="50"/>
      <c r="OOE53" s="49"/>
      <c r="OOF53" s="50"/>
      <c r="OOG53" s="49"/>
      <c r="OOH53" s="50"/>
      <c r="OOI53" s="49"/>
      <c r="OOJ53" s="50"/>
      <c r="OOK53" s="49"/>
      <c r="OOL53" s="50"/>
      <c r="OOM53" s="49"/>
      <c r="OON53" s="50"/>
      <c r="OOO53" s="49"/>
      <c r="OOP53" s="50"/>
      <c r="OOQ53" s="49"/>
      <c r="OOR53" s="50"/>
      <c r="OOS53" s="49"/>
      <c r="OOT53" s="50"/>
      <c r="OOU53" s="49"/>
      <c r="OOV53" s="50"/>
      <c r="OOW53" s="49"/>
      <c r="OOX53" s="50"/>
      <c r="OOY53" s="49"/>
      <c r="OOZ53" s="50"/>
      <c r="OPA53" s="49"/>
      <c r="OPB53" s="50"/>
      <c r="OPC53" s="49"/>
      <c r="OPD53" s="50"/>
      <c r="OPE53" s="49"/>
      <c r="OPF53" s="50"/>
      <c r="OPG53" s="49"/>
      <c r="OPH53" s="50"/>
      <c r="OPI53" s="49"/>
      <c r="OPJ53" s="50"/>
      <c r="OPK53" s="49"/>
      <c r="OPL53" s="50"/>
      <c r="OPM53" s="49"/>
      <c r="OPN53" s="50"/>
      <c r="OPO53" s="49"/>
      <c r="OPP53" s="50"/>
      <c r="OPQ53" s="49"/>
      <c r="OPR53" s="50"/>
      <c r="OPS53" s="49"/>
      <c r="OPT53" s="50"/>
      <c r="OPU53" s="49"/>
      <c r="OPV53" s="50"/>
      <c r="OPW53" s="49"/>
      <c r="OPX53" s="50"/>
      <c r="OPY53" s="49"/>
      <c r="OPZ53" s="50"/>
      <c r="OQA53" s="49"/>
      <c r="OQB53" s="50"/>
      <c r="OQC53" s="49"/>
      <c r="OQD53" s="50"/>
      <c r="OQE53" s="49"/>
      <c r="OQF53" s="50"/>
      <c r="OQG53" s="49"/>
      <c r="OQH53" s="50"/>
      <c r="OQI53" s="49"/>
      <c r="OQJ53" s="50"/>
      <c r="OQK53" s="49"/>
      <c r="OQL53" s="50"/>
      <c r="OQM53" s="49"/>
      <c r="OQN53" s="50"/>
      <c r="OQO53" s="49"/>
      <c r="OQP53" s="50"/>
      <c r="OQQ53" s="49"/>
      <c r="OQR53" s="50"/>
      <c r="OQS53" s="49"/>
      <c r="OQT53" s="50"/>
      <c r="OQU53" s="49"/>
      <c r="OQV53" s="50"/>
      <c r="OQW53" s="49"/>
      <c r="OQX53" s="50"/>
      <c r="OQY53" s="49"/>
      <c r="OQZ53" s="50"/>
      <c r="ORA53" s="49"/>
      <c r="ORB53" s="50"/>
      <c r="ORC53" s="49"/>
      <c r="ORD53" s="50"/>
      <c r="ORE53" s="49"/>
      <c r="ORF53" s="50"/>
      <c r="ORG53" s="49"/>
      <c r="ORH53" s="50"/>
      <c r="ORI53" s="49"/>
      <c r="ORJ53" s="50"/>
      <c r="ORK53" s="49"/>
      <c r="ORL53" s="50"/>
      <c r="ORM53" s="49"/>
      <c r="ORN53" s="50"/>
      <c r="ORO53" s="49"/>
      <c r="ORP53" s="50"/>
      <c r="ORQ53" s="49"/>
      <c r="ORR53" s="50"/>
      <c r="ORS53" s="49"/>
      <c r="ORT53" s="50"/>
      <c r="ORU53" s="49"/>
      <c r="ORV53" s="50"/>
      <c r="ORW53" s="49"/>
      <c r="ORX53" s="50"/>
      <c r="ORY53" s="49"/>
      <c r="ORZ53" s="50"/>
      <c r="OSA53" s="49"/>
      <c r="OSB53" s="50"/>
      <c r="OSC53" s="49"/>
      <c r="OSD53" s="50"/>
      <c r="OSE53" s="49"/>
      <c r="OSF53" s="50"/>
      <c r="OSG53" s="49"/>
      <c r="OSH53" s="50"/>
      <c r="OSI53" s="49"/>
      <c r="OSJ53" s="50"/>
      <c r="OSK53" s="49"/>
      <c r="OSL53" s="50"/>
      <c r="OSM53" s="49"/>
      <c r="OSN53" s="50"/>
      <c r="OSO53" s="49"/>
      <c r="OSP53" s="50"/>
      <c r="OSQ53" s="49"/>
      <c r="OSR53" s="50"/>
      <c r="OSS53" s="49"/>
      <c r="OST53" s="50"/>
      <c r="OSU53" s="49"/>
      <c r="OSV53" s="50"/>
      <c r="OSW53" s="49"/>
      <c r="OSX53" s="50"/>
      <c r="OSY53" s="49"/>
      <c r="OSZ53" s="50"/>
      <c r="OTA53" s="49"/>
      <c r="OTB53" s="50"/>
      <c r="OTC53" s="49"/>
      <c r="OTD53" s="50"/>
      <c r="OTE53" s="49"/>
      <c r="OTF53" s="50"/>
      <c r="OTG53" s="49"/>
      <c r="OTH53" s="50"/>
      <c r="OTI53" s="49"/>
      <c r="OTJ53" s="50"/>
      <c r="OTK53" s="49"/>
      <c r="OTL53" s="50"/>
      <c r="OTM53" s="49"/>
      <c r="OTN53" s="50"/>
      <c r="OTO53" s="49"/>
      <c r="OTP53" s="50"/>
      <c r="OTQ53" s="49"/>
      <c r="OTR53" s="50"/>
      <c r="OTS53" s="49"/>
      <c r="OTT53" s="50"/>
      <c r="OTU53" s="49"/>
      <c r="OTV53" s="50"/>
      <c r="OTW53" s="49"/>
      <c r="OTX53" s="50"/>
      <c r="OTY53" s="49"/>
      <c r="OTZ53" s="50"/>
      <c r="OUA53" s="49"/>
      <c r="OUB53" s="50"/>
      <c r="OUC53" s="49"/>
      <c r="OUD53" s="50"/>
      <c r="OUE53" s="49"/>
      <c r="OUF53" s="50"/>
      <c r="OUG53" s="49"/>
      <c r="OUH53" s="50"/>
      <c r="OUI53" s="49"/>
      <c r="OUJ53" s="50"/>
      <c r="OUK53" s="49"/>
      <c r="OUL53" s="50"/>
      <c r="OUM53" s="49"/>
      <c r="OUN53" s="50"/>
      <c r="OUO53" s="49"/>
      <c r="OUP53" s="50"/>
      <c r="OUQ53" s="49"/>
      <c r="OUR53" s="50"/>
      <c r="OUS53" s="49"/>
      <c r="OUT53" s="50"/>
      <c r="OUU53" s="49"/>
      <c r="OUV53" s="50"/>
      <c r="OUW53" s="49"/>
      <c r="OUX53" s="50"/>
      <c r="OUY53" s="49"/>
      <c r="OUZ53" s="50"/>
      <c r="OVA53" s="49"/>
      <c r="OVB53" s="50"/>
      <c r="OVC53" s="49"/>
      <c r="OVD53" s="50"/>
      <c r="OVE53" s="49"/>
      <c r="OVF53" s="50"/>
      <c r="OVG53" s="49"/>
      <c r="OVH53" s="50"/>
      <c r="OVI53" s="49"/>
      <c r="OVJ53" s="50"/>
      <c r="OVK53" s="49"/>
      <c r="OVL53" s="50"/>
      <c r="OVM53" s="49"/>
      <c r="OVN53" s="50"/>
      <c r="OVO53" s="49"/>
      <c r="OVP53" s="50"/>
      <c r="OVQ53" s="49"/>
      <c r="OVR53" s="50"/>
      <c r="OVS53" s="49"/>
      <c r="OVT53" s="50"/>
      <c r="OVU53" s="49"/>
      <c r="OVV53" s="50"/>
      <c r="OVW53" s="49"/>
      <c r="OVX53" s="50"/>
      <c r="OVY53" s="49"/>
      <c r="OVZ53" s="50"/>
      <c r="OWA53" s="49"/>
      <c r="OWB53" s="50"/>
      <c r="OWC53" s="49"/>
      <c r="OWD53" s="50"/>
      <c r="OWE53" s="49"/>
      <c r="OWF53" s="50"/>
      <c r="OWG53" s="49"/>
      <c r="OWH53" s="50"/>
      <c r="OWI53" s="49"/>
      <c r="OWJ53" s="50"/>
      <c r="OWK53" s="49"/>
      <c r="OWL53" s="50"/>
      <c r="OWM53" s="49"/>
      <c r="OWN53" s="50"/>
      <c r="OWO53" s="49"/>
      <c r="OWP53" s="50"/>
      <c r="OWQ53" s="49"/>
      <c r="OWR53" s="50"/>
      <c r="OWS53" s="49"/>
      <c r="OWT53" s="50"/>
      <c r="OWU53" s="49"/>
      <c r="OWV53" s="50"/>
      <c r="OWW53" s="49"/>
      <c r="OWX53" s="50"/>
      <c r="OWY53" s="49"/>
      <c r="OWZ53" s="50"/>
      <c r="OXA53" s="49"/>
      <c r="OXB53" s="50"/>
      <c r="OXC53" s="49"/>
      <c r="OXD53" s="50"/>
      <c r="OXE53" s="49"/>
      <c r="OXF53" s="50"/>
      <c r="OXG53" s="49"/>
      <c r="OXH53" s="50"/>
      <c r="OXI53" s="49"/>
      <c r="OXJ53" s="50"/>
      <c r="OXK53" s="49"/>
      <c r="OXL53" s="50"/>
      <c r="OXM53" s="49"/>
      <c r="OXN53" s="50"/>
      <c r="OXO53" s="49"/>
      <c r="OXP53" s="50"/>
      <c r="OXQ53" s="49"/>
      <c r="OXR53" s="50"/>
      <c r="OXS53" s="49"/>
      <c r="OXT53" s="50"/>
      <c r="OXU53" s="49"/>
      <c r="OXV53" s="50"/>
      <c r="OXW53" s="49"/>
      <c r="OXX53" s="50"/>
      <c r="OXY53" s="49"/>
      <c r="OXZ53" s="50"/>
      <c r="OYA53" s="49"/>
      <c r="OYB53" s="50"/>
      <c r="OYC53" s="49"/>
      <c r="OYD53" s="50"/>
      <c r="OYE53" s="49"/>
      <c r="OYF53" s="50"/>
      <c r="OYG53" s="49"/>
      <c r="OYH53" s="50"/>
      <c r="OYI53" s="49"/>
      <c r="OYJ53" s="50"/>
      <c r="OYK53" s="49"/>
      <c r="OYL53" s="50"/>
      <c r="OYM53" s="49"/>
      <c r="OYN53" s="50"/>
      <c r="OYO53" s="49"/>
      <c r="OYP53" s="50"/>
      <c r="OYQ53" s="49"/>
      <c r="OYR53" s="50"/>
      <c r="OYS53" s="49"/>
      <c r="OYT53" s="50"/>
      <c r="OYU53" s="49"/>
      <c r="OYV53" s="50"/>
      <c r="OYW53" s="49"/>
      <c r="OYX53" s="50"/>
      <c r="OYY53" s="49"/>
      <c r="OYZ53" s="50"/>
      <c r="OZA53" s="49"/>
      <c r="OZB53" s="50"/>
      <c r="OZC53" s="49"/>
      <c r="OZD53" s="50"/>
      <c r="OZE53" s="49"/>
      <c r="OZF53" s="50"/>
      <c r="OZG53" s="49"/>
      <c r="OZH53" s="50"/>
      <c r="OZI53" s="49"/>
      <c r="OZJ53" s="50"/>
      <c r="OZK53" s="49"/>
      <c r="OZL53" s="50"/>
      <c r="OZM53" s="49"/>
      <c r="OZN53" s="50"/>
      <c r="OZO53" s="49"/>
      <c r="OZP53" s="50"/>
      <c r="OZQ53" s="49"/>
      <c r="OZR53" s="50"/>
      <c r="OZS53" s="49"/>
      <c r="OZT53" s="50"/>
      <c r="OZU53" s="49"/>
      <c r="OZV53" s="50"/>
      <c r="OZW53" s="49"/>
      <c r="OZX53" s="50"/>
      <c r="OZY53" s="49"/>
      <c r="OZZ53" s="50"/>
      <c r="PAA53" s="49"/>
      <c r="PAB53" s="50"/>
      <c r="PAC53" s="49"/>
      <c r="PAD53" s="50"/>
      <c r="PAE53" s="49"/>
      <c r="PAF53" s="50"/>
      <c r="PAG53" s="49"/>
      <c r="PAH53" s="50"/>
      <c r="PAI53" s="49"/>
      <c r="PAJ53" s="50"/>
      <c r="PAK53" s="49"/>
      <c r="PAL53" s="50"/>
      <c r="PAM53" s="49"/>
      <c r="PAN53" s="50"/>
      <c r="PAO53" s="49"/>
      <c r="PAP53" s="50"/>
      <c r="PAQ53" s="49"/>
      <c r="PAR53" s="50"/>
      <c r="PAS53" s="49"/>
      <c r="PAT53" s="50"/>
      <c r="PAU53" s="49"/>
      <c r="PAV53" s="50"/>
      <c r="PAW53" s="49"/>
      <c r="PAX53" s="50"/>
      <c r="PAY53" s="49"/>
      <c r="PAZ53" s="50"/>
      <c r="PBA53" s="49"/>
      <c r="PBB53" s="50"/>
      <c r="PBC53" s="49"/>
      <c r="PBD53" s="50"/>
      <c r="PBE53" s="49"/>
      <c r="PBF53" s="50"/>
      <c r="PBG53" s="49"/>
      <c r="PBH53" s="50"/>
      <c r="PBI53" s="49"/>
      <c r="PBJ53" s="50"/>
      <c r="PBK53" s="49"/>
      <c r="PBL53" s="50"/>
      <c r="PBM53" s="49"/>
      <c r="PBN53" s="50"/>
      <c r="PBO53" s="49"/>
      <c r="PBP53" s="50"/>
      <c r="PBQ53" s="49"/>
      <c r="PBR53" s="50"/>
      <c r="PBS53" s="49"/>
      <c r="PBT53" s="50"/>
      <c r="PBU53" s="49"/>
      <c r="PBV53" s="50"/>
      <c r="PBW53" s="49"/>
      <c r="PBX53" s="50"/>
      <c r="PBY53" s="49"/>
      <c r="PBZ53" s="50"/>
      <c r="PCA53" s="49"/>
      <c r="PCB53" s="50"/>
      <c r="PCC53" s="49"/>
      <c r="PCD53" s="50"/>
      <c r="PCE53" s="49"/>
      <c r="PCF53" s="50"/>
      <c r="PCG53" s="49"/>
      <c r="PCH53" s="50"/>
      <c r="PCI53" s="49"/>
      <c r="PCJ53" s="50"/>
      <c r="PCK53" s="49"/>
      <c r="PCL53" s="50"/>
      <c r="PCM53" s="49"/>
      <c r="PCN53" s="50"/>
      <c r="PCO53" s="49"/>
      <c r="PCP53" s="50"/>
      <c r="PCQ53" s="49"/>
      <c r="PCR53" s="50"/>
      <c r="PCS53" s="49"/>
      <c r="PCT53" s="50"/>
      <c r="PCU53" s="49"/>
      <c r="PCV53" s="50"/>
      <c r="PCW53" s="49"/>
      <c r="PCX53" s="50"/>
      <c r="PCY53" s="49"/>
      <c r="PCZ53" s="50"/>
      <c r="PDA53" s="49"/>
      <c r="PDB53" s="50"/>
      <c r="PDC53" s="49"/>
      <c r="PDD53" s="50"/>
      <c r="PDE53" s="49"/>
      <c r="PDF53" s="50"/>
      <c r="PDG53" s="49"/>
      <c r="PDH53" s="50"/>
      <c r="PDI53" s="49"/>
      <c r="PDJ53" s="50"/>
      <c r="PDK53" s="49"/>
      <c r="PDL53" s="50"/>
      <c r="PDM53" s="49"/>
      <c r="PDN53" s="50"/>
      <c r="PDO53" s="49"/>
      <c r="PDP53" s="50"/>
      <c r="PDQ53" s="49"/>
      <c r="PDR53" s="50"/>
      <c r="PDS53" s="49"/>
      <c r="PDT53" s="50"/>
      <c r="PDU53" s="49"/>
      <c r="PDV53" s="50"/>
      <c r="PDW53" s="49"/>
      <c r="PDX53" s="50"/>
      <c r="PDY53" s="49"/>
      <c r="PDZ53" s="50"/>
      <c r="PEA53" s="49"/>
      <c r="PEB53" s="50"/>
      <c r="PEC53" s="49"/>
      <c r="PED53" s="50"/>
      <c r="PEE53" s="49"/>
      <c r="PEF53" s="50"/>
      <c r="PEG53" s="49"/>
      <c r="PEH53" s="50"/>
      <c r="PEI53" s="49"/>
      <c r="PEJ53" s="50"/>
      <c r="PEK53" s="49"/>
      <c r="PEL53" s="50"/>
      <c r="PEM53" s="49"/>
      <c r="PEN53" s="50"/>
      <c r="PEO53" s="49"/>
      <c r="PEP53" s="50"/>
      <c r="PEQ53" s="49"/>
      <c r="PER53" s="50"/>
      <c r="PES53" s="49"/>
      <c r="PET53" s="50"/>
      <c r="PEU53" s="49"/>
      <c r="PEV53" s="50"/>
      <c r="PEW53" s="49"/>
      <c r="PEX53" s="50"/>
      <c r="PEY53" s="49"/>
      <c r="PEZ53" s="50"/>
      <c r="PFA53" s="49"/>
      <c r="PFB53" s="50"/>
      <c r="PFC53" s="49"/>
      <c r="PFD53" s="50"/>
      <c r="PFE53" s="49"/>
      <c r="PFF53" s="50"/>
      <c r="PFG53" s="49"/>
      <c r="PFH53" s="50"/>
      <c r="PFI53" s="49"/>
      <c r="PFJ53" s="50"/>
      <c r="PFK53" s="49"/>
      <c r="PFL53" s="50"/>
      <c r="PFM53" s="49"/>
      <c r="PFN53" s="50"/>
      <c r="PFO53" s="49"/>
      <c r="PFP53" s="50"/>
      <c r="PFQ53" s="49"/>
      <c r="PFR53" s="50"/>
      <c r="PFS53" s="49"/>
      <c r="PFT53" s="50"/>
      <c r="PFU53" s="49"/>
      <c r="PFV53" s="50"/>
      <c r="PFW53" s="49"/>
      <c r="PFX53" s="50"/>
      <c r="PFY53" s="49"/>
      <c r="PFZ53" s="50"/>
      <c r="PGA53" s="49"/>
      <c r="PGB53" s="50"/>
      <c r="PGC53" s="49"/>
      <c r="PGD53" s="50"/>
      <c r="PGE53" s="49"/>
      <c r="PGF53" s="50"/>
      <c r="PGG53" s="49"/>
      <c r="PGH53" s="50"/>
      <c r="PGI53" s="49"/>
      <c r="PGJ53" s="50"/>
      <c r="PGK53" s="49"/>
      <c r="PGL53" s="50"/>
      <c r="PGM53" s="49"/>
      <c r="PGN53" s="50"/>
      <c r="PGO53" s="49"/>
      <c r="PGP53" s="50"/>
      <c r="PGQ53" s="49"/>
      <c r="PGR53" s="50"/>
      <c r="PGS53" s="49"/>
      <c r="PGT53" s="50"/>
      <c r="PGU53" s="49"/>
      <c r="PGV53" s="50"/>
      <c r="PGW53" s="49"/>
      <c r="PGX53" s="50"/>
      <c r="PGY53" s="49"/>
      <c r="PGZ53" s="50"/>
      <c r="PHA53" s="49"/>
      <c r="PHB53" s="50"/>
      <c r="PHC53" s="49"/>
      <c r="PHD53" s="50"/>
      <c r="PHE53" s="49"/>
      <c r="PHF53" s="50"/>
      <c r="PHG53" s="49"/>
      <c r="PHH53" s="50"/>
      <c r="PHI53" s="49"/>
      <c r="PHJ53" s="50"/>
      <c r="PHK53" s="49"/>
      <c r="PHL53" s="50"/>
      <c r="PHM53" s="49"/>
      <c r="PHN53" s="50"/>
      <c r="PHO53" s="49"/>
      <c r="PHP53" s="50"/>
      <c r="PHQ53" s="49"/>
      <c r="PHR53" s="50"/>
      <c r="PHS53" s="49"/>
      <c r="PHT53" s="50"/>
      <c r="PHU53" s="49"/>
      <c r="PHV53" s="50"/>
      <c r="PHW53" s="49"/>
      <c r="PHX53" s="50"/>
      <c r="PHY53" s="49"/>
      <c r="PHZ53" s="50"/>
      <c r="PIA53" s="49"/>
      <c r="PIB53" s="50"/>
      <c r="PIC53" s="49"/>
      <c r="PID53" s="50"/>
      <c r="PIE53" s="49"/>
      <c r="PIF53" s="50"/>
      <c r="PIG53" s="49"/>
      <c r="PIH53" s="50"/>
      <c r="PII53" s="49"/>
      <c r="PIJ53" s="50"/>
      <c r="PIK53" s="49"/>
      <c r="PIL53" s="50"/>
      <c r="PIM53" s="49"/>
      <c r="PIN53" s="50"/>
      <c r="PIO53" s="49"/>
      <c r="PIP53" s="50"/>
      <c r="PIQ53" s="49"/>
      <c r="PIR53" s="50"/>
      <c r="PIS53" s="49"/>
      <c r="PIT53" s="50"/>
      <c r="PIU53" s="49"/>
      <c r="PIV53" s="50"/>
      <c r="PIW53" s="49"/>
      <c r="PIX53" s="50"/>
      <c r="PIY53" s="49"/>
      <c r="PIZ53" s="50"/>
      <c r="PJA53" s="49"/>
      <c r="PJB53" s="50"/>
      <c r="PJC53" s="49"/>
      <c r="PJD53" s="50"/>
      <c r="PJE53" s="49"/>
      <c r="PJF53" s="50"/>
      <c r="PJG53" s="49"/>
      <c r="PJH53" s="50"/>
      <c r="PJI53" s="49"/>
      <c r="PJJ53" s="50"/>
      <c r="PJK53" s="49"/>
      <c r="PJL53" s="50"/>
      <c r="PJM53" s="49"/>
      <c r="PJN53" s="50"/>
      <c r="PJO53" s="49"/>
      <c r="PJP53" s="50"/>
      <c r="PJQ53" s="49"/>
      <c r="PJR53" s="50"/>
      <c r="PJS53" s="49"/>
      <c r="PJT53" s="50"/>
      <c r="PJU53" s="49"/>
      <c r="PJV53" s="50"/>
      <c r="PJW53" s="49"/>
      <c r="PJX53" s="50"/>
      <c r="PJY53" s="49"/>
      <c r="PJZ53" s="50"/>
      <c r="PKA53" s="49"/>
      <c r="PKB53" s="50"/>
      <c r="PKC53" s="49"/>
      <c r="PKD53" s="50"/>
      <c r="PKE53" s="49"/>
      <c r="PKF53" s="50"/>
      <c r="PKG53" s="49"/>
      <c r="PKH53" s="50"/>
      <c r="PKI53" s="49"/>
      <c r="PKJ53" s="50"/>
      <c r="PKK53" s="49"/>
      <c r="PKL53" s="50"/>
      <c r="PKM53" s="49"/>
      <c r="PKN53" s="50"/>
      <c r="PKO53" s="49"/>
      <c r="PKP53" s="50"/>
      <c r="PKQ53" s="49"/>
      <c r="PKR53" s="50"/>
      <c r="PKS53" s="49"/>
      <c r="PKT53" s="50"/>
      <c r="PKU53" s="49"/>
      <c r="PKV53" s="50"/>
      <c r="PKW53" s="49"/>
      <c r="PKX53" s="50"/>
      <c r="PKY53" s="49"/>
      <c r="PKZ53" s="50"/>
      <c r="PLA53" s="49"/>
      <c r="PLB53" s="50"/>
      <c r="PLC53" s="49"/>
      <c r="PLD53" s="50"/>
      <c r="PLE53" s="49"/>
      <c r="PLF53" s="50"/>
      <c r="PLG53" s="49"/>
      <c r="PLH53" s="50"/>
      <c r="PLI53" s="49"/>
      <c r="PLJ53" s="50"/>
      <c r="PLK53" s="49"/>
      <c r="PLL53" s="50"/>
      <c r="PLM53" s="49"/>
      <c r="PLN53" s="50"/>
      <c r="PLO53" s="49"/>
      <c r="PLP53" s="50"/>
      <c r="PLQ53" s="49"/>
      <c r="PLR53" s="50"/>
      <c r="PLS53" s="49"/>
      <c r="PLT53" s="50"/>
      <c r="PLU53" s="49"/>
      <c r="PLV53" s="50"/>
      <c r="PLW53" s="49"/>
      <c r="PLX53" s="50"/>
      <c r="PLY53" s="49"/>
      <c r="PLZ53" s="50"/>
      <c r="PMA53" s="49"/>
      <c r="PMB53" s="50"/>
      <c r="PMC53" s="49"/>
      <c r="PMD53" s="50"/>
      <c r="PME53" s="49"/>
      <c r="PMF53" s="50"/>
      <c r="PMG53" s="49"/>
      <c r="PMH53" s="50"/>
      <c r="PMI53" s="49"/>
      <c r="PMJ53" s="50"/>
      <c r="PMK53" s="49"/>
      <c r="PML53" s="50"/>
      <c r="PMM53" s="49"/>
      <c r="PMN53" s="50"/>
      <c r="PMO53" s="49"/>
      <c r="PMP53" s="50"/>
      <c r="PMQ53" s="49"/>
      <c r="PMR53" s="50"/>
      <c r="PMS53" s="49"/>
      <c r="PMT53" s="50"/>
      <c r="PMU53" s="49"/>
      <c r="PMV53" s="50"/>
      <c r="PMW53" s="49"/>
      <c r="PMX53" s="50"/>
      <c r="PMY53" s="49"/>
      <c r="PMZ53" s="50"/>
      <c r="PNA53" s="49"/>
      <c r="PNB53" s="50"/>
      <c r="PNC53" s="49"/>
      <c r="PND53" s="50"/>
      <c r="PNE53" s="49"/>
      <c r="PNF53" s="50"/>
      <c r="PNG53" s="49"/>
      <c r="PNH53" s="50"/>
      <c r="PNI53" s="49"/>
      <c r="PNJ53" s="50"/>
      <c r="PNK53" s="49"/>
      <c r="PNL53" s="50"/>
      <c r="PNM53" s="49"/>
      <c r="PNN53" s="50"/>
      <c r="PNO53" s="49"/>
      <c r="PNP53" s="50"/>
      <c r="PNQ53" s="49"/>
      <c r="PNR53" s="50"/>
      <c r="PNS53" s="49"/>
      <c r="PNT53" s="50"/>
      <c r="PNU53" s="49"/>
      <c r="PNV53" s="50"/>
      <c r="PNW53" s="49"/>
      <c r="PNX53" s="50"/>
      <c r="PNY53" s="49"/>
      <c r="PNZ53" s="50"/>
      <c r="POA53" s="49"/>
      <c r="POB53" s="50"/>
      <c r="POC53" s="49"/>
      <c r="POD53" s="50"/>
      <c r="POE53" s="49"/>
      <c r="POF53" s="50"/>
      <c r="POG53" s="49"/>
      <c r="POH53" s="50"/>
      <c r="POI53" s="49"/>
      <c r="POJ53" s="50"/>
      <c r="POK53" s="49"/>
      <c r="POL53" s="50"/>
      <c r="POM53" s="49"/>
      <c r="PON53" s="50"/>
      <c r="POO53" s="49"/>
      <c r="POP53" s="50"/>
      <c r="POQ53" s="49"/>
      <c r="POR53" s="50"/>
      <c r="POS53" s="49"/>
      <c r="POT53" s="50"/>
      <c r="POU53" s="49"/>
      <c r="POV53" s="50"/>
      <c r="POW53" s="49"/>
      <c r="POX53" s="50"/>
      <c r="POY53" s="49"/>
      <c r="POZ53" s="50"/>
      <c r="PPA53" s="49"/>
      <c r="PPB53" s="50"/>
      <c r="PPC53" s="49"/>
      <c r="PPD53" s="50"/>
      <c r="PPE53" s="49"/>
      <c r="PPF53" s="50"/>
      <c r="PPG53" s="49"/>
      <c r="PPH53" s="50"/>
      <c r="PPI53" s="49"/>
      <c r="PPJ53" s="50"/>
      <c r="PPK53" s="49"/>
      <c r="PPL53" s="50"/>
      <c r="PPM53" s="49"/>
      <c r="PPN53" s="50"/>
      <c r="PPO53" s="49"/>
      <c r="PPP53" s="50"/>
      <c r="PPQ53" s="49"/>
      <c r="PPR53" s="50"/>
      <c r="PPS53" s="49"/>
      <c r="PPT53" s="50"/>
      <c r="PPU53" s="49"/>
      <c r="PPV53" s="50"/>
      <c r="PPW53" s="49"/>
      <c r="PPX53" s="50"/>
      <c r="PPY53" s="49"/>
      <c r="PPZ53" s="50"/>
      <c r="PQA53" s="49"/>
      <c r="PQB53" s="50"/>
      <c r="PQC53" s="49"/>
      <c r="PQD53" s="50"/>
      <c r="PQE53" s="49"/>
      <c r="PQF53" s="50"/>
      <c r="PQG53" s="49"/>
      <c r="PQH53" s="50"/>
      <c r="PQI53" s="49"/>
      <c r="PQJ53" s="50"/>
      <c r="PQK53" s="49"/>
      <c r="PQL53" s="50"/>
      <c r="PQM53" s="49"/>
      <c r="PQN53" s="50"/>
      <c r="PQO53" s="49"/>
      <c r="PQP53" s="50"/>
      <c r="PQQ53" s="49"/>
      <c r="PQR53" s="50"/>
      <c r="PQS53" s="49"/>
      <c r="PQT53" s="50"/>
      <c r="PQU53" s="49"/>
      <c r="PQV53" s="50"/>
      <c r="PQW53" s="49"/>
      <c r="PQX53" s="50"/>
      <c r="PQY53" s="49"/>
      <c r="PQZ53" s="50"/>
      <c r="PRA53" s="49"/>
      <c r="PRB53" s="50"/>
      <c r="PRC53" s="49"/>
      <c r="PRD53" s="50"/>
      <c r="PRE53" s="49"/>
      <c r="PRF53" s="50"/>
      <c r="PRG53" s="49"/>
      <c r="PRH53" s="50"/>
      <c r="PRI53" s="49"/>
      <c r="PRJ53" s="50"/>
      <c r="PRK53" s="49"/>
      <c r="PRL53" s="50"/>
      <c r="PRM53" s="49"/>
      <c r="PRN53" s="50"/>
      <c r="PRO53" s="49"/>
      <c r="PRP53" s="50"/>
      <c r="PRQ53" s="49"/>
      <c r="PRR53" s="50"/>
      <c r="PRS53" s="49"/>
      <c r="PRT53" s="50"/>
      <c r="PRU53" s="49"/>
      <c r="PRV53" s="50"/>
      <c r="PRW53" s="49"/>
      <c r="PRX53" s="50"/>
      <c r="PRY53" s="49"/>
      <c r="PRZ53" s="50"/>
      <c r="PSA53" s="49"/>
      <c r="PSB53" s="50"/>
      <c r="PSC53" s="49"/>
      <c r="PSD53" s="50"/>
      <c r="PSE53" s="49"/>
      <c r="PSF53" s="50"/>
      <c r="PSG53" s="49"/>
      <c r="PSH53" s="50"/>
      <c r="PSI53" s="49"/>
      <c r="PSJ53" s="50"/>
      <c r="PSK53" s="49"/>
      <c r="PSL53" s="50"/>
      <c r="PSM53" s="49"/>
      <c r="PSN53" s="50"/>
      <c r="PSO53" s="49"/>
      <c r="PSP53" s="50"/>
      <c r="PSQ53" s="49"/>
      <c r="PSR53" s="50"/>
      <c r="PSS53" s="49"/>
      <c r="PST53" s="50"/>
      <c r="PSU53" s="49"/>
      <c r="PSV53" s="50"/>
      <c r="PSW53" s="49"/>
      <c r="PSX53" s="50"/>
      <c r="PSY53" s="49"/>
      <c r="PSZ53" s="50"/>
      <c r="PTA53" s="49"/>
      <c r="PTB53" s="50"/>
      <c r="PTC53" s="49"/>
      <c r="PTD53" s="50"/>
      <c r="PTE53" s="49"/>
      <c r="PTF53" s="50"/>
      <c r="PTG53" s="49"/>
      <c r="PTH53" s="50"/>
      <c r="PTI53" s="49"/>
      <c r="PTJ53" s="50"/>
      <c r="PTK53" s="49"/>
      <c r="PTL53" s="50"/>
      <c r="PTM53" s="49"/>
      <c r="PTN53" s="50"/>
      <c r="PTO53" s="49"/>
      <c r="PTP53" s="50"/>
      <c r="PTQ53" s="49"/>
      <c r="PTR53" s="50"/>
      <c r="PTS53" s="49"/>
      <c r="PTT53" s="50"/>
      <c r="PTU53" s="49"/>
      <c r="PTV53" s="50"/>
      <c r="PTW53" s="49"/>
      <c r="PTX53" s="50"/>
      <c r="PTY53" s="49"/>
      <c r="PTZ53" s="50"/>
      <c r="PUA53" s="49"/>
      <c r="PUB53" s="50"/>
      <c r="PUC53" s="49"/>
      <c r="PUD53" s="50"/>
      <c r="PUE53" s="49"/>
      <c r="PUF53" s="50"/>
      <c r="PUG53" s="49"/>
      <c r="PUH53" s="50"/>
      <c r="PUI53" s="49"/>
      <c r="PUJ53" s="50"/>
      <c r="PUK53" s="49"/>
      <c r="PUL53" s="50"/>
      <c r="PUM53" s="49"/>
      <c r="PUN53" s="50"/>
      <c r="PUO53" s="49"/>
      <c r="PUP53" s="50"/>
      <c r="PUQ53" s="49"/>
      <c r="PUR53" s="50"/>
      <c r="PUS53" s="49"/>
      <c r="PUT53" s="50"/>
      <c r="PUU53" s="49"/>
      <c r="PUV53" s="50"/>
      <c r="PUW53" s="49"/>
      <c r="PUX53" s="50"/>
      <c r="PUY53" s="49"/>
      <c r="PUZ53" s="50"/>
      <c r="PVA53" s="49"/>
      <c r="PVB53" s="50"/>
      <c r="PVC53" s="49"/>
      <c r="PVD53" s="50"/>
      <c r="PVE53" s="49"/>
      <c r="PVF53" s="50"/>
      <c r="PVG53" s="49"/>
      <c r="PVH53" s="50"/>
      <c r="PVI53" s="49"/>
      <c r="PVJ53" s="50"/>
      <c r="PVK53" s="49"/>
      <c r="PVL53" s="50"/>
      <c r="PVM53" s="49"/>
      <c r="PVN53" s="50"/>
      <c r="PVO53" s="49"/>
      <c r="PVP53" s="50"/>
      <c r="PVQ53" s="49"/>
      <c r="PVR53" s="50"/>
      <c r="PVS53" s="49"/>
      <c r="PVT53" s="50"/>
      <c r="PVU53" s="49"/>
      <c r="PVV53" s="50"/>
      <c r="PVW53" s="49"/>
      <c r="PVX53" s="50"/>
      <c r="PVY53" s="49"/>
      <c r="PVZ53" s="50"/>
      <c r="PWA53" s="49"/>
      <c r="PWB53" s="50"/>
      <c r="PWC53" s="49"/>
      <c r="PWD53" s="50"/>
      <c r="PWE53" s="49"/>
      <c r="PWF53" s="50"/>
      <c r="PWG53" s="49"/>
      <c r="PWH53" s="50"/>
      <c r="PWI53" s="49"/>
      <c r="PWJ53" s="50"/>
      <c r="PWK53" s="49"/>
      <c r="PWL53" s="50"/>
      <c r="PWM53" s="49"/>
      <c r="PWN53" s="50"/>
      <c r="PWO53" s="49"/>
      <c r="PWP53" s="50"/>
      <c r="PWQ53" s="49"/>
      <c r="PWR53" s="50"/>
      <c r="PWS53" s="49"/>
      <c r="PWT53" s="50"/>
      <c r="PWU53" s="49"/>
      <c r="PWV53" s="50"/>
      <c r="PWW53" s="49"/>
      <c r="PWX53" s="50"/>
      <c r="PWY53" s="49"/>
      <c r="PWZ53" s="50"/>
      <c r="PXA53" s="49"/>
      <c r="PXB53" s="50"/>
      <c r="PXC53" s="49"/>
      <c r="PXD53" s="50"/>
      <c r="PXE53" s="49"/>
      <c r="PXF53" s="50"/>
      <c r="PXG53" s="49"/>
      <c r="PXH53" s="50"/>
      <c r="PXI53" s="49"/>
      <c r="PXJ53" s="50"/>
      <c r="PXK53" s="49"/>
      <c r="PXL53" s="50"/>
      <c r="PXM53" s="49"/>
      <c r="PXN53" s="50"/>
      <c r="PXO53" s="49"/>
      <c r="PXP53" s="50"/>
      <c r="PXQ53" s="49"/>
      <c r="PXR53" s="50"/>
      <c r="PXS53" s="49"/>
      <c r="PXT53" s="50"/>
      <c r="PXU53" s="49"/>
      <c r="PXV53" s="50"/>
      <c r="PXW53" s="49"/>
      <c r="PXX53" s="50"/>
      <c r="PXY53" s="49"/>
      <c r="PXZ53" s="50"/>
      <c r="PYA53" s="49"/>
      <c r="PYB53" s="50"/>
      <c r="PYC53" s="49"/>
      <c r="PYD53" s="50"/>
      <c r="PYE53" s="49"/>
      <c r="PYF53" s="50"/>
      <c r="PYG53" s="49"/>
      <c r="PYH53" s="50"/>
      <c r="PYI53" s="49"/>
      <c r="PYJ53" s="50"/>
      <c r="PYK53" s="49"/>
      <c r="PYL53" s="50"/>
      <c r="PYM53" s="49"/>
      <c r="PYN53" s="50"/>
      <c r="PYO53" s="49"/>
      <c r="PYP53" s="50"/>
      <c r="PYQ53" s="49"/>
      <c r="PYR53" s="50"/>
      <c r="PYS53" s="49"/>
      <c r="PYT53" s="50"/>
      <c r="PYU53" s="49"/>
      <c r="PYV53" s="50"/>
      <c r="PYW53" s="49"/>
      <c r="PYX53" s="50"/>
      <c r="PYY53" s="49"/>
      <c r="PYZ53" s="50"/>
      <c r="PZA53" s="49"/>
      <c r="PZB53" s="50"/>
      <c r="PZC53" s="49"/>
      <c r="PZD53" s="50"/>
      <c r="PZE53" s="49"/>
      <c r="PZF53" s="50"/>
      <c r="PZG53" s="49"/>
      <c r="PZH53" s="50"/>
      <c r="PZI53" s="49"/>
      <c r="PZJ53" s="50"/>
      <c r="PZK53" s="49"/>
      <c r="PZL53" s="50"/>
      <c r="PZM53" s="49"/>
      <c r="PZN53" s="50"/>
      <c r="PZO53" s="49"/>
      <c r="PZP53" s="50"/>
      <c r="PZQ53" s="49"/>
      <c r="PZR53" s="50"/>
      <c r="PZS53" s="49"/>
      <c r="PZT53" s="50"/>
      <c r="PZU53" s="49"/>
      <c r="PZV53" s="50"/>
      <c r="PZW53" s="49"/>
      <c r="PZX53" s="50"/>
      <c r="PZY53" s="49"/>
      <c r="PZZ53" s="50"/>
      <c r="QAA53" s="49"/>
      <c r="QAB53" s="50"/>
      <c r="QAC53" s="49"/>
      <c r="QAD53" s="50"/>
      <c r="QAE53" s="49"/>
      <c r="QAF53" s="50"/>
      <c r="QAG53" s="49"/>
      <c r="QAH53" s="50"/>
      <c r="QAI53" s="49"/>
      <c r="QAJ53" s="50"/>
      <c r="QAK53" s="49"/>
      <c r="QAL53" s="50"/>
      <c r="QAM53" s="49"/>
      <c r="QAN53" s="50"/>
      <c r="QAO53" s="49"/>
      <c r="QAP53" s="50"/>
      <c r="QAQ53" s="49"/>
      <c r="QAR53" s="50"/>
      <c r="QAS53" s="49"/>
      <c r="QAT53" s="50"/>
      <c r="QAU53" s="49"/>
      <c r="QAV53" s="50"/>
      <c r="QAW53" s="49"/>
      <c r="QAX53" s="50"/>
      <c r="QAY53" s="49"/>
      <c r="QAZ53" s="50"/>
      <c r="QBA53" s="49"/>
      <c r="QBB53" s="50"/>
      <c r="QBC53" s="49"/>
      <c r="QBD53" s="50"/>
      <c r="QBE53" s="49"/>
      <c r="QBF53" s="50"/>
      <c r="QBG53" s="49"/>
      <c r="QBH53" s="50"/>
      <c r="QBI53" s="49"/>
      <c r="QBJ53" s="50"/>
      <c r="QBK53" s="49"/>
      <c r="QBL53" s="50"/>
      <c r="QBM53" s="49"/>
      <c r="QBN53" s="50"/>
      <c r="QBO53" s="49"/>
      <c r="QBP53" s="50"/>
      <c r="QBQ53" s="49"/>
      <c r="QBR53" s="50"/>
      <c r="QBS53" s="49"/>
      <c r="QBT53" s="50"/>
      <c r="QBU53" s="49"/>
      <c r="QBV53" s="50"/>
      <c r="QBW53" s="49"/>
      <c r="QBX53" s="50"/>
      <c r="QBY53" s="49"/>
      <c r="QBZ53" s="50"/>
      <c r="QCA53" s="49"/>
      <c r="QCB53" s="50"/>
      <c r="QCC53" s="49"/>
      <c r="QCD53" s="50"/>
      <c r="QCE53" s="49"/>
      <c r="QCF53" s="50"/>
      <c r="QCG53" s="49"/>
      <c r="QCH53" s="50"/>
      <c r="QCI53" s="49"/>
      <c r="QCJ53" s="50"/>
      <c r="QCK53" s="49"/>
      <c r="QCL53" s="50"/>
      <c r="QCM53" s="49"/>
      <c r="QCN53" s="50"/>
      <c r="QCO53" s="49"/>
      <c r="QCP53" s="50"/>
      <c r="QCQ53" s="49"/>
      <c r="QCR53" s="50"/>
      <c r="QCS53" s="49"/>
      <c r="QCT53" s="50"/>
      <c r="QCU53" s="49"/>
      <c r="QCV53" s="50"/>
      <c r="QCW53" s="49"/>
      <c r="QCX53" s="50"/>
      <c r="QCY53" s="49"/>
      <c r="QCZ53" s="50"/>
      <c r="QDA53" s="49"/>
      <c r="QDB53" s="50"/>
      <c r="QDC53" s="49"/>
      <c r="QDD53" s="50"/>
      <c r="QDE53" s="49"/>
      <c r="QDF53" s="50"/>
      <c r="QDG53" s="49"/>
      <c r="QDH53" s="50"/>
      <c r="QDI53" s="49"/>
      <c r="QDJ53" s="50"/>
      <c r="QDK53" s="49"/>
      <c r="QDL53" s="50"/>
      <c r="QDM53" s="49"/>
      <c r="QDN53" s="50"/>
      <c r="QDO53" s="49"/>
      <c r="QDP53" s="50"/>
      <c r="QDQ53" s="49"/>
      <c r="QDR53" s="50"/>
      <c r="QDS53" s="49"/>
      <c r="QDT53" s="50"/>
      <c r="QDU53" s="49"/>
      <c r="QDV53" s="50"/>
      <c r="QDW53" s="49"/>
      <c r="QDX53" s="50"/>
      <c r="QDY53" s="49"/>
      <c r="QDZ53" s="50"/>
      <c r="QEA53" s="49"/>
      <c r="QEB53" s="50"/>
      <c r="QEC53" s="49"/>
      <c r="QED53" s="50"/>
      <c r="QEE53" s="49"/>
      <c r="QEF53" s="50"/>
      <c r="QEG53" s="49"/>
      <c r="QEH53" s="50"/>
      <c r="QEI53" s="49"/>
      <c r="QEJ53" s="50"/>
      <c r="QEK53" s="49"/>
      <c r="QEL53" s="50"/>
      <c r="QEM53" s="49"/>
      <c r="QEN53" s="50"/>
      <c r="QEO53" s="49"/>
      <c r="QEP53" s="50"/>
      <c r="QEQ53" s="49"/>
      <c r="QER53" s="50"/>
      <c r="QES53" s="49"/>
      <c r="QET53" s="50"/>
      <c r="QEU53" s="49"/>
      <c r="QEV53" s="50"/>
      <c r="QEW53" s="49"/>
      <c r="QEX53" s="50"/>
      <c r="QEY53" s="49"/>
      <c r="QEZ53" s="50"/>
      <c r="QFA53" s="49"/>
      <c r="QFB53" s="50"/>
      <c r="QFC53" s="49"/>
      <c r="QFD53" s="50"/>
      <c r="QFE53" s="49"/>
      <c r="QFF53" s="50"/>
      <c r="QFG53" s="49"/>
      <c r="QFH53" s="50"/>
      <c r="QFI53" s="49"/>
      <c r="QFJ53" s="50"/>
      <c r="QFK53" s="49"/>
      <c r="QFL53" s="50"/>
      <c r="QFM53" s="49"/>
      <c r="QFN53" s="50"/>
      <c r="QFO53" s="49"/>
      <c r="QFP53" s="50"/>
      <c r="QFQ53" s="49"/>
      <c r="QFR53" s="50"/>
      <c r="QFS53" s="49"/>
      <c r="QFT53" s="50"/>
      <c r="QFU53" s="49"/>
      <c r="QFV53" s="50"/>
      <c r="QFW53" s="49"/>
      <c r="QFX53" s="50"/>
      <c r="QFY53" s="49"/>
      <c r="QFZ53" s="50"/>
      <c r="QGA53" s="49"/>
      <c r="QGB53" s="50"/>
      <c r="QGC53" s="49"/>
      <c r="QGD53" s="50"/>
      <c r="QGE53" s="49"/>
      <c r="QGF53" s="50"/>
      <c r="QGG53" s="49"/>
      <c r="QGH53" s="50"/>
      <c r="QGI53" s="49"/>
      <c r="QGJ53" s="50"/>
      <c r="QGK53" s="49"/>
      <c r="QGL53" s="50"/>
      <c r="QGM53" s="49"/>
      <c r="QGN53" s="50"/>
      <c r="QGO53" s="49"/>
      <c r="QGP53" s="50"/>
      <c r="QGQ53" s="49"/>
      <c r="QGR53" s="50"/>
      <c r="QGS53" s="49"/>
      <c r="QGT53" s="50"/>
      <c r="QGU53" s="49"/>
      <c r="QGV53" s="50"/>
      <c r="QGW53" s="49"/>
      <c r="QGX53" s="50"/>
      <c r="QGY53" s="49"/>
      <c r="QGZ53" s="50"/>
      <c r="QHA53" s="49"/>
      <c r="QHB53" s="50"/>
      <c r="QHC53" s="49"/>
      <c r="QHD53" s="50"/>
      <c r="QHE53" s="49"/>
      <c r="QHF53" s="50"/>
      <c r="QHG53" s="49"/>
      <c r="QHH53" s="50"/>
      <c r="QHI53" s="49"/>
      <c r="QHJ53" s="50"/>
      <c r="QHK53" s="49"/>
      <c r="QHL53" s="50"/>
      <c r="QHM53" s="49"/>
      <c r="QHN53" s="50"/>
      <c r="QHO53" s="49"/>
      <c r="QHP53" s="50"/>
      <c r="QHQ53" s="49"/>
      <c r="QHR53" s="50"/>
      <c r="QHS53" s="49"/>
      <c r="QHT53" s="50"/>
      <c r="QHU53" s="49"/>
      <c r="QHV53" s="50"/>
      <c r="QHW53" s="49"/>
      <c r="QHX53" s="50"/>
      <c r="QHY53" s="49"/>
      <c r="QHZ53" s="50"/>
      <c r="QIA53" s="49"/>
      <c r="QIB53" s="50"/>
      <c r="QIC53" s="49"/>
      <c r="QID53" s="50"/>
      <c r="QIE53" s="49"/>
      <c r="QIF53" s="50"/>
      <c r="QIG53" s="49"/>
      <c r="QIH53" s="50"/>
      <c r="QII53" s="49"/>
      <c r="QIJ53" s="50"/>
      <c r="QIK53" s="49"/>
      <c r="QIL53" s="50"/>
      <c r="QIM53" s="49"/>
      <c r="QIN53" s="50"/>
      <c r="QIO53" s="49"/>
      <c r="QIP53" s="50"/>
      <c r="QIQ53" s="49"/>
      <c r="QIR53" s="50"/>
      <c r="QIS53" s="49"/>
      <c r="QIT53" s="50"/>
      <c r="QIU53" s="49"/>
      <c r="QIV53" s="50"/>
      <c r="QIW53" s="49"/>
      <c r="QIX53" s="50"/>
      <c r="QIY53" s="49"/>
      <c r="QIZ53" s="50"/>
      <c r="QJA53" s="49"/>
      <c r="QJB53" s="50"/>
      <c r="QJC53" s="49"/>
      <c r="QJD53" s="50"/>
      <c r="QJE53" s="49"/>
      <c r="QJF53" s="50"/>
      <c r="QJG53" s="49"/>
      <c r="QJH53" s="50"/>
      <c r="QJI53" s="49"/>
      <c r="QJJ53" s="50"/>
      <c r="QJK53" s="49"/>
      <c r="QJL53" s="50"/>
      <c r="QJM53" s="49"/>
      <c r="QJN53" s="50"/>
      <c r="QJO53" s="49"/>
      <c r="QJP53" s="50"/>
      <c r="QJQ53" s="49"/>
      <c r="QJR53" s="50"/>
      <c r="QJS53" s="49"/>
      <c r="QJT53" s="50"/>
      <c r="QJU53" s="49"/>
      <c r="QJV53" s="50"/>
      <c r="QJW53" s="49"/>
      <c r="QJX53" s="50"/>
      <c r="QJY53" s="49"/>
      <c r="QJZ53" s="50"/>
      <c r="QKA53" s="49"/>
      <c r="QKB53" s="50"/>
      <c r="QKC53" s="49"/>
      <c r="QKD53" s="50"/>
      <c r="QKE53" s="49"/>
      <c r="QKF53" s="50"/>
      <c r="QKG53" s="49"/>
      <c r="QKH53" s="50"/>
      <c r="QKI53" s="49"/>
      <c r="QKJ53" s="50"/>
      <c r="QKK53" s="49"/>
      <c r="QKL53" s="50"/>
      <c r="QKM53" s="49"/>
      <c r="QKN53" s="50"/>
      <c r="QKO53" s="49"/>
      <c r="QKP53" s="50"/>
      <c r="QKQ53" s="49"/>
      <c r="QKR53" s="50"/>
      <c r="QKS53" s="49"/>
      <c r="QKT53" s="50"/>
      <c r="QKU53" s="49"/>
      <c r="QKV53" s="50"/>
      <c r="QKW53" s="49"/>
      <c r="QKX53" s="50"/>
      <c r="QKY53" s="49"/>
      <c r="QKZ53" s="50"/>
      <c r="QLA53" s="49"/>
      <c r="QLB53" s="50"/>
      <c r="QLC53" s="49"/>
      <c r="QLD53" s="50"/>
      <c r="QLE53" s="49"/>
      <c r="QLF53" s="50"/>
      <c r="QLG53" s="49"/>
      <c r="QLH53" s="50"/>
      <c r="QLI53" s="49"/>
      <c r="QLJ53" s="50"/>
      <c r="QLK53" s="49"/>
      <c r="QLL53" s="50"/>
      <c r="QLM53" s="49"/>
      <c r="QLN53" s="50"/>
      <c r="QLO53" s="49"/>
      <c r="QLP53" s="50"/>
      <c r="QLQ53" s="49"/>
      <c r="QLR53" s="50"/>
      <c r="QLS53" s="49"/>
      <c r="QLT53" s="50"/>
      <c r="QLU53" s="49"/>
      <c r="QLV53" s="50"/>
      <c r="QLW53" s="49"/>
      <c r="QLX53" s="50"/>
      <c r="QLY53" s="49"/>
      <c r="QLZ53" s="50"/>
      <c r="QMA53" s="49"/>
      <c r="QMB53" s="50"/>
      <c r="QMC53" s="49"/>
      <c r="QMD53" s="50"/>
      <c r="QME53" s="49"/>
      <c r="QMF53" s="50"/>
      <c r="QMG53" s="49"/>
      <c r="QMH53" s="50"/>
      <c r="QMI53" s="49"/>
      <c r="QMJ53" s="50"/>
      <c r="QMK53" s="49"/>
      <c r="QML53" s="50"/>
      <c r="QMM53" s="49"/>
      <c r="QMN53" s="50"/>
      <c r="QMO53" s="49"/>
      <c r="QMP53" s="50"/>
      <c r="QMQ53" s="49"/>
      <c r="QMR53" s="50"/>
      <c r="QMS53" s="49"/>
      <c r="QMT53" s="50"/>
      <c r="QMU53" s="49"/>
      <c r="QMV53" s="50"/>
      <c r="QMW53" s="49"/>
      <c r="QMX53" s="50"/>
      <c r="QMY53" s="49"/>
      <c r="QMZ53" s="50"/>
      <c r="QNA53" s="49"/>
      <c r="QNB53" s="50"/>
      <c r="QNC53" s="49"/>
      <c r="QND53" s="50"/>
      <c r="QNE53" s="49"/>
      <c r="QNF53" s="50"/>
      <c r="QNG53" s="49"/>
      <c r="QNH53" s="50"/>
      <c r="QNI53" s="49"/>
      <c r="QNJ53" s="50"/>
      <c r="QNK53" s="49"/>
      <c r="QNL53" s="50"/>
      <c r="QNM53" s="49"/>
      <c r="QNN53" s="50"/>
      <c r="QNO53" s="49"/>
      <c r="QNP53" s="50"/>
      <c r="QNQ53" s="49"/>
      <c r="QNR53" s="50"/>
      <c r="QNS53" s="49"/>
      <c r="QNT53" s="50"/>
      <c r="QNU53" s="49"/>
      <c r="QNV53" s="50"/>
      <c r="QNW53" s="49"/>
      <c r="QNX53" s="50"/>
      <c r="QNY53" s="49"/>
      <c r="QNZ53" s="50"/>
      <c r="QOA53" s="49"/>
      <c r="QOB53" s="50"/>
      <c r="QOC53" s="49"/>
      <c r="QOD53" s="50"/>
      <c r="QOE53" s="49"/>
      <c r="QOF53" s="50"/>
      <c r="QOG53" s="49"/>
      <c r="QOH53" s="50"/>
      <c r="QOI53" s="49"/>
      <c r="QOJ53" s="50"/>
      <c r="QOK53" s="49"/>
      <c r="QOL53" s="50"/>
      <c r="QOM53" s="49"/>
      <c r="QON53" s="50"/>
      <c r="QOO53" s="49"/>
      <c r="QOP53" s="50"/>
      <c r="QOQ53" s="49"/>
      <c r="QOR53" s="50"/>
      <c r="QOS53" s="49"/>
      <c r="QOT53" s="50"/>
      <c r="QOU53" s="49"/>
      <c r="QOV53" s="50"/>
      <c r="QOW53" s="49"/>
      <c r="QOX53" s="50"/>
      <c r="QOY53" s="49"/>
      <c r="QOZ53" s="50"/>
      <c r="QPA53" s="49"/>
      <c r="QPB53" s="50"/>
      <c r="QPC53" s="49"/>
      <c r="QPD53" s="50"/>
      <c r="QPE53" s="49"/>
      <c r="QPF53" s="50"/>
      <c r="QPG53" s="49"/>
      <c r="QPH53" s="50"/>
      <c r="QPI53" s="49"/>
      <c r="QPJ53" s="50"/>
      <c r="QPK53" s="49"/>
      <c r="QPL53" s="50"/>
      <c r="QPM53" s="49"/>
      <c r="QPN53" s="50"/>
      <c r="QPO53" s="49"/>
      <c r="QPP53" s="50"/>
      <c r="QPQ53" s="49"/>
      <c r="QPR53" s="50"/>
      <c r="QPS53" s="49"/>
      <c r="QPT53" s="50"/>
      <c r="QPU53" s="49"/>
      <c r="QPV53" s="50"/>
      <c r="QPW53" s="49"/>
      <c r="QPX53" s="50"/>
      <c r="QPY53" s="49"/>
      <c r="QPZ53" s="50"/>
      <c r="QQA53" s="49"/>
      <c r="QQB53" s="50"/>
      <c r="QQC53" s="49"/>
      <c r="QQD53" s="50"/>
      <c r="QQE53" s="49"/>
      <c r="QQF53" s="50"/>
      <c r="QQG53" s="49"/>
      <c r="QQH53" s="50"/>
      <c r="QQI53" s="49"/>
      <c r="QQJ53" s="50"/>
      <c r="QQK53" s="49"/>
      <c r="QQL53" s="50"/>
      <c r="QQM53" s="49"/>
      <c r="QQN53" s="50"/>
      <c r="QQO53" s="49"/>
      <c r="QQP53" s="50"/>
      <c r="QQQ53" s="49"/>
      <c r="QQR53" s="50"/>
      <c r="QQS53" s="49"/>
      <c r="QQT53" s="50"/>
      <c r="QQU53" s="49"/>
      <c r="QQV53" s="50"/>
      <c r="QQW53" s="49"/>
      <c r="QQX53" s="50"/>
      <c r="QQY53" s="49"/>
      <c r="QQZ53" s="50"/>
      <c r="QRA53" s="49"/>
      <c r="QRB53" s="50"/>
      <c r="QRC53" s="49"/>
      <c r="QRD53" s="50"/>
      <c r="QRE53" s="49"/>
      <c r="QRF53" s="50"/>
      <c r="QRG53" s="49"/>
      <c r="QRH53" s="50"/>
      <c r="QRI53" s="49"/>
      <c r="QRJ53" s="50"/>
      <c r="QRK53" s="49"/>
      <c r="QRL53" s="50"/>
      <c r="QRM53" s="49"/>
      <c r="QRN53" s="50"/>
      <c r="QRO53" s="49"/>
      <c r="QRP53" s="50"/>
      <c r="QRQ53" s="49"/>
      <c r="QRR53" s="50"/>
      <c r="QRS53" s="49"/>
      <c r="QRT53" s="50"/>
      <c r="QRU53" s="49"/>
      <c r="QRV53" s="50"/>
      <c r="QRW53" s="49"/>
      <c r="QRX53" s="50"/>
      <c r="QRY53" s="49"/>
      <c r="QRZ53" s="50"/>
      <c r="QSA53" s="49"/>
      <c r="QSB53" s="50"/>
      <c r="QSC53" s="49"/>
      <c r="QSD53" s="50"/>
      <c r="QSE53" s="49"/>
      <c r="QSF53" s="50"/>
      <c r="QSG53" s="49"/>
      <c r="QSH53" s="50"/>
      <c r="QSI53" s="49"/>
      <c r="QSJ53" s="50"/>
      <c r="QSK53" s="49"/>
      <c r="QSL53" s="50"/>
      <c r="QSM53" s="49"/>
      <c r="QSN53" s="50"/>
      <c r="QSO53" s="49"/>
      <c r="QSP53" s="50"/>
      <c r="QSQ53" s="49"/>
      <c r="QSR53" s="50"/>
      <c r="QSS53" s="49"/>
      <c r="QST53" s="50"/>
      <c r="QSU53" s="49"/>
      <c r="QSV53" s="50"/>
      <c r="QSW53" s="49"/>
      <c r="QSX53" s="50"/>
      <c r="QSY53" s="49"/>
      <c r="QSZ53" s="50"/>
      <c r="QTA53" s="49"/>
      <c r="QTB53" s="50"/>
      <c r="QTC53" s="49"/>
      <c r="QTD53" s="50"/>
      <c r="QTE53" s="49"/>
      <c r="QTF53" s="50"/>
      <c r="QTG53" s="49"/>
      <c r="QTH53" s="50"/>
      <c r="QTI53" s="49"/>
      <c r="QTJ53" s="50"/>
      <c r="QTK53" s="49"/>
      <c r="QTL53" s="50"/>
      <c r="QTM53" s="49"/>
      <c r="QTN53" s="50"/>
      <c r="QTO53" s="49"/>
      <c r="QTP53" s="50"/>
      <c r="QTQ53" s="49"/>
      <c r="QTR53" s="50"/>
      <c r="QTS53" s="49"/>
      <c r="QTT53" s="50"/>
      <c r="QTU53" s="49"/>
      <c r="QTV53" s="50"/>
      <c r="QTW53" s="49"/>
      <c r="QTX53" s="50"/>
      <c r="QTY53" s="49"/>
      <c r="QTZ53" s="50"/>
      <c r="QUA53" s="49"/>
      <c r="QUB53" s="50"/>
      <c r="QUC53" s="49"/>
      <c r="QUD53" s="50"/>
      <c r="QUE53" s="49"/>
      <c r="QUF53" s="50"/>
      <c r="QUG53" s="49"/>
      <c r="QUH53" s="50"/>
      <c r="QUI53" s="49"/>
      <c r="QUJ53" s="50"/>
      <c r="QUK53" s="49"/>
      <c r="QUL53" s="50"/>
      <c r="QUM53" s="49"/>
      <c r="QUN53" s="50"/>
      <c r="QUO53" s="49"/>
      <c r="QUP53" s="50"/>
      <c r="QUQ53" s="49"/>
      <c r="QUR53" s="50"/>
      <c r="QUS53" s="49"/>
      <c r="QUT53" s="50"/>
      <c r="QUU53" s="49"/>
      <c r="QUV53" s="50"/>
      <c r="QUW53" s="49"/>
      <c r="QUX53" s="50"/>
      <c r="QUY53" s="49"/>
      <c r="QUZ53" s="50"/>
      <c r="QVA53" s="49"/>
      <c r="QVB53" s="50"/>
      <c r="QVC53" s="49"/>
      <c r="QVD53" s="50"/>
      <c r="QVE53" s="49"/>
      <c r="QVF53" s="50"/>
      <c r="QVG53" s="49"/>
      <c r="QVH53" s="50"/>
      <c r="QVI53" s="49"/>
      <c r="QVJ53" s="50"/>
      <c r="QVK53" s="49"/>
      <c r="QVL53" s="50"/>
      <c r="QVM53" s="49"/>
      <c r="QVN53" s="50"/>
      <c r="QVO53" s="49"/>
      <c r="QVP53" s="50"/>
      <c r="QVQ53" s="49"/>
      <c r="QVR53" s="50"/>
      <c r="QVS53" s="49"/>
      <c r="QVT53" s="50"/>
      <c r="QVU53" s="49"/>
      <c r="QVV53" s="50"/>
      <c r="QVW53" s="49"/>
      <c r="QVX53" s="50"/>
      <c r="QVY53" s="49"/>
      <c r="QVZ53" s="50"/>
      <c r="QWA53" s="49"/>
      <c r="QWB53" s="50"/>
      <c r="QWC53" s="49"/>
      <c r="QWD53" s="50"/>
      <c r="QWE53" s="49"/>
      <c r="QWF53" s="50"/>
      <c r="QWG53" s="49"/>
      <c r="QWH53" s="50"/>
      <c r="QWI53" s="49"/>
      <c r="QWJ53" s="50"/>
      <c r="QWK53" s="49"/>
      <c r="QWL53" s="50"/>
      <c r="QWM53" s="49"/>
      <c r="QWN53" s="50"/>
      <c r="QWO53" s="49"/>
      <c r="QWP53" s="50"/>
      <c r="QWQ53" s="49"/>
      <c r="QWR53" s="50"/>
      <c r="QWS53" s="49"/>
      <c r="QWT53" s="50"/>
      <c r="QWU53" s="49"/>
      <c r="QWV53" s="50"/>
      <c r="QWW53" s="49"/>
      <c r="QWX53" s="50"/>
      <c r="QWY53" s="49"/>
      <c r="QWZ53" s="50"/>
      <c r="QXA53" s="49"/>
      <c r="QXB53" s="50"/>
      <c r="QXC53" s="49"/>
      <c r="QXD53" s="50"/>
      <c r="QXE53" s="49"/>
      <c r="QXF53" s="50"/>
      <c r="QXG53" s="49"/>
      <c r="QXH53" s="50"/>
      <c r="QXI53" s="49"/>
      <c r="QXJ53" s="50"/>
      <c r="QXK53" s="49"/>
      <c r="QXL53" s="50"/>
      <c r="QXM53" s="49"/>
      <c r="QXN53" s="50"/>
      <c r="QXO53" s="49"/>
      <c r="QXP53" s="50"/>
      <c r="QXQ53" s="49"/>
      <c r="QXR53" s="50"/>
      <c r="QXS53" s="49"/>
      <c r="QXT53" s="50"/>
      <c r="QXU53" s="49"/>
      <c r="QXV53" s="50"/>
      <c r="QXW53" s="49"/>
      <c r="QXX53" s="50"/>
      <c r="QXY53" s="49"/>
      <c r="QXZ53" s="50"/>
      <c r="QYA53" s="49"/>
      <c r="QYB53" s="50"/>
      <c r="QYC53" s="49"/>
      <c r="QYD53" s="50"/>
      <c r="QYE53" s="49"/>
      <c r="QYF53" s="50"/>
      <c r="QYG53" s="49"/>
      <c r="QYH53" s="50"/>
      <c r="QYI53" s="49"/>
      <c r="QYJ53" s="50"/>
      <c r="QYK53" s="49"/>
      <c r="QYL53" s="50"/>
      <c r="QYM53" s="49"/>
      <c r="QYN53" s="50"/>
      <c r="QYO53" s="49"/>
      <c r="QYP53" s="50"/>
      <c r="QYQ53" s="49"/>
      <c r="QYR53" s="50"/>
      <c r="QYS53" s="49"/>
      <c r="QYT53" s="50"/>
      <c r="QYU53" s="49"/>
      <c r="QYV53" s="50"/>
      <c r="QYW53" s="49"/>
      <c r="QYX53" s="50"/>
      <c r="QYY53" s="49"/>
      <c r="QYZ53" s="50"/>
      <c r="QZA53" s="49"/>
      <c r="QZB53" s="50"/>
      <c r="QZC53" s="49"/>
      <c r="QZD53" s="50"/>
      <c r="QZE53" s="49"/>
      <c r="QZF53" s="50"/>
      <c r="QZG53" s="49"/>
      <c r="QZH53" s="50"/>
      <c r="QZI53" s="49"/>
      <c r="QZJ53" s="50"/>
      <c r="QZK53" s="49"/>
      <c r="QZL53" s="50"/>
      <c r="QZM53" s="49"/>
      <c r="QZN53" s="50"/>
      <c r="QZO53" s="49"/>
      <c r="QZP53" s="50"/>
      <c r="QZQ53" s="49"/>
      <c r="QZR53" s="50"/>
      <c r="QZS53" s="49"/>
      <c r="QZT53" s="50"/>
      <c r="QZU53" s="49"/>
      <c r="QZV53" s="50"/>
      <c r="QZW53" s="49"/>
      <c r="QZX53" s="50"/>
      <c r="QZY53" s="49"/>
      <c r="QZZ53" s="50"/>
      <c r="RAA53" s="49"/>
      <c r="RAB53" s="50"/>
      <c r="RAC53" s="49"/>
      <c r="RAD53" s="50"/>
      <c r="RAE53" s="49"/>
      <c r="RAF53" s="50"/>
      <c r="RAG53" s="49"/>
      <c r="RAH53" s="50"/>
      <c r="RAI53" s="49"/>
      <c r="RAJ53" s="50"/>
      <c r="RAK53" s="49"/>
      <c r="RAL53" s="50"/>
      <c r="RAM53" s="49"/>
      <c r="RAN53" s="50"/>
      <c r="RAO53" s="49"/>
      <c r="RAP53" s="50"/>
      <c r="RAQ53" s="49"/>
      <c r="RAR53" s="50"/>
      <c r="RAS53" s="49"/>
      <c r="RAT53" s="50"/>
      <c r="RAU53" s="49"/>
      <c r="RAV53" s="50"/>
      <c r="RAW53" s="49"/>
      <c r="RAX53" s="50"/>
      <c r="RAY53" s="49"/>
      <c r="RAZ53" s="50"/>
      <c r="RBA53" s="49"/>
      <c r="RBB53" s="50"/>
      <c r="RBC53" s="49"/>
      <c r="RBD53" s="50"/>
      <c r="RBE53" s="49"/>
      <c r="RBF53" s="50"/>
      <c r="RBG53" s="49"/>
      <c r="RBH53" s="50"/>
      <c r="RBI53" s="49"/>
      <c r="RBJ53" s="50"/>
      <c r="RBK53" s="49"/>
      <c r="RBL53" s="50"/>
      <c r="RBM53" s="49"/>
      <c r="RBN53" s="50"/>
      <c r="RBO53" s="49"/>
      <c r="RBP53" s="50"/>
      <c r="RBQ53" s="49"/>
      <c r="RBR53" s="50"/>
      <c r="RBS53" s="49"/>
      <c r="RBT53" s="50"/>
      <c r="RBU53" s="49"/>
      <c r="RBV53" s="50"/>
      <c r="RBW53" s="49"/>
      <c r="RBX53" s="50"/>
      <c r="RBY53" s="49"/>
      <c r="RBZ53" s="50"/>
      <c r="RCA53" s="49"/>
      <c r="RCB53" s="50"/>
      <c r="RCC53" s="49"/>
      <c r="RCD53" s="50"/>
      <c r="RCE53" s="49"/>
      <c r="RCF53" s="50"/>
      <c r="RCG53" s="49"/>
      <c r="RCH53" s="50"/>
      <c r="RCI53" s="49"/>
      <c r="RCJ53" s="50"/>
      <c r="RCK53" s="49"/>
      <c r="RCL53" s="50"/>
      <c r="RCM53" s="49"/>
      <c r="RCN53" s="50"/>
      <c r="RCO53" s="49"/>
      <c r="RCP53" s="50"/>
      <c r="RCQ53" s="49"/>
      <c r="RCR53" s="50"/>
      <c r="RCS53" s="49"/>
      <c r="RCT53" s="50"/>
      <c r="RCU53" s="49"/>
      <c r="RCV53" s="50"/>
      <c r="RCW53" s="49"/>
      <c r="RCX53" s="50"/>
      <c r="RCY53" s="49"/>
      <c r="RCZ53" s="50"/>
      <c r="RDA53" s="49"/>
      <c r="RDB53" s="50"/>
      <c r="RDC53" s="49"/>
      <c r="RDD53" s="50"/>
      <c r="RDE53" s="49"/>
      <c r="RDF53" s="50"/>
      <c r="RDG53" s="49"/>
      <c r="RDH53" s="50"/>
      <c r="RDI53" s="49"/>
      <c r="RDJ53" s="50"/>
      <c r="RDK53" s="49"/>
      <c r="RDL53" s="50"/>
      <c r="RDM53" s="49"/>
      <c r="RDN53" s="50"/>
      <c r="RDO53" s="49"/>
      <c r="RDP53" s="50"/>
      <c r="RDQ53" s="49"/>
      <c r="RDR53" s="50"/>
      <c r="RDS53" s="49"/>
      <c r="RDT53" s="50"/>
      <c r="RDU53" s="49"/>
      <c r="RDV53" s="50"/>
      <c r="RDW53" s="49"/>
      <c r="RDX53" s="50"/>
      <c r="RDY53" s="49"/>
      <c r="RDZ53" s="50"/>
      <c r="REA53" s="49"/>
      <c r="REB53" s="50"/>
      <c r="REC53" s="49"/>
      <c r="RED53" s="50"/>
      <c r="REE53" s="49"/>
      <c r="REF53" s="50"/>
      <c r="REG53" s="49"/>
      <c r="REH53" s="50"/>
      <c r="REI53" s="49"/>
      <c r="REJ53" s="50"/>
      <c r="REK53" s="49"/>
      <c r="REL53" s="50"/>
      <c r="REM53" s="49"/>
      <c r="REN53" s="50"/>
      <c r="REO53" s="49"/>
      <c r="REP53" s="50"/>
      <c r="REQ53" s="49"/>
      <c r="RER53" s="50"/>
      <c r="RES53" s="49"/>
      <c r="RET53" s="50"/>
      <c r="REU53" s="49"/>
      <c r="REV53" s="50"/>
      <c r="REW53" s="49"/>
      <c r="REX53" s="50"/>
      <c r="REY53" s="49"/>
      <c r="REZ53" s="50"/>
      <c r="RFA53" s="49"/>
      <c r="RFB53" s="50"/>
      <c r="RFC53" s="49"/>
      <c r="RFD53" s="50"/>
      <c r="RFE53" s="49"/>
      <c r="RFF53" s="50"/>
      <c r="RFG53" s="49"/>
      <c r="RFH53" s="50"/>
      <c r="RFI53" s="49"/>
      <c r="RFJ53" s="50"/>
      <c r="RFK53" s="49"/>
      <c r="RFL53" s="50"/>
      <c r="RFM53" s="49"/>
      <c r="RFN53" s="50"/>
      <c r="RFO53" s="49"/>
      <c r="RFP53" s="50"/>
      <c r="RFQ53" s="49"/>
      <c r="RFR53" s="50"/>
      <c r="RFS53" s="49"/>
      <c r="RFT53" s="50"/>
      <c r="RFU53" s="49"/>
      <c r="RFV53" s="50"/>
      <c r="RFW53" s="49"/>
      <c r="RFX53" s="50"/>
      <c r="RFY53" s="49"/>
      <c r="RFZ53" s="50"/>
      <c r="RGA53" s="49"/>
      <c r="RGB53" s="50"/>
      <c r="RGC53" s="49"/>
      <c r="RGD53" s="50"/>
      <c r="RGE53" s="49"/>
      <c r="RGF53" s="50"/>
      <c r="RGG53" s="49"/>
      <c r="RGH53" s="50"/>
      <c r="RGI53" s="49"/>
      <c r="RGJ53" s="50"/>
      <c r="RGK53" s="49"/>
      <c r="RGL53" s="50"/>
      <c r="RGM53" s="49"/>
      <c r="RGN53" s="50"/>
      <c r="RGO53" s="49"/>
      <c r="RGP53" s="50"/>
      <c r="RGQ53" s="49"/>
      <c r="RGR53" s="50"/>
      <c r="RGS53" s="49"/>
      <c r="RGT53" s="50"/>
      <c r="RGU53" s="49"/>
      <c r="RGV53" s="50"/>
      <c r="RGW53" s="49"/>
      <c r="RGX53" s="50"/>
      <c r="RGY53" s="49"/>
      <c r="RGZ53" s="50"/>
      <c r="RHA53" s="49"/>
      <c r="RHB53" s="50"/>
      <c r="RHC53" s="49"/>
      <c r="RHD53" s="50"/>
      <c r="RHE53" s="49"/>
      <c r="RHF53" s="50"/>
      <c r="RHG53" s="49"/>
      <c r="RHH53" s="50"/>
      <c r="RHI53" s="49"/>
      <c r="RHJ53" s="50"/>
      <c r="RHK53" s="49"/>
      <c r="RHL53" s="50"/>
      <c r="RHM53" s="49"/>
      <c r="RHN53" s="50"/>
      <c r="RHO53" s="49"/>
      <c r="RHP53" s="50"/>
      <c r="RHQ53" s="49"/>
      <c r="RHR53" s="50"/>
      <c r="RHS53" s="49"/>
      <c r="RHT53" s="50"/>
      <c r="RHU53" s="49"/>
      <c r="RHV53" s="50"/>
      <c r="RHW53" s="49"/>
      <c r="RHX53" s="50"/>
      <c r="RHY53" s="49"/>
      <c r="RHZ53" s="50"/>
      <c r="RIA53" s="49"/>
      <c r="RIB53" s="50"/>
      <c r="RIC53" s="49"/>
      <c r="RID53" s="50"/>
      <c r="RIE53" s="49"/>
      <c r="RIF53" s="50"/>
      <c r="RIG53" s="49"/>
      <c r="RIH53" s="50"/>
      <c r="RII53" s="49"/>
      <c r="RIJ53" s="50"/>
      <c r="RIK53" s="49"/>
      <c r="RIL53" s="50"/>
      <c r="RIM53" s="49"/>
      <c r="RIN53" s="50"/>
      <c r="RIO53" s="49"/>
      <c r="RIP53" s="50"/>
      <c r="RIQ53" s="49"/>
      <c r="RIR53" s="50"/>
      <c r="RIS53" s="49"/>
      <c r="RIT53" s="50"/>
      <c r="RIU53" s="49"/>
      <c r="RIV53" s="50"/>
      <c r="RIW53" s="49"/>
      <c r="RIX53" s="50"/>
      <c r="RIY53" s="49"/>
      <c r="RIZ53" s="50"/>
      <c r="RJA53" s="49"/>
      <c r="RJB53" s="50"/>
      <c r="RJC53" s="49"/>
      <c r="RJD53" s="50"/>
      <c r="RJE53" s="49"/>
      <c r="RJF53" s="50"/>
      <c r="RJG53" s="49"/>
      <c r="RJH53" s="50"/>
      <c r="RJI53" s="49"/>
      <c r="RJJ53" s="50"/>
      <c r="RJK53" s="49"/>
      <c r="RJL53" s="50"/>
      <c r="RJM53" s="49"/>
      <c r="RJN53" s="50"/>
      <c r="RJO53" s="49"/>
      <c r="RJP53" s="50"/>
      <c r="RJQ53" s="49"/>
      <c r="RJR53" s="50"/>
      <c r="RJS53" s="49"/>
      <c r="RJT53" s="50"/>
      <c r="RJU53" s="49"/>
      <c r="RJV53" s="50"/>
      <c r="RJW53" s="49"/>
      <c r="RJX53" s="50"/>
      <c r="RJY53" s="49"/>
      <c r="RJZ53" s="50"/>
      <c r="RKA53" s="49"/>
      <c r="RKB53" s="50"/>
      <c r="RKC53" s="49"/>
      <c r="RKD53" s="50"/>
      <c r="RKE53" s="49"/>
      <c r="RKF53" s="50"/>
      <c r="RKG53" s="49"/>
      <c r="RKH53" s="50"/>
      <c r="RKI53" s="49"/>
      <c r="RKJ53" s="50"/>
      <c r="RKK53" s="49"/>
      <c r="RKL53" s="50"/>
      <c r="RKM53" s="49"/>
      <c r="RKN53" s="50"/>
      <c r="RKO53" s="49"/>
      <c r="RKP53" s="50"/>
      <c r="RKQ53" s="49"/>
      <c r="RKR53" s="50"/>
      <c r="RKS53" s="49"/>
      <c r="RKT53" s="50"/>
      <c r="RKU53" s="49"/>
      <c r="RKV53" s="50"/>
      <c r="RKW53" s="49"/>
      <c r="RKX53" s="50"/>
      <c r="RKY53" s="49"/>
      <c r="RKZ53" s="50"/>
      <c r="RLA53" s="49"/>
      <c r="RLB53" s="50"/>
      <c r="RLC53" s="49"/>
      <c r="RLD53" s="50"/>
      <c r="RLE53" s="49"/>
      <c r="RLF53" s="50"/>
      <c r="RLG53" s="49"/>
      <c r="RLH53" s="50"/>
      <c r="RLI53" s="49"/>
      <c r="RLJ53" s="50"/>
      <c r="RLK53" s="49"/>
      <c r="RLL53" s="50"/>
      <c r="RLM53" s="49"/>
      <c r="RLN53" s="50"/>
      <c r="RLO53" s="49"/>
      <c r="RLP53" s="50"/>
      <c r="RLQ53" s="49"/>
      <c r="RLR53" s="50"/>
      <c r="RLS53" s="49"/>
      <c r="RLT53" s="50"/>
      <c r="RLU53" s="49"/>
      <c r="RLV53" s="50"/>
      <c r="RLW53" s="49"/>
      <c r="RLX53" s="50"/>
      <c r="RLY53" s="49"/>
      <c r="RLZ53" s="50"/>
      <c r="RMA53" s="49"/>
      <c r="RMB53" s="50"/>
      <c r="RMC53" s="49"/>
      <c r="RMD53" s="50"/>
      <c r="RME53" s="49"/>
      <c r="RMF53" s="50"/>
      <c r="RMG53" s="49"/>
      <c r="RMH53" s="50"/>
      <c r="RMI53" s="49"/>
      <c r="RMJ53" s="50"/>
      <c r="RMK53" s="49"/>
      <c r="RML53" s="50"/>
      <c r="RMM53" s="49"/>
      <c r="RMN53" s="50"/>
      <c r="RMO53" s="49"/>
      <c r="RMP53" s="50"/>
      <c r="RMQ53" s="49"/>
      <c r="RMR53" s="50"/>
      <c r="RMS53" s="49"/>
      <c r="RMT53" s="50"/>
      <c r="RMU53" s="49"/>
      <c r="RMV53" s="50"/>
      <c r="RMW53" s="49"/>
      <c r="RMX53" s="50"/>
      <c r="RMY53" s="49"/>
      <c r="RMZ53" s="50"/>
      <c r="RNA53" s="49"/>
      <c r="RNB53" s="50"/>
      <c r="RNC53" s="49"/>
      <c r="RND53" s="50"/>
      <c r="RNE53" s="49"/>
      <c r="RNF53" s="50"/>
      <c r="RNG53" s="49"/>
      <c r="RNH53" s="50"/>
      <c r="RNI53" s="49"/>
      <c r="RNJ53" s="50"/>
      <c r="RNK53" s="49"/>
      <c r="RNL53" s="50"/>
      <c r="RNM53" s="49"/>
      <c r="RNN53" s="50"/>
      <c r="RNO53" s="49"/>
      <c r="RNP53" s="50"/>
      <c r="RNQ53" s="49"/>
      <c r="RNR53" s="50"/>
      <c r="RNS53" s="49"/>
      <c r="RNT53" s="50"/>
      <c r="RNU53" s="49"/>
      <c r="RNV53" s="50"/>
      <c r="RNW53" s="49"/>
      <c r="RNX53" s="50"/>
      <c r="RNY53" s="49"/>
      <c r="RNZ53" s="50"/>
      <c r="ROA53" s="49"/>
      <c r="ROB53" s="50"/>
      <c r="ROC53" s="49"/>
      <c r="ROD53" s="50"/>
      <c r="ROE53" s="49"/>
      <c r="ROF53" s="50"/>
      <c r="ROG53" s="49"/>
      <c r="ROH53" s="50"/>
      <c r="ROI53" s="49"/>
      <c r="ROJ53" s="50"/>
      <c r="ROK53" s="49"/>
      <c r="ROL53" s="50"/>
      <c r="ROM53" s="49"/>
      <c r="RON53" s="50"/>
      <c r="ROO53" s="49"/>
      <c r="ROP53" s="50"/>
      <c r="ROQ53" s="49"/>
      <c r="ROR53" s="50"/>
      <c r="ROS53" s="49"/>
      <c r="ROT53" s="50"/>
      <c r="ROU53" s="49"/>
      <c r="ROV53" s="50"/>
      <c r="ROW53" s="49"/>
      <c r="ROX53" s="50"/>
      <c r="ROY53" s="49"/>
      <c r="ROZ53" s="50"/>
      <c r="RPA53" s="49"/>
      <c r="RPB53" s="50"/>
      <c r="RPC53" s="49"/>
      <c r="RPD53" s="50"/>
      <c r="RPE53" s="49"/>
      <c r="RPF53" s="50"/>
      <c r="RPG53" s="49"/>
      <c r="RPH53" s="50"/>
      <c r="RPI53" s="49"/>
      <c r="RPJ53" s="50"/>
      <c r="RPK53" s="49"/>
      <c r="RPL53" s="50"/>
      <c r="RPM53" s="49"/>
      <c r="RPN53" s="50"/>
      <c r="RPO53" s="49"/>
      <c r="RPP53" s="50"/>
      <c r="RPQ53" s="49"/>
      <c r="RPR53" s="50"/>
      <c r="RPS53" s="49"/>
      <c r="RPT53" s="50"/>
      <c r="RPU53" s="49"/>
      <c r="RPV53" s="50"/>
      <c r="RPW53" s="49"/>
      <c r="RPX53" s="50"/>
      <c r="RPY53" s="49"/>
      <c r="RPZ53" s="50"/>
      <c r="RQA53" s="49"/>
      <c r="RQB53" s="50"/>
      <c r="RQC53" s="49"/>
      <c r="RQD53" s="50"/>
      <c r="RQE53" s="49"/>
      <c r="RQF53" s="50"/>
      <c r="RQG53" s="49"/>
      <c r="RQH53" s="50"/>
      <c r="RQI53" s="49"/>
      <c r="RQJ53" s="50"/>
      <c r="RQK53" s="49"/>
      <c r="RQL53" s="50"/>
      <c r="RQM53" s="49"/>
      <c r="RQN53" s="50"/>
      <c r="RQO53" s="49"/>
      <c r="RQP53" s="50"/>
      <c r="RQQ53" s="49"/>
      <c r="RQR53" s="50"/>
      <c r="RQS53" s="49"/>
      <c r="RQT53" s="50"/>
      <c r="RQU53" s="49"/>
      <c r="RQV53" s="50"/>
      <c r="RQW53" s="49"/>
      <c r="RQX53" s="50"/>
      <c r="RQY53" s="49"/>
      <c r="RQZ53" s="50"/>
      <c r="RRA53" s="49"/>
      <c r="RRB53" s="50"/>
      <c r="RRC53" s="49"/>
      <c r="RRD53" s="50"/>
      <c r="RRE53" s="49"/>
      <c r="RRF53" s="50"/>
      <c r="RRG53" s="49"/>
      <c r="RRH53" s="50"/>
      <c r="RRI53" s="49"/>
      <c r="RRJ53" s="50"/>
      <c r="RRK53" s="49"/>
      <c r="RRL53" s="50"/>
      <c r="RRM53" s="49"/>
      <c r="RRN53" s="50"/>
      <c r="RRO53" s="49"/>
      <c r="RRP53" s="50"/>
      <c r="RRQ53" s="49"/>
      <c r="RRR53" s="50"/>
      <c r="RRS53" s="49"/>
      <c r="RRT53" s="50"/>
      <c r="RRU53" s="49"/>
      <c r="RRV53" s="50"/>
      <c r="RRW53" s="49"/>
      <c r="RRX53" s="50"/>
      <c r="RRY53" s="49"/>
      <c r="RRZ53" s="50"/>
      <c r="RSA53" s="49"/>
      <c r="RSB53" s="50"/>
      <c r="RSC53" s="49"/>
      <c r="RSD53" s="50"/>
      <c r="RSE53" s="49"/>
      <c r="RSF53" s="50"/>
      <c r="RSG53" s="49"/>
      <c r="RSH53" s="50"/>
      <c r="RSI53" s="49"/>
      <c r="RSJ53" s="50"/>
      <c r="RSK53" s="49"/>
      <c r="RSL53" s="50"/>
      <c r="RSM53" s="49"/>
      <c r="RSN53" s="50"/>
      <c r="RSO53" s="49"/>
      <c r="RSP53" s="50"/>
      <c r="RSQ53" s="49"/>
      <c r="RSR53" s="50"/>
      <c r="RSS53" s="49"/>
      <c r="RST53" s="50"/>
      <c r="RSU53" s="49"/>
      <c r="RSV53" s="50"/>
      <c r="RSW53" s="49"/>
      <c r="RSX53" s="50"/>
      <c r="RSY53" s="49"/>
      <c r="RSZ53" s="50"/>
      <c r="RTA53" s="49"/>
      <c r="RTB53" s="50"/>
      <c r="RTC53" s="49"/>
      <c r="RTD53" s="50"/>
      <c r="RTE53" s="49"/>
      <c r="RTF53" s="50"/>
      <c r="RTG53" s="49"/>
      <c r="RTH53" s="50"/>
      <c r="RTI53" s="49"/>
      <c r="RTJ53" s="50"/>
      <c r="RTK53" s="49"/>
      <c r="RTL53" s="50"/>
      <c r="RTM53" s="49"/>
      <c r="RTN53" s="50"/>
      <c r="RTO53" s="49"/>
      <c r="RTP53" s="50"/>
      <c r="RTQ53" s="49"/>
      <c r="RTR53" s="50"/>
      <c r="RTS53" s="49"/>
      <c r="RTT53" s="50"/>
      <c r="RTU53" s="49"/>
      <c r="RTV53" s="50"/>
      <c r="RTW53" s="49"/>
      <c r="RTX53" s="50"/>
      <c r="RTY53" s="49"/>
      <c r="RTZ53" s="50"/>
      <c r="RUA53" s="49"/>
      <c r="RUB53" s="50"/>
      <c r="RUC53" s="49"/>
      <c r="RUD53" s="50"/>
      <c r="RUE53" s="49"/>
      <c r="RUF53" s="50"/>
      <c r="RUG53" s="49"/>
      <c r="RUH53" s="50"/>
      <c r="RUI53" s="49"/>
      <c r="RUJ53" s="50"/>
      <c r="RUK53" s="49"/>
      <c r="RUL53" s="50"/>
      <c r="RUM53" s="49"/>
      <c r="RUN53" s="50"/>
      <c r="RUO53" s="49"/>
      <c r="RUP53" s="50"/>
      <c r="RUQ53" s="49"/>
      <c r="RUR53" s="50"/>
      <c r="RUS53" s="49"/>
      <c r="RUT53" s="50"/>
      <c r="RUU53" s="49"/>
      <c r="RUV53" s="50"/>
      <c r="RUW53" s="49"/>
      <c r="RUX53" s="50"/>
      <c r="RUY53" s="49"/>
      <c r="RUZ53" s="50"/>
      <c r="RVA53" s="49"/>
      <c r="RVB53" s="50"/>
      <c r="RVC53" s="49"/>
      <c r="RVD53" s="50"/>
      <c r="RVE53" s="49"/>
      <c r="RVF53" s="50"/>
      <c r="RVG53" s="49"/>
      <c r="RVH53" s="50"/>
      <c r="RVI53" s="49"/>
      <c r="RVJ53" s="50"/>
      <c r="RVK53" s="49"/>
      <c r="RVL53" s="50"/>
      <c r="RVM53" s="49"/>
      <c r="RVN53" s="50"/>
      <c r="RVO53" s="49"/>
      <c r="RVP53" s="50"/>
      <c r="RVQ53" s="49"/>
      <c r="RVR53" s="50"/>
      <c r="RVS53" s="49"/>
      <c r="RVT53" s="50"/>
      <c r="RVU53" s="49"/>
      <c r="RVV53" s="50"/>
      <c r="RVW53" s="49"/>
      <c r="RVX53" s="50"/>
      <c r="RVY53" s="49"/>
      <c r="RVZ53" s="50"/>
      <c r="RWA53" s="49"/>
      <c r="RWB53" s="50"/>
      <c r="RWC53" s="49"/>
      <c r="RWD53" s="50"/>
      <c r="RWE53" s="49"/>
      <c r="RWF53" s="50"/>
      <c r="RWG53" s="49"/>
      <c r="RWH53" s="50"/>
      <c r="RWI53" s="49"/>
      <c r="RWJ53" s="50"/>
      <c r="RWK53" s="49"/>
      <c r="RWL53" s="50"/>
      <c r="RWM53" s="49"/>
      <c r="RWN53" s="50"/>
      <c r="RWO53" s="49"/>
      <c r="RWP53" s="50"/>
      <c r="RWQ53" s="49"/>
      <c r="RWR53" s="50"/>
      <c r="RWS53" s="49"/>
      <c r="RWT53" s="50"/>
      <c r="RWU53" s="49"/>
      <c r="RWV53" s="50"/>
      <c r="RWW53" s="49"/>
      <c r="RWX53" s="50"/>
      <c r="RWY53" s="49"/>
      <c r="RWZ53" s="50"/>
      <c r="RXA53" s="49"/>
      <c r="RXB53" s="50"/>
      <c r="RXC53" s="49"/>
      <c r="RXD53" s="50"/>
      <c r="RXE53" s="49"/>
      <c r="RXF53" s="50"/>
      <c r="RXG53" s="49"/>
      <c r="RXH53" s="50"/>
      <c r="RXI53" s="49"/>
      <c r="RXJ53" s="50"/>
      <c r="RXK53" s="49"/>
      <c r="RXL53" s="50"/>
      <c r="RXM53" s="49"/>
      <c r="RXN53" s="50"/>
      <c r="RXO53" s="49"/>
      <c r="RXP53" s="50"/>
      <c r="RXQ53" s="49"/>
      <c r="RXR53" s="50"/>
      <c r="RXS53" s="49"/>
      <c r="RXT53" s="50"/>
      <c r="RXU53" s="49"/>
      <c r="RXV53" s="50"/>
      <c r="RXW53" s="49"/>
      <c r="RXX53" s="50"/>
      <c r="RXY53" s="49"/>
      <c r="RXZ53" s="50"/>
      <c r="RYA53" s="49"/>
      <c r="RYB53" s="50"/>
      <c r="RYC53" s="49"/>
      <c r="RYD53" s="50"/>
      <c r="RYE53" s="49"/>
      <c r="RYF53" s="50"/>
      <c r="RYG53" s="49"/>
      <c r="RYH53" s="50"/>
      <c r="RYI53" s="49"/>
      <c r="RYJ53" s="50"/>
      <c r="RYK53" s="49"/>
      <c r="RYL53" s="50"/>
      <c r="RYM53" s="49"/>
      <c r="RYN53" s="50"/>
      <c r="RYO53" s="49"/>
      <c r="RYP53" s="50"/>
      <c r="RYQ53" s="49"/>
      <c r="RYR53" s="50"/>
      <c r="RYS53" s="49"/>
      <c r="RYT53" s="50"/>
      <c r="RYU53" s="49"/>
      <c r="RYV53" s="50"/>
      <c r="RYW53" s="49"/>
      <c r="RYX53" s="50"/>
      <c r="RYY53" s="49"/>
      <c r="RYZ53" s="50"/>
      <c r="RZA53" s="49"/>
      <c r="RZB53" s="50"/>
      <c r="RZC53" s="49"/>
      <c r="RZD53" s="50"/>
      <c r="RZE53" s="49"/>
      <c r="RZF53" s="50"/>
      <c r="RZG53" s="49"/>
      <c r="RZH53" s="50"/>
      <c r="RZI53" s="49"/>
      <c r="RZJ53" s="50"/>
      <c r="RZK53" s="49"/>
      <c r="RZL53" s="50"/>
      <c r="RZM53" s="49"/>
      <c r="RZN53" s="50"/>
      <c r="RZO53" s="49"/>
      <c r="RZP53" s="50"/>
      <c r="RZQ53" s="49"/>
      <c r="RZR53" s="50"/>
      <c r="RZS53" s="49"/>
      <c r="RZT53" s="50"/>
      <c r="RZU53" s="49"/>
      <c r="RZV53" s="50"/>
      <c r="RZW53" s="49"/>
      <c r="RZX53" s="50"/>
      <c r="RZY53" s="49"/>
      <c r="RZZ53" s="50"/>
      <c r="SAA53" s="49"/>
      <c r="SAB53" s="50"/>
      <c r="SAC53" s="49"/>
      <c r="SAD53" s="50"/>
      <c r="SAE53" s="49"/>
      <c r="SAF53" s="50"/>
      <c r="SAG53" s="49"/>
      <c r="SAH53" s="50"/>
      <c r="SAI53" s="49"/>
      <c r="SAJ53" s="50"/>
      <c r="SAK53" s="49"/>
      <c r="SAL53" s="50"/>
      <c r="SAM53" s="49"/>
      <c r="SAN53" s="50"/>
      <c r="SAO53" s="49"/>
      <c r="SAP53" s="50"/>
      <c r="SAQ53" s="49"/>
      <c r="SAR53" s="50"/>
      <c r="SAS53" s="49"/>
      <c r="SAT53" s="50"/>
      <c r="SAU53" s="49"/>
      <c r="SAV53" s="50"/>
      <c r="SAW53" s="49"/>
      <c r="SAX53" s="50"/>
      <c r="SAY53" s="49"/>
      <c r="SAZ53" s="50"/>
      <c r="SBA53" s="49"/>
      <c r="SBB53" s="50"/>
      <c r="SBC53" s="49"/>
      <c r="SBD53" s="50"/>
      <c r="SBE53" s="49"/>
      <c r="SBF53" s="50"/>
      <c r="SBG53" s="49"/>
      <c r="SBH53" s="50"/>
      <c r="SBI53" s="49"/>
      <c r="SBJ53" s="50"/>
      <c r="SBK53" s="49"/>
      <c r="SBL53" s="50"/>
      <c r="SBM53" s="49"/>
      <c r="SBN53" s="50"/>
      <c r="SBO53" s="49"/>
      <c r="SBP53" s="50"/>
      <c r="SBQ53" s="49"/>
      <c r="SBR53" s="50"/>
      <c r="SBS53" s="49"/>
      <c r="SBT53" s="50"/>
      <c r="SBU53" s="49"/>
      <c r="SBV53" s="50"/>
      <c r="SBW53" s="49"/>
      <c r="SBX53" s="50"/>
      <c r="SBY53" s="49"/>
      <c r="SBZ53" s="50"/>
      <c r="SCA53" s="49"/>
      <c r="SCB53" s="50"/>
      <c r="SCC53" s="49"/>
      <c r="SCD53" s="50"/>
      <c r="SCE53" s="49"/>
      <c r="SCF53" s="50"/>
      <c r="SCG53" s="49"/>
      <c r="SCH53" s="50"/>
      <c r="SCI53" s="49"/>
      <c r="SCJ53" s="50"/>
      <c r="SCK53" s="49"/>
      <c r="SCL53" s="50"/>
      <c r="SCM53" s="49"/>
      <c r="SCN53" s="50"/>
      <c r="SCO53" s="49"/>
      <c r="SCP53" s="50"/>
      <c r="SCQ53" s="49"/>
      <c r="SCR53" s="50"/>
      <c r="SCS53" s="49"/>
      <c r="SCT53" s="50"/>
      <c r="SCU53" s="49"/>
      <c r="SCV53" s="50"/>
      <c r="SCW53" s="49"/>
      <c r="SCX53" s="50"/>
      <c r="SCY53" s="49"/>
      <c r="SCZ53" s="50"/>
      <c r="SDA53" s="49"/>
      <c r="SDB53" s="50"/>
      <c r="SDC53" s="49"/>
      <c r="SDD53" s="50"/>
      <c r="SDE53" s="49"/>
      <c r="SDF53" s="50"/>
      <c r="SDG53" s="49"/>
      <c r="SDH53" s="50"/>
      <c r="SDI53" s="49"/>
      <c r="SDJ53" s="50"/>
      <c r="SDK53" s="49"/>
      <c r="SDL53" s="50"/>
      <c r="SDM53" s="49"/>
      <c r="SDN53" s="50"/>
      <c r="SDO53" s="49"/>
      <c r="SDP53" s="50"/>
      <c r="SDQ53" s="49"/>
      <c r="SDR53" s="50"/>
      <c r="SDS53" s="49"/>
      <c r="SDT53" s="50"/>
      <c r="SDU53" s="49"/>
      <c r="SDV53" s="50"/>
      <c r="SDW53" s="49"/>
      <c r="SDX53" s="50"/>
      <c r="SDY53" s="49"/>
      <c r="SDZ53" s="50"/>
      <c r="SEA53" s="49"/>
      <c r="SEB53" s="50"/>
      <c r="SEC53" s="49"/>
      <c r="SED53" s="50"/>
      <c r="SEE53" s="49"/>
      <c r="SEF53" s="50"/>
      <c r="SEG53" s="49"/>
      <c r="SEH53" s="50"/>
      <c r="SEI53" s="49"/>
      <c r="SEJ53" s="50"/>
      <c r="SEK53" s="49"/>
      <c r="SEL53" s="50"/>
      <c r="SEM53" s="49"/>
      <c r="SEN53" s="50"/>
      <c r="SEO53" s="49"/>
      <c r="SEP53" s="50"/>
      <c r="SEQ53" s="49"/>
      <c r="SER53" s="50"/>
      <c r="SES53" s="49"/>
      <c r="SET53" s="50"/>
      <c r="SEU53" s="49"/>
      <c r="SEV53" s="50"/>
      <c r="SEW53" s="49"/>
      <c r="SEX53" s="50"/>
      <c r="SEY53" s="49"/>
      <c r="SEZ53" s="50"/>
      <c r="SFA53" s="49"/>
      <c r="SFB53" s="50"/>
      <c r="SFC53" s="49"/>
      <c r="SFD53" s="50"/>
      <c r="SFE53" s="49"/>
      <c r="SFF53" s="50"/>
      <c r="SFG53" s="49"/>
      <c r="SFH53" s="50"/>
      <c r="SFI53" s="49"/>
      <c r="SFJ53" s="50"/>
      <c r="SFK53" s="49"/>
      <c r="SFL53" s="50"/>
      <c r="SFM53" s="49"/>
      <c r="SFN53" s="50"/>
      <c r="SFO53" s="49"/>
      <c r="SFP53" s="50"/>
      <c r="SFQ53" s="49"/>
      <c r="SFR53" s="50"/>
      <c r="SFS53" s="49"/>
      <c r="SFT53" s="50"/>
      <c r="SFU53" s="49"/>
      <c r="SFV53" s="50"/>
      <c r="SFW53" s="49"/>
      <c r="SFX53" s="50"/>
      <c r="SFY53" s="49"/>
      <c r="SFZ53" s="50"/>
      <c r="SGA53" s="49"/>
      <c r="SGB53" s="50"/>
      <c r="SGC53" s="49"/>
      <c r="SGD53" s="50"/>
      <c r="SGE53" s="49"/>
      <c r="SGF53" s="50"/>
      <c r="SGG53" s="49"/>
      <c r="SGH53" s="50"/>
      <c r="SGI53" s="49"/>
      <c r="SGJ53" s="50"/>
      <c r="SGK53" s="49"/>
      <c r="SGL53" s="50"/>
      <c r="SGM53" s="49"/>
      <c r="SGN53" s="50"/>
      <c r="SGO53" s="49"/>
      <c r="SGP53" s="50"/>
      <c r="SGQ53" s="49"/>
      <c r="SGR53" s="50"/>
      <c r="SGS53" s="49"/>
      <c r="SGT53" s="50"/>
      <c r="SGU53" s="49"/>
      <c r="SGV53" s="50"/>
      <c r="SGW53" s="49"/>
      <c r="SGX53" s="50"/>
      <c r="SGY53" s="49"/>
      <c r="SGZ53" s="50"/>
      <c r="SHA53" s="49"/>
      <c r="SHB53" s="50"/>
      <c r="SHC53" s="49"/>
      <c r="SHD53" s="50"/>
      <c r="SHE53" s="49"/>
      <c r="SHF53" s="50"/>
      <c r="SHG53" s="49"/>
      <c r="SHH53" s="50"/>
      <c r="SHI53" s="49"/>
      <c r="SHJ53" s="50"/>
      <c r="SHK53" s="49"/>
      <c r="SHL53" s="50"/>
      <c r="SHM53" s="49"/>
      <c r="SHN53" s="50"/>
      <c r="SHO53" s="49"/>
      <c r="SHP53" s="50"/>
      <c r="SHQ53" s="49"/>
      <c r="SHR53" s="50"/>
      <c r="SHS53" s="49"/>
      <c r="SHT53" s="50"/>
      <c r="SHU53" s="49"/>
      <c r="SHV53" s="50"/>
      <c r="SHW53" s="49"/>
      <c r="SHX53" s="50"/>
      <c r="SHY53" s="49"/>
      <c r="SHZ53" s="50"/>
      <c r="SIA53" s="49"/>
      <c r="SIB53" s="50"/>
      <c r="SIC53" s="49"/>
      <c r="SID53" s="50"/>
      <c r="SIE53" s="49"/>
      <c r="SIF53" s="50"/>
      <c r="SIG53" s="49"/>
      <c r="SIH53" s="50"/>
      <c r="SII53" s="49"/>
      <c r="SIJ53" s="50"/>
      <c r="SIK53" s="49"/>
      <c r="SIL53" s="50"/>
      <c r="SIM53" s="49"/>
      <c r="SIN53" s="50"/>
      <c r="SIO53" s="49"/>
      <c r="SIP53" s="50"/>
      <c r="SIQ53" s="49"/>
      <c r="SIR53" s="50"/>
      <c r="SIS53" s="49"/>
      <c r="SIT53" s="50"/>
      <c r="SIU53" s="49"/>
      <c r="SIV53" s="50"/>
      <c r="SIW53" s="49"/>
      <c r="SIX53" s="50"/>
      <c r="SIY53" s="49"/>
      <c r="SIZ53" s="50"/>
      <c r="SJA53" s="49"/>
      <c r="SJB53" s="50"/>
      <c r="SJC53" s="49"/>
      <c r="SJD53" s="50"/>
      <c r="SJE53" s="49"/>
      <c r="SJF53" s="50"/>
      <c r="SJG53" s="49"/>
      <c r="SJH53" s="50"/>
      <c r="SJI53" s="49"/>
      <c r="SJJ53" s="50"/>
      <c r="SJK53" s="49"/>
      <c r="SJL53" s="50"/>
      <c r="SJM53" s="49"/>
      <c r="SJN53" s="50"/>
      <c r="SJO53" s="49"/>
      <c r="SJP53" s="50"/>
      <c r="SJQ53" s="49"/>
      <c r="SJR53" s="50"/>
      <c r="SJS53" s="49"/>
      <c r="SJT53" s="50"/>
      <c r="SJU53" s="49"/>
      <c r="SJV53" s="50"/>
      <c r="SJW53" s="49"/>
      <c r="SJX53" s="50"/>
      <c r="SJY53" s="49"/>
      <c r="SJZ53" s="50"/>
      <c r="SKA53" s="49"/>
      <c r="SKB53" s="50"/>
      <c r="SKC53" s="49"/>
      <c r="SKD53" s="50"/>
      <c r="SKE53" s="49"/>
      <c r="SKF53" s="50"/>
      <c r="SKG53" s="49"/>
      <c r="SKH53" s="50"/>
      <c r="SKI53" s="49"/>
      <c r="SKJ53" s="50"/>
      <c r="SKK53" s="49"/>
      <c r="SKL53" s="50"/>
      <c r="SKM53" s="49"/>
      <c r="SKN53" s="50"/>
      <c r="SKO53" s="49"/>
      <c r="SKP53" s="50"/>
      <c r="SKQ53" s="49"/>
      <c r="SKR53" s="50"/>
      <c r="SKS53" s="49"/>
      <c r="SKT53" s="50"/>
      <c r="SKU53" s="49"/>
      <c r="SKV53" s="50"/>
      <c r="SKW53" s="49"/>
      <c r="SKX53" s="50"/>
      <c r="SKY53" s="49"/>
      <c r="SKZ53" s="50"/>
      <c r="SLA53" s="49"/>
      <c r="SLB53" s="50"/>
      <c r="SLC53" s="49"/>
      <c r="SLD53" s="50"/>
      <c r="SLE53" s="49"/>
      <c r="SLF53" s="50"/>
      <c r="SLG53" s="49"/>
      <c r="SLH53" s="50"/>
      <c r="SLI53" s="49"/>
      <c r="SLJ53" s="50"/>
      <c r="SLK53" s="49"/>
      <c r="SLL53" s="50"/>
      <c r="SLM53" s="49"/>
      <c r="SLN53" s="50"/>
      <c r="SLO53" s="49"/>
      <c r="SLP53" s="50"/>
      <c r="SLQ53" s="49"/>
      <c r="SLR53" s="50"/>
      <c r="SLS53" s="49"/>
      <c r="SLT53" s="50"/>
      <c r="SLU53" s="49"/>
      <c r="SLV53" s="50"/>
      <c r="SLW53" s="49"/>
      <c r="SLX53" s="50"/>
      <c r="SLY53" s="49"/>
      <c r="SLZ53" s="50"/>
      <c r="SMA53" s="49"/>
      <c r="SMB53" s="50"/>
      <c r="SMC53" s="49"/>
      <c r="SMD53" s="50"/>
      <c r="SME53" s="49"/>
      <c r="SMF53" s="50"/>
      <c r="SMG53" s="49"/>
      <c r="SMH53" s="50"/>
      <c r="SMI53" s="49"/>
      <c r="SMJ53" s="50"/>
      <c r="SMK53" s="49"/>
      <c r="SML53" s="50"/>
      <c r="SMM53" s="49"/>
      <c r="SMN53" s="50"/>
      <c r="SMO53" s="49"/>
      <c r="SMP53" s="50"/>
      <c r="SMQ53" s="49"/>
      <c r="SMR53" s="50"/>
      <c r="SMS53" s="49"/>
      <c r="SMT53" s="50"/>
      <c r="SMU53" s="49"/>
      <c r="SMV53" s="50"/>
      <c r="SMW53" s="49"/>
      <c r="SMX53" s="50"/>
      <c r="SMY53" s="49"/>
      <c r="SMZ53" s="50"/>
      <c r="SNA53" s="49"/>
      <c r="SNB53" s="50"/>
      <c r="SNC53" s="49"/>
      <c r="SND53" s="50"/>
      <c r="SNE53" s="49"/>
      <c r="SNF53" s="50"/>
      <c r="SNG53" s="49"/>
      <c r="SNH53" s="50"/>
      <c r="SNI53" s="49"/>
      <c r="SNJ53" s="50"/>
      <c r="SNK53" s="49"/>
      <c r="SNL53" s="50"/>
      <c r="SNM53" s="49"/>
      <c r="SNN53" s="50"/>
      <c r="SNO53" s="49"/>
      <c r="SNP53" s="50"/>
      <c r="SNQ53" s="49"/>
      <c r="SNR53" s="50"/>
      <c r="SNS53" s="49"/>
      <c r="SNT53" s="50"/>
      <c r="SNU53" s="49"/>
      <c r="SNV53" s="50"/>
      <c r="SNW53" s="49"/>
      <c r="SNX53" s="50"/>
      <c r="SNY53" s="49"/>
      <c r="SNZ53" s="50"/>
      <c r="SOA53" s="49"/>
      <c r="SOB53" s="50"/>
      <c r="SOC53" s="49"/>
      <c r="SOD53" s="50"/>
      <c r="SOE53" s="49"/>
      <c r="SOF53" s="50"/>
      <c r="SOG53" s="49"/>
      <c r="SOH53" s="50"/>
      <c r="SOI53" s="49"/>
      <c r="SOJ53" s="50"/>
      <c r="SOK53" s="49"/>
      <c r="SOL53" s="50"/>
      <c r="SOM53" s="49"/>
      <c r="SON53" s="50"/>
      <c r="SOO53" s="49"/>
      <c r="SOP53" s="50"/>
      <c r="SOQ53" s="49"/>
      <c r="SOR53" s="50"/>
      <c r="SOS53" s="49"/>
      <c r="SOT53" s="50"/>
      <c r="SOU53" s="49"/>
      <c r="SOV53" s="50"/>
      <c r="SOW53" s="49"/>
      <c r="SOX53" s="50"/>
      <c r="SOY53" s="49"/>
      <c r="SOZ53" s="50"/>
      <c r="SPA53" s="49"/>
      <c r="SPB53" s="50"/>
      <c r="SPC53" s="49"/>
      <c r="SPD53" s="50"/>
      <c r="SPE53" s="49"/>
      <c r="SPF53" s="50"/>
      <c r="SPG53" s="49"/>
      <c r="SPH53" s="50"/>
      <c r="SPI53" s="49"/>
      <c r="SPJ53" s="50"/>
      <c r="SPK53" s="49"/>
      <c r="SPL53" s="50"/>
      <c r="SPM53" s="49"/>
      <c r="SPN53" s="50"/>
      <c r="SPO53" s="49"/>
      <c r="SPP53" s="50"/>
      <c r="SPQ53" s="49"/>
      <c r="SPR53" s="50"/>
      <c r="SPS53" s="49"/>
      <c r="SPT53" s="50"/>
      <c r="SPU53" s="49"/>
      <c r="SPV53" s="50"/>
      <c r="SPW53" s="49"/>
      <c r="SPX53" s="50"/>
      <c r="SPY53" s="49"/>
      <c r="SPZ53" s="50"/>
      <c r="SQA53" s="49"/>
      <c r="SQB53" s="50"/>
      <c r="SQC53" s="49"/>
      <c r="SQD53" s="50"/>
      <c r="SQE53" s="49"/>
      <c r="SQF53" s="50"/>
      <c r="SQG53" s="49"/>
      <c r="SQH53" s="50"/>
      <c r="SQI53" s="49"/>
      <c r="SQJ53" s="50"/>
      <c r="SQK53" s="49"/>
      <c r="SQL53" s="50"/>
      <c r="SQM53" s="49"/>
      <c r="SQN53" s="50"/>
      <c r="SQO53" s="49"/>
      <c r="SQP53" s="50"/>
      <c r="SQQ53" s="49"/>
      <c r="SQR53" s="50"/>
      <c r="SQS53" s="49"/>
      <c r="SQT53" s="50"/>
      <c r="SQU53" s="49"/>
      <c r="SQV53" s="50"/>
      <c r="SQW53" s="49"/>
      <c r="SQX53" s="50"/>
      <c r="SQY53" s="49"/>
      <c r="SQZ53" s="50"/>
      <c r="SRA53" s="49"/>
      <c r="SRB53" s="50"/>
      <c r="SRC53" s="49"/>
      <c r="SRD53" s="50"/>
      <c r="SRE53" s="49"/>
      <c r="SRF53" s="50"/>
      <c r="SRG53" s="49"/>
      <c r="SRH53" s="50"/>
      <c r="SRI53" s="49"/>
      <c r="SRJ53" s="50"/>
      <c r="SRK53" s="49"/>
      <c r="SRL53" s="50"/>
      <c r="SRM53" s="49"/>
      <c r="SRN53" s="50"/>
      <c r="SRO53" s="49"/>
      <c r="SRP53" s="50"/>
      <c r="SRQ53" s="49"/>
      <c r="SRR53" s="50"/>
      <c r="SRS53" s="49"/>
      <c r="SRT53" s="50"/>
      <c r="SRU53" s="49"/>
      <c r="SRV53" s="50"/>
      <c r="SRW53" s="49"/>
      <c r="SRX53" s="50"/>
      <c r="SRY53" s="49"/>
      <c r="SRZ53" s="50"/>
      <c r="SSA53" s="49"/>
      <c r="SSB53" s="50"/>
      <c r="SSC53" s="49"/>
      <c r="SSD53" s="50"/>
      <c r="SSE53" s="49"/>
      <c r="SSF53" s="50"/>
      <c r="SSG53" s="49"/>
      <c r="SSH53" s="50"/>
      <c r="SSI53" s="49"/>
      <c r="SSJ53" s="50"/>
      <c r="SSK53" s="49"/>
      <c r="SSL53" s="50"/>
      <c r="SSM53" s="49"/>
      <c r="SSN53" s="50"/>
      <c r="SSO53" s="49"/>
      <c r="SSP53" s="50"/>
      <c r="SSQ53" s="49"/>
      <c r="SSR53" s="50"/>
      <c r="SSS53" s="49"/>
      <c r="SST53" s="50"/>
      <c r="SSU53" s="49"/>
      <c r="SSV53" s="50"/>
      <c r="SSW53" s="49"/>
      <c r="SSX53" s="50"/>
      <c r="SSY53" s="49"/>
      <c r="SSZ53" s="50"/>
      <c r="STA53" s="49"/>
      <c r="STB53" s="50"/>
      <c r="STC53" s="49"/>
      <c r="STD53" s="50"/>
      <c r="STE53" s="49"/>
      <c r="STF53" s="50"/>
      <c r="STG53" s="49"/>
      <c r="STH53" s="50"/>
      <c r="STI53" s="49"/>
      <c r="STJ53" s="50"/>
      <c r="STK53" s="49"/>
      <c r="STL53" s="50"/>
      <c r="STM53" s="49"/>
      <c r="STN53" s="50"/>
      <c r="STO53" s="49"/>
      <c r="STP53" s="50"/>
      <c r="STQ53" s="49"/>
      <c r="STR53" s="50"/>
      <c r="STS53" s="49"/>
      <c r="STT53" s="50"/>
      <c r="STU53" s="49"/>
      <c r="STV53" s="50"/>
      <c r="STW53" s="49"/>
      <c r="STX53" s="50"/>
      <c r="STY53" s="49"/>
      <c r="STZ53" s="50"/>
      <c r="SUA53" s="49"/>
      <c r="SUB53" s="50"/>
      <c r="SUC53" s="49"/>
      <c r="SUD53" s="50"/>
      <c r="SUE53" s="49"/>
      <c r="SUF53" s="50"/>
      <c r="SUG53" s="49"/>
      <c r="SUH53" s="50"/>
      <c r="SUI53" s="49"/>
      <c r="SUJ53" s="50"/>
      <c r="SUK53" s="49"/>
      <c r="SUL53" s="50"/>
      <c r="SUM53" s="49"/>
      <c r="SUN53" s="50"/>
      <c r="SUO53" s="49"/>
      <c r="SUP53" s="50"/>
      <c r="SUQ53" s="49"/>
      <c r="SUR53" s="50"/>
      <c r="SUS53" s="49"/>
      <c r="SUT53" s="50"/>
      <c r="SUU53" s="49"/>
      <c r="SUV53" s="50"/>
      <c r="SUW53" s="49"/>
      <c r="SUX53" s="50"/>
      <c r="SUY53" s="49"/>
      <c r="SUZ53" s="50"/>
      <c r="SVA53" s="49"/>
      <c r="SVB53" s="50"/>
      <c r="SVC53" s="49"/>
      <c r="SVD53" s="50"/>
      <c r="SVE53" s="49"/>
      <c r="SVF53" s="50"/>
      <c r="SVG53" s="49"/>
      <c r="SVH53" s="50"/>
      <c r="SVI53" s="49"/>
      <c r="SVJ53" s="50"/>
      <c r="SVK53" s="49"/>
      <c r="SVL53" s="50"/>
      <c r="SVM53" s="49"/>
      <c r="SVN53" s="50"/>
      <c r="SVO53" s="49"/>
      <c r="SVP53" s="50"/>
      <c r="SVQ53" s="49"/>
      <c r="SVR53" s="50"/>
      <c r="SVS53" s="49"/>
      <c r="SVT53" s="50"/>
      <c r="SVU53" s="49"/>
      <c r="SVV53" s="50"/>
      <c r="SVW53" s="49"/>
      <c r="SVX53" s="50"/>
      <c r="SVY53" s="49"/>
      <c r="SVZ53" s="50"/>
      <c r="SWA53" s="49"/>
      <c r="SWB53" s="50"/>
      <c r="SWC53" s="49"/>
      <c r="SWD53" s="50"/>
      <c r="SWE53" s="49"/>
      <c r="SWF53" s="50"/>
      <c r="SWG53" s="49"/>
      <c r="SWH53" s="50"/>
      <c r="SWI53" s="49"/>
      <c r="SWJ53" s="50"/>
      <c r="SWK53" s="49"/>
      <c r="SWL53" s="50"/>
      <c r="SWM53" s="49"/>
      <c r="SWN53" s="50"/>
      <c r="SWO53" s="49"/>
      <c r="SWP53" s="50"/>
      <c r="SWQ53" s="49"/>
      <c r="SWR53" s="50"/>
      <c r="SWS53" s="49"/>
      <c r="SWT53" s="50"/>
      <c r="SWU53" s="49"/>
      <c r="SWV53" s="50"/>
      <c r="SWW53" s="49"/>
      <c r="SWX53" s="50"/>
      <c r="SWY53" s="49"/>
      <c r="SWZ53" s="50"/>
      <c r="SXA53" s="49"/>
      <c r="SXB53" s="50"/>
      <c r="SXC53" s="49"/>
      <c r="SXD53" s="50"/>
      <c r="SXE53" s="49"/>
      <c r="SXF53" s="50"/>
      <c r="SXG53" s="49"/>
      <c r="SXH53" s="50"/>
      <c r="SXI53" s="49"/>
      <c r="SXJ53" s="50"/>
      <c r="SXK53" s="49"/>
      <c r="SXL53" s="50"/>
      <c r="SXM53" s="49"/>
      <c r="SXN53" s="50"/>
      <c r="SXO53" s="49"/>
      <c r="SXP53" s="50"/>
      <c r="SXQ53" s="49"/>
      <c r="SXR53" s="50"/>
      <c r="SXS53" s="49"/>
      <c r="SXT53" s="50"/>
      <c r="SXU53" s="49"/>
      <c r="SXV53" s="50"/>
      <c r="SXW53" s="49"/>
      <c r="SXX53" s="50"/>
      <c r="SXY53" s="49"/>
      <c r="SXZ53" s="50"/>
      <c r="SYA53" s="49"/>
      <c r="SYB53" s="50"/>
      <c r="SYC53" s="49"/>
      <c r="SYD53" s="50"/>
      <c r="SYE53" s="49"/>
      <c r="SYF53" s="50"/>
      <c r="SYG53" s="49"/>
      <c r="SYH53" s="50"/>
      <c r="SYI53" s="49"/>
      <c r="SYJ53" s="50"/>
      <c r="SYK53" s="49"/>
      <c r="SYL53" s="50"/>
      <c r="SYM53" s="49"/>
      <c r="SYN53" s="50"/>
      <c r="SYO53" s="49"/>
      <c r="SYP53" s="50"/>
      <c r="SYQ53" s="49"/>
      <c r="SYR53" s="50"/>
      <c r="SYS53" s="49"/>
      <c r="SYT53" s="50"/>
      <c r="SYU53" s="49"/>
      <c r="SYV53" s="50"/>
      <c r="SYW53" s="49"/>
      <c r="SYX53" s="50"/>
      <c r="SYY53" s="49"/>
      <c r="SYZ53" s="50"/>
      <c r="SZA53" s="49"/>
      <c r="SZB53" s="50"/>
      <c r="SZC53" s="49"/>
      <c r="SZD53" s="50"/>
      <c r="SZE53" s="49"/>
      <c r="SZF53" s="50"/>
      <c r="SZG53" s="49"/>
      <c r="SZH53" s="50"/>
      <c r="SZI53" s="49"/>
      <c r="SZJ53" s="50"/>
      <c r="SZK53" s="49"/>
      <c r="SZL53" s="50"/>
      <c r="SZM53" s="49"/>
      <c r="SZN53" s="50"/>
      <c r="SZO53" s="49"/>
      <c r="SZP53" s="50"/>
      <c r="SZQ53" s="49"/>
      <c r="SZR53" s="50"/>
      <c r="SZS53" s="49"/>
      <c r="SZT53" s="50"/>
      <c r="SZU53" s="49"/>
      <c r="SZV53" s="50"/>
      <c r="SZW53" s="49"/>
      <c r="SZX53" s="50"/>
      <c r="SZY53" s="49"/>
      <c r="SZZ53" s="50"/>
      <c r="TAA53" s="49"/>
      <c r="TAB53" s="50"/>
      <c r="TAC53" s="49"/>
      <c r="TAD53" s="50"/>
      <c r="TAE53" s="49"/>
      <c r="TAF53" s="50"/>
      <c r="TAG53" s="49"/>
      <c r="TAH53" s="50"/>
      <c r="TAI53" s="49"/>
      <c r="TAJ53" s="50"/>
      <c r="TAK53" s="49"/>
      <c r="TAL53" s="50"/>
      <c r="TAM53" s="49"/>
      <c r="TAN53" s="50"/>
      <c r="TAO53" s="49"/>
      <c r="TAP53" s="50"/>
      <c r="TAQ53" s="49"/>
      <c r="TAR53" s="50"/>
      <c r="TAS53" s="49"/>
      <c r="TAT53" s="50"/>
      <c r="TAU53" s="49"/>
      <c r="TAV53" s="50"/>
      <c r="TAW53" s="49"/>
      <c r="TAX53" s="50"/>
      <c r="TAY53" s="49"/>
      <c r="TAZ53" s="50"/>
      <c r="TBA53" s="49"/>
      <c r="TBB53" s="50"/>
      <c r="TBC53" s="49"/>
      <c r="TBD53" s="50"/>
      <c r="TBE53" s="49"/>
      <c r="TBF53" s="50"/>
      <c r="TBG53" s="49"/>
      <c r="TBH53" s="50"/>
      <c r="TBI53" s="49"/>
      <c r="TBJ53" s="50"/>
      <c r="TBK53" s="49"/>
      <c r="TBL53" s="50"/>
      <c r="TBM53" s="49"/>
      <c r="TBN53" s="50"/>
      <c r="TBO53" s="49"/>
      <c r="TBP53" s="50"/>
      <c r="TBQ53" s="49"/>
      <c r="TBR53" s="50"/>
      <c r="TBS53" s="49"/>
      <c r="TBT53" s="50"/>
      <c r="TBU53" s="49"/>
      <c r="TBV53" s="50"/>
      <c r="TBW53" s="49"/>
      <c r="TBX53" s="50"/>
      <c r="TBY53" s="49"/>
      <c r="TBZ53" s="50"/>
      <c r="TCA53" s="49"/>
      <c r="TCB53" s="50"/>
      <c r="TCC53" s="49"/>
      <c r="TCD53" s="50"/>
      <c r="TCE53" s="49"/>
      <c r="TCF53" s="50"/>
      <c r="TCG53" s="49"/>
      <c r="TCH53" s="50"/>
      <c r="TCI53" s="49"/>
      <c r="TCJ53" s="50"/>
      <c r="TCK53" s="49"/>
      <c r="TCL53" s="50"/>
      <c r="TCM53" s="49"/>
      <c r="TCN53" s="50"/>
      <c r="TCO53" s="49"/>
      <c r="TCP53" s="50"/>
      <c r="TCQ53" s="49"/>
      <c r="TCR53" s="50"/>
      <c r="TCS53" s="49"/>
      <c r="TCT53" s="50"/>
      <c r="TCU53" s="49"/>
      <c r="TCV53" s="50"/>
      <c r="TCW53" s="49"/>
      <c r="TCX53" s="50"/>
      <c r="TCY53" s="49"/>
      <c r="TCZ53" s="50"/>
      <c r="TDA53" s="49"/>
      <c r="TDB53" s="50"/>
      <c r="TDC53" s="49"/>
      <c r="TDD53" s="50"/>
      <c r="TDE53" s="49"/>
      <c r="TDF53" s="50"/>
      <c r="TDG53" s="49"/>
      <c r="TDH53" s="50"/>
      <c r="TDI53" s="49"/>
      <c r="TDJ53" s="50"/>
      <c r="TDK53" s="49"/>
      <c r="TDL53" s="50"/>
      <c r="TDM53" s="49"/>
      <c r="TDN53" s="50"/>
      <c r="TDO53" s="49"/>
      <c r="TDP53" s="50"/>
      <c r="TDQ53" s="49"/>
      <c r="TDR53" s="50"/>
      <c r="TDS53" s="49"/>
      <c r="TDT53" s="50"/>
      <c r="TDU53" s="49"/>
      <c r="TDV53" s="50"/>
      <c r="TDW53" s="49"/>
      <c r="TDX53" s="50"/>
      <c r="TDY53" s="49"/>
      <c r="TDZ53" s="50"/>
      <c r="TEA53" s="49"/>
      <c r="TEB53" s="50"/>
      <c r="TEC53" s="49"/>
      <c r="TED53" s="50"/>
      <c r="TEE53" s="49"/>
      <c r="TEF53" s="50"/>
      <c r="TEG53" s="49"/>
      <c r="TEH53" s="50"/>
      <c r="TEI53" s="49"/>
      <c r="TEJ53" s="50"/>
      <c r="TEK53" s="49"/>
      <c r="TEL53" s="50"/>
      <c r="TEM53" s="49"/>
      <c r="TEN53" s="50"/>
      <c r="TEO53" s="49"/>
      <c r="TEP53" s="50"/>
      <c r="TEQ53" s="49"/>
      <c r="TER53" s="50"/>
      <c r="TES53" s="49"/>
      <c r="TET53" s="50"/>
      <c r="TEU53" s="49"/>
      <c r="TEV53" s="50"/>
      <c r="TEW53" s="49"/>
      <c r="TEX53" s="50"/>
      <c r="TEY53" s="49"/>
      <c r="TEZ53" s="50"/>
      <c r="TFA53" s="49"/>
      <c r="TFB53" s="50"/>
      <c r="TFC53" s="49"/>
      <c r="TFD53" s="50"/>
      <c r="TFE53" s="49"/>
      <c r="TFF53" s="50"/>
      <c r="TFG53" s="49"/>
      <c r="TFH53" s="50"/>
      <c r="TFI53" s="49"/>
      <c r="TFJ53" s="50"/>
      <c r="TFK53" s="49"/>
      <c r="TFL53" s="50"/>
      <c r="TFM53" s="49"/>
      <c r="TFN53" s="50"/>
      <c r="TFO53" s="49"/>
      <c r="TFP53" s="50"/>
      <c r="TFQ53" s="49"/>
      <c r="TFR53" s="50"/>
      <c r="TFS53" s="49"/>
      <c r="TFT53" s="50"/>
      <c r="TFU53" s="49"/>
      <c r="TFV53" s="50"/>
      <c r="TFW53" s="49"/>
      <c r="TFX53" s="50"/>
      <c r="TFY53" s="49"/>
      <c r="TFZ53" s="50"/>
      <c r="TGA53" s="49"/>
      <c r="TGB53" s="50"/>
      <c r="TGC53" s="49"/>
      <c r="TGD53" s="50"/>
      <c r="TGE53" s="49"/>
      <c r="TGF53" s="50"/>
      <c r="TGG53" s="49"/>
      <c r="TGH53" s="50"/>
      <c r="TGI53" s="49"/>
      <c r="TGJ53" s="50"/>
      <c r="TGK53" s="49"/>
      <c r="TGL53" s="50"/>
      <c r="TGM53" s="49"/>
      <c r="TGN53" s="50"/>
      <c r="TGO53" s="49"/>
      <c r="TGP53" s="50"/>
      <c r="TGQ53" s="49"/>
      <c r="TGR53" s="50"/>
      <c r="TGS53" s="49"/>
      <c r="TGT53" s="50"/>
      <c r="TGU53" s="49"/>
      <c r="TGV53" s="50"/>
      <c r="TGW53" s="49"/>
      <c r="TGX53" s="50"/>
      <c r="TGY53" s="49"/>
      <c r="TGZ53" s="50"/>
      <c r="THA53" s="49"/>
      <c r="THB53" s="50"/>
      <c r="THC53" s="49"/>
      <c r="THD53" s="50"/>
      <c r="THE53" s="49"/>
      <c r="THF53" s="50"/>
      <c r="THG53" s="49"/>
      <c r="THH53" s="50"/>
      <c r="THI53" s="49"/>
      <c r="THJ53" s="50"/>
      <c r="THK53" s="49"/>
      <c r="THL53" s="50"/>
      <c r="THM53" s="49"/>
      <c r="THN53" s="50"/>
      <c r="THO53" s="49"/>
      <c r="THP53" s="50"/>
      <c r="THQ53" s="49"/>
      <c r="THR53" s="50"/>
      <c r="THS53" s="49"/>
      <c r="THT53" s="50"/>
      <c r="THU53" s="49"/>
      <c r="THV53" s="50"/>
      <c r="THW53" s="49"/>
      <c r="THX53" s="50"/>
      <c r="THY53" s="49"/>
      <c r="THZ53" s="50"/>
      <c r="TIA53" s="49"/>
      <c r="TIB53" s="50"/>
      <c r="TIC53" s="49"/>
      <c r="TID53" s="50"/>
      <c r="TIE53" s="49"/>
      <c r="TIF53" s="50"/>
      <c r="TIG53" s="49"/>
      <c r="TIH53" s="50"/>
      <c r="TII53" s="49"/>
      <c r="TIJ53" s="50"/>
      <c r="TIK53" s="49"/>
      <c r="TIL53" s="50"/>
      <c r="TIM53" s="49"/>
      <c r="TIN53" s="50"/>
      <c r="TIO53" s="49"/>
      <c r="TIP53" s="50"/>
      <c r="TIQ53" s="49"/>
      <c r="TIR53" s="50"/>
      <c r="TIS53" s="49"/>
      <c r="TIT53" s="50"/>
      <c r="TIU53" s="49"/>
      <c r="TIV53" s="50"/>
      <c r="TIW53" s="49"/>
      <c r="TIX53" s="50"/>
      <c r="TIY53" s="49"/>
      <c r="TIZ53" s="50"/>
      <c r="TJA53" s="49"/>
      <c r="TJB53" s="50"/>
      <c r="TJC53" s="49"/>
      <c r="TJD53" s="50"/>
      <c r="TJE53" s="49"/>
      <c r="TJF53" s="50"/>
      <c r="TJG53" s="49"/>
      <c r="TJH53" s="50"/>
      <c r="TJI53" s="49"/>
      <c r="TJJ53" s="50"/>
      <c r="TJK53" s="49"/>
      <c r="TJL53" s="50"/>
      <c r="TJM53" s="49"/>
      <c r="TJN53" s="50"/>
      <c r="TJO53" s="49"/>
      <c r="TJP53" s="50"/>
      <c r="TJQ53" s="49"/>
      <c r="TJR53" s="50"/>
      <c r="TJS53" s="49"/>
      <c r="TJT53" s="50"/>
      <c r="TJU53" s="49"/>
      <c r="TJV53" s="50"/>
      <c r="TJW53" s="49"/>
      <c r="TJX53" s="50"/>
      <c r="TJY53" s="49"/>
      <c r="TJZ53" s="50"/>
      <c r="TKA53" s="49"/>
      <c r="TKB53" s="50"/>
      <c r="TKC53" s="49"/>
      <c r="TKD53" s="50"/>
      <c r="TKE53" s="49"/>
      <c r="TKF53" s="50"/>
      <c r="TKG53" s="49"/>
      <c r="TKH53" s="50"/>
      <c r="TKI53" s="49"/>
      <c r="TKJ53" s="50"/>
      <c r="TKK53" s="49"/>
      <c r="TKL53" s="50"/>
      <c r="TKM53" s="49"/>
      <c r="TKN53" s="50"/>
      <c r="TKO53" s="49"/>
      <c r="TKP53" s="50"/>
      <c r="TKQ53" s="49"/>
      <c r="TKR53" s="50"/>
      <c r="TKS53" s="49"/>
      <c r="TKT53" s="50"/>
      <c r="TKU53" s="49"/>
      <c r="TKV53" s="50"/>
      <c r="TKW53" s="49"/>
      <c r="TKX53" s="50"/>
      <c r="TKY53" s="49"/>
      <c r="TKZ53" s="50"/>
      <c r="TLA53" s="49"/>
      <c r="TLB53" s="50"/>
      <c r="TLC53" s="49"/>
      <c r="TLD53" s="50"/>
      <c r="TLE53" s="49"/>
      <c r="TLF53" s="50"/>
      <c r="TLG53" s="49"/>
      <c r="TLH53" s="50"/>
      <c r="TLI53" s="49"/>
      <c r="TLJ53" s="50"/>
      <c r="TLK53" s="49"/>
      <c r="TLL53" s="50"/>
      <c r="TLM53" s="49"/>
      <c r="TLN53" s="50"/>
      <c r="TLO53" s="49"/>
      <c r="TLP53" s="50"/>
      <c r="TLQ53" s="49"/>
      <c r="TLR53" s="50"/>
      <c r="TLS53" s="49"/>
      <c r="TLT53" s="50"/>
      <c r="TLU53" s="49"/>
      <c r="TLV53" s="50"/>
      <c r="TLW53" s="49"/>
      <c r="TLX53" s="50"/>
      <c r="TLY53" s="49"/>
      <c r="TLZ53" s="50"/>
      <c r="TMA53" s="49"/>
      <c r="TMB53" s="50"/>
      <c r="TMC53" s="49"/>
      <c r="TMD53" s="50"/>
      <c r="TME53" s="49"/>
      <c r="TMF53" s="50"/>
      <c r="TMG53" s="49"/>
      <c r="TMH53" s="50"/>
      <c r="TMI53" s="49"/>
      <c r="TMJ53" s="50"/>
      <c r="TMK53" s="49"/>
      <c r="TML53" s="50"/>
      <c r="TMM53" s="49"/>
      <c r="TMN53" s="50"/>
      <c r="TMO53" s="49"/>
      <c r="TMP53" s="50"/>
      <c r="TMQ53" s="49"/>
      <c r="TMR53" s="50"/>
      <c r="TMS53" s="49"/>
      <c r="TMT53" s="50"/>
      <c r="TMU53" s="49"/>
      <c r="TMV53" s="50"/>
      <c r="TMW53" s="49"/>
      <c r="TMX53" s="50"/>
      <c r="TMY53" s="49"/>
      <c r="TMZ53" s="50"/>
      <c r="TNA53" s="49"/>
      <c r="TNB53" s="50"/>
      <c r="TNC53" s="49"/>
      <c r="TND53" s="50"/>
      <c r="TNE53" s="49"/>
      <c r="TNF53" s="50"/>
      <c r="TNG53" s="49"/>
      <c r="TNH53" s="50"/>
      <c r="TNI53" s="49"/>
      <c r="TNJ53" s="50"/>
      <c r="TNK53" s="49"/>
      <c r="TNL53" s="50"/>
      <c r="TNM53" s="49"/>
      <c r="TNN53" s="50"/>
      <c r="TNO53" s="49"/>
      <c r="TNP53" s="50"/>
      <c r="TNQ53" s="49"/>
      <c r="TNR53" s="50"/>
      <c r="TNS53" s="49"/>
      <c r="TNT53" s="50"/>
      <c r="TNU53" s="49"/>
      <c r="TNV53" s="50"/>
      <c r="TNW53" s="49"/>
      <c r="TNX53" s="50"/>
      <c r="TNY53" s="49"/>
      <c r="TNZ53" s="50"/>
      <c r="TOA53" s="49"/>
      <c r="TOB53" s="50"/>
      <c r="TOC53" s="49"/>
      <c r="TOD53" s="50"/>
      <c r="TOE53" s="49"/>
      <c r="TOF53" s="50"/>
      <c r="TOG53" s="49"/>
      <c r="TOH53" s="50"/>
      <c r="TOI53" s="49"/>
      <c r="TOJ53" s="50"/>
      <c r="TOK53" s="49"/>
      <c r="TOL53" s="50"/>
      <c r="TOM53" s="49"/>
      <c r="TON53" s="50"/>
      <c r="TOO53" s="49"/>
      <c r="TOP53" s="50"/>
      <c r="TOQ53" s="49"/>
      <c r="TOR53" s="50"/>
      <c r="TOS53" s="49"/>
      <c r="TOT53" s="50"/>
      <c r="TOU53" s="49"/>
      <c r="TOV53" s="50"/>
      <c r="TOW53" s="49"/>
      <c r="TOX53" s="50"/>
      <c r="TOY53" s="49"/>
      <c r="TOZ53" s="50"/>
      <c r="TPA53" s="49"/>
      <c r="TPB53" s="50"/>
      <c r="TPC53" s="49"/>
      <c r="TPD53" s="50"/>
      <c r="TPE53" s="49"/>
      <c r="TPF53" s="50"/>
      <c r="TPG53" s="49"/>
      <c r="TPH53" s="50"/>
      <c r="TPI53" s="49"/>
      <c r="TPJ53" s="50"/>
      <c r="TPK53" s="49"/>
      <c r="TPL53" s="50"/>
      <c r="TPM53" s="49"/>
      <c r="TPN53" s="50"/>
      <c r="TPO53" s="49"/>
      <c r="TPP53" s="50"/>
      <c r="TPQ53" s="49"/>
      <c r="TPR53" s="50"/>
      <c r="TPS53" s="49"/>
      <c r="TPT53" s="50"/>
      <c r="TPU53" s="49"/>
      <c r="TPV53" s="50"/>
      <c r="TPW53" s="49"/>
      <c r="TPX53" s="50"/>
      <c r="TPY53" s="49"/>
      <c r="TPZ53" s="50"/>
      <c r="TQA53" s="49"/>
      <c r="TQB53" s="50"/>
      <c r="TQC53" s="49"/>
      <c r="TQD53" s="50"/>
      <c r="TQE53" s="49"/>
      <c r="TQF53" s="50"/>
      <c r="TQG53" s="49"/>
      <c r="TQH53" s="50"/>
      <c r="TQI53" s="49"/>
      <c r="TQJ53" s="50"/>
      <c r="TQK53" s="49"/>
      <c r="TQL53" s="50"/>
      <c r="TQM53" s="49"/>
      <c r="TQN53" s="50"/>
      <c r="TQO53" s="49"/>
      <c r="TQP53" s="50"/>
      <c r="TQQ53" s="49"/>
      <c r="TQR53" s="50"/>
      <c r="TQS53" s="49"/>
      <c r="TQT53" s="50"/>
      <c r="TQU53" s="49"/>
      <c r="TQV53" s="50"/>
      <c r="TQW53" s="49"/>
      <c r="TQX53" s="50"/>
      <c r="TQY53" s="49"/>
      <c r="TQZ53" s="50"/>
      <c r="TRA53" s="49"/>
      <c r="TRB53" s="50"/>
      <c r="TRC53" s="49"/>
      <c r="TRD53" s="50"/>
      <c r="TRE53" s="49"/>
      <c r="TRF53" s="50"/>
      <c r="TRG53" s="49"/>
      <c r="TRH53" s="50"/>
      <c r="TRI53" s="49"/>
      <c r="TRJ53" s="50"/>
      <c r="TRK53" s="49"/>
      <c r="TRL53" s="50"/>
      <c r="TRM53" s="49"/>
      <c r="TRN53" s="50"/>
      <c r="TRO53" s="49"/>
      <c r="TRP53" s="50"/>
      <c r="TRQ53" s="49"/>
      <c r="TRR53" s="50"/>
      <c r="TRS53" s="49"/>
      <c r="TRT53" s="50"/>
      <c r="TRU53" s="49"/>
      <c r="TRV53" s="50"/>
      <c r="TRW53" s="49"/>
      <c r="TRX53" s="50"/>
      <c r="TRY53" s="49"/>
      <c r="TRZ53" s="50"/>
      <c r="TSA53" s="49"/>
      <c r="TSB53" s="50"/>
      <c r="TSC53" s="49"/>
      <c r="TSD53" s="50"/>
      <c r="TSE53" s="49"/>
      <c r="TSF53" s="50"/>
      <c r="TSG53" s="49"/>
      <c r="TSH53" s="50"/>
      <c r="TSI53" s="49"/>
      <c r="TSJ53" s="50"/>
      <c r="TSK53" s="49"/>
      <c r="TSL53" s="50"/>
      <c r="TSM53" s="49"/>
      <c r="TSN53" s="50"/>
      <c r="TSO53" s="49"/>
      <c r="TSP53" s="50"/>
      <c r="TSQ53" s="49"/>
      <c r="TSR53" s="50"/>
      <c r="TSS53" s="49"/>
      <c r="TST53" s="50"/>
      <c r="TSU53" s="49"/>
      <c r="TSV53" s="50"/>
      <c r="TSW53" s="49"/>
      <c r="TSX53" s="50"/>
      <c r="TSY53" s="49"/>
      <c r="TSZ53" s="50"/>
      <c r="TTA53" s="49"/>
      <c r="TTB53" s="50"/>
      <c r="TTC53" s="49"/>
      <c r="TTD53" s="50"/>
      <c r="TTE53" s="49"/>
      <c r="TTF53" s="50"/>
      <c r="TTG53" s="49"/>
      <c r="TTH53" s="50"/>
      <c r="TTI53" s="49"/>
      <c r="TTJ53" s="50"/>
      <c r="TTK53" s="49"/>
      <c r="TTL53" s="50"/>
      <c r="TTM53" s="49"/>
      <c r="TTN53" s="50"/>
      <c r="TTO53" s="49"/>
      <c r="TTP53" s="50"/>
      <c r="TTQ53" s="49"/>
      <c r="TTR53" s="50"/>
      <c r="TTS53" s="49"/>
      <c r="TTT53" s="50"/>
      <c r="TTU53" s="49"/>
      <c r="TTV53" s="50"/>
      <c r="TTW53" s="49"/>
      <c r="TTX53" s="50"/>
      <c r="TTY53" s="49"/>
      <c r="TTZ53" s="50"/>
      <c r="TUA53" s="49"/>
      <c r="TUB53" s="50"/>
      <c r="TUC53" s="49"/>
      <c r="TUD53" s="50"/>
      <c r="TUE53" s="49"/>
      <c r="TUF53" s="50"/>
      <c r="TUG53" s="49"/>
      <c r="TUH53" s="50"/>
      <c r="TUI53" s="49"/>
      <c r="TUJ53" s="50"/>
      <c r="TUK53" s="49"/>
      <c r="TUL53" s="50"/>
      <c r="TUM53" s="49"/>
      <c r="TUN53" s="50"/>
      <c r="TUO53" s="49"/>
      <c r="TUP53" s="50"/>
      <c r="TUQ53" s="49"/>
      <c r="TUR53" s="50"/>
      <c r="TUS53" s="49"/>
      <c r="TUT53" s="50"/>
      <c r="TUU53" s="49"/>
      <c r="TUV53" s="50"/>
      <c r="TUW53" s="49"/>
      <c r="TUX53" s="50"/>
      <c r="TUY53" s="49"/>
      <c r="TUZ53" s="50"/>
      <c r="TVA53" s="49"/>
      <c r="TVB53" s="50"/>
      <c r="TVC53" s="49"/>
      <c r="TVD53" s="50"/>
      <c r="TVE53" s="49"/>
      <c r="TVF53" s="50"/>
      <c r="TVG53" s="49"/>
      <c r="TVH53" s="50"/>
      <c r="TVI53" s="49"/>
      <c r="TVJ53" s="50"/>
      <c r="TVK53" s="49"/>
      <c r="TVL53" s="50"/>
      <c r="TVM53" s="49"/>
      <c r="TVN53" s="50"/>
      <c r="TVO53" s="49"/>
      <c r="TVP53" s="50"/>
      <c r="TVQ53" s="49"/>
      <c r="TVR53" s="50"/>
      <c r="TVS53" s="49"/>
      <c r="TVT53" s="50"/>
      <c r="TVU53" s="49"/>
      <c r="TVV53" s="50"/>
      <c r="TVW53" s="49"/>
      <c r="TVX53" s="50"/>
      <c r="TVY53" s="49"/>
      <c r="TVZ53" s="50"/>
      <c r="TWA53" s="49"/>
      <c r="TWB53" s="50"/>
      <c r="TWC53" s="49"/>
      <c r="TWD53" s="50"/>
      <c r="TWE53" s="49"/>
      <c r="TWF53" s="50"/>
      <c r="TWG53" s="49"/>
      <c r="TWH53" s="50"/>
      <c r="TWI53" s="49"/>
      <c r="TWJ53" s="50"/>
      <c r="TWK53" s="49"/>
      <c r="TWL53" s="50"/>
      <c r="TWM53" s="49"/>
      <c r="TWN53" s="50"/>
      <c r="TWO53" s="49"/>
      <c r="TWP53" s="50"/>
      <c r="TWQ53" s="49"/>
      <c r="TWR53" s="50"/>
      <c r="TWS53" s="49"/>
      <c r="TWT53" s="50"/>
      <c r="TWU53" s="49"/>
      <c r="TWV53" s="50"/>
      <c r="TWW53" s="49"/>
      <c r="TWX53" s="50"/>
      <c r="TWY53" s="49"/>
      <c r="TWZ53" s="50"/>
      <c r="TXA53" s="49"/>
      <c r="TXB53" s="50"/>
      <c r="TXC53" s="49"/>
      <c r="TXD53" s="50"/>
      <c r="TXE53" s="49"/>
      <c r="TXF53" s="50"/>
      <c r="TXG53" s="49"/>
      <c r="TXH53" s="50"/>
      <c r="TXI53" s="49"/>
      <c r="TXJ53" s="50"/>
      <c r="TXK53" s="49"/>
      <c r="TXL53" s="50"/>
      <c r="TXM53" s="49"/>
      <c r="TXN53" s="50"/>
      <c r="TXO53" s="49"/>
      <c r="TXP53" s="50"/>
      <c r="TXQ53" s="49"/>
      <c r="TXR53" s="50"/>
      <c r="TXS53" s="49"/>
      <c r="TXT53" s="50"/>
      <c r="TXU53" s="49"/>
      <c r="TXV53" s="50"/>
      <c r="TXW53" s="49"/>
      <c r="TXX53" s="50"/>
      <c r="TXY53" s="49"/>
      <c r="TXZ53" s="50"/>
      <c r="TYA53" s="49"/>
      <c r="TYB53" s="50"/>
      <c r="TYC53" s="49"/>
      <c r="TYD53" s="50"/>
      <c r="TYE53" s="49"/>
      <c r="TYF53" s="50"/>
      <c r="TYG53" s="49"/>
      <c r="TYH53" s="50"/>
      <c r="TYI53" s="49"/>
      <c r="TYJ53" s="50"/>
      <c r="TYK53" s="49"/>
      <c r="TYL53" s="50"/>
      <c r="TYM53" s="49"/>
      <c r="TYN53" s="50"/>
      <c r="TYO53" s="49"/>
      <c r="TYP53" s="50"/>
      <c r="TYQ53" s="49"/>
      <c r="TYR53" s="50"/>
      <c r="TYS53" s="49"/>
      <c r="TYT53" s="50"/>
      <c r="TYU53" s="49"/>
      <c r="TYV53" s="50"/>
      <c r="TYW53" s="49"/>
      <c r="TYX53" s="50"/>
      <c r="TYY53" s="49"/>
      <c r="TYZ53" s="50"/>
      <c r="TZA53" s="49"/>
      <c r="TZB53" s="50"/>
      <c r="TZC53" s="49"/>
      <c r="TZD53" s="50"/>
      <c r="TZE53" s="49"/>
      <c r="TZF53" s="50"/>
      <c r="TZG53" s="49"/>
      <c r="TZH53" s="50"/>
      <c r="TZI53" s="49"/>
      <c r="TZJ53" s="50"/>
      <c r="TZK53" s="49"/>
      <c r="TZL53" s="50"/>
      <c r="TZM53" s="49"/>
      <c r="TZN53" s="50"/>
      <c r="TZO53" s="49"/>
      <c r="TZP53" s="50"/>
      <c r="TZQ53" s="49"/>
      <c r="TZR53" s="50"/>
      <c r="TZS53" s="49"/>
      <c r="TZT53" s="50"/>
      <c r="TZU53" s="49"/>
      <c r="TZV53" s="50"/>
      <c r="TZW53" s="49"/>
      <c r="TZX53" s="50"/>
      <c r="TZY53" s="49"/>
      <c r="TZZ53" s="50"/>
      <c r="UAA53" s="49"/>
      <c r="UAB53" s="50"/>
      <c r="UAC53" s="49"/>
      <c r="UAD53" s="50"/>
      <c r="UAE53" s="49"/>
      <c r="UAF53" s="50"/>
      <c r="UAG53" s="49"/>
      <c r="UAH53" s="50"/>
      <c r="UAI53" s="49"/>
      <c r="UAJ53" s="50"/>
      <c r="UAK53" s="49"/>
      <c r="UAL53" s="50"/>
      <c r="UAM53" s="49"/>
      <c r="UAN53" s="50"/>
      <c r="UAO53" s="49"/>
      <c r="UAP53" s="50"/>
      <c r="UAQ53" s="49"/>
      <c r="UAR53" s="50"/>
      <c r="UAS53" s="49"/>
      <c r="UAT53" s="50"/>
      <c r="UAU53" s="49"/>
      <c r="UAV53" s="50"/>
      <c r="UAW53" s="49"/>
      <c r="UAX53" s="50"/>
      <c r="UAY53" s="49"/>
      <c r="UAZ53" s="50"/>
      <c r="UBA53" s="49"/>
      <c r="UBB53" s="50"/>
      <c r="UBC53" s="49"/>
      <c r="UBD53" s="50"/>
      <c r="UBE53" s="49"/>
      <c r="UBF53" s="50"/>
      <c r="UBG53" s="49"/>
      <c r="UBH53" s="50"/>
      <c r="UBI53" s="49"/>
      <c r="UBJ53" s="50"/>
      <c r="UBK53" s="49"/>
      <c r="UBL53" s="50"/>
      <c r="UBM53" s="49"/>
      <c r="UBN53" s="50"/>
      <c r="UBO53" s="49"/>
      <c r="UBP53" s="50"/>
      <c r="UBQ53" s="49"/>
      <c r="UBR53" s="50"/>
      <c r="UBS53" s="49"/>
      <c r="UBT53" s="50"/>
      <c r="UBU53" s="49"/>
      <c r="UBV53" s="50"/>
      <c r="UBW53" s="49"/>
      <c r="UBX53" s="50"/>
      <c r="UBY53" s="49"/>
      <c r="UBZ53" s="50"/>
      <c r="UCA53" s="49"/>
      <c r="UCB53" s="50"/>
      <c r="UCC53" s="49"/>
      <c r="UCD53" s="50"/>
      <c r="UCE53" s="49"/>
      <c r="UCF53" s="50"/>
      <c r="UCG53" s="49"/>
      <c r="UCH53" s="50"/>
      <c r="UCI53" s="49"/>
      <c r="UCJ53" s="50"/>
      <c r="UCK53" s="49"/>
      <c r="UCL53" s="50"/>
      <c r="UCM53" s="49"/>
      <c r="UCN53" s="50"/>
      <c r="UCO53" s="49"/>
      <c r="UCP53" s="50"/>
      <c r="UCQ53" s="49"/>
      <c r="UCR53" s="50"/>
      <c r="UCS53" s="49"/>
      <c r="UCT53" s="50"/>
      <c r="UCU53" s="49"/>
      <c r="UCV53" s="50"/>
      <c r="UCW53" s="49"/>
      <c r="UCX53" s="50"/>
      <c r="UCY53" s="49"/>
      <c r="UCZ53" s="50"/>
      <c r="UDA53" s="49"/>
      <c r="UDB53" s="50"/>
      <c r="UDC53" s="49"/>
      <c r="UDD53" s="50"/>
      <c r="UDE53" s="49"/>
      <c r="UDF53" s="50"/>
      <c r="UDG53" s="49"/>
      <c r="UDH53" s="50"/>
      <c r="UDI53" s="49"/>
      <c r="UDJ53" s="50"/>
      <c r="UDK53" s="49"/>
      <c r="UDL53" s="50"/>
      <c r="UDM53" s="49"/>
      <c r="UDN53" s="50"/>
      <c r="UDO53" s="49"/>
      <c r="UDP53" s="50"/>
      <c r="UDQ53" s="49"/>
      <c r="UDR53" s="50"/>
      <c r="UDS53" s="49"/>
      <c r="UDT53" s="50"/>
      <c r="UDU53" s="49"/>
      <c r="UDV53" s="50"/>
      <c r="UDW53" s="49"/>
      <c r="UDX53" s="50"/>
      <c r="UDY53" s="49"/>
      <c r="UDZ53" s="50"/>
      <c r="UEA53" s="49"/>
      <c r="UEB53" s="50"/>
      <c r="UEC53" s="49"/>
      <c r="UED53" s="50"/>
      <c r="UEE53" s="49"/>
      <c r="UEF53" s="50"/>
      <c r="UEG53" s="49"/>
      <c r="UEH53" s="50"/>
      <c r="UEI53" s="49"/>
      <c r="UEJ53" s="50"/>
      <c r="UEK53" s="49"/>
      <c r="UEL53" s="50"/>
      <c r="UEM53" s="49"/>
      <c r="UEN53" s="50"/>
      <c r="UEO53" s="49"/>
      <c r="UEP53" s="50"/>
      <c r="UEQ53" s="49"/>
      <c r="UER53" s="50"/>
      <c r="UES53" s="49"/>
      <c r="UET53" s="50"/>
      <c r="UEU53" s="49"/>
      <c r="UEV53" s="50"/>
      <c r="UEW53" s="49"/>
      <c r="UEX53" s="50"/>
      <c r="UEY53" s="49"/>
      <c r="UEZ53" s="50"/>
      <c r="UFA53" s="49"/>
      <c r="UFB53" s="50"/>
      <c r="UFC53" s="49"/>
      <c r="UFD53" s="50"/>
      <c r="UFE53" s="49"/>
      <c r="UFF53" s="50"/>
      <c r="UFG53" s="49"/>
      <c r="UFH53" s="50"/>
      <c r="UFI53" s="49"/>
      <c r="UFJ53" s="50"/>
      <c r="UFK53" s="49"/>
      <c r="UFL53" s="50"/>
      <c r="UFM53" s="49"/>
      <c r="UFN53" s="50"/>
      <c r="UFO53" s="49"/>
      <c r="UFP53" s="50"/>
      <c r="UFQ53" s="49"/>
      <c r="UFR53" s="50"/>
      <c r="UFS53" s="49"/>
      <c r="UFT53" s="50"/>
      <c r="UFU53" s="49"/>
      <c r="UFV53" s="50"/>
      <c r="UFW53" s="49"/>
      <c r="UFX53" s="50"/>
      <c r="UFY53" s="49"/>
      <c r="UFZ53" s="50"/>
      <c r="UGA53" s="49"/>
      <c r="UGB53" s="50"/>
      <c r="UGC53" s="49"/>
      <c r="UGD53" s="50"/>
      <c r="UGE53" s="49"/>
      <c r="UGF53" s="50"/>
      <c r="UGG53" s="49"/>
      <c r="UGH53" s="50"/>
      <c r="UGI53" s="49"/>
      <c r="UGJ53" s="50"/>
      <c r="UGK53" s="49"/>
      <c r="UGL53" s="50"/>
      <c r="UGM53" s="49"/>
      <c r="UGN53" s="50"/>
      <c r="UGO53" s="49"/>
      <c r="UGP53" s="50"/>
      <c r="UGQ53" s="49"/>
      <c r="UGR53" s="50"/>
      <c r="UGS53" s="49"/>
      <c r="UGT53" s="50"/>
      <c r="UGU53" s="49"/>
      <c r="UGV53" s="50"/>
      <c r="UGW53" s="49"/>
      <c r="UGX53" s="50"/>
      <c r="UGY53" s="49"/>
      <c r="UGZ53" s="50"/>
      <c r="UHA53" s="49"/>
      <c r="UHB53" s="50"/>
      <c r="UHC53" s="49"/>
      <c r="UHD53" s="50"/>
      <c r="UHE53" s="49"/>
      <c r="UHF53" s="50"/>
      <c r="UHG53" s="49"/>
      <c r="UHH53" s="50"/>
      <c r="UHI53" s="49"/>
      <c r="UHJ53" s="50"/>
      <c r="UHK53" s="49"/>
      <c r="UHL53" s="50"/>
      <c r="UHM53" s="49"/>
      <c r="UHN53" s="50"/>
      <c r="UHO53" s="49"/>
      <c r="UHP53" s="50"/>
      <c r="UHQ53" s="49"/>
      <c r="UHR53" s="50"/>
      <c r="UHS53" s="49"/>
      <c r="UHT53" s="50"/>
      <c r="UHU53" s="49"/>
      <c r="UHV53" s="50"/>
      <c r="UHW53" s="49"/>
      <c r="UHX53" s="50"/>
      <c r="UHY53" s="49"/>
      <c r="UHZ53" s="50"/>
      <c r="UIA53" s="49"/>
      <c r="UIB53" s="50"/>
      <c r="UIC53" s="49"/>
      <c r="UID53" s="50"/>
      <c r="UIE53" s="49"/>
      <c r="UIF53" s="50"/>
      <c r="UIG53" s="49"/>
      <c r="UIH53" s="50"/>
      <c r="UII53" s="49"/>
      <c r="UIJ53" s="50"/>
      <c r="UIK53" s="49"/>
      <c r="UIL53" s="50"/>
      <c r="UIM53" s="49"/>
      <c r="UIN53" s="50"/>
      <c r="UIO53" s="49"/>
      <c r="UIP53" s="50"/>
      <c r="UIQ53" s="49"/>
      <c r="UIR53" s="50"/>
      <c r="UIS53" s="49"/>
      <c r="UIT53" s="50"/>
      <c r="UIU53" s="49"/>
      <c r="UIV53" s="50"/>
      <c r="UIW53" s="49"/>
      <c r="UIX53" s="50"/>
      <c r="UIY53" s="49"/>
      <c r="UIZ53" s="50"/>
      <c r="UJA53" s="49"/>
      <c r="UJB53" s="50"/>
      <c r="UJC53" s="49"/>
      <c r="UJD53" s="50"/>
      <c r="UJE53" s="49"/>
      <c r="UJF53" s="50"/>
      <c r="UJG53" s="49"/>
      <c r="UJH53" s="50"/>
      <c r="UJI53" s="49"/>
      <c r="UJJ53" s="50"/>
      <c r="UJK53" s="49"/>
      <c r="UJL53" s="50"/>
      <c r="UJM53" s="49"/>
      <c r="UJN53" s="50"/>
      <c r="UJO53" s="49"/>
      <c r="UJP53" s="50"/>
      <c r="UJQ53" s="49"/>
      <c r="UJR53" s="50"/>
      <c r="UJS53" s="49"/>
      <c r="UJT53" s="50"/>
      <c r="UJU53" s="49"/>
      <c r="UJV53" s="50"/>
      <c r="UJW53" s="49"/>
      <c r="UJX53" s="50"/>
      <c r="UJY53" s="49"/>
      <c r="UJZ53" s="50"/>
      <c r="UKA53" s="49"/>
      <c r="UKB53" s="50"/>
      <c r="UKC53" s="49"/>
      <c r="UKD53" s="50"/>
      <c r="UKE53" s="49"/>
      <c r="UKF53" s="50"/>
      <c r="UKG53" s="49"/>
      <c r="UKH53" s="50"/>
      <c r="UKI53" s="49"/>
      <c r="UKJ53" s="50"/>
      <c r="UKK53" s="49"/>
      <c r="UKL53" s="50"/>
      <c r="UKM53" s="49"/>
      <c r="UKN53" s="50"/>
      <c r="UKO53" s="49"/>
      <c r="UKP53" s="50"/>
      <c r="UKQ53" s="49"/>
      <c r="UKR53" s="50"/>
      <c r="UKS53" s="49"/>
      <c r="UKT53" s="50"/>
      <c r="UKU53" s="49"/>
      <c r="UKV53" s="50"/>
      <c r="UKW53" s="49"/>
      <c r="UKX53" s="50"/>
      <c r="UKY53" s="49"/>
      <c r="UKZ53" s="50"/>
      <c r="ULA53" s="49"/>
      <c r="ULB53" s="50"/>
      <c r="ULC53" s="49"/>
      <c r="ULD53" s="50"/>
      <c r="ULE53" s="49"/>
      <c r="ULF53" s="50"/>
      <c r="ULG53" s="49"/>
      <c r="ULH53" s="50"/>
      <c r="ULI53" s="49"/>
      <c r="ULJ53" s="50"/>
      <c r="ULK53" s="49"/>
      <c r="ULL53" s="50"/>
      <c r="ULM53" s="49"/>
      <c r="ULN53" s="50"/>
      <c r="ULO53" s="49"/>
      <c r="ULP53" s="50"/>
      <c r="ULQ53" s="49"/>
      <c r="ULR53" s="50"/>
      <c r="ULS53" s="49"/>
      <c r="ULT53" s="50"/>
      <c r="ULU53" s="49"/>
      <c r="ULV53" s="50"/>
      <c r="ULW53" s="49"/>
      <c r="ULX53" s="50"/>
      <c r="ULY53" s="49"/>
      <c r="ULZ53" s="50"/>
      <c r="UMA53" s="49"/>
      <c r="UMB53" s="50"/>
      <c r="UMC53" s="49"/>
      <c r="UMD53" s="50"/>
      <c r="UME53" s="49"/>
      <c r="UMF53" s="50"/>
      <c r="UMG53" s="49"/>
      <c r="UMH53" s="50"/>
      <c r="UMI53" s="49"/>
      <c r="UMJ53" s="50"/>
      <c r="UMK53" s="49"/>
      <c r="UML53" s="50"/>
      <c r="UMM53" s="49"/>
      <c r="UMN53" s="50"/>
      <c r="UMO53" s="49"/>
      <c r="UMP53" s="50"/>
      <c r="UMQ53" s="49"/>
      <c r="UMR53" s="50"/>
      <c r="UMS53" s="49"/>
      <c r="UMT53" s="50"/>
      <c r="UMU53" s="49"/>
      <c r="UMV53" s="50"/>
      <c r="UMW53" s="49"/>
      <c r="UMX53" s="50"/>
      <c r="UMY53" s="49"/>
      <c r="UMZ53" s="50"/>
      <c r="UNA53" s="49"/>
      <c r="UNB53" s="50"/>
      <c r="UNC53" s="49"/>
      <c r="UND53" s="50"/>
      <c r="UNE53" s="49"/>
      <c r="UNF53" s="50"/>
      <c r="UNG53" s="49"/>
      <c r="UNH53" s="50"/>
      <c r="UNI53" s="49"/>
      <c r="UNJ53" s="50"/>
      <c r="UNK53" s="49"/>
      <c r="UNL53" s="50"/>
      <c r="UNM53" s="49"/>
      <c r="UNN53" s="50"/>
      <c r="UNO53" s="49"/>
      <c r="UNP53" s="50"/>
      <c r="UNQ53" s="49"/>
      <c r="UNR53" s="50"/>
      <c r="UNS53" s="49"/>
      <c r="UNT53" s="50"/>
      <c r="UNU53" s="49"/>
      <c r="UNV53" s="50"/>
      <c r="UNW53" s="49"/>
      <c r="UNX53" s="50"/>
      <c r="UNY53" s="49"/>
      <c r="UNZ53" s="50"/>
      <c r="UOA53" s="49"/>
      <c r="UOB53" s="50"/>
      <c r="UOC53" s="49"/>
      <c r="UOD53" s="50"/>
      <c r="UOE53" s="49"/>
      <c r="UOF53" s="50"/>
      <c r="UOG53" s="49"/>
      <c r="UOH53" s="50"/>
      <c r="UOI53" s="49"/>
      <c r="UOJ53" s="50"/>
      <c r="UOK53" s="49"/>
      <c r="UOL53" s="50"/>
      <c r="UOM53" s="49"/>
      <c r="UON53" s="50"/>
      <c r="UOO53" s="49"/>
      <c r="UOP53" s="50"/>
      <c r="UOQ53" s="49"/>
      <c r="UOR53" s="50"/>
      <c r="UOS53" s="49"/>
      <c r="UOT53" s="50"/>
      <c r="UOU53" s="49"/>
      <c r="UOV53" s="50"/>
      <c r="UOW53" s="49"/>
      <c r="UOX53" s="50"/>
      <c r="UOY53" s="49"/>
      <c r="UOZ53" s="50"/>
      <c r="UPA53" s="49"/>
      <c r="UPB53" s="50"/>
      <c r="UPC53" s="49"/>
      <c r="UPD53" s="50"/>
      <c r="UPE53" s="49"/>
      <c r="UPF53" s="50"/>
      <c r="UPG53" s="49"/>
      <c r="UPH53" s="50"/>
      <c r="UPI53" s="49"/>
      <c r="UPJ53" s="50"/>
      <c r="UPK53" s="49"/>
      <c r="UPL53" s="50"/>
      <c r="UPM53" s="49"/>
      <c r="UPN53" s="50"/>
      <c r="UPO53" s="49"/>
      <c r="UPP53" s="50"/>
      <c r="UPQ53" s="49"/>
      <c r="UPR53" s="50"/>
      <c r="UPS53" s="49"/>
      <c r="UPT53" s="50"/>
      <c r="UPU53" s="49"/>
      <c r="UPV53" s="50"/>
      <c r="UPW53" s="49"/>
      <c r="UPX53" s="50"/>
      <c r="UPY53" s="49"/>
      <c r="UPZ53" s="50"/>
      <c r="UQA53" s="49"/>
      <c r="UQB53" s="50"/>
      <c r="UQC53" s="49"/>
      <c r="UQD53" s="50"/>
      <c r="UQE53" s="49"/>
      <c r="UQF53" s="50"/>
      <c r="UQG53" s="49"/>
      <c r="UQH53" s="50"/>
      <c r="UQI53" s="49"/>
      <c r="UQJ53" s="50"/>
      <c r="UQK53" s="49"/>
      <c r="UQL53" s="50"/>
      <c r="UQM53" s="49"/>
      <c r="UQN53" s="50"/>
      <c r="UQO53" s="49"/>
      <c r="UQP53" s="50"/>
      <c r="UQQ53" s="49"/>
      <c r="UQR53" s="50"/>
      <c r="UQS53" s="49"/>
      <c r="UQT53" s="50"/>
      <c r="UQU53" s="49"/>
      <c r="UQV53" s="50"/>
      <c r="UQW53" s="49"/>
      <c r="UQX53" s="50"/>
      <c r="UQY53" s="49"/>
      <c r="UQZ53" s="50"/>
      <c r="URA53" s="49"/>
      <c r="URB53" s="50"/>
      <c r="URC53" s="49"/>
      <c r="URD53" s="50"/>
      <c r="URE53" s="49"/>
      <c r="URF53" s="50"/>
      <c r="URG53" s="49"/>
      <c r="URH53" s="50"/>
      <c r="URI53" s="49"/>
      <c r="URJ53" s="50"/>
      <c r="URK53" s="49"/>
      <c r="URL53" s="50"/>
      <c r="URM53" s="49"/>
      <c r="URN53" s="50"/>
      <c r="URO53" s="49"/>
      <c r="URP53" s="50"/>
      <c r="URQ53" s="49"/>
      <c r="URR53" s="50"/>
      <c r="URS53" s="49"/>
      <c r="URT53" s="50"/>
      <c r="URU53" s="49"/>
      <c r="URV53" s="50"/>
      <c r="URW53" s="49"/>
      <c r="URX53" s="50"/>
      <c r="URY53" s="49"/>
      <c r="URZ53" s="50"/>
      <c r="USA53" s="49"/>
      <c r="USB53" s="50"/>
      <c r="USC53" s="49"/>
      <c r="USD53" s="50"/>
      <c r="USE53" s="49"/>
      <c r="USF53" s="50"/>
      <c r="USG53" s="49"/>
      <c r="USH53" s="50"/>
      <c r="USI53" s="49"/>
      <c r="USJ53" s="50"/>
      <c r="USK53" s="49"/>
      <c r="USL53" s="50"/>
      <c r="USM53" s="49"/>
      <c r="USN53" s="50"/>
      <c r="USO53" s="49"/>
      <c r="USP53" s="50"/>
      <c r="USQ53" s="49"/>
      <c r="USR53" s="50"/>
      <c r="USS53" s="49"/>
      <c r="UST53" s="50"/>
      <c r="USU53" s="49"/>
      <c r="USV53" s="50"/>
      <c r="USW53" s="49"/>
      <c r="USX53" s="50"/>
      <c r="USY53" s="49"/>
      <c r="USZ53" s="50"/>
      <c r="UTA53" s="49"/>
      <c r="UTB53" s="50"/>
      <c r="UTC53" s="49"/>
      <c r="UTD53" s="50"/>
      <c r="UTE53" s="49"/>
      <c r="UTF53" s="50"/>
      <c r="UTG53" s="49"/>
      <c r="UTH53" s="50"/>
      <c r="UTI53" s="49"/>
      <c r="UTJ53" s="50"/>
      <c r="UTK53" s="49"/>
      <c r="UTL53" s="50"/>
      <c r="UTM53" s="49"/>
      <c r="UTN53" s="50"/>
      <c r="UTO53" s="49"/>
      <c r="UTP53" s="50"/>
      <c r="UTQ53" s="49"/>
      <c r="UTR53" s="50"/>
      <c r="UTS53" s="49"/>
      <c r="UTT53" s="50"/>
      <c r="UTU53" s="49"/>
      <c r="UTV53" s="50"/>
      <c r="UTW53" s="49"/>
      <c r="UTX53" s="50"/>
      <c r="UTY53" s="49"/>
      <c r="UTZ53" s="50"/>
      <c r="UUA53" s="49"/>
      <c r="UUB53" s="50"/>
      <c r="UUC53" s="49"/>
      <c r="UUD53" s="50"/>
      <c r="UUE53" s="49"/>
      <c r="UUF53" s="50"/>
      <c r="UUG53" s="49"/>
      <c r="UUH53" s="50"/>
      <c r="UUI53" s="49"/>
      <c r="UUJ53" s="50"/>
      <c r="UUK53" s="49"/>
      <c r="UUL53" s="50"/>
      <c r="UUM53" s="49"/>
      <c r="UUN53" s="50"/>
      <c r="UUO53" s="49"/>
      <c r="UUP53" s="50"/>
      <c r="UUQ53" s="49"/>
      <c r="UUR53" s="50"/>
      <c r="UUS53" s="49"/>
      <c r="UUT53" s="50"/>
      <c r="UUU53" s="49"/>
      <c r="UUV53" s="50"/>
      <c r="UUW53" s="49"/>
      <c r="UUX53" s="50"/>
      <c r="UUY53" s="49"/>
      <c r="UUZ53" s="50"/>
      <c r="UVA53" s="49"/>
      <c r="UVB53" s="50"/>
      <c r="UVC53" s="49"/>
      <c r="UVD53" s="50"/>
      <c r="UVE53" s="49"/>
      <c r="UVF53" s="50"/>
      <c r="UVG53" s="49"/>
      <c r="UVH53" s="50"/>
      <c r="UVI53" s="49"/>
      <c r="UVJ53" s="50"/>
      <c r="UVK53" s="49"/>
      <c r="UVL53" s="50"/>
      <c r="UVM53" s="49"/>
      <c r="UVN53" s="50"/>
      <c r="UVO53" s="49"/>
      <c r="UVP53" s="50"/>
      <c r="UVQ53" s="49"/>
      <c r="UVR53" s="50"/>
      <c r="UVS53" s="49"/>
      <c r="UVT53" s="50"/>
      <c r="UVU53" s="49"/>
      <c r="UVV53" s="50"/>
      <c r="UVW53" s="49"/>
      <c r="UVX53" s="50"/>
      <c r="UVY53" s="49"/>
      <c r="UVZ53" s="50"/>
      <c r="UWA53" s="49"/>
      <c r="UWB53" s="50"/>
      <c r="UWC53" s="49"/>
      <c r="UWD53" s="50"/>
      <c r="UWE53" s="49"/>
      <c r="UWF53" s="50"/>
      <c r="UWG53" s="49"/>
      <c r="UWH53" s="50"/>
      <c r="UWI53" s="49"/>
      <c r="UWJ53" s="50"/>
      <c r="UWK53" s="49"/>
      <c r="UWL53" s="50"/>
      <c r="UWM53" s="49"/>
      <c r="UWN53" s="50"/>
      <c r="UWO53" s="49"/>
      <c r="UWP53" s="50"/>
      <c r="UWQ53" s="49"/>
      <c r="UWR53" s="50"/>
      <c r="UWS53" s="49"/>
      <c r="UWT53" s="50"/>
      <c r="UWU53" s="49"/>
      <c r="UWV53" s="50"/>
      <c r="UWW53" s="49"/>
      <c r="UWX53" s="50"/>
      <c r="UWY53" s="49"/>
      <c r="UWZ53" s="50"/>
      <c r="UXA53" s="49"/>
      <c r="UXB53" s="50"/>
      <c r="UXC53" s="49"/>
      <c r="UXD53" s="50"/>
      <c r="UXE53" s="49"/>
      <c r="UXF53" s="50"/>
      <c r="UXG53" s="49"/>
      <c r="UXH53" s="50"/>
      <c r="UXI53" s="49"/>
      <c r="UXJ53" s="50"/>
      <c r="UXK53" s="49"/>
      <c r="UXL53" s="50"/>
      <c r="UXM53" s="49"/>
      <c r="UXN53" s="50"/>
      <c r="UXO53" s="49"/>
      <c r="UXP53" s="50"/>
      <c r="UXQ53" s="49"/>
      <c r="UXR53" s="50"/>
      <c r="UXS53" s="49"/>
      <c r="UXT53" s="50"/>
      <c r="UXU53" s="49"/>
      <c r="UXV53" s="50"/>
      <c r="UXW53" s="49"/>
      <c r="UXX53" s="50"/>
      <c r="UXY53" s="49"/>
      <c r="UXZ53" s="50"/>
      <c r="UYA53" s="49"/>
      <c r="UYB53" s="50"/>
      <c r="UYC53" s="49"/>
      <c r="UYD53" s="50"/>
      <c r="UYE53" s="49"/>
      <c r="UYF53" s="50"/>
      <c r="UYG53" s="49"/>
      <c r="UYH53" s="50"/>
      <c r="UYI53" s="49"/>
      <c r="UYJ53" s="50"/>
      <c r="UYK53" s="49"/>
      <c r="UYL53" s="50"/>
      <c r="UYM53" s="49"/>
      <c r="UYN53" s="50"/>
      <c r="UYO53" s="49"/>
      <c r="UYP53" s="50"/>
      <c r="UYQ53" s="49"/>
      <c r="UYR53" s="50"/>
      <c r="UYS53" s="49"/>
      <c r="UYT53" s="50"/>
      <c r="UYU53" s="49"/>
      <c r="UYV53" s="50"/>
      <c r="UYW53" s="49"/>
      <c r="UYX53" s="50"/>
      <c r="UYY53" s="49"/>
      <c r="UYZ53" s="50"/>
      <c r="UZA53" s="49"/>
      <c r="UZB53" s="50"/>
      <c r="UZC53" s="49"/>
      <c r="UZD53" s="50"/>
      <c r="UZE53" s="49"/>
      <c r="UZF53" s="50"/>
      <c r="UZG53" s="49"/>
      <c r="UZH53" s="50"/>
      <c r="UZI53" s="49"/>
      <c r="UZJ53" s="50"/>
      <c r="UZK53" s="49"/>
      <c r="UZL53" s="50"/>
      <c r="UZM53" s="49"/>
      <c r="UZN53" s="50"/>
      <c r="UZO53" s="49"/>
      <c r="UZP53" s="50"/>
      <c r="UZQ53" s="49"/>
      <c r="UZR53" s="50"/>
      <c r="UZS53" s="49"/>
      <c r="UZT53" s="50"/>
      <c r="UZU53" s="49"/>
      <c r="UZV53" s="50"/>
      <c r="UZW53" s="49"/>
      <c r="UZX53" s="50"/>
      <c r="UZY53" s="49"/>
      <c r="UZZ53" s="50"/>
      <c r="VAA53" s="49"/>
      <c r="VAB53" s="50"/>
      <c r="VAC53" s="49"/>
      <c r="VAD53" s="50"/>
      <c r="VAE53" s="49"/>
      <c r="VAF53" s="50"/>
      <c r="VAG53" s="49"/>
      <c r="VAH53" s="50"/>
      <c r="VAI53" s="49"/>
      <c r="VAJ53" s="50"/>
      <c r="VAK53" s="49"/>
      <c r="VAL53" s="50"/>
      <c r="VAM53" s="49"/>
      <c r="VAN53" s="50"/>
      <c r="VAO53" s="49"/>
      <c r="VAP53" s="50"/>
      <c r="VAQ53" s="49"/>
      <c r="VAR53" s="50"/>
      <c r="VAS53" s="49"/>
      <c r="VAT53" s="50"/>
      <c r="VAU53" s="49"/>
      <c r="VAV53" s="50"/>
      <c r="VAW53" s="49"/>
      <c r="VAX53" s="50"/>
      <c r="VAY53" s="49"/>
      <c r="VAZ53" s="50"/>
      <c r="VBA53" s="49"/>
      <c r="VBB53" s="50"/>
      <c r="VBC53" s="49"/>
      <c r="VBD53" s="50"/>
      <c r="VBE53" s="49"/>
      <c r="VBF53" s="50"/>
      <c r="VBG53" s="49"/>
      <c r="VBH53" s="50"/>
      <c r="VBI53" s="49"/>
      <c r="VBJ53" s="50"/>
      <c r="VBK53" s="49"/>
      <c r="VBL53" s="50"/>
      <c r="VBM53" s="49"/>
      <c r="VBN53" s="50"/>
      <c r="VBO53" s="49"/>
      <c r="VBP53" s="50"/>
      <c r="VBQ53" s="49"/>
      <c r="VBR53" s="50"/>
      <c r="VBS53" s="49"/>
      <c r="VBT53" s="50"/>
      <c r="VBU53" s="49"/>
      <c r="VBV53" s="50"/>
      <c r="VBW53" s="49"/>
      <c r="VBX53" s="50"/>
      <c r="VBY53" s="49"/>
      <c r="VBZ53" s="50"/>
      <c r="VCA53" s="49"/>
      <c r="VCB53" s="50"/>
      <c r="VCC53" s="49"/>
      <c r="VCD53" s="50"/>
      <c r="VCE53" s="49"/>
      <c r="VCF53" s="50"/>
      <c r="VCG53" s="49"/>
      <c r="VCH53" s="50"/>
      <c r="VCI53" s="49"/>
      <c r="VCJ53" s="50"/>
      <c r="VCK53" s="49"/>
      <c r="VCL53" s="50"/>
      <c r="VCM53" s="49"/>
      <c r="VCN53" s="50"/>
      <c r="VCO53" s="49"/>
      <c r="VCP53" s="50"/>
      <c r="VCQ53" s="49"/>
      <c r="VCR53" s="50"/>
      <c r="VCS53" s="49"/>
      <c r="VCT53" s="50"/>
      <c r="VCU53" s="49"/>
      <c r="VCV53" s="50"/>
      <c r="VCW53" s="49"/>
      <c r="VCX53" s="50"/>
      <c r="VCY53" s="49"/>
      <c r="VCZ53" s="50"/>
      <c r="VDA53" s="49"/>
      <c r="VDB53" s="50"/>
      <c r="VDC53" s="49"/>
      <c r="VDD53" s="50"/>
      <c r="VDE53" s="49"/>
      <c r="VDF53" s="50"/>
      <c r="VDG53" s="49"/>
      <c r="VDH53" s="50"/>
      <c r="VDI53" s="49"/>
      <c r="VDJ53" s="50"/>
      <c r="VDK53" s="49"/>
      <c r="VDL53" s="50"/>
      <c r="VDM53" s="49"/>
      <c r="VDN53" s="50"/>
      <c r="VDO53" s="49"/>
      <c r="VDP53" s="50"/>
      <c r="VDQ53" s="49"/>
      <c r="VDR53" s="50"/>
      <c r="VDS53" s="49"/>
      <c r="VDT53" s="50"/>
      <c r="VDU53" s="49"/>
      <c r="VDV53" s="50"/>
      <c r="VDW53" s="49"/>
      <c r="VDX53" s="50"/>
      <c r="VDY53" s="49"/>
      <c r="VDZ53" s="50"/>
      <c r="VEA53" s="49"/>
      <c r="VEB53" s="50"/>
      <c r="VEC53" s="49"/>
      <c r="VED53" s="50"/>
      <c r="VEE53" s="49"/>
      <c r="VEF53" s="50"/>
      <c r="VEG53" s="49"/>
      <c r="VEH53" s="50"/>
      <c r="VEI53" s="49"/>
      <c r="VEJ53" s="50"/>
      <c r="VEK53" s="49"/>
      <c r="VEL53" s="50"/>
      <c r="VEM53" s="49"/>
      <c r="VEN53" s="50"/>
      <c r="VEO53" s="49"/>
      <c r="VEP53" s="50"/>
      <c r="VEQ53" s="49"/>
      <c r="VER53" s="50"/>
      <c r="VES53" s="49"/>
      <c r="VET53" s="50"/>
      <c r="VEU53" s="49"/>
      <c r="VEV53" s="50"/>
      <c r="VEW53" s="49"/>
      <c r="VEX53" s="50"/>
      <c r="VEY53" s="49"/>
      <c r="VEZ53" s="50"/>
      <c r="VFA53" s="49"/>
      <c r="VFB53" s="50"/>
      <c r="VFC53" s="49"/>
      <c r="VFD53" s="50"/>
      <c r="VFE53" s="49"/>
      <c r="VFF53" s="50"/>
      <c r="VFG53" s="49"/>
      <c r="VFH53" s="50"/>
      <c r="VFI53" s="49"/>
      <c r="VFJ53" s="50"/>
      <c r="VFK53" s="49"/>
      <c r="VFL53" s="50"/>
      <c r="VFM53" s="49"/>
      <c r="VFN53" s="50"/>
      <c r="VFO53" s="49"/>
      <c r="VFP53" s="50"/>
      <c r="VFQ53" s="49"/>
      <c r="VFR53" s="50"/>
      <c r="VFS53" s="49"/>
      <c r="VFT53" s="50"/>
      <c r="VFU53" s="49"/>
      <c r="VFV53" s="50"/>
      <c r="VFW53" s="49"/>
      <c r="VFX53" s="50"/>
      <c r="VFY53" s="49"/>
      <c r="VFZ53" s="50"/>
      <c r="VGA53" s="49"/>
      <c r="VGB53" s="50"/>
      <c r="VGC53" s="49"/>
      <c r="VGD53" s="50"/>
      <c r="VGE53" s="49"/>
      <c r="VGF53" s="50"/>
      <c r="VGG53" s="49"/>
      <c r="VGH53" s="50"/>
      <c r="VGI53" s="49"/>
      <c r="VGJ53" s="50"/>
      <c r="VGK53" s="49"/>
      <c r="VGL53" s="50"/>
      <c r="VGM53" s="49"/>
      <c r="VGN53" s="50"/>
      <c r="VGO53" s="49"/>
      <c r="VGP53" s="50"/>
      <c r="VGQ53" s="49"/>
      <c r="VGR53" s="50"/>
      <c r="VGS53" s="49"/>
      <c r="VGT53" s="50"/>
      <c r="VGU53" s="49"/>
      <c r="VGV53" s="50"/>
      <c r="VGW53" s="49"/>
      <c r="VGX53" s="50"/>
      <c r="VGY53" s="49"/>
      <c r="VGZ53" s="50"/>
      <c r="VHA53" s="49"/>
      <c r="VHB53" s="50"/>
      <c r="VHC53" s="49"/>
      <c r="VHD53" s="50"/>
      <c r="VHE53" s="49"/>
      <c r="VHF53" s="50"/>
      <c r="VHG53" s="49"/>
      <c r="VHH53" s="50"/>
      <c r="VHI53" s="49"/>
      <c r="VHJ53" s="50"/>
      <c r="VHK53" s="49"/>
      <c r="VHL53" s="50"/>
      <c r="VHM53" s="49"/>
      <c r="VHN53" s="50"/>
      <c r="VHO53" s="49"/>
      <c r="VHP53" s="50"/>
      <c r="VHQ53" s="49"/>
      <c r="VHR53" s="50"/>
      <c r="VHS53" s="49"/>
      <c r="VHT53" s="50"/>
      <c r="VHU53" s="49"/>
      <c r="VHV53" s="50"/>
      <c r="VHW53" s="49"/>
      <c r="VHX53" s="50"/>
      <c r="VHY53" s="49"/>
      <c r="VHZ53" s="50"/>
      <c r="VIA53" s="49"/>
      <c r="VIB53" s="50"/>
      <c r="VIC53" s="49"/>
      <c r="VID53" s="50"/>
      <c r="VIE53" s="49"/>
      <c r="VIF53" s="50"/>
      <c r="VIG53" s="49"/>
      <c r="VIH53" s="50"/>
      <c r="VII53" s="49"/>
      <c r="VIJ53" s="50"/>
      <c r="VIK53" s="49"/>
      <c r="VIL53" s="50"/>
      <c r="VIM53" s="49"/>
      <c r="VIN53" s="50"/>
      <c r="VIO53" s="49"/>
      <c r="VIP53" s="50"/>
      <c r="VIQ53" s="49"/>
      <c r="VIR53" s="50"/>
      <c r="VIS53" s="49"/>
      <c r="VIT53" s="50"/>
      <c r="VIU53" s="49"/>
      <c r="VIV53" s="50"/>
      <c r="VIW53" s="49"/>
      <c r="VIX53" s="50"/>
      <c r="VIY53" s="49"/>
      <c r="VIZ53" s="50"/>
      <c r="VJA53" s="49"/>
      <c r="VJB53" s="50"/>
      <c r="VJC53" s="49"/>
      <c r="VJD53" s="50"/>
      <c r="VJE53" s="49"/>
      <c r="VJF53" s="50"/>
      <c r="VJG53" s="49"/>
      <c r="VJH53" s="50"/>
      <c r="VJI53" s="49"/>
      <c r="VJJ53" s="50"/>
      <c r="VJK53" s="49"/>
      <c r="VJL53" s="50"/>
      <c r="VJM53" s="49"/>
      <c r="VJN53" s="50"/>
      <c r="VJO53" s="49"/>
      <c r="VJP53" s="50"/>
      <c r="VJQ53" s="49"/>
      <c r="VJR53" s="50"/>
      <c r="VJS53" s="49"/>
      <c r="VJT53" s="50"/>
      <c r="VJU53" s="49"/>
      <c r="VJV53" s="50"/>
      <c r="VJW53" s="49"/>
      <c r="VJX53" s="50"/>
      <c r="VJY53" s="49"/>
      <c r="VJZ53" s="50"/>
      <c r="VKA53" s="49"/>
      <c r="VKB53" s="50"/>
      <c r="VKC53" s="49"/>
      <c r="VKD53" s="50"/>
      <c r="VKE53" s="49"/>
      <c r="VKF53" s="50"/>
      <c r="VKG53" s="49"/>
      <c r="VKH53" s="50"/>
      <c r="VKI53" s="49"/>
      <c r="VKJ53" s="50"/>
      <c r="VKK53" s="49"/>
      <c r="VKL53" s="50"/>
      <c r="VKM53" s="49"/>
      <c r="VKN53" s="50"/>
      <c r="VKO53" s="49"/>
      <c r="VKP53" s="50"/>
      <c r="VKQ53" s="49"/>
      <c r="VKR53" s="50"/>
      <c r="VKS53" s="49"/>
      <c r="VKT53" s="50"/>
      <c r="VKU53" s="49"/>
      <c r="VKV53" s="50"/>
      <c r="VKW53" s="49"/>
      <c r="VKX53" s="50"/>
      <c r="VKY53" s="49"/>
      <c r="VKZ53" s="50"/>
      <c r="VLA53" s="49"/>
      <c r="VLB53" s="50"/>
      <c r="VLC53" s="49"/>
      <c r="VLD53" s="50"/>
      <c r="VLE53" s="49"/>
      <c r="VLF53" s="50"/>
      <c r="VLG53" s="49"/>
      <c r="VLH53" s="50"/>
      <c r="VLI53" s="49"/>
      <c r="VLJ53" s="50"/>
      <c r="VLK53" s="49"/>
      <c r="VLL53" s="50"/>
      <c r="VLM53" s="49"/>
      <c r="VLN53" s="50"/>
      <c r="VLO53" s="49"/>
      <c r="VLP53" s="50"/>
      <c r="VLQ53" s="49"/>
      <c r="VLR53" s="50"/>
      <c r="VLS53" s="49"/>
      <c r="VLT53" s="50"/>
      <c r="VLU53" s="49"/>
      <c r="VLV53" s="50"/>
      <c r="VLW53" s="49"/>
      <c r="VLX53" s="50"/>
      <c r="VLY53" s="49"/>
      <c r="VLZ53" s="50"/>
      <c r="VMA53" s="49"/>
      <c r="VMB53" s="50"/>
      <c r="VMC53" s="49"/>
      <c r="VMD53" s="50"/>
      <c r="VME53" s="49"/>
      <c r="VMF53" s="50"/>
      <c r="VMG53" s="49"/>
      <c r="VMH53" s="50"/>
      <c r="VMI53" s="49"/>
      <c r="VMJ53" s="50"/>
      <c r="VMK53" s="49"/>
      <c r="VML53" s="50"/>
      <c r="VMM53" s="49"/>
      <c r="VMN53" s="50"/>
      <c r="VMO53" s="49"/>
      <c r="VMP53" s="50"/>
      <c r="VMQ53" s="49"/>
      <c r="VMR53" s="50"/>
      <c r="VMS53" s="49"/>
      <c r="VMT53" s="50"/>
      <c r="VMU53" s="49"/>
      <c r="VMV53" s="50"/>
      <c r="VMW53" s="49"/>
      <c r="VMX53" s="50"/>
      <c r="VMY53" s="49"/>
      <c r="VMZ53" s="50"/>
      <c r="VNA53" s="49"/>
      <c r="VNB53" s="50"/>
      <c r="VNC53" s="49"/>
      <c r="VND53" s="50"/>
      <c r="VNE53" s="49"/>
      <c r="VNF53" s="50"/>
      <c r="VNG53" s="49"/>
      <c r="VNH53" s="50"/>
      <c r="VNI53" s="49"/>
      <c r="VNJ53" s="50"/>
      <c r="VNK53" s="49"/>
      <c r="VNL53" s="50"/>
      <c r="VNM53" s="49"/>
      <c r="VNN53" s="50"/>
      <c r="VNO53" s="49"/>
      <c r="VNP53" s="50"/>
      <c r="VNQ53" s="49"/>
      <c r="VNR53" s="50"/>
      <c r="VNS53" s="49"/>
      <c r="VNT53" s="50"/>
      <c r="VNU53" s="49"/>
      <c r="VNV53" s="50"/>
      <c r="VNW53" s="49"/>
      <c r="VNX53" s="50"/>
      <c r="VNY53" s="49"/>
      <c r="VNZ53" s="50"/>
      <c r="VOA53" s="49"/>
      <c r="VOB53" s="50"/>
      <c r="VOC53" s="49"/>
      <c r="VOD53" s="50"/>
      <c r="VOE53" s="49"/>
      <c r="VOF53" s="50"/>
      <c r="VOG53" s="49"/>
      <c r="VOH53" s="50"/>
      <c r="VOI53" s="49"/>
      <c r="VOJ53" s="50"/>
      <c r="VOK53" s="49"/>
      <c r="VOL53" s="50"/>
      <c r="VOM53" s="49"/>
      <c r="VON53" s="50"/>
      <c r="VOO53" s="49"/>
      <c r="VOP53" s="50"/>
      <c r="VOQ53" s="49"/>
      <c r="VOR53" s="50"/>
      <c r="VOS53" s="49"/>
      <c r="VOT53" s="50"/>
      <c r="VOU53" s="49"/>
      <c r="VOV53" s="50"/>
      <c r="VOW53" s="49"/>
      <c r="VOX53" s="50"/>
      <c r="VOY53" s="49"/>
      <c r="VOZ53" s="50"/>
      <c r="VPA53" s="49"/>
      <c r="VPB53" s="50"/>
      <c r="VPC53" s="49"/>
      <c r="VPD53" s="50"/>
      <c r="VPE53" s="49"/>
      <c r="VPF53" s="50"/>
      <c r="VPG53" s="49"/>
      <c r="VPH53" s="50"/>
      <c r="VPI53" s="49"/>
      <c r="VPJ53" s="50"/>
      <c r="VPK53" s="49"/>
      <c r="VPL53" s="50"/>
      <c r="VPM53" s="49"/>
      <c r="VPN53" s="50"/>
      <c r="VPO53" s="49"/>
      <c r="VPP53" s="50"/>
      <c r="VPQ53" s="49"/>
      <c r="VPR53" s="50"/>
      <c r="VPS53" s="49"/>
      <c r="VPT53" s="50"/>
      <c r="VPU53" s="49"/>
      <c r="VPV53" s="50"/>
      <c r="VPW53" s="49"/>
      <c r="VPX53" s="50"/>
      <c r="VPY53" s="49"/>
      <c r="VPZ53" s="50"/>
      <c r="VQA53" s="49"/>
      <c r="VQB53" s="50"/>
      <c r="VQC53" s="49"/>
      <c r="VQD53" s="50"/>
      <c r="VQE53" s="49"/>
      <c r="VQF53" s="50"/>
      <c r="VQG53" s="49"/>
      <c r="VQH53" s="50"/>
      <c r="VQI53" s="49"/>
      <c r="VQJ53" s="50"/>
      <c r="VQK53" s="49"/>
      <c r="VQL53" s="50"/>
      <c r="VQM53" s="49"/>
      <c r="VQN53" s="50"/>
      <c r="VQO53" s="49"/>
      <c r="VQP53" s="50"/>
      <c r="VQQ53" s="49"/>
      <c r="VQR53" s="50"/>
      <c r="VQS53" s="49"/>
      <c r="VQT53" s="50"/>
      <c r="VQU53" s="49"/>
      <c r="VQV53" s="50"/>
      <c r="VQW53" s="49"/>
      <c r="VQX53" s="50"/>
      <c r="VQY53" s="49"/>
      <c r="VQZ53" s="50"/>
      <c r="VRA53" s="49"/>
      <c r="VRB53" s="50"/>
      <c r="VRC53" s="49"/>
      <c r="VRD53" s="50"/>
      <c r="VRE53" s="49"/>
      <c r="VRF53" s="50"/>
      <c r="VRG53" s="49"/>
      <c r="VRH53" s="50"/>
      <c r="VRI53" s="49"/>
      <c r="VRJ53" s="50"/>
      <c r="VRK53" s="49"/>
      <c r="VRL53" s="50"/>
      <c r="VRM53" s="49"/>
      <c r="VRN53" s="50"/>
      <c r="VRO53" s="49"/>
      <c r="VRP53" s="50"/>
      <c r="VRQ53" s="49"/>
      <c r="VRR53" s="50"/>
      <c r="VRS53" s="49"/>
      <c r="VRT53" s="50"/>
      <c r="VRU53" s="49"/>
      <c r="VRV53" s="50"/>
      <c r="VRW53" s="49"/>
      <c r="VRX53" s="50"/>
      <c r="VRY53" s="49"/>
      <c r="VRZ53" s="50"/>
      <c r="VSA53" s="49"/>
      <c r="VSB53" s="50"/>
      <c r="VSC53" s="49"/>
      <c r="VSD53" s="50"/>
      <c r="VSE53" s="49"/>
      <c r="VSF53" s="50"/>
      <c r="VSG53" s="49"/>
      <c r="VSH53" s="50"/>
      <c r="VSI53" s="49"/>
      <c r="VSJ53" s="50"/>
      <c r="VSK53" s="49"/>
      <c r="VSL53" s="50"/>
      <c r="VSM53" s="49"/>
      <c r="VSN53" s="50"/>
      <c r="VSO53" s="49"/>
      <c r="VSP53" s="50"/>
      <c r="VSQ53" s="49"/>
      <c r="VSR53" s="50"/>
      <c r="VSS53" s="49"/>
      <c r="VST53" s="50"/>
      <c r="VSU53" s="49"/>
      <c r="VSV53" s="50"/>
      <c r="VSW53" s="49"/>
      <c r="VSX53" s="50"/>
      <c r="VSY53" s="49"/>
      <c r="VSZ53" s="50"/>
      <c r="VTA53" s="49"/>
      <c r="VTB53" s="50"/>
      <c r="VTC53" s="49"/>
      <c r="VTD53" s="50"/>
      <c r="VTE53" s="49"/>
      <c r="VTF53" s="50"/>
      <c r="VTG53" s="49"/>
      <c r="VTH53" s="50"/>
      <c r="VTI53" s="49"/>
      <c r="VTJ53" s="50"/>
      <c r="VTK53" s="49"/>
      <c r="VTL53" s="50"/>
      <c r="VTM53" s="49"/>
      <c r="VTN53" s="50"/>
      <c r="VTO53" s="49"/>
      <c r="VTP53" s="50"/>
      <c r="VTQ53" s="49"/>
      <c r="VTR53" s="50"/>
      <c r="VTS53" s="49"/>
      <c r="VTT53" s="50"/>
      <c r="VTU53" s="49"/>
      <c r="VTV53" s="50"/>
      <c r="VTW53" s="49"/>
      <c r="VTX53" s="50"/>
      <c r="VTY53" s="49"/>
      <c r="VTZ53" s="50"/>
      <c r="VUA53" s="49"/>
      <c r="VUB53" s="50"/>
      <c r="VUC53" s="49"/>
      <c r="VUD53" s="50"/>
      <c r="VUE53" s="49"/>
      <c r="VUF53" s="50"/>
      <c r="VUG53" s="49"/>
      <c r="VUH53" s="50"/>
      <c r="VUI53" s="49"/>
      <c r="VUJ53" s="50"/>
      <c r="VUK53" s="49"/>
      <c r="VUL53" s="50"/>
      <c r="VUM53" s="49"/>
      <c r="VUN53" s="50"/>
      <c r="VUO53" s="49"/>
      <c r="VUP53" s="50"/>
      <c r="VUQ53" s="49"/>
      <c r="VUR53" s="50"/>
      <c r="VUS53" s="49"/>
      <c r="VUT53" s="50"/>
      <c r="VUU53" s="49"/>
      <c r="VUV53" s="50"/>
      <c r="VUW53" s="49"/>
      <c r="VUX53" s="50"/>
      <c r="VUY53" s="49"/>
      <c r="VUZ53" s="50"/>
      <c r="VVA53" s="49"/>
      <c r="VVB53" s="50"/>
      <c r="VVC53" s="49"/>
      <c r="VVD53" s="50"/>
      <c r="VVE53" s="49"/>
      <c r="VVF53" s="50"/>
      <c r="VVG53" s="49"/>
      <c r="VVH53" s="50"/>
      <c r="VVI53" s="49"/>
      <c r="VVJ53" s="50"/>
      <c r="VVK53" s="49"/>
      <c r="VVL53" s="50"/>
      <c r="VVM53" s="49"/>
      <c r="VVN53" s="50"/>
      <c r="VVO53" s="49"/>
      <c r="VVP53" s="50"/>
      <c r="VVQ53" s="49"/>
      <c r="VVR53" s="50"/>
      <c r="VVS53" s="49"/>
      <c r="VVT53" s="50"/>
      <c r="VVU53" s="49"/>
      <c r="VVV53" s="50"/>
      <c r="VVW53" s="49"/>
      <c r="VVX53" s="50"/>
      <c r="VVY53" s="49"/>
      <c r="VVZ53" s="50"/>
      <c r="VWA53" s="49"/>
      <c r="VWB53" s="50"/>
      <c r="VWC53" s="49"/>
      <c r="VWD53" s="50"/>
      <c r="VWE53" s="49"/>
      <c r="VWF53" s="50"/>
      <c r="VWG53" s="49"/>
      <c r="VWH53" s="50"/>
      <c r="VWI53" s="49"/>
      <c r="VWJ53" s="50"/>
      <c r="VWK53" s="49"/>
      <c r="VWL53" s="50"/>
      <c r="VWM53" s="49"/>
      <c r="VWN53" s="50"/>
      <c r="VWO53" s="49"/>
      <c r="VWP53" s="50"/>
      <c r="VWQ53" s="49"/>
      <c r="VWR53" s="50"/>
      <c r="VWS53" s="49"/>
      <c r="VWT53" s="50"/>
      <c r="VWU53" s="49"/>
      <c r="VWV53" s="50"/>
      <c r="VWW53" s="49"/>
      <c r="VWX53" s="50"/>
      <c r="VWY53" s="49"/>
      <c r="VWZ53" s="50"/>
      <c r="VXA53" s="49"/>
      <c r="VXB53" s="50"/>
      <c r="VXC53" s="49"/>
      <c r="VXD53" s="50"/>
      <c r="VXE53" s="49"/>
      <c r="VXF53" s="50"/>
      <c r="VXG53" s="49"/>
      <c r="VXH53" s="50"/>
      <c r="VXI53" s="49"/>
      <c r="VXJ53" s="50"/>
      <c r="VXK53" s="49"/>
      <c r="VXL53" s="50"/>
      <c r="VXM53" s="49"/>
      <c r="VXN53" s="50"/>
      <c r="VXO53" s="49"/>
      <c r="VXP53" s="50"/>
      <c r="VXQ53" s="49"/>
      <c r="VXR53" s="50"/>
      <c r="VXS53" s="49"/>
      <c r="VXT53" s="50"/>
      <c r="VXU53" s="49"/>
      <c r="VXV53" s="50"/>
      <c r="VXW53" s="49"/>
      <c r="VXX53" s="50"/>
      <c r="VXY53" s="49"/>
      <c r="VXZ53" s="50"/>
      <c r="VYA53" s="49"/>
      <c r="VYB53" s="50"/>
      <c r="VYC53" s="49"/>
      <c r="VYD53" s="50"/>
      <c r="VYE53" s="49"/>
      <c r="VYF53" s="50"/>
      <c r="VYG53" s="49"/>
      <c r="VYH53" s="50"/>
      <c r="VYI53" s="49"/>
      <c r="VYJ53" s="50"/>
      <c r="VYK53" s="49"/>
      <c r="VYL53" s="50"/>
      <c r="VYM53" s="49"/>
      <c r="VYN53" s="50"/>
      <c r="VYO53" s="49"/>
      <c r="VYP53" s="50"/>
      <c r="VYQ53" s="49"/>
      <c r="VYR53" s="50"/>
      <c r="VYS53" s="49"/>
      <c r="VYT53" s="50"/>
      <c r="VYU53" s="49"/>
      <c r="VYV53" s="50"/>
      <c r="VYW53" s="49"/>
      <c r="VYX53" s="50"/>
      <c r="VYY53" s="49"/>
      <c r="VYZ53" s="50"/>
      <c r="VZA53" s="49"/>
      <c r="VZB53" s="50"/>
      <c r="VZC53" s="49"/>
      <c r="VZD53" s="50"/>
      <c r="VZE53" s="49"/>
      <c r="VZF53" s="50"/>
      <c r="VZG53" s="49"/>
      <c r="VZH53" s="50"/>
      <c r="VZI53" s="49"/>
      <c r="VZJ53" s="50"/>
      <c r="VZK53" s="49"/>
      <c r="VZL53" s="50"/>
      <c r="VZM53" s="49"/>
      <c r="VZN53" s="50"/>
      <c r="VZO53" s="49"/>
      <c r="VZP53" s="50"/>
      <c r="VZQ53" s="49"/>
      <c r="VZR53" s="50"/>
      <c r="VZS53" s="49"/>
      <c r="VZT53" s="50"/>
      <c r="VZU53" s="49"/>
      <c r="VZV53" s="50"/>
      <c r="VZW53" s="49"/>
      <c r="VZX53" s="50"/>
      <c r="VZY53" s="49"/>
      <c r="VZZ53" s="50"/>
      <c r="WAA53" s="49"/>
      <c r="WAB53" s="50"/>
      <c r="WAC53" s="49"/>
      <c r="WAD53" s="50"/>
      <c r="WAE53" s="49"/>
      <c r="WAF53" s="50"/>
      <c r="WAG53" s="49"/>
      <c r="WAH53" s="50"/>
      <c r="WAI53" s="49"/>
      <c r="WAJ53" s="50"/>
      <c r="WAK53" s="49"/>
      <c r="WAL53" s="50"/>
      <c r="WAM53" s="49"/>
      <c r="WAN53" s="50"/>
      <c r="WAO53" s="49"/>
      <c r="WAP53" s="50"/>
      <c r="WAQ53" s="49"/>
      <c r="WAR53" s="50"/>
      <c r="WAS53" s="49"/>
      <c r="WAT53" s="50"/>
      <c r="WAU53" s="49"/>
      <c r="WAV53" s="50"/>
      <c r="WAW53" s="49"/>
      <c r="WAX53" s="50"/>
      <c r="WAY53" s="49"/>
      <c r="WAZ53" s="50"/>
      <c r="WBA53" s="49"/>
      <c r="WBB53" s="50"/>
      <c r="WBC53" s="49"/>
      <c r="WBD53" s="50"/>
      <c r="WBE53" s="49"/>
      <c r="WBF53" s="50"/>
      <c r="WBG53" s="49"/>
      <c r="WBH53" s="50"/>
      <c r="WBI53" s="49"/>
      <c r="WBJ53" s="50"/>
      <c r="WBK53" s="49"/>
      <c r="WBL53" s="50"/>
      <c r="WBM53" s="49"/>
      <c r="WBN53" s="50"/>
      <c r="WBO53" s="49"/>
      <c r="WBP53" s="50"/>
      <c r="WBQ53" s="49"/>
      <c r="WBR53" s="50"/>
      <c r="WBS53" s="49"/>
      <c r="WBT53" s="50"/>
      <c r="WBU53" s="49"/>
      <c r="WBV53" s="50"/>
      <c r="WBW53" s="49"/>
      <c r="WBX53" s="50"/>
      <c r="WBY53" s="49"/>
      <c r="WBZ53" s="50"/>
      <c r="WCA53" s="49"/>
      <c r="WCB53" s="50"/>
      <c r="WCC53" s="49"/>
      <c r="WCD53" s="50"/>
      <c r="WCE53" s="49"/>
      <c r="WCF53" s="50"/>
      <c r="WCG53" s="49"/>
      <c r="WCH53" s="50"/>
      <c r="WCI53" s="49"/>
      <c r="WCJ53" s="50"/>
      <c r="WCK53" s="49"/>
      <c r="WCL53" s="50"/>
      <c r="WCM53" s="49"/>
      <c r="WCN53" s="50"/>
      <c r="WCO53" s="49"/>
      <c r="WCP53" s="50"/>
      <c r="WCQ53" s="49"/>
      <c r="WCR53" s="50"/>
      <c r="WCS53" s="49"/>
      <c r="WCT53" s="50"/>
      <c r="WCU53" s="49"/>
      <c r="WCV53" s="50"/>
      <c r="WCW53" s="49"/>
      <c r="WCX53" s="50"/>
      <c r="WCY53" s="49"/>
      <c r="WCZ53" s="50"/>
      <c r="WDA53" s="49"/>
      <c r="WDB53" s="50"/>
      <c r="WDC53" s="49"/>
      <c r="WDD53" s="50"/>
      <c r="WDE53" s="49"/>
      <c r="WDF53" s="50"/>
      <c r="WDG53" s="49"/>
      <c r="WDH53" s="50"/>
      <c r="WDI53" s="49"/>
      <c r="WDJ53" s="50"/>
      <c r="WDK53" s="49"/>
      <c r="WDL53" s="50"/>
      <c r="WDM53" s="49"/>
      <c r="WDN53" s="50"/>
      <c r="WDO53" s="49"/>
      <c r="WDP53" s="50"/>
      <c r="WDQ53" s="49"/>
      <c r="WDR53" s="50"/>
      <c r="WDS53" s="49"/>
      <c r="WDT53" s="50"/>
      <c r="WDU53" s="49"/>
      <c r="WDV53" s="50"/>
      <c r="WDW53" s="49"/>
      <c r="WDX53" s="50"/>
      <c r="WDY53" s="49"/>
      <c r="WDZ53" s="50"/>
      <c r="WEA53" s="49"/>
      <c r="WEB53" s="50"/>
      <c r="WEC53" s="49"/>
      <c r="WED53" s="50"/>
      <c r="WEE53" s="49"/>
      <c r="WEF53" s="50"/>
      <c r="WEG53" s="49"/>
      <c r="WEH53" s="50"/>
      <c r="WEI53" s="49"/>
      <c r="WEJ53" s="50"/>
      <c r="WEK53" s="49"/>
      <c r="WEL53" s="50"/>
      <c r="WEM53" s="49"/>
      <c r="WEN53" s="50"/>
      <c r="WEO53" s="49"/>
      <c r="WEP53" s="50"/>
      <c r="WEQ53" s="49"/>
      <c r="WER53" s="50"/>
      <c r="WES53" s="49"/>
      <c r="WET53" s="50"/>
      <c r="WEU53" s="49"/>
      <c r="WEV53" s="50"/>
      <c r="WEW53" s="49"/>
      <c r="WEX53" s="50"/>
      <c r="WEY53" s="49"/>
      <c r="WEZ53" s="50"/>
      <c r="WFA53" s="49"/>
      <c r="WFB53" s="50"/>
      <c r="WFC53" s="49"/>
      <c r="WFD53" s="50"/>
      <c r="WFE53" s="49"/>
      <c r="WFF53" s="50"/>
      <c r="WFG53" s="49"/>
      <c r="WFH53" s="50"/>
      <c r="WFI53" s="49"/>
      <c r="WFJ53" s="50"/>
      <c r="WFK53" s="49"/>
      <c r="WFL53" s="50"/>
      <c r="WFM53" s="49"/>
      <c r="WFN53" s="50"/>
      <c r="WFO53" s="49"/>
      <c r="WFP53" s="50"/>
      <c r="WFQ53" s="49"/>
      <c r="WFR53" s="50"/>
      <c r="WFS53" s="49"/>
      <c r="WFT53" s="50"/>
      <c r="WFU53" s="49"/>
      <c r="WFV53" s="50"/>
      <c r="WFW53" s="49"/>
      <c r="WFX53" s="50"/>
      <c r="WFY53" s="49"/>
      <c r="WFZ53" s="50"/>
      <c r="WGA53" s="49"/>
      <c r="WGB53" s="50"/>
      <c r="WGC53" s="49"/>
      <c r="WGD53" s="50"/>
      <c r="WGE53" s="49"/>
      <c r="WGF53" s="50"/>
      <c r="WGG53" s="49"/>
      <c r="WGH53" s="50"/>
      <c r="WGI53" s="49"/>
      <c r="WGJ53" s="50"/>
      <c r="WGK53" s="49"/>
      <c r="WGL53" s="50"/>
      <c r="WGM53" s="49"/>
      <c r="WGN53" s="50"/>
      <c r="WGO53" s="49"/>
      <c r="WGP53" s="50"/>
      <c r="WGQ53" s="49"/>
      <c r="WGR53" s="50"/>
      <c r="WGS53" s="49"/>
      <c r="WGT53" s="50"/>
      <c r="WGU53" s="49"/>
      <c r="WGV53" s="50"/>
      <c r="WGW53" s="49"/>
      <c r="WGX53" s="50"/>
      <c r="WGY53" s="49"/>
      <c r="WGZ53" s="50"/>
      <c r="WHA53" s="49"/>
      <c r="WHB53" s="50"/>
      <c r="WHC53" s="49"/>
      <c r="WHD53" s="50"/>
      <c r="WHE53" s="49"/>
      <c r="WHF53" s="50"/>
      <c r="WHG53" s="49"/>
      <c r="WHH53" s="50"/>
      <c r="WHI53" s="49"/>
      <c r="WHJ53" s="50"/>
      <c r="WHK53" s="49"/>
      <c r="WHL53" s="50"/>
      <c r="WHM53" s="49"/>
      <c r="WHN53" s="50"/>
      <c r="WHO53" s="49"/>
      <c r="WHP53" s="50"/>
      <c r="WHQ53" s="49"/>
      <c r="WHR53" s="50"/>
      <c r="WHS53" s="49"/>
      <c r="WHT53" s="50"/>
      <c r="WHU53" s="49"/>
      <c r="WHV53" s="50"/>
      <c r="WHW53" s="49"/>
      <c r="WHX53" s="50"/>
      <c r="WHY53" s="49"/>
      <c r="WHZ53" s="50"/>
      <c r="WIA53" s="49"/>
      <c r="WIB53" s="50"/>
      <c r="WIC53" s="49"/>
      <c r="WID53" s="50"/>
      <c r="WIE53" s="49"/>
      <c r="WIF53" s="50"/>
      <c r="WIG53" s="49"/>
      <c r="WIH53" s="50"/>
      <c r="WII53" s="49"/>
      <c r="WIJ53" s="50"/>
      <c r="WIK53" s="49"/>
      <c r="WIL53" s="50"/>
      <c r="WIM53" s="49"/>
      <c r="WIN53" s="50"/>
      <c r="WIO53" s="49"/>
      <c r="WIP53" s="50"/>
      <c r="WIQ53" s="49"/>
      <c r="WIR53" s="50"/>
      <c r="WIS53" s="49"/>
      <c r="WIT53" s="50"/>
      <c r="WIU53" s="49"/>
      <c r="WIV53" s="50"/>
      <c r="WIW53" s="49"/>
      <c r="WIX53" s="50"/>
      <c r="WIY53" s="49"/>
      <c r="WIZ53" s="50"/>
      <c r="WJA53" s="49"/>
      <c r="WJB53" s="50"/>
      <c r="WJC53" s="49"/>
      <c r="WJD53" s="50"/>
      <c r="WJE53" s="49"/>
      <c r="WJF53" s="50"/>
      <c r="WJG53" s="49"/>
      <c r="WJH53" s="50"/>
      <c r="WJI53" s="49"/>
      <c r="WJJ53" s="50"/>
      <c r="WJK53" s="49"/>
      <c r="WJL53" s="50"/>
      <c r="WJM53" s="49"/>
      <c r="WJN53" s="50"/>
      <c r="WJO53" s="49"/>
      <c r="WJP53" s="50"/>
      <c r="WJQ53" s="49"/>
      <c r="WJR53" s="50"/>
      <c r="WJS53" s="49"/>
      <c r="WJT53" s="50"/>
      <c r="WJU53" s="49"/>
      <c r="WJV53" s="50"/>
      <c r="WJW53" s="49"/>
      <c r="WJX53" s="50"/>
      <c r="WJY53" s="49"/>
      <c r="WJZ53" s="50"/>
      <c r="WKA53" s="49"/>
      <c r="WKB53" s="50"/>
      <c r="WKC53" s="49"/>
      <c r="WKD53" s="50"/>
      <c r="WKE53" s="49"/>
      <c r="WKF53" s="50"/>
      <c r="WKG53" s="49"/>
      <c r="WKH53" s="50"/>
      <c r="WKI53" s="49"/>
      <c r="WKJ53" s="50"/>
      <c r="WKK53" s="49"/>
      <c r="WKL53" s="50"/>
      <c r="WKM53" s="49"/>
      <c r="WKN53" s="50"/>
      <c r="WKO53" s="49"/>
      <c r="WKP53" s="50"/>
      <c r="WKQ53" s="49"/>
      <c r="WKR53" s="50"/>
      <c r="WKS53" s="49"/>
      <c r="WKT53" s="50"/>
      <c r="WKU53" s="49"/>
      <c r="WKV53" s="50"/>
      <c r="WKW53" s="49"/>
      <c r="WKX53" s="50"/>
      <c r="WKY53" s="49"/>
      <c r="WKZ53" s="50"/>
      <c r="WLA53" s="49"/>
      <c r="WLB53" s="50"/>
      <c r="WLC53" s="49"/>
      <c r="WLD53" s="50"/>
      <c r="WLE53" s="49"/>
      <c r="WLF53" s="50"/>
      <c r="WLG53" s="49"/>
      <c r="WLH53" s="50"/>
      <c r="WLI53" s="49"/>
      <c r="WLJ53" s="50"/>
      <c r="WLK53" s="49"/>
      <c r="WLL53" s="50"/>
      <c r="WLM53" s="49"/>
      <c r="WLN53" s="50"/>
      <c r="WLO53" s="49"/>
      <c r="WLP53" s="50"/>
      <c r="WLQ53" s="49"/>
      <c r="WLR53" s="50"/>
      <c r="WLS53" s="49"/>
      <c r="WLT53" s="50"/>
      <c r="WLU53" s="49"/>
      <c r="WLV53" s="50"/>
      <c r="WLW53" s="49"/>
      <c r="WLX53" s="50"/>
      <c r="WLY53" s="49"/>
      <c r="WLZ53" s="50"/>
      <c r="WMA53" s="49"/>
      <c r="WMB53" s="50"/>
      <c r="WMC53" s="49"/>
      <c r="WMD53" s="50"/>
      <c r="WME53" s="49"/>
      <c r="WMF53" s="50"/>
      <c r="WMG53" s="49"/>
      <c r="WMH53" s="50"/>
      <c r="WMI53" s="49"/>
      <c r="WMJ53" s="50"/>
      <c r="WMK53" s="49"/>
      <c r="WML53" s="50"/>
      <c r="WMM53" s="49"/>
      <c r="WMN53" s="50"/>
      <c r="WMO53" s="49"/>
      <c r="WMP53" s="50"/>
      <c r="WMQ53" s="49"/>
      <c r="WMR53" s="50"/>
      <c r="WMS53" s="49"/>
      <c r="WMT53" s="50"/>
      <c r="WMU53" s="49"/>
      <c r="WMV53" s="50"/>
      <c r="WMW53" s="49"/>
      <c r="WMX53" s="50"/>
      <c r="WMY53" s="49"/>
      <c r="WMZ53" s="50"/>
      <c r="WNA53" s="49"/>
      <c r="WNB53" s="50"/>
      <c r="WNC53" s="49"/>
      <c r="WND53" s="50"/>
      <c r="WNE53" s="49"/>
      <c r="WNF53" s="50"/>
      <c r="WNG53" s="49"/>
      <c r="WNH53" s="50"/>
      <c r="WNI53" s="49"/>
      <c r="WNJ53" s="50"/>
      <c r="WNK53" s="49"/>
      <c r="WNL53" s="50"/>
      <c r="WNM53" s="49"/>
      <c r="WNN53" s="50"/>
      <c r="WNO53" s="49"/>
      <c r="WNP53" s="50"/>
      <c r="WNQ53" s="49"/>
      <c r="WNR53" s="50"/>
      <c r="WNS53" s="49"/>
      <c r="WNT53" s="50"/>
      <c r="WNU53" s="49"/>
      <c r="WNV53" s="50"/>
      <c r="WNW53" s="49"/>
      <c r="WNX53" s="50"/>
      <c r="WNY53" s="49"/>
      <c r="WNZ53" s="50"/>
      <c r="WOA53" s="49"/>
      <c r="WOB53" s="50"/>
      <c r="WOC53" s="49"/>
      <c r="WOD53" s="50"/>
      <c r="WOE53" s="49"/>
      <c r="WOF53" s="50"/>
      <c r="WOG53" s="49"/>
      <c r="WOH53" s="50"/>
      <c r="WOI53" s="49"/>
      <c r="WOJ53" s="50"/>
      <c r="WOK53" s="49"/>
      <c r="WOL53" s="50"/>
      <c r="WOM53" s="49"/>
      <c r="WON53" s="50"/>
      <c r="WOO53" s="49"/>
      <c r="WOP53" s="50"/>
      <c r="WOQ53" s="49"/>
      <c r="WOR53" s="50"/>
      <c r="WOS53" s="49"/>
      <c r="WOT53" s="50"/>
      <c r="WOU53" s="49"/>
      <c r="WOV53" s="50"/>
      <c r="WOW53" s="49"/>
      <c r="WOX53" s="50"/>
      <c r="WOY53" s="49"/>
      <c r="WOZ53" s="50"/>
      <c r="WPA53" s="49"/>
      <c r="WPB53" s="50"/>
      <c r="WPC53" s="49"/>
      <c r="WPD53" s="50"/>
      <c r="WPE53" s="49"/>
      <c r="WPF53" s="50"/>
      <c r="WPG53" s="49"/>
      <c r="WPH53" s="50"/>
      <c r="WPI53" s="49"/>
      <c r="WPJ53" s="50"/>
      <c r="WPK53" s="49"/>
      <c r="WPL53" s="50"/>
      <c r="WPM53" s="49"/>
      <c r="WPN53" s="50"/>
      <c r="WPO53" s="49"/>
      <c r="WPP53" s="50"/>
      <c r="WPQ53" s="49"/>
      <c r="WPR53" s="50"/>
      <c r="WPS53" s="49"/>
      <c r="WPT53" s="50"/>
      <c r="WPU53" s="49"/>
      <c r="WPV53" s="50"/>
      <c r="WPW53" s="49"/>
      <c r="WPX53" s="50"/>
      <c r="WPY53" s="49"/>
      <c r="WPZ53" s="50"/>
      <c r="WQA53" s="49"/>
      <c r="WQB53" s="50"/>
      <c r="WQC53" s="49"/>
      <c r="WQD53" s="50"/>
      <c r="WQE53" s="49"/>
      <c r="WQF53" s="50"/>
      <c r="WQG53" s="49"/>
      <c r="WQH53" s="50"/>
      <c r="WQI53" s="49"/>
      <c r="WQJ53" s="50"/>
      <c r="WQK53" s="49"/>
      <c r="WQL53" s="50"/>
      <c r="WQM53" s="49"/>
      <c r="WQN53" s="50"/>
      <c r="WQO53" s="49"/>
      <c r="WQP53" s="50"/>
      <c r="WQQ53" s="49"/>
      <c r="WQR53" s="50"/>
      <c r="WQS53" s="49"/>
      <c r="WQT53" s="50"/>
      <c r="WQU53" s="49"/>
      <c r="WQV53" s="50"/>
      <c r="WQW53" s="49"/>
      <c r="WQX53" s="50"/>
      <c r="WQY53" s="49"/>
      <c r="WQZ53" s="50"/>
      <c r="WRA53" s="49"/>
      <c r="WRB53" s="50"/>
      <c r="WRC53" s="49"/>
      <c r="WRD53" s="50"/>
      <c r="WRE53" s="49"/>
      <c r="WRF53" s="50"/>
      <c r="WRG53" s="49"/>
      <c r="WRH53" s="50"/>
      <c r="WRI53" s="49"/>
      <c r="WRJ53" s="50"/>
      <c r="WRK53" s="49"/>
      <c r="WRL53" s="50"/>
      <c r="WRM53" s="49"/>
      <c r="WRN53" s="50"/>
      <c r="WRO53" s="49"/>
      <c r="WRP53" s="50"/>
      <c r="WRQ53" s="49"/>
      <c r="WRR53" s="50"/>
      <c r="WRS53" s="49"/>
      <c r="WRT53" s="50"/>
      <c r="WRU53" s="49"/>
      <c r="WRV53" s="50"/>
      <c r="WRW53" s="49"/>
      <c r="WRX53" s="50"/>
      <c r="WRY53" s="49"/>
      <c r="WRZ53" s="50"/>
      <c r="WSA53" s="49"/>
      <c r="WSB53" s="50"/>
      <c r="WSC53" s="49"/>
      <c r="WSD53" s="50"/>
      <c r="WSE53" s="49"/>
      <c r="WSF53" s="50"/>
      <c r="WSG53" s="49"/>
      <c r="WSH53" s="50"/>
      <c r="WSI53" s="49"/>
      <c r="WSJ53" s="50"/>
      <c r="WSK53" s="49"/>
      <c r="WSL53" s="50"/>
      <c r="WSM53" s="49"/>
      <c r="WSN53" s="50"/>
      <c r="WSO53" s="49"/>
      <c r="WSP53" s="50"/>
      <c r="WSQ53" s="49"/>
      <c r="WSR53" s="50"/>
      <c r="WSS53" s="49"/>
      <c r="WST53" s="50"/>
      <c r="WSU53" s="49"/>
      <c r="WSV53" s="50"/>
      <c r="WSW53" s="49"/>
      <c r="WSX53" s="50"/>
      <c r="WSY53" s="49"/>
      <c r="WSZ53" s="50"/>
      <c r="WTA53" s="49"/>
      <c r="WTB53" s="50"/>
      <c r="WTC53" s="49"/>
      <c r="WTD53" s="50"/>
      <c r="WTE53" s="49"/>
      <c r="WTF53" s="50"/>
      <c r="WTG53" s="49"/>
      <c r="WTH53" s="50"/>
      <c r="WTI53" s="49"/>
      <c r="WTJ53" s="50"/>
      <c r="WTK53" s="49"/>
      <c r="WTL53" s="50"/>
      <c r="WTM53" s="49"/>
      <c r="WTN53" s="50"/>
      <c r="WTO53" s="49"/>
      <c r="WTP53" s="50"/>
      <c r="WTQ53" s="49"/>
      <c r="WTR53" s="50"/>
      <c r="WTS53" s="49"/>
      <c r="WTT53" s="50"/>
      <c r="WTU53" s="49"/>
      <c r="WTV53" s="50"/>
      <c r="WTW53" s="49"/>
      <c r="WTX53" s="50"/>
      <c r="WTY53" s="49"/>
      <c r="WTZ53" s="50"/>
      <c r="WUA53" s="49"/>
      <c r="WUB53" s="50"/>
      <c r="WUC53" s="49"/>
      <c r="WUD53" s="50"/>
      <c r="WUE53" s="49"/>
      <c r="WUF53" s="50"/>
      <c r="WUG53" s="49"/>
      <c r="WUH53" s="50"/>
      <c r="WUI53" s="49"/>
      <c r="WUJ53" s="50"/>
      <c r="WUK53" s="49"/>
      <c r="WUL53" s="50"/>
      <c r="WUM53" s="49"/>
      <c r="WUN53" s="50"/>
      <c r="WUO53" s="49"/>
      <c r="WUP53" s="50"/>
      <c r="WUQ53" s="49"/>
      <c r="WUR53" s="50"/>
      <c r="WUS53" s="49"/>
      <c r="WUT53" s="50"/>
      <c r="WUU53" s="49"/>
      <c r="WUV53" s="50"/>
      <c r="WUW53" s="49"/>
      <c r="WUX53" s="50"/>
      <c r="WUY53" s="49"/>
      <c r="WUZ53" s="50"/>
      <c r="WVA53" s="49"/>
      <c r="WVB53" s="50"/>
      <c r="WVC53" s="49"/>
      <c r="WVD53" s="50"/>
      <c r="WVE53" s="49"/>
      <c r="WVF53" s="50"/>
      <c r="WVG53" s="49"/>
      <c r="WVH53" s="50"/>
      <c r="WVI53" s="49"/>
      <c r="WVJ53" s="50"/>
      <c r="WVK53" s="49"/>
      <c r="WVL53" s="50"/>
      <c r="WVM53" s="49"/>
      <c r="WVN53" s="50"/>
      <c r="WVO53" s="49"/>
      <c r="WVP53" s="50"/>
      <c r="WVQ53" s="49"/>
      <c r="WVR53" s="50"/>
      <c r="WVS53" s="49"/>
      <c r="WVT53" s="50"/>
      <c r="WVU53" s="49"/>
      <c r="WVV53" s="50"/>
      <c r="WVW53" s="49"/>
      <c r="WVX53" s="50"/>
      <c r="WVY53" s="49"/>
      <c r="WVZ53" s="50"/>
      <c r="WWA53" s="49"/>
      <c r="WWB53" s="50"/>
      <c r="WWC53" s="49"/>
      <c r="WWD53" s="50"/>
      <c r="WWE53" s="49"/>
      <c r="WWF53" s="50"/>
      <c r="WWG53" s="49"/>
      <c r="WWH53" s="50"/>
      <c r="WWI53" s="49"/>
      <c r="WWJ53" s="50"/>
      <c r="WWK53" s="49"/>
      <c r="WWL53" s="50"/>
      <c r="WWM53" s="49"/>
      <c r="WWN53" s="50"/>
      <c r="WWO53" s="49"/>
      <c r="WWP53" s="50"/>
      <c r="WWQ53" s="49"/>
      <c r="WWR53" s="50"/>
      <c r="WWS53" s="49"/>
      <c r="WWT53" s="50"/>
      <c r="WWU53" s="49"/>
      <c r="WWV53" s="50"/>
      <c r="WWW53" s="49"/>
      <c r="WWX53" s="50"/>
      <c r="WWY53" s="49"/>
      <c r="WWZ53" s="50"/>
      <c r="WXA53" s="49"/>
      <c r="WXB53" s="50"/>
      <c r="WXC53" s="49"/>
      <c r="WXD53" s="50"/>
      <c r="WXE53" s="49"/>
      <c r="WXF53" s="50"/>
      <c r="WXG53" s="49"/>
      <c r="WXH53" s="50"/>
      <c r="WXI53" s="49"/>
      <c r="WXJ53" s="50"/>
      <c r="WXK53" s="49"/>
      <c r="WXL53" s="50"/>
      <c r="WXM53" s="49"/>
      <c r="WXN53" s="50"/>
      <c r="WXO53" s="49"/>
      <c r="WXP53" s="50"/>
      <c r="WXQ53" s="49"/>
      <c r="WXR53" s="50"/>
      <c r="WXS53" s="49"/>
      <c r="WXT53" s="50"/>
      <c r="WXU53" s="49"/>
      <c r="WXV53" s="50"/>
      <c r="WXW53" s="49"/>
      <c r="WXX53" s="50"/>
      <c r="WXY53" s="49"/>
      <c r="WXZ53" s="50"/>
      <c r="WYA53" s="49"/>
      <c r="WYB53" s="50"/>
      <c r="WYC53" s="49"/>
      <c r="WYD53" s="50"/>
      <c r="WYE53" s="49"/>
      <c r="WYF53" s="50"/>
      <c r="WYG53" s="49"/>
      <c r="WYH53" s="50"/>
      <c r="WYI53" s="49"/>
      <c r="WYJ53" s="50"/>
      <c r="WYK53" s="49"/>
      <c r="WYL53" s="50"/>
      <c r="WYM53" s="49"/>
      <c r="WYN53" s="50"/>
      <c r="WYO53" s="49"/>
      <c r="WYP53" s="50"/>
      <c r="WYQ53" s="49"/>
      <c r="WYR53" s="50"/>
      <c r="WYS53" s="49"/>
      <c r="WYT53" s="50"/>
      <c r="WYU53" s="49"/>
      <c r="WYV53" s="50"/>
      <c r="WYW53" s="49"/>
      <c r="WYX53" s="50"/>
      <c r="WYY53" s="49"/>
      <c r="WYZ53" s="50"/>
      <c r="WZA53" s="49"/>
      <c r="WZB53" s="50"/>
      <c r="WZC53" s="49"/>
      <c r="WZD53" s="50"/>
      <c r="WZE53" s="49"/>
      <c r="WZF53" s="50"/>
      <c r="WZG53" s="49"/>
      <c r="WZH53" s="50"/>
      <c r="WZI53" s="49"/>
      <c r="WZJ53" s="50"/>
      <c r="WZK53" s="49"/>
      <c r="WZL53" s="50"/>
      <c r="WZM53" s="49"/>
      <c r="WZN53" s="50"/>
      <c r="WZO53" s="49"/>
      <c r="WZP53" s="50"/>
      <c r="WZQ53" s="49"/>
      <c r="WZR53" s="50"/>
      <c r="WZS53" s="49"/>
      <c r="WZT53" s="50"/>
      <c r="WZU53" s="49"/>
      <c r="WZV53" s="50"/>
      <c r="WZW53" s="49"/>
      <c r="WZX53" s="50"/>
      <c r="WZY53" s="49"/>
      <c r="WZZ53" s="50"/>
      <c r="XAA53" s="49"/>
      <c r="XAB53" s="50"/>
      <c r="XAC53" s="49"/>
      <c r="XAD53" s="50"/>
      <c r="XAE53" s="49"/>
      <c r="XAF53" s="50"/>
      <c r="XAG53" s="49"/>
      <c r="XAH53" s="50"/>
      <c r="XAI53" s="49"/>
      <c r="XAJ53" s="50"/>
      <c r="XAK53" s="49"/>
      <c r="XAL53" s="50"/>
      <c r="XAM53" s="49"/>
      <c r="XAN53" s="50"/>
      <c r="XAO53" s="49"/>
      <c r="XAP53" s="50"/>
      <c r="XAQ53" s="49"/>
      <c r="XAR53" s="50"/>
      <c r="XAS53" s="49"/>
      <c r="XAT53" s="50"/>
      <c r="XAU53" s="49"/>
      <c r="XAV53" s="50"/>
      <c r="XAW53" s="49"/>
      <c r="XAX53" s="50"/>
      <c r="XAY53" s="49"/>
      <c r="XAZ53" s="50"/>
      <c r="XBA53" s="49"/>
      <c r="XBB53" s="50"/>
      <c r="XBC53" s="49"/>
      <c r="XBD53" s="50"/>
      <c r="XBE53" s="49"/>
      <c r="XBF53" s="50"/>
      <c r="XBG53" s="49"/>
      <c r="XBH53" s="50"/>
      <c r="XBI53" s="49"/>
      <c r="XBJ53" s="50"/>
      <c r="XBK53" s="49"/>
      <c r="XBL53" s="50"/>
      <c r="XBM53" s="49"/>
      <c r="XBN53" s="50"/>
      <c r="XBO53" s="49"/>
      <c r="XBP53" s="50"/>
      <c r="XBQ53" s="49"/>
      <c r="XBR53" s="50"/>
      <c r="XBS53" s="49"/>
      <c r="XBT53" s="50"/>
      <c r="XBU53" s="49"/>
      <c r="XBV53" s="50"/>
      <c r="XBW53" s="49"/>
      <c r="XBX53" s="50"/>
      <c r="XBY53" s="49"/>
      <c r="XBZ53" s="50"/>
      <c r="XCA53" s="49"/>
      <c r="XCB53" s="50"/>
      <c r="XCC53" s="49"/>
      <c r="XCD53" s="50"/>
      <c r="XCE53" s="49"/>
      <c r="XCF53" s="50"/>
      <c r="XCG53" s="49"/>
      <c r="XCH53" s="50"/>
      <c r="XCI53" s="49"/>
      <c r="XCJ53" s="50"/>
      <c r="XCK53" s="49"/>
      <c r="XCL53" s="50"/>
      <c r="XCM53" s="49"/>
      <c r="XCN53" s="50"/>
      <c r="XCO53" s="49"/>
      <c r="XCP53" s="50"/>
      <c r="XCQ53" s="49"/>
      <c r="XCR53" s="50"/>
      <c r="XCS53" s="49"/>
      <c r="XCT53" s="50"/>
      <c r="XCU53" s="49"/>
      <c r="XCV53" s="50"/>
      <c r="XCW53" s="49"/>
      <c r="XCX53" s="50"/>
      <c r="XCY53" s="49"/>
      <c r="XCZ53" s="50"/>
      <c r="XDA53" s="49"/>
      <c r="XDB53" s="50"/>
      <c r="XDC53" s="49"/>
      <c r="XDD53" s="50"/>
      <c r="XDE53" s="49"/>
      <c r="XDF53" s="50"/>
      <c r="XDG53" s="49"/>
      <c r="XDH53" s="50"/>
      <c r="XDI53" s="49"/>
      <c r="XDJ53" s="50"/>
      <c r="XDK53" s="49"/>
      <c r="XDL53" s="50"/>
      <c r="XDM53" s="49"/>
      <c r="XDN53" s="50"/>
      <c r="XDO53" s="49"/>
      <c r="XDP53" s="50"/>
      <c r="XDQ53" s="49"/>
      <c r="XDR53" s="50"/>
      <c r="XDS53" s="49"/>
      <c r="XDT53" s="50"/>
      <c r="XDU53" s="49"/>
      <c r="XDV53" s="50"/>
      <c r="XDW53" s="49"/>
      <c r="XDX53" s="50"/>
      <c r="XDY53" s="49"/>
      <c r="XDZ53" s="50"/>
      <c r="XEA53" s="49"/>
      <c r="XEB53" s="50"/>
      <c r="XEC53" s="49"/>
      <c r="XED53" s="50"/>
      <c r="XEE53" s="49"/>
      <c r="XEF53" s="50"/>
      <c r="XEG53" s="49"/>
      <c r="XEH53" s="50"/>
      <c r="XEI53" s="49"/>
      <c r="XEJ53" s="50"/>
      <c r="XEK53" s="49"/>
      <c r="XEL53" s="50"/>
      <c r="XEM53" s="49"/>
      <c r="XEN53" s="50"/>
      <c r="XEO53" s="49"/>
      <c r="XEP53" s="50"/>
      <c r="XEQ53" s="49"/>
      <c r="XER53" s="50"/>
      <c r="XES53" s="49"/>
      <c r="XET53" s="50"/>
      <c r="XEU53" s="49"/>
      <c r="XEV53" s="50"/>
      <c r="XEW53" s="49"/>
      <c r="XEX53" s="50"/>
      <c r="XEY53" s="49"/>
      <c r="XEZ53" s="50"/>
      <c r="XFA53" s="49"/>
      <c r="XFB53" s="50"/>
      <c r="XFC53" s="49"/>
      <c r="XFD53" s="50"/>
    </row>
    <row r="54" spans="1:16384" x14ac:dyDescent="0.25">
      <c r="A54" s="45" t="s">
        <v>2920</v>
      </c>
      <c r="B54" s="46" t="s">
        <v>2921</v>
      </c>
    </row>
    <row r="55" spans="1:16384" x14ac:dyDescent="0.25">
      <c r="A55" s="47" t="s">
        <v>2922</v>
      </c>
      <c r="B55" s="47" t="s">
        <v>2923</v>
      </c>
    </row>
    <row r="56" spans="1:16384" x14ac:dyDescent="0.25">
      <c r="A56" s="47" t="s">
        <v>2924</v>
      </c>
      <c r="B56" s="47" t="s">
        <v>2925</v>
      </c>
    </row>
    <row r="57" spans="1:16384" x14ac:dyDescent="0.25">
      <c r="A57" s="47" t="s">
        <v>2926</v>
      </c>
      <c r="B57" s="47" t="s">
        <v>2927</v>
      </c>
    </row>
    <row r="58" spans="1:16384" x14ac:dyDescent="0.25">
      <c r="A58" s="47" t="s">
        <v>4251</v>
      </c>
      <c r="B58" s="47" t="s">
        <v>4253</v>
      </c>
    </row>
    <row r="59" spans="1:16384" x14ac:dyDescent="0.25">
      <c r="A59" s="47" t="s">
        <v>4252</v>
      </c>
      <c r="B59" s="47" t="s">
        <v>4254</v>
      </c>
    </row>
    <row r="60" spans="1:16384" x14ac:dyDescent="0.25">
      <c r="A60" s="47" t="s">
        <v>2928</v>
      </c>
      <c r="B60" s="47" t="s">
        <v>2929</v>
      </c>
    </row>
    <row r="61" spans="1:16384" x14ac:dyDescent="0.25">
      <c r="A61" s="47" t="s">
        <v>2930</v>
      </c>
      <c r="B61" s="47" t="s">
        <v>2931</v>
      </c>
    </row>
    <row r="62" spans="1:16384" x14ac:dyDescent="0.25">
      <c r="A62" s="47" t="s">
        <v>4215</v>
      </c>
      <c r="B62" s="47" t="s">
        <v>4217</v>
      </c>
    </row>
    <row r="63" spans="1:16384" x14ac:dyDescent="0.25">
      <c r="A63" s="47" t="s">
        <v>4216</v>
      </c>
      <c r="B63" s="47" t="s">
        <v>4218</v>
      </c>
    </row>
    <row r="64" spans="1:16384" x14ac:dyDescent="0.25">
      <c r="A64" s="47" t="s">
        <v>2932</v>
      </c>
      <c r="B64" s="47" t="s">
        <v>2933</v>
      </c>
    </row>
    <row r="65" spans="1:2" x14ac:dyDescent="0.25">
      <c r="A65" s="47" t="s">
        <v>2934</v>
      </c>
      <c r="B65" s="47" t="s">
        <v>2935</v>
      </c>
    </row>
    <row r="66" spans="1:2" x14ac:dyDescent="0.25">
      <c r="A66" s="47" t="s">
        <v>4247</v>
      </c>
      <c r="B66" s="47" t="s">
        <v>4249</v>
      </c>
    </row>
    <row r="67" spans="1:2" x14ac:dyDescent="0.25">
      <c r="A67" s="47" t="s">
        <v>4248</v>
      </c>
      <c r="B67" s="47" t="s">
        <v>4250</v>
      </c>
    </row>
    <row r="68" spans="1:2" x14ac:dyDescent="0.25">
      <c r="A68" s="47" t="s">
        <v>2936</v>
      </c>
      <c r="B68" s="47" t="s">
        <v>2937</v>
      </c>
    </row>
    <row r="69" spans="1:2" x14ac:dyDescent="0.25">
      <c r="A69" s="47" t="s">
        <v>2938</v>
      </c>
      <c r="B69" s="47" t="s">
        <v>2939</v>
      </c>
    </row>
    <row r="70" spans="1:2" x14ac:dyDescent="0.25">
      <c r="A70" s="47" t="s">
        <v>2940</v>
      </c>
      <c r="B70" s="47" t="s">
        <v>2941</v>
      </c>
    </row>
    <row r="71" spans="1:2" x14ac:dyDescent="0.25">
      <c r="A71" s="47" t="s">
        <v>2942</v>
      </c>
      <c r="B71" s="47" t="s">
        <v>2943</v>
      </c>
    </row>
    <row r="72" spans="1:2" x14ac:dyDescent="0.25">
      <c r="A72" s="47" t="s">
        <v>2944</v>
      </c>
      <c r="B72" s="47" t="s">
        <v>2945</v>
      </c>
    </row>
    <row r="73" spans="1:2" x14ac:dyDescent="0.25">
      <c r="A73" s="47" t="s">
        <v>2946</v>
      </c>
      <c r="B73" s="47" t="s">
        <v>2947</v>
      </c>
    </row>
    <row r="74" spans="1:2" x14ac:dyDescent="0.25">
      <c r="A74" s="47" t="s">
        <v>2948</v>
      </c>
      <c r="B74" s="48" t="s">
        <v>2949</v>
      </c>
    </row>
    <row r="75" spans="1:2" x14ac:dyDescent="0.25">
      <c r="A75" s="47" t="s">
        <v>2950</v>
      </c>
      <c r="B75" s="47" t="s">
        <v>2951</v>
      </c>
    </row>
    <row r="76" spans="1:2" x14ac:dyDescent="0.25">
      <c r="A76" s="47" t="s">
        <v>4227</v>
      </c>
      <c r="B76" s="47" t="s">
        <v>4229</v>
      </c>
    </row>
    <row r="77" spans="1:2" x14ac:dyDescent="0.25">
      <c r="A77" s="47" t="s">
        <v>4228</v>
      </c>
      <c r="B77" s="47" t="s">
        <v>4230</v>
      </c>
    </row>
    <row r="78" spans="1:2" x14ac:dyDescent="0.25">
      <c r="A78" s="47" t="s">
        <v>4219</v>
      </c>
      <c r="B78" s="47" t="s">
        <v>4221</v>
      </c>
    </row>
    <row r="79" spans="1:2" x14ac:dyDescent="0.25">
      <c r="A79" s="47" t="s">
        <v>4220</v>
      </c>
      <c r="B79" s="47" t="s">
        <v>4222</v>
      </c>
    </row>
    <row r="80" spans="1:2" x14ac:dyDescent="0.25">
      <c r="A80" s="47" t="s">
        <v>2952</v>
      </c>
      <c r="B80" s="47" t="s">
        <v>2953</v>
      </c>
    </row>
    <row r="81" spans="1:2" x14ac:dyDescent="0.25">
      <c r="A81" s="47" t="s">
        <v>2954</v>
      </c>
      <c r="B81" s="47" t="s">
        <v>2955</v>
      </c>
    </row>
    <row r="82" spans="1:2" x14ac:dyDescent="0.25">
      <c r="A82" s="47" t="s">
        <v>2956</v>
      </c>
      <c r="B82" s="47" t="s">
        <v>2957</v>
      </c>
    </row>
    <row r="83" spans="1:2" x14ac:dyDescent="0.25">
      <c r="A83" s="47" t="s">
        <v>2958</v>
      </c>
      <c r="B83" s="47" t="s">
        <v>2959</v>
      </c>
    </row>
    <row r="84" spans="1:2" x14ac:dyDescent="0.25">
      <c r="A84" s="47" t="s">
        <v>4223</v>
      </c>
      <c r="B84" s="47" t="s">
        <v>4225</v>
      </c>
    </row>
    <row r="85" spans="1:2" x14ac:dyDescent="0.25">
      <c r="A85" s="47" t="s">
        <v>4224</v>
      </c>
      <c r="B85" s="47" t="s">
        <v>4226</v>
      </c>
    </row>
    <row r="86" spans="1:2" x14ac:dyDescent="0.25">
      <c r="A86" s="47" t="s">
        <v>2960</v>
      </c>
      <c r="B86" s="47" t="s">
        <v>2961</v>
      </c>
    </row>
    <row r="87" spans="1:2" x14ac:dyDescent="0.25">
      <c r="A87" s="47" t="s">
        <v>2962</v>
      </c>
      <c r="B87" s="47" t="s">
        <v>2963</v>
      </c>
    </row>
    <row r="88" spans="1:2" x14ac:dyDescent="0.25">
      <c r="A88" s="47" t="s">
        <v>2964</v>
      </c>
      <c r="B88" s="47" t="s">
        <v>2965</v>
      </c>
    </row>
    <row r="89" spans="1:2" x14ac:dyDescent="0.25">
      <c r="A89" s="47" t="s">
        <v>2966</v>
      </c>
      <c r="B89" s="47" t="s">
        <v>2967</v>
      </c>
    </row>
    <row r="90" spans="1:2" x14ac:dyDescent="0.25">
      <c r="A90" s="47" t="s">
        <v>2968</v>
      </c>
      <c r="B90" s="47" t="s">
        <v>2969</v>
      </c>
    </row>
    <row r="91" spans="1:2" x14ac:dyDescent="0.25">
      <c r="A91" s="47" t="s">
        <v>2970</v>
      </c>
      <c r="B91" s="47" t="s">
        <v>2971</v>
      </c>
    </row>
    <row r="92" spans="1:2" x14ac:dyDescent="0.25">
      <c r="A92" s="47" t="s">
        <v>2972</v>
      </c>
      <c r="B92" s="47" t="s">
        <v>2973</v>
      </c>
    </row>
    <row r="93" spans="1:2" x14ac:dyDescent="0.25">
      <c r="A93" s="47" t="s">
        <v>2974</v>
      </c>
      <c r="B93" s="47" t="s">
        <v>2975</v>
      </c>
    </row>
    <row r="94" spans="1:2" x14ac:dyDescent="0.25">
      <c r="A94" s="47" t="s">
        <v>2976</v>
      </c>
      <c r="B94" s="47" t="s">
        <v>2977</v>
      </c>
    </row>
    <row r="95" spans="1:2" x14ac:dyDescent="0.25">
      <c r="A95" s="47" t="s">
        <v>2978</v>
      </c>
      <c r="B95" s="47" t="s">
        <v>2979</v>
      </c>
    </row>
    <row r="96" spans="1:2" x14ac:dyDescent="0.25">
      <c r="A96" s="47" t="s">
        <v>2980</v>
      </c>
      <c r="B96" s="47" t="s">
        <v>2981</v>
      </c>
    </row>
    <row r="97" spans="1:2" x14ac:dyDescent="0.25">
      <c r="A97" s="47" t="s">
        <v>2982</v>
      </c>
      <c r="B97" s="47" t="s">
        <v>2983</v>
      </c>
    </row>
    <row r="98" spans="1:2" x14ac:dyDescent="0.25">
      <c r="A98" s="47" t="s">
        <v>2984</v>
      </c>
      <c r="B98" s="47" t="s">
        <v>2985</v>
      </c>
    </row>
    <row r="99" spans="1:2" x14ac:dyDescent="0.25">
      <c r="A99" s="47" t="s">
        <v>2986</v>
      </c>
      <c r="B99" s="47" t="s">
        <v>2987</v>
      </c>
    </row>
    <row r="100" spans="1:2" x14ac:dyDescent="0.25">
      <c r="A100" s="47" t="s">
        <v>2988</v>
      </c>
      <c r="B100" s="47" t="s">
        <v>2989</v>
      </c>
    </row>
    <row r="101" spans="1:2" x14ac:dyDescent="0.25">
      <c r="A101" s="47" t="s">
        <v>2990</v>
      </c>
      <c r="B101" s="47" t="s">
        <v>2991</v>
      </c>
    </row>
    <row r="102" spans="1:2" x14ac:dyDescent="0.25">
      <c r="A102" s="47" t="s">
        <v>2992</v>
      </c>
      <c r="B102" s="47" t="s">
        <v>2993</v>
      </c>
    </row>
    <row r="103" spans="1:2" x14ac:dyDescent="0.25">
      <c r="A103" s="47" t="s">
        <v>2994</v>
      </c>
      <c r="B103" s="47" t="s">
        <v>2995</v>
      </c>
    </row>
    <row r="104" spans="1:2" x14ac:dyDescent="0.25">
      <c r="A104" s="47" t="s">
        <v>2996</v>
      </c>
      <c r="B104" s="47" t="s">
        <v>2997</v>
      </c>
    </row>
    <row r="105" spans="1:2" x14ac:dyDescent="0.25">
      <c r="A105" s="47" t="s">
        <v>2998</v>
      </c>
      <c r="B105" s="47" t="s">
        <v>2999</v>
      </c>
    </row>
    <row r="106" spans="1:2" x14ac:dyDescent="0.25">
      <c r="A106" s="47" t="s">
        <v>3000</v>
      </c>
      <c r="B106" s="47" t="s">
        <v>3001</v>
      </c>
    </row>
    <row r="107" spans="1:2" x14ac:dyDescent="0.25">
      <c r="A107" s="47" t="s">
        <v>3002</v>
      </c>
      <c r="B107" s="47" t="s">
        <v>3003</v>
      </c>
    </row>
    <row r="108" spans="1:2" x14ac:dyDescent="0.25">
      <c r="A108" s="47" t="s">
        <v>3004</v>
      </c>
      <c r="B108" s="47" t="s">
        <v>3005</v>
      </c>
    </row>
    <row r="109" spans="1:2" x14ac:dyDescent="0.25">
      <c r="A109" s="47" t="s">
        <v>3006</v>
      </c>
      <c r="B109" s="47" t="s">
        <v>3007</v>
      </c>
    </row>
    <row r="110" spans="1:2" x14ac:dyDescent="0.25">
      <c r="A110" s="47" t="s">
        <v>3008</v>
      </c>
      <c r="B110" s="47" t="s">
        <v>3009</v>
      </c>
    </row>
    <row r="111" spans="1:2" x14ac:dyDescent="0.25">
      <c r="A111" s="47" t="s">
        <v>3010</v>
      </c>
      <c r="B111" s="47" t="s">
        <v>3011</v>
      </c>
    </row>
    <row r="112" spans="1:2" x14ac:dyDescent="0.25">
      <c r="A112" s="47" t="s">
        <v>3012</v>
      </c>
      <c r="B112" s="47" t="s">
        <v>3013</v>
      </c>
    </row>
    <row r="113" spans="1:2" x14ac:dyDescent="0.25">
      <c r="A113" s="47" t="s">
        <v>3014</v>
      </c>
      <c r="B113" s="47" t="s">
        <v>3015</v>
      </c>
    </row>
    <row r="114" spans="1:2" x14ac:dyDescent="0.25">
      <c r="A114" s="47" t="s">
        <v>3016</v>
      </c>
      <c r="B114" s="47" t="s">
        <v>3017</v>
      </c>
    </row>
    <row r="115" spans="1:2" x14ac:dyDescent="0.25">
      <c r="A115" s="47" t="s">
        <v>3018</v>
      </c>
      <c r="B115" s="47" t="s">
        <v>3019</v>
      </c>
    </row>
    <row r="116" spans="1:2" x14ac:dyDescent="0.25">
      <c r="A116" s="47" t="s">
        <v>3020</v>
      </c>
      <c r="B116" s="47" t="s">
        <v>3021</v>
      </c>
    </row>
    <row r="117" spans="1:2" x14ac:dyDescent="0.25">
      <c r="A117" s="47" t="s">
        <v>3022</v>
      </c>
      <c r="B117" s="47" t="s">
        <v>3023</v>
      </c>
    </row>
    <row r="118" spans="1:2" x14ac:dyDescent="0.25">
      <c r="A118" s="47" t="s">
        <v>3024</v>
      </c>
      <c r="B118" s="47" t="s">
        <v>3025</v>
      </c>
    </row>
    <row r="119" spans="1:2" x14ac:dyDescent="0.25">
      <c r="A119" s="47" t="s">
        <v>3026</v>
      </c>
      <c r="B119" s="47" t="s">
        <v>3027</v>
      </c>
    </row>
    <row r="120" spans="1:2" x14ac:dyDescent="0.25">
      <c r="A120" s="47" t="s">
        <v>3028</v>
      </c>
      <c r="B120" s="47" t="s">
        <v>3029</v>
      </c>
    </row>
    <row r="121" spans="1:2" x14ac:dyDescent="0.25">
      <c r="A121" s="51" t="s">
        <v>3030</v>
      </c>
      <c r="B121" s="51" t="s">
        <v>3031</v>
      </c>
    </row>
    <row r="122" spans="1:2" x14ac:dyDescent="0.25">
      <c r="A122" s="52" t="s">
        <v>3032</v>
      </c>
      <c r="B122" s="53"/>
    </row>
    <row r="123" spans="1:2" x14ac:dyDescent="0.25">
      <c r="A123" s="45" t="s">
        <v>3033</v>
      </c>
      <c r="B123" s="45" t="s">
        <v>3034</v>
      </c>
    </row>
    <row r="124" spans="1:2" x14ac:dyDescent="0.25">
      <c r="A124" s="47" t="s">
        <v>3035</v>
      </c>
      <c r="B124" s="47" t="s">
        <v>3036</v>
      </c>
    </row>
    <row r="125" spans="1:2" x14ac:dyDescent="0.25">
      <c r="A125" s="47" t="s">
        <v>3037</v>
      </c>
      <c r="B125" s="47" t="s">
        <v>3038</v>
      </c>
    </row>
    <row r="126" spans="1:2" x14ac:dyDescent="0.25">
      <c r="A126" s="47" t="s">
        <v>3039</v>
      </c>
      <c r="B126" s="47" t="s">
        <v>3040</v>
      </c>
    </row>
    <row r="127" spans="1:2" x14ac:dyDescent="0.25">
      <c r="A127" s="47" t="s">
        <v>3041</v>
      </c>
      <c r="B127" s="47" t="s">
        <v>3042</v>
      </c>
    </row>
    <row r="128" spans="1:2" x14ac:dyDescent="0.25">
      <c r="A128" s="47" t="s">
        <v>3043</v>
      </c>
      <c r="B128" s="47" t="s">
        <v>3044</v>
      </c>
    </row>
    <row r="129" spans="1:2" x14ac:dyDescent="0.25">
      <c r="A129" s="47" t="s">
        <v>3045</v>
      </c>
      <c r="B129" s="47" t="s">
        <v>3046</v>
      </c>
    </row>
    <row r="130" spans="1:2" x14ac:dyDescent="0.25">
      <c r="A130" s="47" t="s">
        <v>3047</v>
      </c>
      <c r="B130" s="47" t="s">
        <v>3048</v>
      </c>
    </row>
    <row r="131" spans="1:2" x14ac:dyDescent="0.25">
      <c r="A131" s="47" t="s">
        <v>3049</v>
      </c>
      <c r="B131" s="47" t="s">
        <v>3050</v>
      </c>
    </row>
    <row r="132" spans="1:2" x14ac:dyDescent="0.25">
      <c r="A132" s="47" t="s">
        <v>3051</v>
      </c>
      <c r="B132" s="47" t="s">
        <v>3052</v>
      </c>
    </row>
    <row r="133" spans="1:2" x14ac:dyDescent="0.25">
      <c r="A133" s="47" t="s">
        <v>3053</v>
      </c>
      <c r="B133" s="47" t="s">
        <v>3054</v>
      </c>
    </row>
    <row r="134" spans="1:2" x14ac:dyDescent="0.25">
      <c r="A134" s="47" t="s">
        <v>3055</v>
      </c>
      <c r="B134" s="47" t="s">
        <v>3056</v>
      </c>
    </row>
    <row r="135" spans="1:2" x14ac:dyDescent="0.25">
      <c r="A135" s="47" t="s">
        <v>3057</v>
      </c>
      <c r="B135" s="47" t="s">
        <v>3058</v>
      </c>
    </row>
    <row r="136" spans="1:2" x14ac:dyDescent="0.25">
      <c r="A136" s="47" t="s">
        <v>3059</v>
      </c>
      <c r="B136" s="47" t="s">
        <v>3060</v>
      </c>
    </row>
    <row r="137" spans="1:2" x14ac:dyDescent="0.25">
      <c r="A137" s="47" t="s">
        <v>3061</v>
      </c>
      <c r="B137" s="47" t="s">
        <v>3062</v>
      </c>
    </row>
    <row r="138" spans="1:2" x14ac:dyDescent="0.25">
      <c r="A138" s="47" t="s">
        <v>3063</v>
      </c>
      <c r="B138" s="47" t="s">
        <v>3064</v>
      </c>
    </row>
    <row r="139" spans="1:2" x14ac:dyDescent="0.25">
      <c r="A139" s="47" t="s">
        <v>3065</v>
      </c>
      <c r="B139" s="47" t="s">
        <v>3066</v>
      </c>
    </row>
    <row r="140" spans="1:2" x14ac:dyDescent="0.25">
      <c r="A140" s="47" t="s">
        <v>3067</v>
      </c>
      <c r="B140" s="47" t="s">
        <v>3068</v>
      </c>
    </row>
    <row r="141" spans="1:2" x14ac:dyDescent="0.25">
      <c r="A141" s="47" t="s">
        <v>3069</v>
      </c>
      <c r="B141" s="47" t="s">
        <v>3070</v>
      </c>
    </row>
    <row r="142" spans="1:2" x14ac:dyDescent="0.25">
      <c r="A142" s="47" t="s">
        <v>3071</v>
      </c>
      <c r="B142" s="47" t="s">
        <v>3072</v>
      </c>
    </row>
    <row r="143" spans="1:2" x14ac:dyDescent="0.25">
      <c r="A143" s="47" t="s">
        <v>3073</v>
      </c>
      <c r="B143" s="47" t="s">
        <v>3074</v>
      </c>
    </row>
    <row r="144" spans="1:2" x14ac:dyDescent="0.25">
      <c r="A144" s="47" t="s">
        <v>3075</v>
      </c>
      <c r="B144" s="47" t="s">
        <v>3076</v>
      </c>
    </row>
    <row r="145" spans="1:2" x14ac:dyDescent="0.25">
      <c r="A145" s="47" t="s">
        <v>3077</v>
      </c>
      <c r="B145" s="47" t="s">
        <v>3078</v>
      </c>
    </row>
    <row r="146" spans="1:2" x14ac:dyDescent="0.25">
      <c r="A146" s="47" t="s">
        <v>3079</v>
      </c>
      <c r="B146" s="47" t="s">
        <v>3080</v>
      </c>
    </row>
    <row r="147" spans="1:2" x14ac:dyDescent="0.25">
      <c r="A147" s="47" t="s">
        <v>3081</v>
      </c>
      <c r="B147" s="47" t="s">
        <v>3082</v>
      </c>
    </row>
    <row r="148" spans="1:2" x14ac:dyDescent="0.25">
      <c r="A148" s="47" t="s">
        <v>3083</v>
      </c>
      <c r="B148" s="47" t="s">
        <v>3084</v>
      </c>
    </row>
    <row r="149" spans="1:2" x14ac:dyDescent="0.25">
      <c r="A149" s="47" t="s">
        <v>3085</v>
      </c>
      <c r="B149" s="47" t="s">
        <v>3086</v>
      </c>
    </row>
    <row r="150" spans="1:2" x14ac:dyDescent="0.25">
      <c r="A150" s="47" t="s">
        <v>3087</v>
      </c>
      <c r="B150" s="47" t="s">
        <v>3088</v>
      </c>
    </row>
    <row r="151" spans="1:2" x14ac:dyDescent="0.25">
      <c r="A151" s="47" t="s">
        <v>3089</v>
      </c>
      <c r="B151" s="47" t="s">
        <v>3090</v>
      </c>
    </row>
    <row r="152" spans="1:2" x14ac:dyDescent="0.25">
      <c r="A152" s="47" t="s">
        <v>3091</v>
      </c>
      <c r="B152" s="47" t="s">
        <v>3092</v>
      </c>
    </row>
    <row r="153" spans="1:2" x14ac:dyDescent="0.25">
      <c r="A153" s="47" t="s">
        <v>3093</v>
      </c>
      <c r="B153" s="47" t="s">
        <v>3094</v>
      </c>
    </row>
    <row r="154" spans="1:2" x14ac:dyDescent="0.25">
      <c r="A154" s="47" t="s">
        <v>3095</v>
      </c>
      <c r="B154" s="47" t="s">
        <v>3096</v>
      </c>
    </row>
    <row r="155" spans="1:2" x14ac:dyDescent="0.25">
      <c r="A155" s="47" t="s">
        <v>3097</v>
      </c>
      <c r="B155" s="47" t="s">
        <v>3098</v>
      </c>
    </row>
    <row r="156" spans="1:2" x14ac:dyDescent="0.25">
      <c r="A156" s="47" t="s">
        <v>3099</v>
      </c>
      <c r="B156" s="47" t="s">
        <v>3100</v>
      </c>
    </row>
    <row r="157" spans="1:2" x14ac:dyDescent="0.25">
      <c r="A157" s="47" t="s">
        <v>3101</v>
      </c>
      <c r="B157" s="47" t="s">
        <v>3102</v>
      </c>
    </row>
    <row r="158" spans="1:2" x14ac:dyDescent="0.25">
      <c r="A158" s="47" t="s">
        <v>3103</v>
      </c>
      <c r="B158" s="47" t="s">
        <v>3104</v>
      </c>
    </row>
    <row r="159" spans="1:2" x14ac:dyDescent="0.25">
      <c r="A159" s="47" t="s">
        <v>3105</v>
      </c>
      <c r="B159" s="47" t="s">
        <v>3106</v>
      </c>
    </row>
    <row r="160" spans="1:2" x14ac:dyDescent="0.25">
      <c r="A160" s="47" t="s">
        <v>3107</v>
      </c>
      <c r="B160" s="47" t="s">
        <v>3108</v>
      </c>
    </row>
    <row r="161" spans="1:2" x14ac:dyDescent="0.25">
      <c r="A161" s="47" t="s">
        <v>3109</v>
      </c>
      <c r="B161" s="47" t="s">
        <v>3110</v>
      </c>
    </row>
    <row r="162" spans="1:2" x14ac:dyDescent="0.25">
      <c r="A162" s="47" t="s">
        <v>3111</v>
      </c>
      <c r="B162" s="47" t="s">
        <v>3112</v>
      </c>
    </row>
    <row r="163" spans="1:2" x14ac:dyDescent="0.25">
      <c r="A163" s="47" t="s">
        <v>3113</v>
      </c>
      <c r="B163" s="47" t="s">
        <v>3114</v>
      </c>
    </row>
    <row r="164" spans="1:2" x14ac:dyDescent="0.25">
      <c r="A164" s="47" t="s">
        <v>3115</v>
      </c>
      <c r="B164" s="47" t="s">
        <v>3116</v>
      </c>
    </row>
    <row r="165" spans="1:2" x14ac:dyDescent="0.25">
      <c r="A165" s="47" t="s">
        <v>3117</v>
      </c>
      <c r="B165" s="47" t="s">
        <v>3118</v>
      </c>
    </row>
    <row r="166" spans="1:2" x14ac:dyDescent="0.25">
      <c r="A166" s="47" t="s">
        <v>3119</v>
      </c>
      <c r="B166" s="47" t="s">
        <v>3120</v>
      </c>
    </row>
    <row r="167" spans="1:2" x14ac:dyDescent="0.25">
      <c r="A167" s="47" t="s">
        <v>3121</v>
      </c>
      <c r="B167" s="47" t="s">
        <v>3122</v>
      </c>
    </row>
    <row r="168" spans="1:2" x14ac:dyDescent="0.25">
      <c r="A168" s="47" t="s">
        <v>3123</v>
      </c>
      <c r="B168" s="47" t="s">
        <v>3124</v>
      </c>
    </row>
    <row r="169" spans="1:2" x14ac:dyDescent="0.25">
      <c r="A169" s="47" t="s">
        <v>3125</v>
      </c>
      <c r="B169" s="47" t="s">
        <v>3126</v>
      </c>
    </row>
    <row r="170" spans="1:2" x14ac:dyDescent="0.25">
      <c r="A170" s="47" t="s">
        <v>3127</v>
      </c>
      <c r="B170" s="47" t="s">
        <v>3128</v>
      </c>
    </row>
    <row r="171" spans="1:2" x14ac:dyDescent="0.25">
      <c r="A171" s="47" t="s">
        <v>3129</v>
      </c>
      <c r="B171" s="47" t="s">
        <v>3130</v>
      </c>
    </row>
    <row r="172" spans="1:2" x14ac:dyDescent="0.25">
      <c r="A172" s="47" t="s">
        <v>3131</v>
      </c>
      <c r="B172" s="47" t="s">
        <v>3132</v>
      </c>
    </row>
    <row r="173" spans="1:2" x14ac:dyDescent="0.25">
      <c r="A173" s="47" t="s">
        <v>3133</v>
      </c>
      <c r="B173" s="47" t="s">
        <v>3134</v>
      </c>
    </row>
    <row r="174" spans="1:2" x14ac:dyDescent="0.25">
      <c r="A174" s="47" t="s">
        <v>3135</v>
      </c>
      <c r="B174" s="47" t="s">
        <v>3136</v>
      </c>
    </row>
    <row r="175" spans="1:2" x14ac:dyDescent="0.25">
      <c r="A175" s="47" t="s">
        <v>3137</v>
      </c>
      <c r="B175" s="47" t="s">
        <v>3138</v>
      </c>
    </row>
    <row r="176" spans="1:2" x14ac:dyDescent="0.25">
      <c r="A176" s="47" t="s">
        <v>3139</v>
      </c>
      <c r="B176" s="47" t="s">
        <v>3140</v>
      </c>
    </row>
    <row r="177" spans="1:2" x14ac:dyDescent="0.25">
      <c r="A177" s="47" t="s">
        <v>3141</v>
      </c>
      <c r="B177" s="47" t="s">
        <v>3142</v>
      </c>
    </row>
    <row r="178" spans="1:2" x14ac:dyDescent="0.25">
      <c r="A178" s="47" t="s">
        <v>3143</v>
      </c>
      <c r="B178" s="47" t="s">
        <v>3144</v>
      </c>
    </row>
    <row r="179" spans="1:2" x14ac:dyDescent="0.25">
      <c r="A179" s="47" t="s">
        <v>3145</v>
      </c>
      <c r="B179" s="47" t="s">
        <v>3146</v>
      </c>
    </row>
    <row r="180" spans="1:2" x14ac:dyDescent="0.25">
      <c r="A180" s="47" t="s">
        <v>3147</v>
      </c>
      <c r="B180" s="47" t="s">
        <v>3148</v>
      </c>
    </row>
    <row r="181" spans="1:2" x14ac:dyDescent="0.25">
      <c r="A181" s="47" t="s">
        <v>3149</v>
      </c>
      <c r="B181" s="47" t="s">
        <v>3150</v>
      </c>
    </row>
    <row r="182" spans="1:2" x14ac:dyDescent="0.25">
      <c r="A182" s="47" t="s">
        <v>3151</v>
      </c>
      <c r="B182" s="47" t="s">
        <v>3152</v>
      </c>
    </row>
    <row r="183" spans="1:2" x14ac:dyDescent="0.25">
      <c r="A183" s="47" t="s">
        <v>3153</v>
      </c>
      <c r="B183" s="47" t="s">
        <v>3154</v>
      </c>
    </row>
    <row r="184" spans="1:2" x14ac:dyDescent="0.25">
      <c r="A184" s="47" t="s">
        <v>3155</v>
      </c>
      <c r="B184" s="47" t="s">
        <v>3156</v>
      </c>
    </row>
    <row r="185" spans="1:2" x14ac:dyDescent="0.25">
      <c r="A185" s="47" t="s">
        <v>3157</v>
      </c>
      <c r="B185" s="47" t="s">
        <v>3158</v>
      </c>
    </row>
    <row r="186" spans="1:2" x14ac:dyDescent="0.25">
      <c r="A186" s="47" t="s">
        <v>3159</v>
      </c>
      <c r="B186" s="47" t="s">
        <v>3160</v>
      </c>
    </row>
    <row r="187" spans="1:2" x14ac:dyDescent="0.25">
      <c r="A187" s="47" t="s">
        <v>3161</v>
      </c>
      <c r="B187" s="47" t="s">
        <v>3162</v>
      </c>
    </row>
    <row r="188" spans="1:2" x14ac:dyDescent="0.25">
      <c r="A188" s="47" t="s">
        <v>3163</v>
      </c>
      <c r="B188" s="47" t="s">
        <v>3164</v>
      </c>
    </row>
    <row r="189" spans="1:2" x14ac:dyDescent="0.25">
      <c r="A189" s="47" t="s">
        <v>3165</v>
      </c>
      <c r="B189" s="47" t="s">
        <v>3166</v>
      </c>
    </row>
    <row r="190" spans="1:2" x14ac:dyDescent="0.25">
      <c r="A190" s="47" t="s">
        <v>3167</v>
      </c>
      <c r="B190" s="47" t="s">
        <v>3168</v>
      </c>
    </row>
    <row r="191" spans="1:2" x14ac:dyDescent="0.25">
      <c r="A191" s="47" t="s">
        <v>3169</v>
      </c>
      <c r="B191" s="47" t="s">
        <v>3170</v>
      </c>
    </row>
    <row r="192" spans="1:2" x14ac:dyDescent="0.25">
      <c r="A192" s="47" t="s">
        <v>3171</v>
      </c>
      <c r="B192" s="47" t="s">
        <v>3172</v>
      </c>
    </row>
    <row r="193" spans="1:2" x14ac:dyDescent="0.25">
      <c r="A193" s="47" t="s">
        <v>3173</v>
      </c>
      <c r="B193" s="47" t="s">
        <v>3174</v>
      </c>
    </row>
    <row r="194" spans="1:2" x14ac:dyDescent="0.25">
      <c r="A194" s="47" t="s">
        <v>3175</v>
      </c>
      <c r="B194" s="47" t="s">
        <v>3176</v>
      </c>
    </row>
    <row r="195" spans="1:2" x14ac:dyDescent="0.25">
      <c r="A195" s="47" t="s">
        <v>3177</v>
      </c>
      <c r="B195" s="47" t="s">
        <v>3178</v>
      </c>
    </row>
    <row r="196" spans="1:2" x14ac:dyDescent="0.25">
      <c r="A196" s="47" t="s">
        <v>3179</v>
      </c>
      <c r="B196" s="47" t="s">
        <v>3180</v>
      </c>
    </row>
    <row r="197" spans="1:2" x14ac:dyDescent="0.25">
      <c r="A197" s="47" t="s">
        <v>3181</v>
      </c>
      <c r="B197" s="47" t="s">
        <v>3182</v>
      </c>
    </row>
    <row r="198" spans="1:2" x14ac:dyDescent="0.25">
      <c r="A198" s="47" t="s">
        <v>3183</v>
      </c>
      <c r="B198" s="47" t="s">
        <v>3184</v>
      </c>
    </row>
    <row r="199" spans="1:2" x14ac:dyDescent="0.25">
      <c r="A199" s="47" t="s">
        <v>3185</v>
      </c>
      <c r="B199" s="47" t="s">
        <v>3186</v>
      </c>
    </row>
    <row r="200" spans="1:2" x14ac:dyDescent="0.25">
      <c r="A200" s="47" t="s">
        <v>3187</v>
      </c>
      <c r="B200" s="47" t="s">
        <v>3188</v>
      </c>
    </row>
    <row r="201" spans="1:2" x14ac:dyDescent="0.25">
      <c r="A201" s="47" t="s">
        <v>3189</v>
      </c>
      <c r="B201" s="47" t="s">
        <v>3190</v>
      </c>
    </row>
    <row r="202" spans="1:2" x14ac:dyDescent="0.25">
      <c r="A202" s="47" t="s">
        <v>3191</v>
      </c>
      <c r="B202" s="47" t="s">
        <v>3192</v>
      </c>
    </row>
    <row r="203" spans="1:2" x14ac:dyDescent="0.25">
      <c r="A203" s="47" t="s">
        <v>3193</v>
      </c>
      <c r="B203" s="47" t="s">
        <v>3194</v>
      </c>
    </row>
    <row r="204" spans="1:2" x14ac:dyDescent="0.25">
      <c r="A204" s="47" t="s">
        <v>3195</v>
      </c>
      <c r="B204" s="47" t="s">
        <v>3196</v>
      </c>
    </row>
    <row r="205" spans="1:2" x14ac:dyDescent="0.25">
      <c r="A205" s="47" t="s">
        <v>3197</v>
      </c>
      <c r="B205" s="47" t="s">
        <v>3198</v>
      </c>
    </row>
    <row r="206" spans="1:2" x14ac:dyDescent="0.25">
      <c r="A206" s="47" t="s">
        <v>3199</v>
      </c>
      <c r="B206" s="47" t="s">
        <v>3200</v>
      </c>
    </row>
    <row r="207" spans="1:2" x14ac:dyDescent="0.25">
      <c r="A207" s="47" t="s">
        <v>3201</v>
      </c>
      <c r="B207" s="47" t="s">
        <v>3202</v>
      </c>
    </row>
    <row r="208" spans="1:2" x14ac:dyDescent="0.25">
      <c r="A208" s="47" t="s">
        <v>3203</v>
      </c>
      <c r="B208" s="47" t="s">
        <v>3204</v>
      </c>
    </row>
    <row r="209" spans="1:2" x14ac:dyDescent="0.25">
      <c r="A209" s="47" t="s">
        <v>3205</v>
      </c>
      <c r="B209" s="47" t="s">
        <v>3206</v>
      </c>
    </row>
    <row r="210" spans="1:2" x14ac:dyDescent="0.25">
      <c r="A210" s="47" t="s">
        <v>3207</v>
      </c>
      <c r="B210" s="47" t="s">
        <v>3208</v>
      </c>
    </row>
    <row r="211" spans="1:2" x14ac:dyDescent="0.25">
      <c r="A211" s="47" t="s">
        <v>3209</v>
      </c>
      <c r="B211" s="47" t="s">
        <v>3210</v>
      </c>
    </row>
    <row r="212" spans="1:2" x14ac:dyDescent="0.25">
      <c r="A212" s="47" t="s">
        <v>3211</v>
      </c>
      <c r="B212" s="47" t="s">
        <v>3212</v>
      </c>
    </row>
    <row r="213" spans="1:2" x14ac:dyDescent="0.25">
      <c r="A213" s="47" t="s">
        <v>3213</v>
      </c>
      <c r="B213" s="47" t="s">
        <v>3214</v>
      </c>
    </row>
    <row r="214" spans="1:2" x14ac:dyDescent="0.25">
      <c r="A214" s="47" t="s">
        <v>3215</v>
      </c>
      <c r="B214" s="47" t="s">
        <v>3216</v>
      </c>
    </row>
    <row r="215" spans="1:2" x14ac:dyDescent="0.25">
      <c r="A215" s="47" t="s">
        <v>3217</v>
      </c>
      <c r="B215" s="47" t="s">
        <v>3218</v>
      </c>
    </row>
    <row r="216" spans="1:2" x14ac:dyDescent="0.25">
      <c r="A216" s="47" t="s">
        <v>3219</v>
      </c>
      <c r="B216" s="47" t="s">
        <v>3220</v>
      </c>
    </row>
    <row r="217" spans="1:2" x14ac:dyDescent="0.25">
      <c r="A217" s="47" t="s">
        <v>3221</v>
      </c>
      <c r="B217" s="47" t="s">
        <v>3222</v>
      </c>
    </row>
    <row r="218" spans="1:2" x14ac:dyDescent="0.25">
      <c r="A218" s="47" t="s">
        <v>3223</v>
      </c>
      <c r="B218" s="47" t="s">
        <v>3224</v>
      </c>
    </row>
    <row r="219" spans="1:2" x14ac:dyDescent="0.25">
      <c r="A219" s="47" t="s">
        <v>3225</v>
      </c>
      <c r="B219" s="47" t="s">
        <v>3226</v>
      </c>
    </row>
    <row r="220" spans="1:2" x14ac:dyDescent="0.25">
      <c r="A220" s="47" t="s">
        <v>3227</v>
      </c>
      <c r="B220" s="47" t="s">
        <v>3228</v>
      </c>
    </row>
    <row r="221" spans="1:2" x14ac:dyDescent="0.25">
      <c r="A221" s="47" t="s">
        <v>3229</v>
      </c>
      <c r="B221" s="47" t="s">
        <v>3230</v>
      </c>
    </row>
    <row r="222" spans="1:2" x14ac:dyDescent="0.25">
      <c r="A222" s="47" t="s">
        <v>3231</v>
      </c>
      <c r="B222" s="47" t="s">
        <v>3232</v>
      </c>
    </row>
    <row r="223" spans="1:2" x14ac:dyDescent="0.25">
      <c r="A223" s="47" t="s">
        <v>3233</v>
      </c>
      <c r="B223" s="47" t="s">
        <v>3234</v>
      </c>
    </row>
    <row r="224" spans="1:2" x14ac:dyDescent="0.25">
      <c r="A224" s="47" t="s">
        <v>3235</v>
      </c>
      <c r="B224" s="47" t="s">
        <v>3236</v>
      </c>
    </row>
    <row r="225" spans="1:2" x14ac:dyDescent="0.25">
      <c r="A225" s="47" t="s">
        <v>3237</v>
      </c>
      <c r="B225" s="47" t="s">
        <v>3238</v>
      </c>
    </row>
    <row r="226" spans="1:2" x14ac:dyDescent="0.25">
      <c r="A226" s="47" t="s">
        <v>3239</v>
      </c>
      <c r="B226" s="47" t="s">
        <v>3240</v>
      </c>
    </row>
    <row r="227" spans="1:2" x14ac:dyDescent="0.25">
      <c r="A227" s="47" t="s">
        <v>3241</v>
      </c>
      <c r="B227" s="47" t="s">
        <v>3242</v>
      </c>
    </row>
    <row r="228" spans="1:2" x14ac:dyDescent="0.25">
      <c r="A228" s="47" t="s">
        <v>3243</v>
      </c>
      <c r="B228" s="47" t="s">
        <v>3244</v>
      </c>
    </row>
    <row r="229" spans="1:2" x14ac:dyDescent="0.25">
      <c r="A229" s="47" t="s">
        <v>3245</v>
      </c>
      <c r="B229" s="47" t="s">
        <v>3246</v>
      </c>
    </row>
    <row r="230" spans="1:2" x14ac:dyDescent="0.25">
      <c r="A230" s="47" t="s">
        <v>3247</v>
      </c>
      <c r="B230" s="47" t="s">
        <v>3248</v>
      </c>
    </row>
    <row r="231" spans="1:2" x14ac:dyDescent="0.25">
      <c r="A231" s="47" t="s">
        <v>3249</v>
      </c>
      <c r="B231" s="47" t="s">
        <v>3250</v>
      </c>
    </row>
    <row r="232" spans="1:2" x14ac:dyDescent="0.25">
      <c r="A232" s="47" t="s">
        <v>3251</v>
      </c>
      <c r="B232" s="47" t="s">
        <v>3252</v>
      </c>
    </row>
    <row r="233" spans="1:2" x14ac:dyDescent="0.25">
      <c r="A233" s="47" t="s">
        <v>3253</v>
      </c>
      <c r="B233" s="47" t="s">
        <v>3254</v>
      </c>
    </row>
    <row r="234" spans="1:2" x14ac:dyDescent="0.25">
      <c r="A234" s="47" t="s">
        <v>3255</v>
      </c>
      <c r="B234" s="47" t="s">
        <v>3256</v>
      </c>
    </row>
    <row r="235" spans="1:2" x14ac:dyDescent="0.25">
      <c r="A235" s="47" t="s">
        <v>3257</v>
      </c>
      <c r="B235" s="47" t="s">
        <v>3258</v>
      </c>
    </row>
    <row r="236" spans="1:2" x14ac:dyDescent="0.25">
      <c r="A236" s="47" t="s">
        <v>3259</v>
      </c>
      <c r="B236" s="47" t="s">
        <v>3260</v>
      </c>
    </row>
    <row r="237" spans="1:2" x14ac:dyDescent="0.25">
      <c r="A237" s="47" t="s">
        <v>3261</v>
      </c>
      <c r="B237" s="47" t="s">
        <v>3262</v>
      </c>
    </row>
    <row r="238" spans="1:2" x14ac:dyDescent="0.25">
      <c r="A238" s="47" t="s">
        <v>3263</v>
      </c>
      <c r="B238" s="47" t="s">
        <v>3264</v>
      </c>
    </row>
    <row r="239" spans="1:2" x14ac:dyDescent="0.25">
      <c r="A239" s="47" t="s">
        <v>3265</v>
      </c>
      <c r="B239" s="47" t="s">
        <v>3266</v>
      </c>
    </row>
    <row r="240" spans="1:2" x14ac:dyDescent="0.25">
      <c r="A240" s="47" t="s">
        <v>3267</v>
      </c>
      <c r="B240" s="47" t="s">
        <v>3268</v>
      </c>
    </row>
    <row r="241" spans="1:2" x14ac:dyDescent="0.25">
      <c r="A241" s="47" t="s">
        <v>3269</v>
      </c>
      <c r="B241" s="47" t="s">
        <v>3270</v>
      </c>
    </row>
    <row r="242" spans="1:2" x14ac:dyDescent="0.25">
      <c r="A242" s="47" t="s">
        <v>3271</v>
      </c>
      <c r="B242" s="47" t="s">
        <v>3272</v>
      </c>
    </row>
    <row r="243" spans="1:2" x14ac:dyDescent="0.25">
      <c r="A243" s="47" t="s">
        <v>3273</v>
      </c>
      <c r="B243" s="47" t="s">
        <v>3274</v>
      </c>
    </row>
    <row r="244" spans="1:2" x14ac:dyDescent="0.25">
      <c r="A244" s="47" t="s">
        <v>3275</v>
      </c>
      <c r="B244" s="47" t="s">
        <v>3276</v>
      </c>
    </row>
    <row r="245" spans="1:2" x14ac:dyDescent="0.25">
      <c r="A245" s="47" t="s">
        <v>3277</v>
      </c>
      <c r="B245" s="47" t="s">
        <v>3278</v>
      </c>
    </row>
    <row r="246" spans="1:2" x14ac:dyDescent="0.25">
      <c r="A246" s="47" t="s">
        <v>3279</v>
      </c>
      <c r="B246" s="47" t="s">
        <v>3280</v>
      </c>
    </row>
    <row r="247" spans="1:2" x14ac:dyDescent="0.25">
      <c r="A247" s="47" t="s">
        <v>3281</v>
      </c>
      <c r="B247" s="47" t="s">
        <v>3282</v>
      </c>
    </row>
    <row r="248" spans="1:2" x14ac:dyDescent="0.25">
      <c r="A248" s="47" t="s">
        <v>3283</v>
      </c>
      <c r="B248" s="47" t="s">
        <v>3284</v>
      </c>
    </row>
    <row r="249" spans="1:2" x14ac:dyDescent="0.25">
      <c r="A249" s="47" t="s">
        <v>3285</v>
      </c>
      <c r="B249" s="47" t="s">
        <v>3286</v>
      </c>
    </row>
    <row r="250" spans="1:2" x14ac:dyDescent="0.25">
      <c r="A250" s="47" t="s">
        <v>3287</v>
      </c>
      <c r="B250" s="47" t="s">
        <v>3288</v>
      </c>
    </row>
    <row r="251" spans="1:2" x14ac:dyDescent="0.25">
      <c r="A251" s="47" t="s">
        <v>3289</v>
      </c>
      <c r="B251" s="47" t="s">
        <v>3290</v>
      </c>
    </row>
    <row r="252" spans="1:2" x14ac:dyDescent="0.25">
      <c r="A252" s="47" t="s">
        <v>3291</v>
      </c>
      <c r="B252" s="47" t="s">
        <v>3292</v>
      </c>
    </row>
    <row r="253" spans="1:2" x14ac:dyDescent="0.25">
      <c r="A253" s="47" t="s">
        <v>3293</v>
      </c>
      <c r="B253" s="47" t="s">
        <v>3294</v>
      </c>
    </row>
    <row r="254" spans="1:2" x14ac:dyDescent="0.25">
      <c r="A254" s="47" t="s">
        <v>3295</v>
      </c>
      <c r="B254" s="47" t="s">
        <v>3296</v>
      </c>
    </row>
    <row r="255" spans="1:2" x14ac:dyDescent="0.25">
      <c r="A255" s="47" t="s">
        <v>3297</v>
      </c>
      <c r="B255" s="47" t="s">
        <v>3298</v>
      </c>
    </row>
    <row r="256" spans="1:2" x14ac:dyDescent="0.25">
      <c r="A256" s="47" t="s">
        <v>3299</v>
      </c>
      <c r="B256" s="47" t="s">
        <v>3300</v>
      </c>
    </row>
    <row r="257" spans="1:2" x14ac:dyDescent="0.25">
      <c r="A257" s="47" t="s">
        <v>3301</v>
      </c>
      <c r="B257" s="47" t="s">
        <v>3302</v>
      </c>
    </row>
    <row r="258" spans="1:2" x14ac:dyDescent="0.25">
      <c r="A258" s="47" t="s">
        <v>3303</v>
      </c>
      <c r="B258" s="47" t="s">
        <v>3304</v>
      </c>
    </row>
    <row r="259" spans="1:2" x14ac:dyDescent="0.25">
      <c r="A259" s="47" t="s">
        <v>3305</v>
      </c>
      <c r="B259" s="47" t="s">
        <v>3306</v>
      </c>
    </row>
    <row r="260" spans="1:2" x14ac:dyDescent="0.25">
      <c r="A260" s="47" t="s">
        <v>3307</v>
      </c>
      <c r="B260" s="47" t="s">
        <v>3308</v>
      </c>
    </row>
    <row r="261" spans="1:2" x14ac:dyDescent="0.25">
      <c r="A261" s="47" t="s">
        <v>3309</v>
      </c>
      <c r="B261" s="47" t="s">
        <v>3310</v>
      </c>
    </row>
    <row r="262" spans="1:2" x14ac:dyDescent="0.25">
      <c r="A262" s="47" t="s">
        <v>3311</v>
      </c>
      <c r="B262" s="47" t="s">
        <v>3312</v>
      </c>
    </row>
    <row r="263" spans="1:2" x14ac:dyDescent="0.25">
      <c r="A263" s="47" t="s">
        <v>3313</v>
      </c>
      <c r="B263" s="47" t="s">
        <v>3314</v>
      </c>
    </row>
    <row r="264" spans="1:2" x14ac:dyDescent="0.25">
      <c r="A264" s="47" t="s">
        <v>3315</v>
      </c>
      <c r="B264" s="47" t="s">
        <v>3316</v>
      </c>
    </row>
    <row r="265" spans="1:2" x14ac:dyDescent="0.25">
      <c r="A265" s="47" t="s">
        <v>3317</v>
      </c>
      <c r="B265" s="47" t="s">
        <v>3318</v>
      </c>
    </row>
    <row r="266" spans="1:2" x14ac:dyDescent="0.25">
      <c r="A266" s="47" t="s">
        <v>3319</v>
      </c>
      <c r="B266" s="47" t="s">
        <v>3320</v>
      </c>
    </row>
    <row r="267" spans="1:2" x14ac:dyDescent="0.25">
      <c r="A267" s="47" t="s">
        <v>3321</v>
      </c>
      <c r="B267" s="47" t="s">
        <v>3322</v>
      </c>
    </row>
    <row r="268" spans="1:2" x14ac:dyDescent="0.25">
      <c r="A268" s="47" t="s">
        <v>3323</v>
      </c>
      <c r="B268" s="47" t="s">
        <v>3324</v>
      </c>
    </row>
    <row r="269" spans="1:2" x14ac:dyDescent="0.25">
      <c r="A269" s="47" t="s">
        <v>3325</v>
      </c>
      <c r="B269" s="47" t="s">
        <v>3326</v>
      </c>
    </row>
    <row r="270" spans="1:2" x14ac:dyDescent="0.25">
      <c r="A270" s="47" t="s">
        <v>3327</v>
      </c>
      <c r="B270" s="47" t="s">
        <v>3328</v>
      </c>
    </row>
    <row r="271" spans="1:2" x14ac:dyDescent="0.25">
      <c r="A271" s="47" t="s">
        <v>3329</v>
      </c>
      <c r="B271" s="47" t="s">
        <v>3330</v>
      </c>
    </row>
    <row r="272" spans="1:2" x14ac:dyDescent="0.25">
      <c r="A272" s="47" t="s">
        <v>3331</v>
      </c>
      <c r="B272" s="47" t="s">
        <v>3332</v>
      </c>
    </row>
    <row r="273" spans="1:2" x14ac:dyDescent="0.25">
      <c r="A273" s="47" t="s">
        <v>3333</v>
      </c>
      <c r="B273" s="47" t="s">
        <v>3334</v>
      </c>
    </row>
    <row r="274" spans="1:2" x14ac:dyDescent="0.25">
      <c r="A274" s="47" t="s">
        <v>3335</v>
      </c>
      <c r="B274" s="47" t="s">
        <v>3336</v>
      </c>
    </row>
    <row r="275" spans="1:2" x14ac:dyDescent="0.25">
      <c r="A275" s="47" t="s">
        <v>3337</v>
      </c>
      <c r="B275" s="47" t="s">
        <v>3338</v>
      </c>
    </row>
    <row r="276" spans="1:2" x14ac:dyDescent="0.25">
      <c r="A276" s="47" t="s">
        <v>3339</v>
      </c>
      <c r="B276" s="47" t="s">
        <v>3340</v>
      </c>
    </row>
    <row r="277" spans="1:2" x14ac:dyDescent="0.25">
      <c r="A277" s="47" t="s">
        <v>3341</v>
      </c>
      <c r="B277" s="47" t="s">
        <v>3342</v>
      </c>
    </row>
    <row r="278" spans="1:2" x14ac:dyDescent="0.25">
      <c r="A278" s="47" t="s">
        <v>3343</v>
      </c>
      <c r="B278" s="47" t="s">
        <v>3344</v>
      </c>
    </row>
    <row r="279" spans="1:2" x14ac:dyDescent="0.25">
      <c r="A279" s="47" t="s">
        <v>3345</v>
      </c>
      <c r="B279" s="47" t="s">
        <v>3346</v>
      </c>
    </row>
    <row r="280" spans="1:2" x14ac:dyDescent="0.25">
      <c r="A280" s="47" t="s">
        <v>3347</v>
      </c>
      <c r="B280" s="47" t="s">
        <v>3348</v>
      </c>
    </row>
    <row r="281" spans="1:2" x14ac:dyDescent="0.25">
      <c r="A281" s="47" t="s">
        <v>3349</v>
      </c>
      <c r="B281" s="47" t="s">
        <v>3350</v>
      </c>
    </row>
    <row r="282" spans="1:2" x14ac:dyDescent="0.25">
      <c r="A282" s="47" t="s">
        <v>3351</v>
      </c>
      <c r="B282" s="47" t="s">
        <v>3352</v>
      </c>
    </row>
    <row r="283" spans="1:2" x14ac:dyDescent="0.25">
      <c r="A283" s="47" t="s">
        <v>3353</v>
      </c>
      <c r="B283" s="47" t="s">
        <v>3354</v>
      </c>
    </row>
    <row r="284" spans="1:2" x14ac:dyDescent="0.25">
      <c r="A284" s="47" t="s">
        <v>3355</v>
      </c>
      <c r="B284" s="47" t="s">
        <v>3356</v>
      </c>
    </row>
    <row r="285" spans="1:2" x14ac:dyDescent="0.25">
      <c r="A285" s="47" t="s">
        <v>3357</v>
      </c>
      <c r="B285" s="47" t="s">
        <v>3358</v>
      </c>
    </row>
    <row r="286" spans="1:2" x14ac:dyDescent="0.25">
      <c r="A286" s="47" t="s">
        <v>3359</v>
      </c>
      <c r="B286" s="47" t="s">
        <v>3360</v>
      </c>
    </row>
    <row r="287" spans="1:2" x14ac:dyDescent="0.25">
      <c r="A287" s="47" t="s">
        <v>3361</v>
      </c>
      <c r="B287" s="47" t="s">
        <v>3362</v>
      </c>
    </row>
    <row r="288" spans="1:2" x14ac:dyDescent="0.25">
      <c r="A288" s="47" t="s">
        <v>3363</v>
      </c>
      <c r="B288" s="47" t="s">
        <v>3364</v>
      </c>
    </row>
    <row r="289" spans="1:2" x14ac:dyDescent="0.25">
      <c r="A289" s="47" t="s">
        <v>3365</v>
      </c>
      <c r="B289" s="47" t="s">
        <v>3366</v>
      </c>
    </row>
    <row r="290" spans="1:2" x14ac:dyDescent="0.25">
      <c r="A290" s="47" t="s">
        <v>3367</v>
      </c>
      <c r="B290" s="47" t="s">
        <v>3368</v>
      </c>
    </row>
    <row r="291" spans="1:2" x14ac:dyDescent="0.25">
      <c r="A291" s="47" t="s">
        <v>3369</v>
      </c>
      <c r="B291" s="47" t="s">
        <v>3370</v>
      </c>
    </row>
    <row r="292" spans="1:2" x14ac:dyDescent="0.25">
      <c r="A292" s="47" t="s">
        <v>3371</v>
      </c>
      <c r="B292" s="47" t="s">
        <v>3372</v>
      </c>
    </row>
    <row r="293" spans="1:2" x14ac:dyDescent="0.25">
      <c r="A293" s="47" t="s">
        <v>3373</v>
      </c>
      <c r="B293" s="47" t="s">
        <v>3374</v>
      </c>
    </row>
    <row r="294" spans="1:2" x14ac:dyDescent="0.25">
      <c r="A294" s="47" t="s">
        <v>3375</v>
      </c>
      <c r="B294" s="47" t="s">
        <v>3376</v>
      </c>
    </row>
    <row r="295" spans="1:2" x14ac:dyDescent="0.25">
      <c r="A295" s="47" t="s">
        <v>3377</v>
      </c>
      <c r="B295" s="47" t="s">
        <v>3378</v>
      </c>
    </row>
    <row r="296" spans="1:2" x14ac:dyDescent="0.25">
      <c r="A296" s="47" t="s">
        <v>3379</v>
      </c>
      <c r="B296" s="47" t="s">
        <v>3380</v>
      </c>
    </row>
    <row r="297" spans="1:2" x14ac:dyDescent="0.25">
      <c r="A297" s="47" t="s">
        <v>3381</v>
      </c>
      <c r="B297" s="47" t="s">
        <v>3382</v>
      </c>
    </row>
    <row r="298" spans="1:2" x14ac:dyDescent="0.25">
      <c r="A298" s="47" t="s">
        <v>3383</v>
      </c>
      <c r="B298" s="47" t="s">
        <v>3384</v>
      </c>
    </row>
    <row r="299" spans="1:2" x14ac:dyDescent="0.25">
      <c r="A299" s="47" t="s">
        <v>3385</v>
      </c>
      <c r="B299" s="47" t="s">
        <v>3386</v>
      </c>
    </row>
    <row r="300" spans="1:2" x14ac:dyDescent="0.25">
      <c r="A300" s="47" t="s">
        <v>3387</v>
      </c>
      <c r="B300" s="47" t="s">
        <v>3388</v>
      </c>
    </row>
    <row r="301" spans="1:2" x14ac:dyDescent="0.25">
      <c r="A301" s="47" t="s">
        <v>3389</v>
      </c>
      <c r="B301" s="47" t="s">
        <v>3390</v>
      </c>
    </row>
    <row r="302" spans="1:2" x14ac:dyDescent="0.25">
      <c r="A302" s="47" t="s">
        <v>3391</v>
      </c>
      <c r="B302" s="47" t="s">
        <v>3392</v>
      </c>
    </row>
    <row r="303" spans="1:2" x14ac:dyDescent="0.25">
      <c r="A303" s="47" t="s">
        <v>3393</v>
      </c>
      <c r="B303" s="47" t="s">
        <v>3394</v>
      </c>
    </row>
    <row r="304" spans="1:2" x14ac:dyDescent="0.25">
      <c r="A304" s="47" t="s">
        <v>3395</v>
      </c>
      <c r="B304" s="47" t="s">
        <v>3396</v>
      </c>
    </row>
    <row r="305" spans="1:2" x14ac:dyDescent="0.25">
      <c r="A305" s="47" t="s">
        <v>3397</v>
      </c>
      <c r="B305" s="47" t="s">
        <v>3398</v>
      </c>
    </row>
    <row r="306" spans="1:2" x14ac:dyDescent="0.25">
      <c r="A306" s="47" t="s">
        <v>3399</v>
      </c>
      <c r="B306" s="47" t="s">
        <v>3400</v>
      </c>
    </row>
    <row r="307" spans="1:2" x14ac:dyDescent="0.25">
      <c r="A307" s="47" t="s">
        <v>3401</v>
      </c>
      <c r="B307" s="47" t="s">
        <v>3402</v>
      </c>
    </row>
    <row r="308" spans="1:2" x14ac:dyDescent="0.25">
      <c r="A308" s="47" t="s">
        <v>3403</v>
      </c>
      <c r="B308" s="47" t="s">
        <v>3404</v>
      </c>
    </row>
    <row r="309" spans="1:2" x14ac:dyDescent="0.25">
      <c r="A309" s="47" t="s">
        <v>3405</v>
      </c>
      <c r="B309" s="47" t="s">
        <v>3406</v>
      </c>
    </row>
    <row r="310" spans="1:2" x14ac:dyDescent="0.25">
      <c r="A310" s="47" t="s">
        <v>3407</v>
      </c>
      <c r="B310" s="47" t="s">
        <v>3408</v>
      </c>
    </row>
    <row r="311" spans="1:2" x14ac:dyDescent="0.25">
      <c r="A311" s="47" t="s">
        <v>3409</v>
      </c>
      <c r="B311" s="47" t="s">
        <v>3410</v>
      </c>
    </row>
    <row r="312" spans="1:2" x14ac:dyDescent="0.25">
      <c r="A312" s="47" t="s">
        <v>3411</v>
      </c>
      <c r="B312" s="47" t="s">
        <v>3412</v>
      </c>
    </row>
    <row r="313" spans="1:2" x14ac:dyDescent="0.25">
      <c r="A313" s="47" t="s">
        <v>3413</v>
      </c>
      <c r="B313" s="47" t="s">
        <v>3414</v>
      </c>
    </row>
    <row r="314" spans="1:2" x14ac:dyDescent="0.25">
      <c r="A314" s="47" t="s">
        <v>3415</v>
      </c>
      <c r="B314" s="47" t="s">
        <v>3416</v>
      </c>
    </row>
    <row r="315" spans="1:2" x14ac:dyDescent="0.25">
      <c r="A315" s="47" t="s">
        <v>3417</v>
      </c>
      <c r="B315" s="47" t="s">
        <v>3418</v>
      </c>
    </row>
    <row r="316" spans="1:2" x14ac:dyDescent="0.25">
      <c r="A316" s="47" t="s">
        <v>3419</v>
      </c>
      <c r="B316" s="47" t="s">
        <v>3420</v>
      </c>
    </row>
    <row r="317" spans="1:2" x14ac:dyDescent="0.25">
      <c r="A317" s="47" t="s">
        <v>3421</v>
      </c>
      <c r="B317" s="47" t="s">
        <v>3422</v>
      </c>
    </row>
    <row r="318" spans="1:2" x14ac:dyDescent="0.25">
      <c r="A318" s="47" t="s">
        <v>3423</v>
      </c>
      <c r="B318" s="47" t="s">
        <v>3424</v>
      </c>
    </row>
    <row r="319" spans="1:2" x14ac:dyDescent="0.25">
      <c r="A319" s="47" t="s">
        <v>3425</v>
      </c>
      <c r="B319" s="47" t="s">
        <v>3426</v>
      </c>
    </row>
    <row r="320" spans="1:2" x14ac:dyDescent="0.25">
      <c r="A320" s="47" t="s">
        <v>3427</v>
      </c>
      <c r="B320" s="47" t="s">
        <v>3428</v>
      </c>
    </row>
    <row r="321" spans="1:2" x14ac:dyDescent="0.25">
      <c r="A321" s="47" t="s">
        <v>3429</v>
      </c>
      <c r="B321" s="47" t="s">
        <v>3430</v>
      </c>
    </row>
    <row r="322" spans="1:2" x14ac:dyDescent="0.25">
      <c r="A322" s="47" t="s">
        <v>3431</v>
      </c>
      <c r="B322" s="47" t="s">
        <v>3432</v>
      </c>
    </row>
    <row r="323" spans="1:2" x14ac:dyDescent="0.25">
      <c r="A323" s="47" t="s">
        <v>3433</v>
      </c>
      <c r="B323" s="47" t="s">
        <v>3434</v>
      </c>
    </row>
    <row r="324" spans="1:2" x14ac:dyDescent="0.25">
      <c r="A324" s="47" t="s">
        <v>3435</v>
      </c>
      <c r="B324" s="47" t="s">
        <v>3436</v>
      </c>
    </row>
    <row r="325" spans="1:2" x14ac:dyDescent="0.25">
      <c r="A325" s="47" t="s">
        <v>3437</v>
      </c>
      <c r="B325" s="47" t="s">
        <v>3438</v>
      </c>
    </row>
    <row r="326" spans="1:2" x14ac:dyDescent="0.25">
      <c r="A326" s="47" t="s">
        <v>3439</v>
      </c>
      <c r="B326" s="47" t="s">
        <v>3440</v>
      </c>
    </row>
    <row r="327" spans="1:2" x14ac:dyDescent="0.25">
      <c r="A327" s="47" t="s">
        <v>3441</v>
      </c>
      <c r="B327" s="47" t="s">
        <v>3442</v>
      </c>
    </row>
    <row r="328" spans="1:2" x14ac:dyDescent="0.25">
      <c r="A328" s="47" t="s">
        <v>3443</v>
      </c>
      <c r="B328" s="47" t="s">
        <v>3444</v>
      </c>
    </row>
    <row r="329" spans="1:2" x14ac:dyDescent="0.25">
      <c r="A329" s="47" t="s">
        <v>3445</v>
      </c>
      <c r="B329" s="47" t="s">
        <v>3446</v>
      </c>
    </row>
    <row r="330" spans="1:2" x14ac:dyDescent="0.25">
      <c r="A330" s="47" t="s">
        <v>3447</v>
      </c>
      <c r="B330" s="47" t="s">
        <v>3448</v>
      </c>
    </row>
    <row r="331" spans="1:2" x14ac:dyDescent="0.25">
      <c r="A331" s="47" t="s">
        <v>3449</v>
      </c>
      <c r="B331" s="47" t="s">
        <v>3450</v>
      </c>
    </row>
    <row r="332" spans="1:2" x14ac:dyDescent="0.25">
      <c r="A332" s="47" t="s">
        <v>3451</v>
      </c>
      <c r="B332" s="47" t="s">
        <v>3452</v>
      </c>
    </row>
    <row r="333" spans="1:2" x14ac:dyDescent="0.25">
      <c r="A333" s="47" t="s">
        <v>3453</v>
      </c>
      <c r="B333" s="47" t="s">
        <v>3454</v>
      </c>
    </row>
    <row r="334" spans="1:2" x14ac:dyDescent="0.25">
      <c r="A334" s="47" t="s">
        <v>3455</v>
      </c>
      <c r="B334" s="47" t="s">
        <v>3456</v>
      </c>
    </row>
    <row r="335" spans="1:2" x14ac:dyDescent="0.25">
      <c r="A335" s="47" t="s">
        <v>3457</v>
      </c>
      <c r="B335" s="47" t="s">
        <v>3458</v>
      </c>
    </row>
    <row r="336" spans="1:2" x14ac:dyDescent="0.25">
      <c r="A336" s="47" t="s">
        <v>3459</v>
      </c>
      <c r="B336" s="47" t="s">
        <v>3460</v>
      </c>
    </row>
    <row r="337" spans="1:2" x14ac:dyDescent="0.25">
      <c r="A337" s="47" t="s">
        <v>3461</v>
      </c>
      <c r="B337" s="47" t="s">
        <v>3462</v>
      </c>
    </row>
    <row r="338" spans="1:2" x14ac:dyDescent="0.25">
      <c r="A338" s="47" t="s">
        <v>3463</v>
      </c>
      <c r="B338" s="47" t="s">
        <v>3464</v>
      </c>
    </row>
    <row r="339" spans="1:2" x14ac:dyDescent="0.25">
      <c r="A339" s="47" t="s">
        <v>3465</v>
      </c>
      <c r="B339" s="47" t="s">
        <v>3466</v>
      </c>
    </row>
    <row r="340" spans="1:2" x14ac:dyDescent="0.25">
      <c r="A340" s="47" t="s">
        <v>3467</v>
      </c>
      <c r="B340" s="47" t="s">
        <v>3468</v>
      </c>
    </row>
    <row r="341" spans="1:2" x14ac:dyDescent="0.25">
      <c r="A341" s="47" t="s">
        <v>3469</v>
      </c>
      <c r="B341" s="47" t="s">
        <v>3470</v>
      </c>
    </row>
    <row r="342" spans="1:2" x14ac:dyDescent="0.25">
      <c r="A342" s="47" t="s">
        <v>3471</v>
      </c>
      <c r="B342" s="47" t="s">
        <v>3472</v>
      </c>
    </row>
    <row r="343" spans="1:2" x14ac:dyDescent="0.25">
      <c r="A343" s="47" t="s">
        <v>3473</v>
      </c>
      <c r="B343" s="47" t="s">
        <v>3474</v>
      </c>
    </row>
    <row r="344" spans="1:2" x14ac:dyDescent="0.25">
      <c r="A344" s="47" t="s">
        <v>3475</v>
      </c>
      <c r="B344" s="47" t="s">
        <v>3476</v>
      </c>
    </row>
    <row r="345" spans="1:2" x14ac:dyDescent="0.25">
      <c r="A345" s="47" t="s">
        <v>3477</v>
      </c>
      <c r="B345" s="47" t="s">
        <v>3478</v>
      </c>
    </row>
    <row r="346" spans="1:2" x14ac:dyDescent="0.25">
      <c r="A346" s="47" t="s">
        <v>3479</v>
      </c>
      <c r="B346" s="47" t="s">
        <v>3480</v>
      </c>
    </row>
    <row r="347" spans="1:2" x14ac:dyDescent="0.25">
      <c r="A347" s="47" t="s">
        <v>3481</v>
      </c>
      <c r="B347" s="47" t="s">
        <v>3482</v>
      </c>
    </row>
    <row r="348" spans="1:2" x14ac:dyDescent="0.25">
      <c r="A348" s="47" t="s">
        <v>3483</v>
      </c>
      <c r="B348" s="47" t="s">
        <v>3484</v>
      </c>
    </row>
    <row r="349" spans="1:2" x14ac:dyDescent="0.25">
      <c r="A349" s="47" t="s">
        <v>3485</v>
      </c>
      <c r="B349" s="47" t="s">
        <v>3486</v>
      </c>
    </row>
    <row r="350" spans="1:2" x14ac:dyDescent="0.25">
      <c r="A350" s="47" t="s">
        <v>3487</v>
      </c>
      <c r="B350" s="47" t="s">
        <v>3488</v>
      </c>
    </row>
    <row r="351" spans="1:2" x14ac:dyDescent="0.25">
      <c r="A351" s="47" t="s">
        <v>3489</v>
      </c>
      <c r="B351" s="47" t="s">
        <v>3490</v>
      </c>
    </row>
    <row r="352" spans="1:2" x14ac:dyDescent="0.25">
      <c r="A352" s="47" t="s">
        <v>3491</v>
      </c>
      <c r="B352" s="47" t="s">
        <v>3492</v>
      </c>
    </row>
    <row r="353" spans="1:2" x14ac:dyDescent="0.25">
      <c r="A353" s="47" t="s">
        <v>3493</v>
      </c>
      <c r="B353" s="47" t="s">
        <v>3494</v>
      </c>
    </row>
    <row r="354" spans="1:2" x14ac:dyDescent="0.25">
      <c r="A354" s="47" t="s">
        <v>3495</v>
      </c>
      <c r="B354" s="47" t="s">
        <v>3496</v>
      </c>
    </row>
    <row r="355" spans="1:2" x14ac:dyDescent="0.25">
      <c r="A355" s="47" t="s">
        <v>3497</v>
      </c>
      <c r="B355" s="47" t="s">
        <v>3498</v>
      </c>
    </row>
    <row r="356" spans="1:2" x14ac:dyDescent="0.25">
      <c r="A356" s="47" t="s">
        <v>3499</v>
      </c>
      <c r="B356" s="47" t="s">
        <v>3500</v>
      </c>
    </row>
    <row r="357" spans="1:2" x14ac:dyDescent="0.25">
      <c r="A357" s="47" t="s">
        <v>3501</v>
      </c>
      <c r="B357" s="47" t="s">
        <v>3502</v>
      </c>
    </row>
    <row r="358" spans="1:2" x14ac:dyDescent="0.25">
      <c r="A358" s="47" t="s">
        <v>3503</v>
      </c>
      <c r="B358" s="47" t="s">
        <v>3504</v>
      </c>
    </row>
    <row r="359" spans="1:2" x14ac:dyDescent="0.25">
      <c r="A359" s="47" t="s">
        <v>3505</v>
      </c>
      <c r="B359" s="47" t="s">
        <v>3506</v>
      </c>
    </row>
    <row r="360" spans="1:2" x14ac:dyDescent="0.25">
      <c r="A360" s="47" t="s">
        <v>3507</v>
      </c>
      <c r="B360" s="47" t="s">
        <v>3508</v>
      </c>
    </row>
    <row r="361" spans="1:2" x14ac:dyDescent="0.25">
      <c r="A361" s="47" t="s">
        <v>3509</v>
      </c>
      <c r="B361" s="47" t="s">
        <v>3510</v>
      </c>
    </row>
    <row r="362" spans="1:2" x14ac:dyDescent="0.25">
      <c r="A362" s="47" t="s">
        <v>3511</v>
      </c>
      <c r="B362" s="47" t="s">
        <v>3512</v>
      </c>
    </row>
    <row r="363" spans="1:2" x14ac:dyDescent="0.25">
      <c r="A363" s="47" t="s">
        <v>3513</v>
      </c>
      <c r="B363" s="47" t="s">
        <v>3514</v>
      </c>
    </row>
    <row r="364" spans="1:2" x14ac:dyDescent="0.25">
      <c r="A364" s="47" t="s">
        <v>3515</v>
      </c>
      <c r="B364" s="47" t="s">
        <v>3516</v>
      </c>
    </row>
    <row r="365" spans="1:2" x14ac:dyDescent="0.25">
      <c r="A365" s="47" t="s">
        <v>3517</v>
      </c>
      <c r="B365" s="47" t="s">
        <v>3518</v>
      </c>
    </row>
    <row r="366" spans="1:2" x14ac:dyDescent="0.25">
      <c r="A366" s="47" t="s">
        <v>3519</v>
      </c>
      <c r="B366" s="47" t="s">
        <v>3520</v>
      </c>
    </row>
    <row r="367" spans="1:2" x14ac:dyDescent="0.25">
      <c r="A367" s="47" t="s">
        <v>3521</v>
      </c>
      <c r="B367" s="47" t="s">
        <v>3522</v>
      </c>
    </row>
    <row r="368" spans="1:2" x14ac:dyDescent="0.25">
      <c r="A368" s="47" t="s">
        <v>3523</v>
      </c>
      <c r="B368" s="47" t="s">
        <v>3524</v>
      </c>
    </row>
    <row r="369" spans="1:2" x14ac:dyDescent="0.25">
      <c r="A369" s="47" t="s">
        <v>3525</v>
      </c>
      <c r="B369" s="47" t="s">
        <v>3526</v>
      </c>
    </row>
    <row r="370" spans="1:2" x14ac:dyDescent="0.25">
      <c r="A370" s="47" t="s">
        <v>3527</v>
      </c>
      <c r="B370" s="47" t="s">
        <v>3528</v>
      </c>
    </row>
    <row r="371" spans="1:2" x14ac:dyDescent="0.25">
      <c r="A371" s="47" t="s">
        <v>3529</v>
      </c>
      <c r="B371" s="47" t="s">
        <v>3530</v>
      </c>
    </row>
    <row r="372" spans="1:2" x14ac:dyDescent="0.25">
      <c r="A372" s="47" t="s">
        <v>3531</v>
      </c>
      <c r="B372" s="47" t="s">
        <v>3532</v>
      </c>
    </row>
    <row r="373" spans="1:2" x14ac:dyDescent="0.25">
      <c r="A373" s="47" t="s">
        <v>3533</v>
      </c>
      <c r="B373" s="47" t="s">
        <v>3534</v>
      </c>
    </row>
    <row r="374" spans="1:2" x14ac:dyDescent="0.25">
      <c r="A374" s="47" t="s">
        <v>3535</v>
      </c>
      <c r="B374" s="47" t="s">
        <v>3536</v>
      </c>
    </row>
    <row r="375" spans="1:2" x14ac:dyDescent="0.25">
      <c r="A375" s="47" t="s">
        <v>3537</v>
      </c>
      <c r="B375" s="47" t="s">
        <v>3538</v>
      </c>
    </row>
    <row r="376" spans="1:2" x14ac:dyDescent="0.25">
      <c r="A376" s="47" t="s">
        <v>3539</v>
      </c>
      <c r="B376" s="47" t="s">
        <v>3540</v>
      </c>
    </row>
    <row r="377" spans="1:2" x14ac:dyDescent="0.25">
      <c r="A377" s="47" t="s">
        <v>3541</v>
      </c>
      <c r="B377" s="47" t="s">
        <v>3542</v>
      </c>
    </row>
    <row r="378" spans="1:2" x14ac:dyDescent="0.25">
      <c r="A378" s="47" t="s">
        <v>3543</v>
      </c>
      <c r="B378" s="47" t="s">
        <v>3544</v>
      </c>
    </row>
    <row r="379" spans="1:2" x14ac:dyDescent="0.25">
      <c r="A379" s="47" t="s">
        <v>3545</v>
      </c>
      <c r="B379" s="47" t="s">
        <v>3546</v>
      </c>
    </row>
    <row r="380" spans="1:2" x14ac:dyDescent="0.25">
      <c r="A380" s="47" t="s">
        <v>3547</v>
      </c>
      <c r="B380" s="47" t="s">
        <v>3548</v>
      </c>
    </row>
    <row r="381" spans="1:2" x14ac:dyDescent="0.25">
      <c r="A381" s="47" t="s">
        <v>3549</v>
      </c>
      <c r="B381" s="47" t="s">
        <v>3550</v>
      </c>
    </row>
    <row r="382" spans="1:2" x14ac:dyDescent="0.25">
      <c r="A382" s="47" t="s">
        <v>3551</v>
      </c>
      <c r="B382" s="47" t="s">
        <v>3552</v>
      </c>
    </row>
    <row r="383" spans="1:2" x14ac:dyDescent="0.25">
      <c r="A383" s="47" t="s">
        <v>3553</v>
      </c>
      <c r="B383" s="47" t="s">
        <v>3554</v>
      </c>
    </row>
    <row r="384" spans="1:2" x14ac:dyDescent="0.25">
      <c r="A384" s="47" t="s">
        <v>3555</v>
      </c>
      <c r="B384" s="47" t="s">
        <v>3556</v>
      </c>
    </row>
    <row r="385" spans="1:2" x14ac:dyDescent="0.25">
      <c r="A385" s="47" t="s">
        <v>3557</v>
      </c>
      <c r="B385" s="47" t="s">
        <v>3558</v>
      </c>
    </row>
    <row r="386" spans="1:2" x14ac:dyDescent="0.25">
      <c r="A386" s="47" t="s">
        <v>3559</v>
      </c>
      <c r="B386" s="47" t="s">
        <v>3560</v>
      </c>
    </row>
    <row r="387" spans="1:2" x14ac:dyDescent="0.25">
      <c r="A387" s="47" t="s">
        <v>3561</v>
      </c>
      <c r="B387" s="47" t="s">
        <v>3562</v>
      </c>
    </row>
    <row r="388" spans="1:2" x14ac:dyDescent="0.25">
      <c r="A388" s="47" t="s">
        <v>3563</v>
      </c>
      <c r="B388" s="47" t="s">
        <v>3564</v>
      </c>
    </row>
    <row r="389" spans="1:2" x14ac:dyDescent="0.25">
      <c r="A389" s="47" t="s">
        <v>3565</v>
      </c>
      <c r="B389" s="47" t="s">
        <v>3566</v>
      </c>
    </row>
    <row r="390" spans="1:2" x14ac:dyDescent="0.25">
      <c r="A390" s="47" t="s">
        <v>3567</v>
      </c>
      <c r="B390" s="47" t="s">
        <v>3568</v>
      </c>
    </row>
    <row r="391" spans="1:2" x14ac:dyDescent="0.25">
      <c r="A391" s="47" t="s">
        <v>3569</v>
      </c>
      <c r="B391" s="47" t="s">
        <v>3570</v>
      </c>
    </row>
    <row r="392" spans="1:2" x14ac:dyDescent="0.25">
      <c r="A392" s="47" t="s">
        <v>3571</v>
      </c>
      <c r="B392" s="47" t="s">
        <v>3572</v>
      </c>
    </row>
    <row r="393" spans="1:2" x14ac:dyDescent="0.25">
      <c r="A393" s="47" t="s">
        <v>3573</v>
      </c>
      <c r="B393" s="47" t="s">
        <v>3574</v>
      </c>
    </row>
    <row r="394" spans="1:2" x14ac:dyDescent="0.25">
      <c r="A394" s="47" t="s">
        <v>3575</v>
      </c>
      <c r="B394" s="47" t="s">
        <v>3576</v>
      </c>
    </row>
    <row r="395" spans="1:2" x14ac:dyDescent="0.25">
      <c r="A395" s="47" t="s">
        <v>3577</v>
      </c>
      <c r="B395" s="47" t="s">
        <v>3578</v>
      </c>
    </row>
    <row r="396" spans="1:2" x14ac:dyDescent="0.25">
      <c r="A396" s="47" t="s">
        <v>3579</v>
      </c>
      <c r="B396" s="47" t="s">
        <v>3580</v>
      </c>
    </row>
    <row r="397" spans="1:2" x14ac:dyDescent="0.25">
      <c r="A397" s="47" t="s">
        <v>3581</v>
      </c>
      <c r="B397" s="47" t="s">
        <v>3582</v>
      </c>
    </row>
    <row r="398" spans="1:2" x14ac:dyDescent="0.25">
      <c r="A398" s="47" t="s">
        <v>3583</v>
      </c>
      <c r="B398" s="47" t="s">
        <v>3584</v>
      </c>
    </row>
    <row r="399" spans="1:2" x14ac:dyDescent="0.25">
      <c r="A399" s="47" t="s">
        <v>3585</v>
      </c>
      <c r="B399" s="47" t="s">
        <v>3586</v>
      </c>
    </row>
    <row r="400" spans="1:2" x14ac:dyDescent="0.25">
      <c r="A400" s="47" t="s">
        <v>3587</v>
      </c>
      <c r="B400" s="47" t="s">
        <v>3588</v>
      </c>
    </row>
    <row r="401" spans="1:2" x14ac:dyDescent="0.25">
      <c r="A401" s="47" t="s">
        <v>3589</v>
      </c>
      <c r="B401" s="47" t="s">
        <v>3590</v>
      </c>
    </row>
    <row r="402" spans="1:2" x14ac:dyDescent="0.25">
      <c r="A402" s="47" t="s">
        <v>3591</v>
      </c>
      <c r="B402" s="47" t="s">
        <v>3592</v>
      </c>
    </row>
    <row r="403" spans="1:2" x14ac:dyDescent="0.25">
      <c r="A403" s="47" t="s">
        <v>3593</v>
      </c>
      <c r="B403" s="47" t="s">
        <v>3594</v>
      </c>
    </row>
    <row r="404" spans="1:2" x14ac:dyDescent="0.25">
      <c r="A404" s="47" t="s">
        <v>3595</v>
      </c>
      <c r="B404" s="47" t="s">
        <v>3596</v>
      </c>
    </row>
    <row r="405" spans="1:2" x14ac:dyDescent="0.25">
      <c r="A405" s="47" t="s">
        <v>3597</v>
      </c>
      <c r="B405" s="47" t="s">
        <v>3598</v>
      </c>
    </row>
    <row r="406" spans="1:2" x14ac:dyDescent="0.25">
      <c r="A406" s="47" t="s">
        <v>3599</v>
      </c>
      <c r="B406" s="47" t="s">
        <v>3600</v>
      </c>
    </row>
    <row r="407" spans="1:2" x14ac:dyDescent="0.25">
      <c r="A407" s="47" t="s">
        <v>3601</v>
      </c>
      <c r="B407" s="47" t="s">
        <v>3602</v>
      </c>
    </row>
    <row r="408" spans="1:2" x14ac:dyDescent="0.25">
      <c r="A408" s="47" t="s">
        <v>3603</v>
      </c>
      <c r="B408" s="47" t="s">
        <v>3604</v>
      </c>
    </row>
    <row r="409" spans="1:2" x14ac:dyDescent="0.25">
      <c r="A409" s="47" t="s">
        <v>3605</v>
      </c>
      <c r="B409" s="47" t="s">
        <v>3606</v>
      </c>
    </row>
    <row r="410" spans="1:2" x14ac:dyDescent="0.25">
      <c r="A410" s="47" t="s">
        <v>3607</v>
      </c>
      <c r="B410" s="47" t="s">
        <v>3608</v>
      </c>
    </row>
    <row r="411" spans="1:2" x14ac:dyDescent="0.25">
      <c r="A411" s="47" t="s">
        <v>3609</v>
      </c>
      <c r="B411" s="47" t="s">
        <v>3610</v>
      </c>
    </row>
    <row r="412" spans="1:2" x14ac:dyDescent="0.25">
      <c r="A412" s="47" t="s">
        <v>3611</v>
      </c>
      <c r="B412" s="47" t="s">
        <v>3612</v>
      </c>
    </row>
    <row r="413" spans="1:2" x14ac:dyDescent="0.25">
      <c r="A413" s="47" t="s">
        <v>3613</v>
      </c>
      <c r="B413" s="47" t="s">
        <v>3614</v>
      </c>
    </row>
    <row r="414" spans="1:2" x14ac:dyDescent="0.25">
      <c r="A414" s="47" t="s">
        <v>3615</v>
      </c>
      <c r="B414" s="47" t="s">
        <v>3616</v>
      </c>
    </row>
    <row r="415" spans="1:2" x14ac:dyDescent="0.25">
      <c r="A415" s="47" t="s">
        <v>3617</v>
      </c>
      <c r="B415" s="47" t="s">
        <v>3618</v>
      </c>
    </row>
    <row r="416" spans="1:2" x14ac:dyDescent="0.25">
      <c r="A416" s="47" t="s">
        <v>3619</v>
      </c>
      <c r="B416" s="47" t="s">
        <v>3620</v>
      </c>
    </row>
    <row r="417" spans="1:2" x14ac:dyDescent="0.25">
      <c r="A417" s="47" t="s">
        <v>3621</v>
      </c>
      <c r="B417" s="47" t="s">
        <v>3622</v>
      </c>
    </row>
    <row r="418" spans="1:2" x14ac:dyDescent="0.25">
      <c r="A418" s="47" t="s">
        <v>3623</v>
      </c>
      <c r="B418" s="47" t="s">
        <v>3624</v>
      </c>
    </row>
    <row r="419" spans="1:2" x14ac:dyDescent="0.25">
      <c r="A419" s="47" t="s">
        <v>3625</v>
      </c>
      <c r="B419" s="47" t="s">
        <v>3626</v>
      </c>
    </row>
    <row r="420" spans="1:2" x14ac:dyDescent="0.25">
      <c r="A420" s="47" t="s">
        <v>3627</v>
      </c>
      <c r="B420" s="47" t="s">
        <v>3628</v>
      </c>
    </row>
    <row r="421" spans="1:2" x14ac:dyDescent="0.25">
      <c r="A421" s="47" t="s">
        <v>3629</v>
      </c>
      <c r="B421" s="47" t="s">
        <v>3630</v>
      </c>
    </row>
    <row r="422" spans="1:2" x14ac:dyDescent="0.25">
      <c r="A422" s="47" t="s">
        <v>3631</v>
      </c>
      <c r="B422" s="47" t="s">
        <v>3632</v>
      </c>
    </row>
    <row r="423" spans="1:2" x14ac:dyDescent="0.25">
      <c r="A423" s="47" t="s">
        <v>3633</v>
      </c>
      <c r="B423" s="47" t="s">
        <v>3634</v>
      </c>
    </row>
    <row r="424" spans="1:2" x14ac:dyDescent="0.25">
      <c r="A424" s="47" t="s">
        <v>3635</v>
      </c>
      <c r="B424" s="47" t="s">
        <v>3636</v>
      </c>
    </row>
    <row r="425" spans="1:2" x14ac:dyDescent="0.25">
      <c r="A425" s="47" t="s">
        <v>3637</v>
      </c>
      <c r="B425" s="47" t="s">
        <v>3638</v>
      </c>
    </row>
    <row r="426" spans="1:2" x14ac:dyDescent="0.25">
      <c r="A426" s="47" t="s">
        <v>3639</v>
      </c>
      <c r="B426" s="47" t="s">
        <v>3640</v>
      </c>
    </row>
    <row r="427" spans="1:2" x14ac:dyDescent="0.25">
      <c r="A427" s="47" t="s">
        <v>3641</v>
      </c>
      <c r="B427" s="47" t="s">
        <v>3642</v>
      </c>
    </row>
    <row r="428" spans="1:2" x14ac:dyDescent="0.25">
      <c r="A428" s="47" t="s">
        <v>3643</v>
      </c>
      <c r="B428" s="47" t="s">
        <v>3644</v>
      </c>
    </row>
    <row r="429" spans="1:2" x14ac:dyDescent="0.25">
      <c r="A429" s="47" t="s">
        <v>3645</v>
      </c>
      <c r="B429" s="47" t="s">
        <v>3646</v>
      </c>
    </row>
    <row r="430" spans="1:2" x14ac:dyDescent="0.25">
      <c r="A430" s="47" t="s">
        <v>3647</v>
      </c>
      <c r="B430" s="47" t="s">
        <v>3648</v>
      </c>
    </row>
    <row r="431" spans="1:2" x14ac:dyDescent="0.25">
      <c r="A431" s="47" t="s">
        <v>3649</v>
      </c>
      <c r="B431" s="47" t="s">
        <v>3650</v>
      </c>
    </row>
    <row r="432" spans="1:2" x14ac:dyDescent="0.25">
      <c r="A432" s="47" t="s">
        <v>3651</v>
      </c>
      <c r="B432" s="47" t="s">
        <v>3652</v>
      </c>
    </row>
    <row r="433" spans="1:2" x14ac:dyDescent="0.25">
      <c r="A433" s="47" t="s">
        <v>3653</v>
      </c>
      <c r="B433" s="47" t="s">
        <v>3654</v>
      </c>
    </row>
    <row r="434" spans="1:2" x14ac:dyDescent="0.25">
      <c r="A434" s="47" t="s">
        <v>3655</v>
      </c>
      <c r="B434" s="47" t="s">
        <v>3656</v>
      </c>
    </row>
    <row r="435" spans="1:2" x14ac:dyDescent="0.25">
      <c r="A435" s="47" t="s">
        <v>3657</v>
      </c>
      <c r="B435" s="47" t="s">
        <v>3658</v>
      </c>
    </row>
    <row r="436" spans="1:2" x14ac:dyDescent="0.25">
      <c r="A436" s="47" t="s">
        <v>3659</v>
      </c>
      <c r="B436" s="47" t="s">
        <v>3660</v>
      </c>
    </row>
    <row r="437" spans="1:2" x14ac:dyDescent="0.25">
      <c r="A437" s="47" t="s">
        <v>3661</v>
      </c>
      <c r="B437" s="47" t="s">
        <v>3662</v>
      </c>
    </row>
    <row r="438" spans="1:2" x14ac:dyDescent="0.25">
      <c r="A438" s="47" t="s">
        <v>3663</v>
      </c>
      <c r="B438" s="47" t="s">
        <v>3664</v>
      </c>
    </row>
    <row r="439" spans="1:2" x14ac:dyDescent="0.25">
      <c r="A439" s="47" t="s">
        <v>3665</v>
      </c>
      <c r="B439" s="47" t="s">
        <v>3666</v>
      </c>
    </row>
    <row r="440" spans="1:2" x14ac:dyDescent="0.25">
      <c r="A440" s="47" t="s">
        <v>3667</v>
      </c>
      <c r="B440" s="47" t="s">
        <v>3668</v>
      </c>
    </row>
    <row r="441" spans="1:2" x14ac:dyDescent="0.25">
      <c r="A441" s="47" t="s">
        <v>3669</v>
      </c>
      <c r="B441" s="47" t="s">
        <v>3670</v>
      </c>
    </row>
    <row r="442" spans="1:2" x14ac:dyDescent="0.25">
      <c r="A442" s="47" t="s">
        <v>3671</v>
      </c>
      <c r="B442" s="47" t="s">
        <v>3672</v>
      </c>
    </row>
    <row r="443" spans="1:2" x14ac:dyDescent="0.25">
      <c r="A443" s="47" t="s">
        <v>3673</v>
      </c>
      <c r="B443" s="47" t="s">
        <v>3674</v>
      </c>
    </row>
    <row r="444" spans="1:2" x14ac:dyDescent="0.25">
      <c r="A444" s="47" t="s">
        <v>3675</v>
      </c>
      <c r="B444" s="47" t="s">
        <v>3676</v>
      </c>
    </row>
    <row r="445" spans="1:2" x14ac:dyDescent="0.25">
      <c r="A445" s="47" t="s">
        <v>3677</v>
      </c>
      <c r="B445" s="47" t="s">
        <v>3678</v>
      </c>
    </row>
    <row r="446" spans="1:2" x14ac:dyDescent="0.25">
      <c r="A446" s="47" t="s">
        <v>3679</v>
      </c>
      <c r="B446" s="47" t="s">
        <v>3680</v>
      </c>
    </row>
    <row r="447" spans="1:2" x14ac:dyDescent="0.25">
      <c r="A447" s="47" t="s">
        <v>3681</v>
      </c>
      <c r="B447" s="47" t="s">
        <v>3682</v>
      </c>
    </row>
    <row r="448" spans="1:2" x14ac:dyDescent="0.25">
      <c r="A448" s="47" t="s">
        <v>3683</v>
      </c>
      <c r="B448" s="47" t="s">
        <v>3684</v>
      </c>
    </row>
    <row r="449" spans="1:2" x14ac:dyDescent="0.25">
      <c r="A449" s="47" t="s">
        <v>3685</v>
      </c>
      <c r="B449" s="47" t="s">
        <v>3686</v>
      </c>
    </row>
    <row r="450" spans="1:2" x14ac:dyDescent="0.25">
      <c r="A450" s="47" t="s">
        <v>3687</v>
      </c>
      <c r="B450" s="47" t="s">
        <v>3688</v>
      </c>
    </row>
    <row r="451" spans="1:2" x14ac:dyDescent="0.25">
      <c r="A451" s="47" t="s">
        <v>3689</v>
      </c>
      <c r="B451" s="47" t="s">
        <v>3690</v>
      </c>
    </row>
    <row r="452" spans="1:2" x14ac:dyDescent="0.25">
      <c r="A452" s="47" t="s">
        <v>3691</v>
      </c>
      <c r="B452" s="47" t="s">
        <v>3692</v>
      </c>
    </row>
    <row r="453" spans="1:2" x14ac:dyDescent="0.25">
      <c r="A453" s="47" t="s">
        <v>3693</v>
      </c>
      <c r="B453" s="47" t="s">
        <v>3694</v>
      </c>
    </row>
    <row r="454" spans="1:2" x14ac:dyDescent="0.25">
      <c r="A454" s="47" t="s">
        <v>3695</v>
      </c>
      <c r="B454" s="47" t="s">
        <v>3696</v>
      </c>
    </row>
    <row r="455" spans="1:2" x14ac:dyDescent="0.25">
      <c r="A455" s="47" t="s">
        <v>3697</v>
      </c>
      <c r="B455" s="47" t="s">
        <v>3698</v>
      </c>
    </row>
    <row r="456" spans="1:2" x14ac:dyDescent="0.25">
      <c r="A456" s="47" t="s">
        <v>3699</v>
      </c>
      <c r="B456" s="47" t="s">
        <v>3700</v>
      </c>
    </row>
    <row r="457" spans="1:2" x14ac:dyDescent="0.25">
      <c r="A457" s="47" t="s">
        <v>3701</v>
      </c>
      <c r="B457" s="47" t="s">
        <v>3702</v>
      </c>
    </row>
    <row r="458" spans="1:2" x14ac:dyDescent="0.25">
      <c r="A458" s="47" t="s">
        <v>3703</v>
      </c>
      <c r="B458" s="47" t="s">
        <v>3704</v>
      </c>
    </row>
    <row r="459" spans="1:2" x14ac:dyDescent="0.25">
      <c r="A459" s="47" t="s">
        <v>3705</v>
      </c>
      <c r="B459" s="47" t="s">
        <v>3706</v>
      </c>
    </row>
    <row r="460" spans="1:2" x14ac:dyDescent="0.25">
      <c r="A460" s="47" t="s">
        <v>3707</v>
      </c>
      <c r="B460" s="47" t="s">
        <v>3708</v>
      </c>
    </row>
    <row r="461" spans="1:2" x14ac:dyDescent="0.25">
      <c r="A461" s="47" t="s">
        <v>3709</v>
      </c>
      <c r="B461" s="47" t="s">
        <v>3710</v>
      </c>
    </row>
    <row r="462" spans="1:2" x14ac:dyDescent="0.25">
      <c r="A462" s="47" t="s">
        <v>3711</v>
      </c>
      <c r="B462" s="47" t="s">
        <v>3712</v>
      </c>
    </row>
    <row r="463" spans="1:2" x14ac:dyDescent="0.25">
      <c r="A463" s="47" t="s">
        <v>3713</v>
      </c>
      <c r="B463" s="47" t="s">
        <v>3714</v>
      </c>
    </row>
    <row r="464" spans="1:2" x14ac:dyDescent="0.25">
      <c r="A464" s="47" t="s">
        <v>3715</v>
      </c>
      <c r="B464" s="47" t="s">
        <v>3716</v>
      </c>
    </row>
    <row r="465" spans="1:2" x14ac:dyDescent="0.25">
      <c r="A465" s="47" t="s">
        <v>3717</v>
      </c>
      <c r="B465" s="47" t="s">
        <v>3718</v>
      </c>
    </row>
    <row r="466" spans="1:2" x14ac:dyDescent="0.25">
      <c r="A466" s="47" t="s">
        <v>3719</v>
      </c>
      <c r="B466" s="47" t="s">
        <v>3720</v>
      </c>
    </row>
    <row r="467" spans="1:2" x14ac:dyDescent="0.25">
      <c r="A467" s="47" t="s">
        <v>3721</v>
      </c>
      <c r="B467" s="47" t="s">
        <v>3722</v>
      </c>
    </row>
    <row r="468" spans="1:2" x14ac:dyDescent="0.25">
      <c r="A468" s="47" t="s">
        <v>3723</v>
      </c>
      <c r="B468" s="47" t="s">
        <v>3724</v>
      </c>
    </row>
    <row r="469" spans="1:2" x14ac:dyDescent="0.25">
      <c r="A469" s="47" t="s">
        <v>3725</v>
      </c>
      <c r="B469" s="47" t="s">
        <v>3726</v>
      </c>
    </row>
    <row r="470" spans="1:2" x14ac:dyDescent="0.25">
      <c r="A470" s="47" t="s">
        <v>3727</v>
      </c>
      <c r="B470" s="47" t="s">
        <v>3728</v>
      </c>
    </row>
    <row r="471" spans="1:2" x14ac:dyDescent="0.25">
      <c r="A471" s="47" t="s">
        <v>3729</v>
      </c>
      <c r="B471" s="47" t="s">
        <v>3730</v>
      </c>
    </row>
    <row r="472" spans="1:2" x14ac:dyDescent="0.25">
      <c r="A472" s="47" t="s">
        <v>3731</v>
      </c>
      <c r="B472" s="47" t="s">
        <v>3732</v>
      </c>
    </row>
    <row r="473" spans="1:2" x14ac:dyDescent="0.25">
      <c r="A473" s="47" t="s">
        <v>3733</v>
      </c>
      <c r="B473" s="47" t="s">
        <v>3734</v>
      </c>
    </row>
    <row r="474" spans="1:2" x14ac:dyDescent="0.25">
      <c r="A474" s="47" t="s">
        <v>3735</v>
      </c>
      <c r="B474" s="47" t="s">
        <v>3736</v>
      </c>
    </row>
    <row r="475" spans="1:2" x14ac:dyDescent="0.25">
      <c r="A475" s="47" t="s">
        <v>3737</v>
      </c>
      <c r="B475" s="47" t="s">
        <v>3738</v>
      </c>
    </row>
    <row r="476" spans="1:2" x14ac:dyDescent="0.25">
      <c r="A476" s="47" t="s">
        <v>3739</v>
      </c>
      <c r="B476" s="47" t="s">
        <v>3740</v>
      </c>
    </row>
    <row r="477" spans="1:2" x14ac:dyDescent="0.25">
      <c r="A477" s="47" t="s">
        <v>3741</v>
      </c>
      <c r="B477" s="47" t="s">
        <v>3742</v>
      </c>
    </row>
    <row r="478" spans="1:2" x14ac:dyDescent="0.25">
      <c r="A478" s="47" t="s">
        <v>3743</v>
      </c>
      <c r="B478" s="47" t="s">
        <v>3744</v>
      </c>
    </row>
    <row r="479" spans="1:2" x14ac:dyDescent="0.25">
      <c r="A479" s="47" t="s">
        <v>3745</v>
      </c>
      <c r="B479" s="47" t="s">
        <v>3746</v>
      </c>
    </row>
    <row r="480" spans="1:2" x14ac:dyDescent="0.25">
      <c r="A480" s="47" t="s">
        <v>3747</v>
      </c>
      <c r="B480" s="47" t="s">
        <v>3748</v>
      </c>
    </row>
    <row r="481" spans="1:2" x14ac:dyDescent="0.25">
      <c r="A481" s="47" t="s">
        <v>3749</v>
      </c>
      <c r="B481" s="47" t="s">
        <v>3750</v>
      </c>
    </row>
    <row r="482" spans="1:2" x14ac:dyDescent="0.25">
      <c r="A482" s="47" t="s">
        <v>3751</v>
      </c>
      <c r="B482" s="47" t="s">
        <v>3752</v>
      </c>
    </row>
    <row r="483" spans="1:2" x14ac:dyDescent="0.25">
      <c r="A483" s="47" t="s">
        <v>3753</v>
      </c>
      <c r="B483" s="47" t="s">
        <v>3754</v>
      </c>
    </row>
    <row r="484" spans="1:2" x14ac:dyDescent="0.25">
      <c r="A484" s="47" t="s">
        <v>3755</v>
      </c>
      <c r="B484" s="47" t="s">
        <v>3756</v>
      </c>
    </row>
    <row r="485" spans="1:2" x14ac:dyDescent="0.25">
      <c r="A485" s="47" t="s">
        <v>3757</v>
      </c>
      <c r="B485" s="47" t="s">
        <v>3758</v>
      </c>
    </row>
    <row r="486" spans="1:2" x14ac:dyDescent="0.25">
      <c r="A486" s="47" t="s">
        <v>3759</v>
      </c>
      <c r="B486" s="47" t="s">
        <v>3760</v>
      </c>
    </row>
    <row r="487" spans="1:2" x14ac:dyDescent="0.25">
      <c r="A487" s="47" t="s">
        <v>3761</v>
      </c>
      <c r="B487" s="47" t="s">
        <v>3762</v>
      </c>
    </row>
    <row r="488" spans="1:2" x14ac:dyDescent="0.25">
      <c r="A488" s="47" t="s">
        <v>3763</v>
      </c>
      <c r="B488" s="47" t="s">
        <v>3764</v>
      </c>
    </row>
    <row r="489" spans="1:2" x14ac:dyDescent="0.25">
      <c r="A489" s="47" t="s">
        <v>3765</v>
      </c>
      <c r="B489" s="47" t="s">
        <v>3766</v>
      </c>
    </row>
    <row r="490" spans="1:2" x14ac:dyDescent="0.25">
      <c r="A490" s="47" t="s">
        <v>3767</v>
      </c>
      <c r="B490" s="47" t="s">
        <v>3768</v>
      </c>
    </row>
    <row r="491" spans="1:2" x14ac:dyDescent="0.25">
      <c r="A491" s="47" t="s">
        <v>3769</v>
      </c>
      <c r="B491" s="47" t="s">
        <v>3770</v>
      </c>
    </row>
    <row r="492" spans="1:2" x14ac:dyDescent="0.25">
      <c r="A492" s="47" t="s">
        <v>3771</v>
      </c>
      <c r="B492" s="47" t="s">
        <v>3772</v>
      </c>
    </row>
    <row r="493" spans="1:2" x14ac:dyDescent="0.25">
      <c r="A493" s="47" t="s">
        <v>3773</v>
      </c>
      <c r="B493" s="47" t="s">
        <v>3774</v>
      </c>
    </row>
    <row r="494" spans="1:2" x14ac:dyDescent="0.25">
      <c r="A494" s="47" t="s">
        <v>3775</v>
      </c>
      <c r="B494" s="47" t="s">
        <v>3776</v>
      </c>
    </row>
    <row r="495" spans="1:2" x14ac:dyDescent="0.25">
      <c r="A495" s="47" t="s">
        <v>3777</v>
      </c>
      <c r="B495" s="47" t="s">
        <v>3778</v>
      </c>
    </row>
    <row r="496" spans="1:2" x14ac:dyDescent="0.25">
      <c r="A496" s="47" t="s">
        <v>3779</v>
      </c>
      <c r="B496" s="47" t="s">
        <v>3780</v>
      </c>
    </row>
    <row r="497" spans="1:2" x14ac:dyDescent="0.25">
      <c r="A497" s="47" t="s">
        <v>3781</v>
      </c>
      <c r="B497" s="47" t="s">
        <v>3782</v>
      </c>
    </row>
    <row r="498" spans="1:2" x14ac:dyDescent="0.25">
      <c r="A498" s="47" t="s">
        <v>3783</v>
      </c>
      <c r="B498" s="47" t="s">
        <v>3784</v>
      </c>
    </row>
    <row r="499" spans="1:2" x14ac:dyDescent="0.25">
      <c r="A499" s="47" t="s">
        <v>3785</v>
      </c>
      <c r="B499" s="47" t="s">
        <v>3786</v>
      </c>
    </row>
    <row r="500" spans="1:2" x14ac:dyDescent="0.25">
      <c r="A500" s="47" t="s">
        <v>3787</v>
      </c>
      <c r="B500" s="47" t="s">
        <v>3788</v>
      </c>
    </row>
    <row r="501" spans="1:2" x14ac:dyDescent="0.25">
      <c r="A501" s="47" t="s">
        <v>3789</v>
      </c>
      <c r="B501" s="47" t="s">
        <v>3790</v>
      </c>
    </row>
    <row r="502" spans="1:2" x14ac:dyDescent="0.25">
      <c r="A502" s="47" t="s">
        <v>3791</v>
      </c>
      <c r="B502" s="47" t="s">
        <v>3792</v>
      </c>
    </row>
    <row r="503" spans="1:2" x14ac:dyDescent="0.25">
      <c r="A503" s="47" t="s">
        <v>3793</v>
      </c>
      <c r="B503" s="47" t="s">
        <v>3794</v>
      </c>
    </row>
    <row r="504" spans="1:2" x14ac:dyDescent="0.25">
      <c r="A504" s="47" t="s">
        <v>3795</v>
      </c>
      <c r="B504" s="47" t="s">
        <v>3796</v>
      </c>
    </row>
    <row r="505" spans="1:2" x14ac:dyDescent="0.25">
      <c r="A505" s="47" t="s">
        <v>3797</v>
      </c>
      <c r="B505" s="47" t="s">
        <v>3798</v>
      </c>
    </row>
    <row r="506" spans="1:2" x14ac:dyDescent="0.25">
      <c r="A506" s="47" t="s">
        <v>3799</v>
      </c>
      <c r="B506" s="47" t="s">
        <v>3800</v>
      </c>
    </row>
    <row r="507" spans="1:2" x14ac:dyDescent="0.25">
      <c r="A507" s="47" t="s">
        <v>3801</v>
      </c>
      <c r="B507" s="47" t="s">
        <v>3802</v>
      </c>
    </row>
    <row r="508" spans="1:2" x14ac:dyDescent="0.25">
      <c r="A508" s="47" t="s">
        <v>3803</v>
      </c>
      <c r="B508" s="47" t="s">
        <v>3804</v>
      </c>
    </row>
    <row r="509" spans="1:2" x14ac:dyDescent="0.25">
      <c r="A509" s="47" t="s">
        <v>3805</v>
      </c>
      <c r="B509" s="47" t="s">
        <v>3806</v>
      </c>
    </row>
    <row r="510" spans="1:2" x14ac:dyDescent="0.25">
      <c r="A510" s="47" t="s">
        <v>3807</v>
      </c>
      <c r="B510" s="47" t="s">
        <v>3808</v>
      </c>
    </row>
    <row r="511" spans="1:2" x14ac:dyDescent="0.25">
      <c r="A511" s="47" t="s">
        <v>3809</v>
      </c>
      <c r="B511" s="47" t="s">
        <v>3810</v>
      </c>
    </row>
    <row r="512" spans="1:2" x14ac:dyDescent="0.25">
      <c r="A512" s="47" t="s">
        <v>3811</v>
      </c>
      <c r="B512" s="47" t="s">
        <v>3812</v>
      </c>
    </row>
    <row r="513" spans="1:2" x14ac:dyDescent="0.25">
      <c r="A513" s="47" t="s">
        <v>3813</v>
      </c>
      <c r="B513" s="47" t="s">
        <v>3814</v>
      </c>
    </row>
    <row r="514" spans="1:2" x14ac:dyDescent="0.25">
      <c r="A514" s="47" t="s">
        <v>3815</v>
      </c>
      <c r="B514" s="47" t="s">
        <v>3816</v>
      </c>
    </row>
    <row r="515" spans="1:2" x14ac:dyDescent="0.25">
      <c r="A515" s="47" t="s">
        <v>3817</v>
      </c>
      <c r="B515" s="47" t="s">
        <v>3818</v>
      </c>
    </row>
    <row r="516" spans="1:2" x14ac:dyDescent="0.25">
      <c r="A516" s="47" t="s">
        <v>3819</v>
      </c>
      <c r="B516" s="47" t="s">
        <v>3820</v>
      </c>
    </row>
    <row r="517" spans="1:2" x14ac:dyDescent="0.25">
      <c r="A517" s="47" t="s">
        <v>3821</v>
      </c>
      <c r="B517" s="47" t="s">
        <v>3822</v>
      </c>
    </row>
    <row r="518" spans="1:2" x14ac:dyDescent="0.25">
      <c r="A518" s="47" t="s">
        <v>3823</v>
      </c>
      <c r="B518" s="47" t="s">
        <v>3824</v>
      </c>
    </row>
    <row r="519" spans="1:2" x14ac:dyDescent="0.25">
      <c r="A519" s="47" t="s">
        <v>3825</v>
      </c>
      <c r="B519" s="47" t="s">
        <v>3826</v>
      </c>
    </row>
    <row r="520" spans="1:2" x14ac:dyDescent="0.25">
      <c r="A520" s="47" t="s">
        <v>3827</v>
      </c>
      <c r="B520" s="47" t="s">
        <v>3828</v>
      </c>
    </row>
    <row r="521" spans="1:2" x14ac:dyDescent="0.25">
      <c r="A521" s="47" t="s">
        <v>3829</v>
      </c>
      <c r="B521" s="47" t="s">
        <v>3830</v>
      </c>
    </row>
    <row r="522" spans="1:2" x14ac:dyDescent="0.25">
      <c r="A522" s="47" t="s">
        <v>3831</v>
      </c>
      <c r="B522" s="47" t="s">
        <v>3832</v>
      </c>
    </row>
    <row r="523" spans="1:2" x14ac:dyDescent="0.25">
      <c r="A523" s="47" t="s">
        <v>3833</v>
      </c>
      <c r="B523" s="47" t="s">
        <v>3834</v>
      </c>
    </row>
    <row r="524" spans="1:2" x14ac:dyDescent="0.25">
      <c r="A524" s="47" t="s">
        <v>3835</v>
      </c>
      <c r="B524" s="47" t="s">
        <v>3836</v>
      </c>
    </row>
    <row r="525" spans="1:2" x14ac:dyDescent="0.25">
      <c r="A525" s="47" t="s">
        <v>3837</v>
      </c>
      <c r="B525" s="47" t="s">
        <v>3838</v>
      </c>
    </row>
    <row r="526" spans="1:2" x14ac:dyDescent="0.25">
      <c r="A526" s="47" t="s">
        <v>3839</v>
      </c>
      <c r="B526" s="47" t="s">
        <v>3840</v>
      </c>
    </row>
    <row r="527" spans="1:2" x14ac:dyDescent="0.25">
      <c r="A527" s="47" t="s">
        <v>3841</v>
      </c>
      <c r="B527" s="47" t="s">
        <v>3842</v>
      </c>
    </row>
    <row r="528" spans="1:2" x14ac:dyDescent="0.25">
      <c r="A528" s="47" t="s">
        <v>3843</v>
      </c>
      <c r="B528" s="47" t="s">
        <v>3844</v>
      </c>
    </row>
    <row r="529" spans="1:2" x14ac:dyDescent="0.25">
      <c r="A529" s="47" t="s">
        <v>3845</v>
      </c>
      <c r="B529" s="47" t="s">
        <v>3846</v>
      </c>
    </row>
    <row r="530" spans="1:2" x14ac:dyDescent="0.25">
      <c r="A530" s="47" t="s">
        <v>3847</v>
      </c>
      <c r="B530" s="47" t="s">
        <v>3848</v>
      </c>
    </row>
    <row r="531" spans="1:2" x14ac:dyDescent="0.25">
      <c r="A531" s="47" t="s">
        <v>3849</v>
      </c>
      <c r="B531" s="47" t="s">
        <v>3850</v>
      </c>
    </row>
    <row r="532" spans="1:2" x14ac:dyDescent="0.25">
      <c r="A532" s="47" t="s">
        <v>3851</v>
      </c>
      <c r="B532" s="47" t="s">
        <v>3852</v>
      </c>
    </row>
    <row r="533" spans="1:2" x14ac:dyDescent="0.25">
      <c r="A533" s="47" t="s">
        <v>3853</v>
      </c>
      <c r="B533" s="47" t="s">
        <v>3854</v>
      </c>
    </row>
    <row r="534" spans="1:2" x14ac:dyDescent="0.25">
      <c r="A534" s="47" t="s">
        <v>3855</v>
      </c>
      <c r="B534" s="47" t="s">
        <v>3856</v>
      </c>
    </row>
    <row r="535" spans="1:2" x14ac:dyDescent="0.25">
      <c r="A535" s="47" t="s">
        <v>3857</v>
      </c>
      <c r="B535" s="47" t="s">
        <v>3858</v>
      </c>
    </row>
    <row r="536" spans="1:2" x14ac:dyDescent="0.25">
      <c r="A536" s="47" t="s">
        <v>3859</v>
      </c>
      <c r="B536" s="47" t="s">
        <v>3860</v>
      </c>
    </row>
    <row r="537" spans="1:2" x14ac:dyDescent="0.25">
      <c r="A537" s="47" t="s">
        <v>3861</v>
      </c>
      <c r="B537" s="47" t="s">
        <v>3862</v>
      </c>
    </row>
    <row r="538" spans="1:2" x14ac:dyDescent="0.25">
      <c r="A538" s="47" t="s">
        <v>3863</v>
      </c>
      <c r="B538" s="47" t="s">
        <v>3864</v>
      </c>
    </row>
    <row r="539" spans="1:2" x14ac:dyDescent="0.25">
      <c r="A539" s="47" t="s">
        <v>3865</v>
      </c>
      <c r="B539" s="47" t="s">
        <v>3866</v>
      </c>
    </row>
    <row r="540" spans="1:2" x14ac:dyDescent="0.25">
      <c r="A540" s="47" t="s">
        <v>3867</v>
      </c>
      <c r="B540" s="47" t="s">
        <v>3868</v>
      </c>
    </row>
    <row r="541" spans="1:2" x14ac:dyDescent="0.25">
      <c r="A541" s="47" t="s">
        <v>3869</v>
      </c>
      <c r="B541" s="47" t="s">
        <v>3870</v>
      </c>
    </row>
    <row r="542" spans="1:2" x14ac:dyDescent="0.25">
      <c r="A542" s="47" t="s">
        <v>3871</v>
      </c>
      <c r="B542" s="47" t="s">
        <v>3872</v>
      </c>
    </row>
    <row r="543" spans="1:2" x14ac:dyDescent="0.25">
      <c r="A543" s="47" t="s">
        <v>3873</v>
      </c>
      <c r="B543" s="47" t="s">
        <v>3874</v>
      </c>
    </row>
    <row r="544" spans="1:2" x14ac:dyDescent="0.25">
      <c r="A544" s="47" t="s">
        <v>3875</v>
      </c>
      <c r="B544" s="47" t="s">
        <v>3876</v>
      </c>
    </row>
    <row r="545" spans="1:2" x14ac:dyDescent="0.25">
      <c r="A545" s="47" t="s">
        <v>3877</v>
      </c>
      <c r="B545" s="47" t="s">
        <v>3878</v>
      </c>
    </row>
    <row r="546" spans="1:2" x14ac:dyDescent="0.25">
      <c r="A546" s="47" t="s">
        <v>3879</v>
      </c>
      <c r="B546" s="47" t="s">
        <v>3880</v>
      </c>
    </row>
    <row r="547" spans="1:2" x14ac:dyDescent="0.25">
      <c r="A547" s="47" t="s">
        <v>3881</v>
      </c>
      <c r="B547" s="47" t="s">
        <v>3882</v>
      </c>
    </row>
    <row r="548" spans="1:2" x14ac:dyDescent="0.25">
      <c r="A548" s="47" t="s">
        <v>3883</v>
      </c>
      <c r="B548" s="47" t="s">
        <v>3884</v>
      </c>
    </row>
    <row r="549" spans="1:2" x14ac:dyDescent="0.25">
      <c r="A549" s="47" t="s">
        <v>3885</v>
      </c>
      <c r="B549" s="47" t="s">
        <v>3886</v>
      </c>
    </row>
    <row r="550" spans="1:2" x14ac:dyDescent="0.25">
      <c r="A550" s="47" t="s">
        <v>3887</v>
      </c>
      <c r="B550" s="47" t="s">
        <v>3888</v>
      </c>
    </row>
    <row r="551" spans="1:2" x14ac:dyDescent="0.25">
      <c r="A551" s="47" t="s">
        <v>3889</v>
      </c>
      <c r="B551" s="47" t="s">
        <v>3890</v>
      </c>
    </row>
    <row r="552" spans="1:2" x14ac:dyDescent="0.25">
      <c r="A552" s="47" t="s">
        <v>3891</v>
      </c>
      <c r="B552" s="47" t="s">
        <v>3892</v>
      </c>
    </row>
    <row r="553" spans="1:2" x14ac:dyDescent="0.25">
      <c r="A553" s="47" t="s">
        <v>3893</v>
      </c>
      <c r="B553" s="47" t="s">
        <v>3894</v>
      </c>
    </row>
    <row r="554" spans="1:2" x14ac:dyDescent="0.25">
      <c r="A554" s="47" t="s">
        <v>3895</v>
      </c>
      <c r="B554" s="47" t="s">
        <v>3896</v>
      </c>
    </row>
    <row r="555" spans="1:2" x14ac:dyDescent="0.25">
      <c r="A555" s="47" t="s">
        <v>3897</v>
      </c>
      <c r="B555" s="47" t="s">
        <v>3898</v>
      </c>
    </row>
    <row r="556" spans="1:2" x14ac:dyDescent="0.25">
      <c r="A556" s="47" t="s">
        <v>3899</v>
      </c>
      <c r="B556" s="47" t="s">
        <v>3900</v>
      </c>
    </row>
    <row r="557" spans="1:2" x14ac:dyDescent="0.25">
      <c r="A557" s="47" t="s">
        <v>3901</v>
      </c>
      <c r="B557" s="47" t="s">
        <v>3902</v>
      </c>
    </row>
    <row r="558" spans="1:2" x14ac:dyDescent="0.25">
      <c r="A558" s="47" t="s">
        <v>3903</v>
      </c>
      <c r="B558" s="47" t="s">
        <v>3904</v>
      </c>
    </row>
    <row r="559" spans="1:2" x14ac:dyDescent="0.25">
      <c r="A559" s="47" t="s">
        <v>3905</v>
      </c>
      <c r="B559" s="47" t="s">
        <v>3906</v>
      </c>
    </row>
    <row r="560" spans="1:2" x14ac:dyDescent="0.25">
      <c r="A560" s="47" t="s">
        <v>3907</v>
      </c>
      <c r="B560" s="47" t="s">
        <v>3908</v>
      </c>
    </row>
    <row r="561" spans="1:2" x14ac:dyDescent="0.25">
      <c r="A561" s="47" t="s">
        <v>3909</v>
      </c>
      <c r="B561" s="47" t="s">
        <v>3910</v>
      </c>
    </row>
    <row r="562" spans="1:2" x14ac:dyDescent="0.25">
      <c r="A562" s="47" t="s">
        <v>3911</v>
      </c>
      <c r="B562" s="47" t="s">
        <v>3912</v>
      </c>
    </row>
    <row r="563" spans="1:2" x14ac:dyDescent="0.25">
      <c r="A563" s="47" t="s">
        <v>3913</v>
      </c>
      <c r="B563" s="47" t="s">
        <v>3914</v>
      </c>
    </row>
    <row r="564" spans="1:2" x14ac:dyDescent="0.25">
      <c r="A564" s="47" t="s">
        <v>3915</v>
      </c>
      <c r="B564" s="47" t="s">
        <v>3916</v>
      </c>
    </row>
    <row r="565" spans="1:2" x14ac:dyDescent="0.25">
      <c r="A565" s="47" t="s">
        <v>3917</v>
      </c>
      <c r="B565" s="47" t="s">
        <v>3918</v>
      </c>
    </row>
    <row r="566" spans="1:2" x14ac:dyDescent="0.25">
      <c r="A566" s="47" t="s">
        <v>3919</v>
      </c>
      <c r="B566" s="47" t="s">
        <v>3920</v>
      </c>
    </row>
    <row r="567" spans="1:2" x14ac:dyDescent="0.25">
      <c r="A567" s="47" t="s">
        <v>3921</v>
      </c>
      <c r="B567" s="47" t="s">
        <v>3922</v>
      </c>
    </row>
    <row r="568" spans="1:2" x14ac:dyDescent="0.25">
      <c r="A568" s="47" t="s">
        <v>3923</v>
      </c>
      <c r="B568" s="47" t="s">
        <v>3924</v>
      </c>
    </row>
    <row r="569" spans="1:2" x14ac:dyDescent="0.25">
      <c r="A569" s="47" t="s">
        <v>3925</v>
      </c>
      <c r="B569" s="47" t="s">
        <v>3926</v>
      </c>
    </row>
    <row r="570" spans="1:2" x14ac:dyDescent="0.25">
      <c r="A570" s="47" t="s">
        <v>3927</v>
      </c>
      <c r="B570" s="47" t="s">
        <v>3928</v>
      </c>
    </row>
    <row r="571" spans="1:2" x14ac:dyDescent="0.25">
      <c r="A571" s="47" t="s">
        <v>3929</v>
      </c>
      <c r="B571" s="47" t="s">
        <v>3930</v>
      </c>
    </row>
    <row r="572" spans="1:2" x14ac:dyDescent="0.25">
      <c r="A572" s="47" t="s">
        <v>3931</v>
      </c>
      <c r="B572" s="47" t="s">
        <v>3932</v>
      </c>
    </row>
    <row r="573" spans="1:2" x14ac:dyDescent="0.25">
      <c r="A573" s="47" t="s">
        <v>3933</v>
      </c>
      <c r="B573" s="47" t="s">
        <v>3934</v>
      </c>
    </row>
    <row r="574" spans="1:2" x14ac:dyDescent="0.25">
      <c r="A574" s="47" t="s">
        <v>3935</v>
      </c>
      <c r="B574" s="47" t="s">
        <v>3936</v>
      </c>
    </row>
    <row r="575" spans="1:2" x14ac:dyDescent="0.25">
      <c r="A575" s="47" t="s">
        <v>3937</v>
      </c>
      <c r="B575" s="47" t="s">
        <v>3938</v>
      </c>
    </row>
    <row r="576" spans="1:2" x14ac:dyDescent="0.25">
      <c r="A576" s="47" t="s">
        <v>3939</v>
      </c>
      <c r="B576" s="47" t="s">
        <v>3940</v>
      </c>
    </row>
    <row r="577" spans="1:2" x14ac:dyDescent="0.25">
      <c r="A577" s="47" t="s">
        <v>3941</v>
      </c>
      <c r="B577" s="47" t="s">
        <v>3942</v>
      </c>
    </row>
    <row r="578" spans="1:2" x14ac:dyDescent="0.25">
      <c r="A578" s="47" t="s">
        <v>3943</v>
      </c>
      <c r="B578" s="47" t="s">
        <v>3944</v>
      </c>
    </row>
    <row r="579" spans="1:2" x14ac:dyDescent="0.25">
      <c r="A579" s="47" t="s">
        <v>3945</v>
      </c>
      <c r="B579" s="47" t="s">
        <v>3946</v>
      </c>
    </row>
    <row r="580" spans="1:2" x14ac:dyDescent="0.25">
      <c r="A580" s="47" t="s">
        <v>3947</v>
      </c>
      <c r="B580" s="47" t="s">
        <v>3948</v>
      </c>
    </row>
    <row r="581" spans="1:2" x14ac:dyDescent="0.25">
      <c r="A581" s="47" t="s">
        <v>3949</v>
      </c>
      <c r="B581" s="47" t="s">
        <v>3950</v>
      </c>
    </row>
    <row r="582" spans="1:2" x14ac:dyDescent="0.25">
      <c r="A582" s="47" t="s">
        <v>3951</v>
      </c>
      <c r="B582" s="47" t="s">
        <v>3952</v>
      </c>
    </row>
    <row r="583" spans="1:2" x14ac:dyDescent="0.25">
      <c r="A583" s="47" t="s">
        <v>3953</v>
      </c>
      <c r="B583" s="47" t="s">
        <v>3954</v>
      </c>
    </row>
    <row r="584" spans="1:2" x14ac:dyDescent="0.25">
      <c r="A584" s="47" t="s">
        <v>3955</v>
      </c>
      <c r="B584" s="47" t="s">
        <v>3956</v>
      </c>
    </row>
    <row r="585" spans="1:2" x14ac:dyDescent="0.25">
      <c r="A585" s="47" t="s">
        <v>3957</v>
      </c>
      <c r="B585" s="47" t="s">
        <v>3958</v>
      </c>
    </row>
    <row r="586" spans="1:2" x14ac:dyDescent="0.25">
      <c r="A586" s="47" t="s">
        <v>3959</v>
      </c>
      <c r="B586" s="47" t="s">
        <v>3960</v>
      </c>
    </row>
    <row r="587" spans="1:2" x14ac:dyDescent="0.25">
      <c r="A587" s="47" t="s">
        <v>3961</v>
      </c>
      <c r="B587" s="47" t="s">
        <v>3962</v>
      </c>
    </row>
    <row r="588" spans="1:2" x14ac:dyDescent="0.25">
      <c r="A588" s="47" t="s">
        <v>3963</v>
      </c>
      <c r="B588" s="47" t="s">
        <v>3964</v>
      </c>
    </row>
    <row r="589" spans="1:2" x14ac:dyDescent="0.25">
      <c r="A589" s="47" t="s">
        <v>3965</v>
      </c>
      <c r="B589" s="47" t="s">
        <v>3966</v>
      </c>
    </row>
    <row r="590" spans="1:2" x14ac:dyDescent="0.25">
      <c r="A590" s="47" t="s">
        <v>3967</v>
      </c>
      <c r="B590" s="47" t="s">
        <v>3968</v>
      </c>
    </row>
    <row r="591" spans="1:2" x14ac:dyDescent="0.25">
      <c r="A591" s="47" t="s">
        <v>3969</v>
      </c>
      <c r="B591" s="47" t="s">
        <v>3970</v>
      </c>
    </row>
    <row r="592" spans="1:2" x14ac:dyDescent="0.25">
      <c r="A592" s="47" t="s">
        <v>3971</v>
      </c>
      <c r="B592" s="47" t="s">
        <v>3972</v>
      </c>
    </row>
    <row r="593" spans="1:2" x14ac:dyDescent="0.25">
      <c r="A593" s="47" t="s">
        <v>3973</v>
      </c>
      <c r="B593" s="47" t="s">
        <v>3974</v>
      </c>
    </row>
    <row r="594" spans="1:2" x14ac:dyDescent="0.25">
      <c r="A594" s="47" t="s">
        <v>3975</v>
      </c>
      <c r="B594" s="47" t="s">
        <v>3976</v>
      </c>
    </row>
    <row r="595" spans="1:2" x14ac:dyDescent="0.25">
      <c r="A595" s="47" t="s">
        <v>3977</v>
      </c>
      <c r="B595" s="47" t="s">
        <v>3978</v>
      </c>
    </row>
    <row r="596" spans="1:2" x14ac:dyDescent="0.25">
      <c r="A596" s="47" t="s">
        <v>3979</v>
      </c>
      <c r="B596" s="47" t="s">
        <v>3980</v>
      </c>
    </row>
    <row r="597" spans="1:2" x14ac:dyDescent="0.25">
      <c r="A597" s="47" t="s">
        <v>3981</v>
      </c>
      <c r="B597" s="47" t="s">
        <v>3982</v>
      </c>
    </row>
    <row r="598" spans="1:2" x14ac:dyDescent="0.25">
      <c r="A598" s="47" t="s">
        <v>3983</v>
      </c>
      <c r="B598" s="47" t="s">
        <v>3984</v>
      </c>
    </row>
    <row r="599" spans="1:2" x14ac:dyDescent="0.25">
      <c r="A599" s="47" t="s">
        <v>3985</v>
      </c>
      <c r="B599" s="47" t="s">
        <v>3986</v>
      </c>
    </row>
    <row r="600" spans="1:2" x14ac:dyDescent="0.25">
      <c r="A600" s="47" t="s">
        <v>3987</v>
      </c>
      <c r="B600" s="47" t="s">
        <v>3988</v>
      </c>
    </row>
    <row r="601" spans="1:2" x14ac:dyDescent="0.25">
      <c r="A601" s="47" t="s">
        <v>3989</v>
      </c>
      <c r="B601" s="47" t="s">
        <v>3990</v>
      </c>
    </row>
    <row r="602" spans="1:2" x14ac:dyDescent="0.25">
      <c r="A602" s="47" t="s">
        <v>3991</v>
      </c>
      <c r="B602" s="47" t="s">
        <v>3992</v>
      </c>
    </row>
    <row r="603" spans="1:2" x14ac:dyDescent="0.25">
      <c r="A603" s="47" t="s">
        <v>3993</v>
      </c>
      <c r="B603" s="47" t="s">
        <v>3994</v>
      </c>
    </row>
    <row r="604" spans="1:2" x14ac:dyDescent="0.25">
      <c r="A604" s="47" t="s">
        <v>3995</v>
      </c>
      <c r="B604" s="47" t="s">
        <v>3996</v>
      </c>
    </row>
    <row r="605" spans="1:2" x14ac:dyDescent="0.25">
      <c r="A605" s="47" t="s">
        <v>3997</v>
      </c>
      <c r="B605" s="47" t="s">
        <v>3998</v>
      </c>
    </row>
    <row r="606" spans="1:2" x14ac:dyDescent="0.25">
      <c r="A606" s="47" t="s">
        <v>3999</v>
      </c>
      <c r="B606" s="47" t="s">
        <v>4000</v>
      </c>
    </row>
    <row r="607" spans="1:2" x14ac:dyDescent="0.25">
      <c r="A607" s="47" t="s">
        <v>4001</v>
      </c>
      <c r="B607" s="47" t="s">
        <v>4002</v>
      </c>
    </row>
    <row r="608" spans="1:2" x14ac:dyDescent="0.25">
      <c r="A608" s="47" t="s">
        <v>4003</v>
      </c>
      <c r="B608" s="47" t="s">
        <v>4004</v>
      </c>
    </row>
    <row r="609" spans="1:2" x14ac:dyDescent="0.25">
      <c r="A609" s="47" t="s">
        <v>4005</v>
      </c>
      <c r="B609" s="47" t="s">
        <v>4006</v>
      </c>
    </row>
    <row r="610" spans="1:2" x14ac:dyDescent="0.25">
      <c r="A610" s="47" t="s">
        <v>4007</v>
      </c>
      <c r="B610" s="47" t="s">
        <v>4008</v>
      </c>
    </row>
    <row r="611" spans="1:2" x14ac:dyDescent="0.25">
      <c r="A611" s="47" t="s">
        <v>4009</v>
      </c>
      <c r="B611" s="47" t="s">
        <v>4010</v>
      </c>
    </row>
    <row r="612" spans="1:2" x14ac:dyDescent="0.25">
      <c r="A612" s="47" t="s">
        <v>4011</v>
      </c>
      <c r="B612" s="47" t="s">
        <v>4012</v>
      </c>
    </row>
    <row r="613" spans="1:2" x14ac:dyDescent="0.25">
      <c r="A613" s="47" t="s">
        <v>4013</v>
      </c>
      <c r="B613" s="47" t="s">
        <v>4014</v>
      </c>
    </row>
    <row r="614" spans="1:2" x14ac:dyDescent="0.25">
      <c r="A614" s="47" t="s">
        <v>4015</v>
      </c>
      <c r="B614" s="47" t="s">
        <v>4016</v>
      </c>
    </row>
    <row r="615" spans="1:2" x14ac:dyDescent="0.25">
      <c r="A615" s="47" t="s">
        <v>4017</v>
      </c>
      <c r="B615" s="47" t="s">
        <v>4018</v>
      </c>
    </row>
    <row r="616" spans="1:2" x14ac:dyDescent="0.25">
      <c r="A616" s="47" t="s">
        <v>4019</v>
      </c>
      <c r="B616" s="47" t="s">
        <v>4020</v>
      </c>
    </row>
    <row r="617" spans="1:2" x14ac:dyDescent="0.25">
      <c r="A617" s="47" t="s">
        <v>4021</v>
      </c>
      <c r="B617" s="47" t="s">
        <v>4022</v>
      </c>
    </row>
    <row r="618" spans="1:2" x14ac:dyDescent="0.25">
      <c r="A618" s="47" t="s">
        <v>4023</v>
      </c>
      <c r="B618" s="47" t="s">
        <v>4024</v>
      </c>
    </row>
    <row r="619" spans="1:2" x14ac:dyDescent="0.25">
      <c r="A619" s="47" t="s">
        <v>4025</v>
      </c>
      <c r="B619" s="47" t="s">
        <v>4026</v>
      </c>
    </row>
    <row r="620" spans="1:2" x14ac:dyDescent="0.25">
      <c r="A620" s="47" t="s">
        <v>4027</v>
      </c>
      <c r="B620" s="47" t="s">
        <v>4028</v>
      </c>
    </row>
    <row r="621" spans="1:2" x14ac:dyDescent="0.25">
      <c r="A621" s="47" t="s">
        <v>4029</v>
      </c>
      <c r="B621" s="47" t="s">
        <v>4030</v>
      </c>
    </row>
    <row r="622" spans="1:2" x14ac:dyDescent="0.25">
      <c r="A622" s="47" t="s">
        <v>4031</v>
      </c>
      <c r="B622" s="47" t="s">
        <v>4032</v>
      </c>
    </row>
    <row r="623" spans="1:2" x14ac:dyDescent="0.25">
      <c r="A623" s="47" t="s">
        <v>4033</v>
      </c>
      <c r="B623" s="47" t="s">
        <v>4034</v>
      </c>
    </row>
    <row r="624" spans="1:2" x14ac:dyDescent="0.25">
      <c r="A624" s="47" t="s">
        <v>4035</v>
      </c>
      <c r="B624" s="47" t="s">
        <v>4036</v>
      </c>
    </row>
    <row r="625" spans="1:2" x14ac:dyDescent="0.25">
      <c r="A625" s="47" t="s">
        <v>4037</v>
      </c>
      <c r="B625" s="47" t="s">
        <v>4038</v>
      </c>
    </row>
    <row r="626" spans="1:2" x14ac:dyDescent="0.25">
      <c r="A626" s="47" t="s">
        <v>4039</v>
      </c>
      <c r="B626" s="47" t="s">
        <v>4040</v>
      </c>
    </row>
    <row r="627" spans="1:2" x14ac:dyDescent="0.25">
      <c r="A627" s="47" t="s">
        <v>4041</v>
      </c>
      <c r="B627" s="47" t="s">
        <v>4042</v>
      </c>
    </row>
    <row r="628" spans="1:2" x14ac:dyDescent="0.25">
      <c r="A628" s="47" t="s">
        <v>4043</v>
      </c>
      <c r="B628" s="47" t="s">
        <v>4044</v>
      </c>
    </row>
    <row r="629" spans="1:2" x14ac:dyDescent="0.25">
      <c r="A629" s="47" t="s">
        <v>4045</v>
      </c>
      <c r="B629" s="47" t="s">
        <v>4046</v>
      </c>
    </row>
    <row r="630" spans="1:2" x14ac:dyDescent="0.25">
      <c r="A630" s="47" t="s">
        <v>4047</v>
      </c>
      <c r="B630" s="47" t="s">
        <v>4048</v>
      </c>
    </row>
    <row r="631" spans="1:2" x14ac:dyDescent="0.25">
      <c r="A631" s="47" t="s">
        <v>4049</v>
      </c>
      <c r="B631" s="47" t="s">
        <v>4050</v>
      </c>
    </row>
    <row r="632" spans="1:2" x14ac:dyDescent="0.25">
      <c r="A632" s="47" t="s">
        <v>4051</v>
      </c>
      <c r="B632" s="47" t="s">
        <v>4052</v>
      </c>
    </row>
    <row r="633" spans="1:2" x14ac:dyDescent="0.25">
      <c r="A633" s="47" t="s">
        <v>4053</v>
      </c>
      <c r="B633" s="47" t="s">
        <v>4054</v>
      </c>
    </row>
    <row r="634" spans="1:2" x14ac:dyDescent="0.25">
      <c r="A634" s="47" t="s">
        <v>4055</v>
      </c>
      <c r="B634" s="47" t="s">
        <v>4056</v>
      </c>
    </row>
    <row r="635" spans="1:2" x14ac:dyDescent="0.25">
      <c r="A635" s="47" t="s">
        <v>4057</v>
      </c>
      <c r="B635" s="47" t="s">
        <v>4058</v>
      </c>
    </row>
    <row r="636" spans="1:2" x14ac:dyDescent="0.25">
      <c r="A636" s="47" t="s">
        <v>4059</v>
      </c>
      <c r="B636" s="47" t="s">
        <v>4060</v>
      </c>
    </row>
    <row r="637" spans="1:2" x14ac:dyDescent="0.25">
      <c r="A637" s="47" t="s">
        <v>4061</v>
      </c>
      <c r="B637" s="47" t="s">
        <v>4062</v>
      </c>
    </row>
    <row r="638" spans="1:2" x14ac:dyDescent="0.25">
      <c r="A638" s="47" t="s">
        <v>4063</v>
      </c>
      <c r="B638" s="47" t="s">
        <v>4064</v>
      </c>
    </row>
    <row r="639" spans="1:2" x14ac:dyDescent="0.25">
      <c r="A639" s="47" t="s">
        <v>4065</v>
      </c>
      <c r="B639" s="47" t="s">
        <v>4066</v>
      </c>
    </row>
    <row r="640" spans="1:2" x14ac:dyDescent="0.25">
      <c r="A640" s="47" t="s">
        <v>4067</v>
      </c>
      <c r="B640" s="47" t="s">
        <v>4068</v>
      </c>
    </row>
    <row r="641" spans="1:2" x14ac:dyDescent="0.25">
      <c r="A641" s="47" t="s">
        <v>4069</v>
      </c>
      <c r="B641" s="47" t="s">
        <v>4070</v>
      </c>
    </row>
    <row r="642" spans="1:2" x14ac:dyDescent="0.25">
      <c r="A642" s="47" t="s">
        <v>4071</v>
      </c>
      <c r="B642" s="47" t="s">
        <v>4072</v>
      </c>
    </row>
    <row r="643" spans="1:2" x14ac:dyDescent="0.25">
      <c r="A643" s="47" t="s">
        <v>4073</v>
      </c>
      <c r="B643" s="47" t="s">
        <v>4074</v>
      </c>
    </row>
    <row r="644" spans="1:2" x14ac:dyDescent="0.25">
      <c r="A644" s="47" t="s">
        <v>4075</v>
      </c>
      <c r="B644" s="47" t="s">
        <v>4076</v>
      </c>
    </row>
    <row r="645" spans="1:2" x14ac:dyDescent="0.25">
      <c r="A645" s="47" t="s">
        <v>4077</v>
      </c>
      <c r="B645" s="47" t="s">
        <v>4078</v>
      </c>
    </row>
    <row r="646" spans="1:2" x14ac:dyDescent="0.25">
      <c r="A646" s="47" t="s">
        <v>4079</v>
      </c>
      <c r="B646" s="47" t="s">
        <v>4080</v>
      </c>
    </row>
    <row r="647" spans="1:2" x14ac:dyDescent="0.25">
      <c r="A647" s="47" t="s">
        <v>4081</v>
      </c>
      <c r="B647" s="47" t="s">
        <v>4082</v>
      </c>
    </row>
    <row r="648" spans="1:2" x14ac:dyDescent="0.25">
      <c r="A648" s="47" t="s">
        <v>4083</v>
      </c>
      <c r="B648" s="47" t="s">
        <v>4084</v>
      </c>
    </row>
    <row r="649" spans="1:2" x14ac:dyDescent="0.25">
      <c r="A649" s="47" t="s">
        <v>4085</v>
      </c>
      <c r="B649" s="47" t="s">
        <v>4086</v>
      </c>
    </row>
    <row r="650" spans="1:2" x14ac:dyDescent="0.25">
      <c r="A650" s="47" t="s">
        <v>4087</v>
      </c>
      <c r="B650" s="47" t="s">
        <v>4088</v>
      </c>
    </row>
    <row r="651" spans="1:2" x14ac:dyDescent="0.25">
      <c r="A651" s="47" t="s">
        <v>4089</v>
      </c>
      <c r="B651" s="47" t="s">
        <v>4090</v>
      </c>
    </row>
    <row r="652" spans="1:2" x14ac:dyDescent="0.25">
      <c r="A652" s="47" t="s">
        <v>4091</v>
      </c>
      <c r="B652" s="47" t="s">
        <v>4092</v>
      </c>
    </row>
    <row r="653" spans="1:2" x14ac:dyDescent="0.25">
      <c r="A653" s="47" t="s">
        <v>4093</v>
      </c>
      <c r="B653" s="47" t="s">
        <v>4094</v>
      </c>
    </row>
    <row r="654" spans="1:2" x14ac:dyDescent="0.25">
      <c r="A654" s="47" t="s">
        <v>4095</v>
      </c>
      <c r="B654" s="47" t="s">
        <v>4096</v>
      </c>
    </row>
    <row r="655" spans="1:2" x14ac:dyDescent="0.25">
      <c r="A655" s="47" t="s">
        <v>4097</v>
      </c>
      <c r="B655" s="47" t="s">
        <v>4098</v>
      </c>
    </row>
    <row r="656" spans="1:2" x14ac:dyDescent="0.25">
      <c r="A656" s="47" t="s">
        <v>4099</v>
      </c>
      <c r="B656" s="47" t="s">
        <v>4100</v>
      </c>
    </row>
    <row r="657" spans="1:2" x14ac:dyDescent="0.25">
      <c r="A657" s="47" t="s">
        <v>4101</v>
      </c>
      <c r="B657" s="47" t="s">
        <v>4102</v>
      </c>
    </row>
    <row r="658" spans="1:2" x14ac:dyDescent="0.25">
      <c r="A658" s="47" t="s">
        <v>4103</v>
      </c>
      <c r="B658" s="47" t="s">
        <v>4104</v>
      </c>
    </row>
    <row r="659" spans="1:2" x14ac:dyDescent="0.25">
      <c r="A659" s="47" t="s">
        <v>4105</v>
      </c>
      <c r="B659" s="47" t="s">
        <v>4106</v>
      </c>
    </row>
    <row r="660" spans="1:2" x14ac:dyDescent="0.25">
      <c r="A660" s="47" t="s">
        <v>4107</v>
      </c>
      <c r="B660" s="47" t="s">
        <v>4108</v>
      </c>
    </row>
    <row r="661" spans="1:2" x14ac:dyDescent="0.25">
      <c r="A661" s="47" t="s">
        <v>4109</v>
      </c>
      <c r="B661" s="47" t="s">
        <v>4110</v>
      </c>
    </row>
    <row r="662" spans="1:2" x14ac:dyDescent="0.25">
      <c r="A662" s="47" t="s">
        <v>4111</v>
      </c>
      <c r="B662" s="47" t="s">
        <v>4112</v>
      </c>
    </row>
    <row r="663" spans="1:2" x14ac:dyDescent="0.25">
      <c r="A663" s="47" t="s">
        <v>4113</v>
      </c>
      <c r="B663" s="47" t="s">
        <v>4114</v>
      </c>
    </row>
    <row r="664" spans="1:2" x14ac:dyDescent="0.25">
      <c r="A664" s="47" t="s">
        <v>4115</v>
      </c>
      <c r="B664" s="47" t="s">
        <v>4116</v>
      </c>
    </row>
    <row r="665" spans="1:2" x14ac:dyDescent="0.25">
      <c r="A665" s="47" t="s">
        <v>4117</v>
      </c>
      <c r="B665" s="47" t="s">
        <v>4118</v>
      </c>
    </row>
    <row r="666" spans="1:2" x14ac:dyDescent="0.25">
      <c r="A666" s="47" t="s">
        <v>4119</v>
      </c>
      <c r="B666" s="47" t="s">
        <v>4120</v>
      </c>
    </row>
    <row r="667" spans="1:2" x14ac:dyDescent="0.25">
      <c r="A667" s="47" t="s">
        <v>4121</v>
      </c>
      <c r="B667" s="47" t="s">
        <v>4122</v>
      </c>
    </row>
    <row r="668" spans="1:2" x14ac:dyDescent="0.25">
      <c r="A668" s="47" t="s">
        <v>4123</v>
      </c>
      <c r="B668" s="47" t="s">
        <v>4124</v>
      </c>
    </row>
    <row r="669" spans="1:2" x14ac:dyDescent="0.25">
      <c r="A669" s="47" t="s">
        <v>4125</v>
      </c>
      <c r="B669" s="47" t="s">
        <v>4126</v>
      </c>
    </row>
    <row r="670" spans="1:2" x14ac:dyDescent="0.25">
      <c r="A670" s="47" t="s">
        <v>4127</v>
      </c>
      <c r="B670" s="47" t="s">
        <v>4128</v>
      </c>
    </row>
    <row r="671" spans="1:2" x14ac:dyDescent="0.25">
      <c r="A671" s="47" t="s">
        <v>4129</v>
      </c>
      <c r="B671" s="47" t="s">
        <v>4130</v>
      </c>
    </row>
    <row r="672" spans="1:2" x14ac:dyDescent="0.25">
      <c r="A672" s="47" t="s">
        <v>4131</v>
      </c>
      <c r="B672" s="47" t="s">
        <v>4132</v>
      </c>
    </row>
    <row r="673" spans="1:2" x14ac:dyDescent="0.25">
      <c r="A673" s="47" t="s">
        <v>4133</v>
      </c>
      <c r="B673" s="47" t="s">
        <v>4134</v>
      </c>
    </row>
    <row r="674" spans="1:2" x14ac:dyDescent="0.25">
      <c r="A674" s="47" t="s">
        <v>4135</v>
      </c>
      <c r="B674" s="47" t="s">
        <v>4136</v>
      </c>
    </row>
    <row r="675" spans="1:2" x14ac:dyDescent="0.25">
      <c r="A675" s="47" t="s">
        <v>4137</v>
      </c>
      <c r="B675" s="47" t="s">
        <v>4138</v>
      </c>
    </row>
    <row r="676" spans="1:2" x14ac:dyDescent="0.25">
      <c r="A676" s="47" t="s">
        <v>4139</v>
      </c>
      <c r="B676" s="47" t="s">
        <v>4140</v>
      </c>
    </row>
    <row r="677" spans="1:2" x14ac:dyDescent="0.25">
      <c r="A677" s="47" t="s">
        <v>4141</v>
      </c>
      <c r="B677" s="47" t="s">
        <v>4142</v>
      </c>
    </row>
    <row r="678" spans="1:2" x14ac:dyDescent="0.25">
      <c r="A678" s="47" t="s">
        <v>4143</v>
      </c>
      <c r="B678" s="47" t="s">
        <v>4144</v>
      </c>
    </row>
    <row r="679" spans="1:2" x14ac:dyDescent="0.25">
      <c r="A679" s="47" t="s">
        <v>4145</v>
      </c>
      <c r="B679" s="47" t="s">
        <v>4146</v>
      </c>
    </row>
    <row r="680" spans="1:2" x14ac:dyDescent="0.25">
      <c r="A680" s="47" t="s">
        <v>4147</v>
      </c>
      <c r="B680" s="47" t="s">
        <v>4148</v>
      </c>
    </row>
    <row r="681" spans="1:2" x14ac:dyDescent="0.25">
      <c r="A681" s="47" t="s">
        <v>4149</v>
      </c>
      <c r="B681" s="47" t="s">
        <v>4150</v>
      </c>
    </row>
    <row r="682" spans="1:2" x14ac:dyDescent="0.25">
      <c r="A682" s="47" t="s">
        <v>4151</v>
      </c>
      <c r="B682" s="47" t="s">
        <v>4152</v>
      </c>
    </row>
    <row r="683" spans="1:2" x14ac:dyDescent="0.25">
      <c r="A683" s="47" t="s">
        <v>4153</v>
      </c>
      <c r="B683" s="47" t="s">
        <v>4154</v>
      </c>
    </row>
    <row r="684" spans="1:2" x14ac:dyDescent="0.25">
      <c r="A684" s="47" t="s">
        <v>4155</v>
      </c>
      <c r="B684" s="47" t="s">
        <v>4156</v>
      </c>
    </row>
    <row r="685" spans="1:2" x14ac:dyDescent="0.25">
      <c r="A685" s="47" t="s">
        <v>4157</v>
      </c>
      <c r="B685" s="47" t="s">
        <v>4158</v>
      </c>
    </row>
    <row r="686" spans="1:2" x14ac:dyDescent="0.25">
      <c r="A686" s="47" t="s">
        <v>4159</v>
      </c>
      <c r="B686" s="47" t="s">
        <v>4160</v>
      </c>
    </row>
    <row r="687" spans="1:2" x14ac:dyDescent="0.25">
      <c r="A687" s="47" t="s">
        <v>4161</v>
      </c>
      <c r="B687" s="47" t="s">
        <v>4162</v>
      </c>
    </row>
    <row r="688" spans="1:2" x14ac:dyDescent="0.25">
      <c r="A688" s="47" t="s">
        <v>4163</v>
      </c>
      <c r="B688" s="47" t="s">
        <v>4164</v>
      </c>
    </row>
    <row r="689" spans="1:2" x14ac:dyDescent="0.25">
      <c r="A689" s="47" t="s">
        <v>4165</v>
      </c>
      <c r="B689" s="47" t="s">
        <v>4166</v>
      </c>
    </row>
    <row r="690" spans="1:2" x14ac:dyDescent="0.25">
      <c r="A690" s="47" t="s">
        <v>4167</v>
      </c>
      <c r="B690" s="47" t="s">
        <v>4168</v>
      </c>
    </row>
    <row r="691" spans="1:2" x14ac:dyDescent="0.25">
      <c r="A691" s="47" t="s">
        <v>4169</v>
      </c>
      <c r="B691" s="47" t="s">
        <v>4170</v>
      </c>
    </row>
    <row r="692" spans="1:2" x14ac:dyDescent="0.25">
      <c r="A692" s="47" t="s">
        <v>4171</v>
      </c>
      <c r="B692" s="47" t="s">
        <v>4172</v>
      </c>
    </row>
    <row r="693" spans="1:2" x14ac:dyDescent="0.25">
      <c r="A693" s="47" t="s">
        <v>4173</v>
      </c>
      <c r="B693" s="47" t="s">
        <v>4174</v>
      </c>
    </row>
    <row r="694" spans="1:2" x14ac:dyDescent="0.25">
      <c r="A694" s="47" t="s">
        <v>4175</v>
      </c>
      <c r="B694" s="47" t="s">
        <v>4176</v>
      </c>
    </row>
    <row r="695" spans="1:2" x14ac:dyDescent="0.25">
      <c r="A695" s="47" t="s">
        <v>4177</v>
      </c>
      <c r="B695" s="47" t="s">
        <v>4178</v>
      </c>
    </row>
    <row r="696" spans="1:2" x14ac:dyDescent="0.25">
      <c r="A696" s="47" t="s">
        <v>4179</v>
      </c>
      <c r="B696" s="47" t="s">
        <v>4180</v>
      </c>
    </row>
    <row r="697" spans="1:2" x14ac:dyDescent="0.25">
      <c r="A697" s="47" t="s">
        <v>4181</v>
      </c>
      <c r="B697" s="47" t="s">
        <v>4182</v>
      </c>
    </row>
    <row r="698" spans="1:2" x14ac:dyDescent="0.25">
      <c r="A698" s="47" t="s">
        <v>4183</v>
      </c>
      <c r="B698" s="47" t="s">
        <v>4184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Supp. Table S1</vt:lpstr>
      <vt:lpstr>Supp. Table S2</vt:lpstr>
      <vt:lpstr>Supp. Table S3</vt:lpstr>
      <vt:lpstr>Supp. Table S4</vt:lpstr>
      <vt:lpstr>Supp. Table S5</vt:lpstr>
      <vt:lpstr>Supp. Table S6</vt:lpstr>
      <vt:lpstr>Supp. Table S7</vt:lpstr>
      <vt:lpstr>Supp. Table S8</vt:lpstr>
      <vt:lpstr>Supp. Table S9</vt:lpstr>
      <vt:lpstr>Supp. Table S10</vt:lpstr>
      <vt:lpstr>Supp. Table S11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2021-02-22T17:57:52Z</dcterms:created>
  <dcterms:modified xsi:type="dcterms:W3CDTF">2021-12-15T20:14:29Z</dcterms:modified>
</cp:coreProperties>
</file>